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4.Ban tinh\outputs\"/>
    </mc:Choice>
  </mc:AlternateContent>
  <xr:revisionPtr revIDLastSave="0" documentId="13_ncr:1_{71BB3A23-DC04-4B89-8223-0021391C9F2D}" xr6:coauthVersionLast="47" xr6:coauthVersionMax="47" xr10:uidLastSave="{00000000-0000-0000-0000-000000000000}"/>
  <bookViews>
    <workbookView xWindow="-108" yWindow="-108" windowWidth="23256" windowHeight="14016" xr2:uid="{00000000-000D-0000-FFFF-FFFF00000000}"/>
  </bookViews>
  <sheets>
    <sheet name="QA MO" sheetId="20" r:id="rId1"/>
    <sheet name="HDSD" sheetId="1" r:id="rId2"/>
    <sheet name="INPUT" sheetId="2" r:id="rId3"/>
    <sheet name="TINH TAI" sheetId="3" r:id="rId4"/>
    <sheet name="HOAT TAI" sheetId="4" r:id="rId5"/>
    <sheet name="DAT-EH" sheetId="5" r:id="rId6"/>
    <sheet name="GIO" sheetId="6" r:id="rId7"/>
    <sheet name="DONG DAT" sheetId="7" r:id="rId8"/>
    <sheet name="TO HOP" sheetId="8" r:id="rId9"/>
    <sheet name="TS-PILE" sheetId="9" r:id="rId10"/>
    <sheet name="KT THAN" sheetId="10" r:id="rId11"/>
    <sheet name="KT BE" sheetId="11" r:id="rId12"/>
    <sheet name="TUONG CANH" sheetId="12" r:id="rId13"/>
    <sheet name="TUONG DINH" sheetId="13" r:id="rId14"/>
    <sheet name="TS-COL-CAP" sheetId="14" r:id="rId15"/>
    <sheet name="CAT THAN" sheetId="15" r:id="rId16"/>
    <sheet name="LANE ENGINE" sheetId="16" r:id="rId17"/>
    <sheet name="TO HOP NLAN" sheetId="17" r:id="rId18"/>
    <sheet name="PILE NLAN" sheetId="18" r:id="rId19"/>
    <sheet name="TO HOP EQ" sheetId="19" r:id="rId20"/>
  </sheets>
  <definedNames>
    <definedName name="Add">INPUT!$F$90</definedName>
    <definedName name="askew">INPUT!$F$47</definedName>
    <definedName name="B1_">INPUT!$F$23</definedName>
    <definedName name="B11_">INPUT!$F$31</definedName>
    <definedName name="B12_">INPUT!$F$32</definedName>
    <definedName name="B2_">INPUT!$F$24</definedName>
    <definedName name="B3_">INPUT!$F$25</definedName>
    <definedName name="B4_">INPUT!$F$26</definedName>
    <definedName name="B5_">INPUT!$F$27</definedName>
    <definedName name="B7_">INPUT!$F$28</definedName>
    <definedName name="B8_">INPUT!$F$29</definedName>
    <definedName name="B9_">INPUT!$F$30</definedName>
    <definedName name="BeffEH">INPUT!$F$48</definedName>
    <definedName name="BeffEV">'TINH TAI'!$D$25</definedName>
    <definedName name="betw">INPUT!$F$65</definedName>
    <definedName name="blc_">INPUT!$F$11</definedName>
    <definedName name="bPL">INPUT!$F$12</definedName>
    <definedName name="BR_H">IF(loaigoi=1,MAX(0.25*325*nLan*IF(nLan=1,1.2,IF(nLan=2,1,IF(nLan=3,0.85,0.65))),0.05*(325+qlan*Lsp)*nLan*IF(nLan=1,1.2,IF(nLan=2,1,IF(nLan=3,0.85,0.65)))),0)</definedName>
    <definedName name="BR_Mdb">'HOAT TAI'!$C$34</definedName>
    <definedName name="BR_Mtb">'HOAT TAI'!$D$34</definedName>
    <definedName name="Bxe">INPUT!$F$10</definedName>
    <definedName name="Cd1_">INPUT!$F$41</definedName>
    <definedName name="Cd3_">INPUT!$F$42</definedName>
    <definedName name="Cd4_">INPUT!$F$43</definedName>
    <definedName name="Cd6_">INPUT!$F$44</definedName>
    <definedName name="Cdkcn">INPUT!$F$86</definedName>
    <definedName name="CE_H">'HOAT TAI'!$C$38</definedName>
    <definedName name="CE_Mdb">'HOAT TAI'!$C$39</definedName>
    <definedName name="CE_Mtb">'HOAT TAI'!$D$39</definedName>
    <definedName name="Csm_d">'DONG DAT'!$C$10</definedName>
    <definedName name="Csm_n">'DONG DAT'!$C$11</definedName>
    <definedName name="Cxmo">INPUT!$F$87</definedName>
    <definedName name="DC2_G_db">'TINH TAI'!$D$15</definedName>
    <definedName name="DC2_G_tb">'TINH TAI'!$D$16</definedName>
    <definedName name="DC2_M_db">'TINH TAI'!$F$15</definedName>
    <definedName name="DC2_M_tb">'TINH TAI'!$H$16</definedName>
    <definedName name="DCkcn">INPUT!$F$19</definedName>
    <definedName name="Dcoc">INPUT!$F$98</definedName>
    <definedName name="delw">INPUT!$F$64</definedName>
    <definedName name="DWkcn">INPUT!$F$20</definedName>
    <definedName name="e_db">'TINH TAI'!$D$19</definedName>
    <definedName name="e_tb">'TINH TAI'!$F$19</definedName>
    <definedName name="Ec_">INPUT!$F$58</definedName>
    <definedName name="EH_H_db">'DAT-EH'!$D$10</definedName>
    <definedName name="EH_H_tb">'DAT-EH'!$D$11</definedName>
    <definedName name="EH_M_db">'DAT-EH'!$F$10</definedName>
    <definedName name="EH_M_tb">'DAT-EH'!$F$11</definedName>
    <definedName name="EQd_H_db">'DONG DAT'!$C$35</definedName>
    <definedName name="EQd_H_tb">'DONG DAT'!$E$35</definedName>
    <definedName name="EQd_M_db">'DONG DAT'!$D$35</definedName>
    <definedName name="EQd_M_tb">'DONG DAT'!$F$35</definedName>
    <definedName name="EQn_H_db">'DONG DAT'!$C$36</definedName>
    <definedName name="EQn_H_tb">'DONG DAT'!$E$36</definedName>
    <definedName name="EQn_M_db">'DONG DAT'!$D$36</definedName>
    <definedName name="EQn_M_tb">'DONG DAT'!$F$36</definedName>
    <definedName name="Es_">INPUT!$F$55</definedName>
    <definedName name="EV_M">'TINH TAI'!$D$32</definedName>
    <definedName name="EV_N">'TINH TAI'!$C$32</definedName>
    <definedName name="fc_">INPUT!$F$53</definedName>
    <definedName name="fms">INPUT!$F$77</definedName>
    <definedName name="fr_">INPUT!$F$59</definedName>
    <definedName name="FR_H">'DAT-EH'!$C$23</definedName>
    <definedName name="FR_Mdb">'DAT-EH'!$C$24</definedName>
    <definedName name="FR_Mtb">'DAT-EH'!$D$24</definedName>
    <definedName name="fy_">INPUT!$F$54</definedName>
    <definedName name="gcbt">INPUT!$F$56</definedName>
    <definedName name="gnc">INPUT!$F$66</definedName>
    <definedName name="gs_">INPUT!$F$62</definedName>
    <definedName name="H1_">INPUT!$F$33</definedName>
    <definedName name="H12_">INPUT!$F$40</definedName>
    <definedName name="H2_">INPUT!$F$34</definedName>
    <definedName name="H3_">INPUT!$F$35</definedName>
    <definedName name="H4_">INPUT!$F$36</definedName>
    <definedName name="H6_">INPUT!$F$37</definedName>
    <definedName name="H7_">INPUT!$F$38</definedName>
    <definedName name="H8_">INPUT!$F$39</definedName>
    <definedName name="hcx">INPUT!$F$78</definedName>
    <definedName name="Hdb">INPUT!$F$49</definedName>
    <definedName name="hgir">INPUT!$F$15</definedName>
    <definedName name="hgoi">INPUT!$F$18</definedName>
    <definedName name="hlc">INPUT!$F$17</definedName>
    <definedName name="Htb">INPUT!$F$50</definedName>
    <definedName name="IM_">INPUT!$F$69</definedName>
    <definedName name="K1_">INPUT!$F$57</definedName>
    <definedName name="Ka_">'DAT-EH'!$C$6</definedName>
    <definedName name="KAE_">'DONG DAT'!$C$27</definedName>
    <definedName name="khdd">INPUT!$F$95</definedName>
    <definedName name="khmanual">INPUT!$J$96</definedName>
    <definedName name="khmode">INPUT!$F$96</definedName>
    <definedName name="LL_Mdb">'HOAT TAI'!$K$17:$K$22</definedName>
    <definedName name="LL_Mdb_DYN">OFFSET('LANE ENGINE'!$F$6,0,0,nLan,1)</definedName>
    <definedName name="LL_Mtb">'HOAT TAI'!$L$17:$L$22</definedName>
    <definedName name="LL_Mtb_DYN">OFFSET('LANE ENGINE'!$G$6,0,0,nLan,1)</definedName>
    <definedName name="LL_Mx">'HOAT TAI'!$J$17:$J$22</definedName>
    <definedName name="LL_Mx_DYN">OFFSET('LANE ENGINE'!$E$6,0,0,nLan,1)</definedName>
    <definedName name="LL_N">'HOAT TAI'!$H$17:$H$22</definedName>
    <definedName name="LL_N_DYN">OFFSET('LANE ENGINE'!$D$6,0,0,nLan,1)</definedName>
    <definedName name="Lnhip">INPUT!$F$6</definedName>
    <definedName name="loaigoi">INPUT!$F$76</definedName>
    <definedName name="LS_H_db">'DAT-EH'!$E$15</definedName>
    <definedName name="LS_H_tb">'DAT-EH'!$E$16</definedName>
    <definedName name="LS_M_db">'DAT-EH'!$G$15</definedName>
    <definedName name="LS_M_tb">'DAT-EH'!$G$16</definedName>
    <definedName name="Lsp">INPUT!$F$8</definedName>
    <definedName name="nch1_">INPUT!$D$102</definedName>
    <definedName name="nch2_">INPUT!$D$103</definedName>
    <definedName name="nch3_">INPUT!$D$104</definedName>
    <definedName name="nch4_">INPUT!$D$105</definedName>
    <definedName name="ncoc">INPUT!$C$106</definedName>
    <definedName name="ncx">INPUT!$F$79</definedName>
    <definedName name="nd">INPUT!$F$14</definedName>
    <definedName name="nhang">INPUT!$F$99</definedName>
    <definedName name="nLan">INPUT!$F$13</definedName>
    <definedName name="ntc">INPUT!$F$45</definedName>
    <definedName name="ntt">INPUT!$F$46</definedName>
    <definedName name="phid">INPUT!$F$63</definedName>
    <definedName name="Pmax_CD">'TS-PILE'!$D$103</definedName>
    <definedName name="Pmax_DB">'TS-PILE'!$E$103</definedName>
    <definedName name="Pmax_SD">'TS-PILE'!$C$103</definedName>
    <definedName name="Pmin_CD">'TS-PILE'!$D$104</definedName>
    <definedName name="Pmin_DB">'TS-PILE'!$E$104</definedName>
    <definedName name="pPL">INPUT!$F$71</definedName>
    <definedName name="qlan">INPUT!$F$70</definedName>
    <definedName name="Rcong">INPUT!$F$73</definedName>
    <definedName name="Rkcn">INPUT!$F$93</definedName>
    <definedName name="Rlan1">'HOAT TAI'!$E$12</definedName>
    <definedName name="Rmo">INPUT!$F$94</definedName>
    <definedName name="Rxe1_">'HOAT TAI'!$C$13</definedName>
    <definedName name="sch1_">INPUT!$E$102</definedName>
    <definedName name="sch2_">INPUT!$E$103</definedName>
    <definedName name="sch3_">INPUT!$E$104</definedName>
    <definedName name="sch4_">INPUT!$E$105</definedName>
    <definedName name="Sdd">INPUT!$F$92</definedName>
    <definedName name="Sgio">INPUT!$F$84</definedName>
    <definedName name="sgoi">INPUT!$F$7</definedName>
    <definedName name="soildd">INPUT!$F$91</definedName>
    <definedName name="tcban">INPUT!$F$16</definedName>
    <definedName name="TH_db">'TO HOP'!$C$105:$G$150</definedName>
    <definedName name="TH_tb">'TO HOP'!$H$105:$L$150</definedName>
    <definedName name="TH_ten">'TO HOP'!$B$105:$B$150</definedName>
    <definedName name="TSPILE_FC">'TS-PILE'!$C$119</definedName>
    <definedName name="TSPILE_L">'TS-PILE'!$C$117</definedName>
    <definedName name="TSPILE_L0">'TS-PILE'!$C$118</definedName>
    <definedName name="TSPILE_M">'TS-PILE'!$C$121</definedName>
    <definedName name="TSPILE_MC">'TS-PILE'!$C$122</definedName>
    <definedName name="TSPILE_MD">'TS-PILE'!$C$123</definedName>
    <definedName name="TSPILE_MQ">'TS-PILE'!$C$124</definedName>
    <definedName name="TSPILE_WC">'TS-PILE'!$C$120</definedName>
    <definedName name="TU_H">INPUT!$F$108</definedName>
    <definedName name="USE_TSPILE">'TS-PILE'!$C$116</definedName>
    <definedName name="V_gio">INPUT!$F$85</definedName>
    <definedName name="VB_">INPUT!$F$83</definedName>
    <definedName name="vgzone">INPUT!$F$82</definedName>
    <definedName name="VS_M">'DAT-EH'!$E$19</definedName>
    <definedName name="VS_N">'DAT-EH'!$C$19</definedName>
    <definedName name="Vtk">INPUT!$F$72</definedName>
    <definedName name="Wcau">INPUT!$F$9</definedName>
    <definedName name="WLd_H">GIO!$C$28</definedName>
    <definedName name="WLd_Mdb">GIO!$E$28</definedName>
    <definedName name="WLd_Mtb">GIO!$G$28</definedName>
    <definedName name="WLn_H">GIO!$C$27</definedName>
    <definedName name="WLn_Mdb">GIO!$E$27</definedName>
    <definedName name="WLn_Mtb">GIO!$G$27</definedName>
    <definedName name="WSd_H_25">GIO!$E$18</definedName>
    <definedName name="WSd_H_V">GIO!$E$10</definedName>
    <definedName name="WSd_Mdb_25">GIO!$G$18</definedName>
    <definedName name="WSd_Mdb_V">GIO!$G$10</definedName>
    <definedName name="WSd_Mtb_25">GIO!$I$18</definedName>
    <definedName name="WSd_Mtb_V">GIO!$I$10</definedName>
    <definedName name="WSn_H_25">GIO!$E$17</definedName>
    <definedName name="WSn_H_V">GIO!$E$9</definedName>
    <definedName name="WSn_Mdb_25">GIO!$G$17</definedName>
    <definedName name="WSn_Mdb_V">GIO!$G$9</definedName>
    <definedName name="WSn_Mtb_25">GIO!$I$17</definedName>
    <definedName name="WSn_Mtb_V">GIO!$I$9</definedName>
    <definedName name="WSv_Mdb">GIO!$C$23</definedName>
    <definedName name="WSv_Mtb">GIO!$D$23</definedName>
    <definedName name="WSv_N">GIO!$C$22</definedName>
    <definedName name="xh1_">INPUT!$C$102</definedName>
    <definedName name="xh2_">INPUT!$C$103</definedName>
    <definedName name="xh3_">INPUT!$C$104</definedName>
    <definedName name="xh4_">INPUT!$C$105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0" i="11" l="1"/>
  <c r="D129" i="11"/>
  <c r="D132" i="11" s="1"/>
  <c r="C12" i="20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70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57" i="18"/>
  <c r="B56" i="18"/>
  <c r="B55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7" i="18"/>
  <c r="B6" i="18"/>
  <c r="K9" i="15"/>
  <c r="K8" i="15"/>
  <c r="K7" i="15"/>
  <c r="K130" i="14"/>
  <c r="J130" i="14"/>
  <c r="I130" i="14"/>
  <c r="H130" i="14"/>
  <c r="G130" i="14"/>
  <c r="F130" i="14"/>
  <c r="D130" i="14"/>
  <c r="C130" i="14"/>
  <c r="B130" i="14"/>
  <c r="K129" i="14"/>
  <c r="J129" i="14"/>
  <c r="I129" i="14"/>
  <c r="H129" i="14"/>
  <c r="G129" i="14"/>
  <c r="F129" i="14"/>
  <c r="D129" i="14"/>
  <c r="C129" i="14"/>
  <c r="B129" i="14"/>
  <c r="K128" i="14"/>
  <c r="J128" i="14"/>
  <c r="I128" i="14"/>
  <c r="H128" i="14"/>
  <c r="G128" i="14"/>
  <c r="F128" i="14"/>
  <c r="D128" i="14"/>
  <c r="C128" i="14"/>
  <c r="B128" i="14"/>
  <c r="K127" i="14"/>
  <c r="J127" i="14"/>
  <c r="I127" i="14"/>
  <c r="H127" i="14"/>
  <c r="G127" i="14"/>
  <c r="F127" i="14"/>
  <c r="D127" i="14"/>
  <c r="C127" i="14"/>
  <c r="B127" i="14"/>
  <c r="K126" i="14"/>
  <c r="J126" i="14"/>
  <c r="I126" i="14"/>
  <c r="H126" i="14"/>
  <c r="G126" i="14"/>
  <c r="F126" i="14"/>
  <c r="D126" i="14"/>
  <c r="C126" i="14"/>
  <c r="B126" i="14"/>
  <c r="K125" i="14"/>
  <c r="J125" i="14"/>
  <c r="I125" i="14"/>
  <c r="H125" i="14"/>
  <c r="G125" i="14"/>
  <c r="F125" i="14"/>
  <c r="D125" i="14"/>
  <c r="C125" i="14"/>
  <c r="B125" i="14"/>
  <c r="K124" i="14"/>
  <c r="J124" i="14"/>
  <c r="I124" i="14"/>
  <c r="H124" i="14"/>
  <c r="G124" i="14"/>
  <c r="F124" i="14"/>
  <c r="D124" i="14"/>
  <c r="C124" i="14"/>
  <c r="B124" i="14"/>
  <c r="K123" i="14"/>
  <c r="J123" i="14"/>
  <c r="I123" i="14"/>
  <c r="H123" i="14"/>
  <c r="G123" i="14"/>
  <c r="F123" i="14"/>
  <c r="D123" i="14"/>
  <c r="C123" i="14"/>
  <c r="B123" i="14"/>
  <c r="K122" i="14"/>
  <c r="J122" i="14"/>
  <c r="I122" i="14"/>
  <c r="H122" i="14"/>
  <c r="G122" i="14"/>
  <c r="F122" i="14"/>
  <c r="D122" i="14"/>
  <c r="C122" i="14"/>
  <c r="B122" i="14"/>
  <c r="K121" i="14"/>
  <c r="J121" i="14"/>
  <c r="I121" i="14"/>
  <c r="H121" i="14"/>
  <c r="G121" i="14"/>
  <c r="F121" i="14"/>
  <c r="D121" i="14"/>
  <c r="C121" i="14"/>
  <c r="B121" i="14"/>
  <c r="K120" i="14"/>
  <c r="J120" i="14"/>
  <c r="I120" i="14"/>
  <c r="H120" i="14"/>
  <c r="G120" i="14"/>
  <c r="F120" i="14"/>
  <c r="D120" i="14"/>
  <c r="C120" i="14"/>
  <c r="B120" i="14"/>
  <c r="K119" i="14"/>
  <c r="J119" i="14"/>
  <c r="I119" i="14"/>
  <c r="H119" i="14"/>
  <c r="G119" i="14"/>
  <c r="F119" i="14"/>
  <c r="D119" i="14"/>
  <c r="C119" i="14"/>
  <c r="B119" i="14"/>
  <c r="K118" i="14"/>
  <c r="J118" i="14"/>
  <c r="I118" i="14"/>
  <c r="H118" i="14"/>
  <c r="G118" i="14"/>
  <c r="F118" i="14"/>
  <c r="D118" i="14"/>
  <c r="C118" i="14"/>
  <c r="B118" i="14"/>
  <c r="K117" i="14"/>
  <c r="J117" i="14"/>
  <c r="I117" i="14"/>
  <c r="H117" i="14"/>
  <c r="G117" i="14"/>
  <c r="F117" i="14"/>
  <c r="D117" i="14"/>
  <c r="C117" i="14"/>
  <c r="B117" i="14"/>
  <c r="K116" i="14"/>
  <c r="J116" i="14"/>
  <c r="I116" i="14"/>
  <c r="H116" i="14"/>
  <c r="G116" i="14"/>
  <c r="F116" i="14"/>
  <c r="D116" i="14"/>
  <c r="C116" i="14"/>
  <c r="B116" i="14"/>
  <c r="K115" i="14"/>
  <c r="J115" i="14"/>
  <c r="I115" i="14"/>
  <c r="H115" i="14"/>
  <c r="G115" i="14"/>
  <c r="F115" i="14"/>
  <c r="D115" i="14"/>
  <c r="C115" i="14"/>
  <c r="B115" i="14"/>
  <c r="K114" i="14"/>
  <c r="J114" i="14"/>
  <c r="I114" i="14"/>
  <c r="H114" i="14"/>
  <c r="G114" i="14"/>
  <c r="F114" i="14"/>
  <c r="D114" i="14"/>
  <c r="C114" i="14"/>
  <c r="B114" i="14"/>
  <c r="K113" i="14"/>
  <c r="J113" i="14"/>
  <c r="I113" i="14"/>
  <c r="H113" i="14"/>
  <c r="G113" i="14"/>
  <c r="F113" i="14"/>
  <c r="D113" i="14"/>
  <c r="C113" i="14"/>
  <c r="B113" i="14"/>
  <c r="K112" i="14"/>
  <c r="J112" i="14"/>
  <c r="I112" i="14"/>
  <c r="H112" i="14"/>
  <c r="G112" i="14"/>
  <c r="F112" i="14"/>
  <c r="D112" i="14"/>
  <c r="C112" i="14"/>
  <c r="B112" i="14"/>
  <c r="K111" i="14"/>
  <c r="J111" i="14"/>
  <c r="I111" i="14"/>
  <c r="H111" i="14"/>
  <c r="G111" i="14"/>
  <c r="F111" i="14"/>
  <c r="D111" i="14"/>
  <c r="C111" i="14"/>
  <c r="B111" i="14"/>
  <c r="K110" i="14"/>
  <c r="J110" i="14"/>
  <c r="I110" i="14"/>
  <c r="H110" i="14"/>
  <c r="G110" i="14"/>
  <c r="F110" i="14"/>
  <c r="D110" i="14"/>
  <c r="C110" i="14"/>
  <c r="B110" i="14"/>
  <c r="K109" i="14"/>
  <c r="J109" i="14"/>
  <c r="I109" i="14"/>
  <c r="H109" i="14"/>
  <c r="G109" i="14"/>
  <c r="F109" i="14"/>
  <c r="D109" i="14"/>
  <c r="C109" i="14"/>
  <c r="B109" i="14"/>
  <c r="K108" i="14"/>
  <c r="J108" i="14"/>
  <c r="I108" i="14"/>
  <c r="H108" i="14"/>
  <c r="G108" i="14"/>
  <c r="F108" i="14"/>
  <c r="D108" i="14"/>
  <c r="C108" i="14"/>
  <c r="B108" i="14"/>
  <c r="K107" i="14"/>
  <c r="J107" i="14"/>
  <c r="I107" i="14"/>
  <c r="H107" i="14"/>
  <c r="G107" i="14"/>
  <c r="F107" i="14"/>
  <c r="D107" i="14"/>
  <c r="C107" i="14"/>
  <c r="B107" i="14"/>
  <c r="K106" i="14"/>
  <c r="J106" i="14"/>
  <c r="I106" i="14"/>
  <c r="H106" i="14"/>
  <c r="G106" i="14"/>
  <c r="F106" i="14"/>
  <c r="D106" i="14"/>
  <c r="C106" i="14"/>
  <c r="B106" i="14"/>
  <c r="K105" i="14"/>
  <c r="J105" i="14"/>
  <c r="I105" i="14"/>
  <c r="H105" i="14"/>
  <c r="G105" i="14"/>
  <c r="F105" i="14"/>
  <c r="D105" i="14"/>
  <c r="C105" i="14"/>
  <c r="B105" i="14"/>
  <c r="K104" i="14"/>
  <c r="J104" i="14"/>
  <c r="I104" i="14"/>
  <c r="H104" i="14"/>
  <c r="G104" i="14"/>
  <c r="F104" i="14"/>
  <c r="D104" i="14"/>
  <c r="C104" i="14"/>
  <c r="B104" i="14"/>
  <c r="K103" i="14"/>
  <c r="J103" i="14"/>
  <c r="I103" i="14"/>
  <c r="H103" i="14"/>
  <c r="G103" i="14"/>
  <c r="F103" i="14"/>
  <c r="D103" i="14"/>
  <c r="C103" i="14"/>
  <c r="B103" i="14"/>
  <c r="K102" i="14"/>
  <c r="J102" i="14"/>
  <c r="I102" i="14"/>
  <c r="H102" i="14"/>
  <c r="G102" i="14"/>
  <c r="F102" i="14"/>
  <c r="D102" i="14"/>
  <c r="C102" i="14"/>
  <c r="B102" i="14"/>
  <c r="K101" i="14"/>
  <c r="J101" i="14"/>
  <c r="I101" i="14"/>
  <c r="H101" i="14"/>
  <c r="G101" i="14"/>
  <c r="F101" i="14"/>
  <c r="D101" i="14"/>
  <c r="C101" i="14"/>
  <c r="B101" i="14"/>
  <c r="K100" i="14"/>
  <c r="J100" i="14"/>
  <c r="I100" i="14"/>
  <c r="H100" i="14"/>
  <c r="G100" i="14"/>
  <c r="F100" i="14"/>
  <c r="D100" i="14"/>
  <c r="C100" i="14"/>
  <c r="B100" i="14"/>
  <c r="K99" i="14"/>
  <c r="J99" i="14"/>
  <c r="I99" i="14"/>
  <c r="H99" i="14"/>
  <c r="G99" i="14"/>
  <c r="F99" i="14"/>
  <c r="D99" i="14"/>
  <c r="C99" i="14"/>
  <c r="B99" i="14"/>
  <c r="K98" i="14"/>
  <c r="J98" i="14"/>
  <c r="I98" i="14"/>
  <c r="H98" i="14"/>
  <c r="G98" i="14"/>
  <c r="F98" i="14"/>
  <c r="D98" i="14"/>
  <c r="C98" i="14"/>
  <c r="B98" i="14"/>
  <c r="K97" i="14"/>
  <c r="J97" i="14"/>
  <c r="I97" i="14"/>
  <c r="H97" i="14"/>
  <c r="G97" i="14"/>
  <c r="F97" i="14"/>
  <c r="D97" i="14"/>
  <c r="C97" i="14"/>
  <c r="B97" i="14"/>
  <c r="K96" i="14"/>
  <c r="J96" i="14"/>
  <c r="I96" i="14"/>
  <c r="H96" i="14"/>
  <c r="G96" i="14"/>
  <c r="F96" i="14"/>
  <c r="D96" i="14"/>
  <c r="C96" i="14"/>
  <c r="B96" i="14"/>
  <c r="K95" i="14"/>
  <c r="J95" i="14"/>
  <c r="I95" i="14"/>
  <c r="H95" i="14"/>
  <c r="G95" i="14"/>
  <c r="F95" i="14"/>
  <c r="D95" i="14"/>
  <c r="C95" i="14"/>
  <c r="B95" i="14"/>
  <c r="K94" i="14"/>
  <c r="J94" i="14"/>
  <c r="I94" i="14"/>
  <c r="H94" i="14"/>
  <c r="G94" i="14"/>
  <c r="F94" i="14"/>
  <c r="D94" i="14"/>
  <c r="C94" i="14"/>
  <c r="B94" i="14"/>
  <c r="K93" i="14"/>
  <c r="J93" i="14"/>
  <c r="I93" i="14"/>
  <c r="H93" i="14"/>
  <c r="G93" i="14"/>
  <c r="F93" i="14"/>
  <c r="D93" i="14"/>
  <c r="C93" i="14"/>
  <c r="B93" i="14"/>
  <c r="K92" i="14"/>
  <c r="J92" i="14"/>
  <c r="I92" i="14"/>
  <c r="H92" i="14"/>
  <c r="G92" i="14"/>
  <c r="F92" i="14"/>
  <c r="D92" i="14"/>
  <c r="C92" i="14"/>
  <c r="B92" i="14"/>
  <c r="K91" i="14"/>
  <c r="J91" i="14"/>
  <c r="I91" i="14"/>
  <c r="H91" i="14"/>
  <c r="G91" i="14"/>
  <c r="F91" i="14"/>
  <c r="D91" i="14"/>
  <c r="C91" i="14"/>
  <c r="B91" i="14"/>
  <c r="K90" i="14"/>
  <c r="J90" i="14"/>
  <c r="I90" i="14"/>
  <c r="H90" i="14"/>
  <c r="G90" i="14"/>
  <c r="F90" i="14"/>
  <c r="D90" i="14"/>
  <c r="C90" i="14"/>
  <c r="B90" i="14"/>
  <c r="K89" i="14"/>
  <c r="J89" i="14"/>
  <c r="I89" i="14"/>
  <c r="H89" i="14"/>
  <c r="G89" i="14"/>
  <c r="F89" i="14"/>
  <c r="D89" i="14"/>
  <c r="C89" i="14"/>
  <c r="B89" i="14"/>
  <c r="K88" i="14"/>
  <c r="J88" i="14"/>
  <c r="I88" i="14"/>
  <c r="H88" i="14"/>
  <c r="G88" i="14"/>
  <c r="F88" i="14"/>
  <c r="D88" i="14"/>
  <c r="C88" i="14"/>
  <c r="B88" i="14"/>
  <c r="K87" i="14"/>
  <c r="J87" i="14"/>
  <c r="I87" i="14"/>
  <c r="H87" i="14"/>
  <c r="G87" i="14"/>
  <c r="F87" i="14"/>
  <c r="D87" i="14"/>
  <c r="C87" i="14"/>
  <c r="B87" i="14"/>
  <c r="K86" i="14"/>
  <c r="J86" i="14"/>
  <c r="I86" i="14"/>
  <c r="H86" i="14"/>
  <c r="G86" i="14"/>
  <c r="F86" i="14"/>
  <c r="D86" i="14"/>
  <c r="C86" i="14"/>
  <c r="B86" i="14"/>
  <c r="K85" i="14"/>
  <c r="J85" i="14"/>
  <c r="I85" i="14"/>
  <c r="H85" i="14"/>
  <c r="G85" i="14"/>
  <c r="F85" i="14"/>
  <c r="D85" i="14"/>
  <c r="C85" i="14"/>
  <c r="B85" i="14"/>
  <c r="K84" i="14"/>
  <c r="J84" i="14"/>
  <c r="I84" i="14"/>
  <c r="H84" i="14"/>
  <c r="G84" i="14"/>
  <c r="F84" i="14"/>
  <c r="D84" i="14"/>
  <c r="C84" i="14"/>
  <c r="B84" i="14"/>
  <c r="K83" i="14"/>
  <c r="J83" i="14"/>
  <c r="I83" i="14"/>
  <c r="H83" i="14"/>
  <c r="G83" i="14"/>
  <c r="F83" i="14"/>
  <c r="D83" i="14"/>
  <c r="C83" i="14"/>
  <c r="B83" i="14"/>
  <c r="K82" i="14"/>
  <c r="J82" i="14"/>
  <c r="I82" i="14"/>
  <c r="H82" i="14"/>
  <c r="G82" i="14"/>
  <c r="F82" i="14"/>
  <c r="D82" i="14"/>
  <c r="C82" i="14"/>
  <c r="B82" i="14"/>
  <c r="K81" i="14"/>
  <c r="J81" i="14"/>
  <c r="I81" i="14"/>
  <c r="H81" i="14"/>
  <c r="G81" i="14"/>
  <c r="F81" i="14"/>
  <c r="D81" i="14"/>
  <c r="C81" i="14"/>
  <c r="B81" i="14"/>
  <c r="K80" i="14"/>
  <c r="J80" i="14"/>
  <c r="I80" i="14"/>
  <c r="H80" i="14"/>
  <c r="G80" i="14"/>
  <c r="F80" i="14"/>
  <c r="D80" i="14"/>
  <c r="C80" i="14"/>
  <c r="B80" i="14"/>
  <c r="K79" i="14"/>
  <c r="J79" i="14"/>
  <c r="I79" i="14"/>
  <c r="H79" i="14"/>
  <c r="G79" i="14"/>
  <c r="F79" i="14"/>
  <c r="D79" i="14"/>
  <c r="C79" i="14"/>
  <c r="B79" i="14"/>
  <c r="K78" i="14"/>
  <c r="J78" i="14"/>
  <c r="I78" i="14"/>
  <c r="H78" i="14"/>
  <c r="G78" i="14"/>
  <c r="F78" i="14"/>
  <c r="D78" i="14"/>
  <c r="C78" i="14"/>
  <c r="B78" i="14"/>
  <c r="K77" i="14"/>
  <c r="J77" i="14"/>
  <c r="I77" i="14"/>
  <c r="H77" i="14"/>
  <c r="G77" i="14"/>
  <c r="F77" i="14"/>
  <c r="D77" i="14"/>
  <c r="C77" i="14"/>
  <c r="B77" i="14"/>
  <c r="K76" i="14"/>
  <c r="J76" i="14"/>
  <c r="I76" i="14"/>
  <c r="H76" i="14"/>
  <c r="G76" i="14"/>
  <c r="F76" i="14"/>
  <c r="D76" i="14"/>
  <c r="C76" i="14"/>
  <c r="B76" i="14"/>
  <c r="K75" i="14"/>
  <c r="J75" i="14"/>
  <c r="I75" i="14"/>
  <c r="H75" i="14"/>
  <c r="G75" i="14"/>
  <c r="F75" i="14"/>
  <c r="D75" i="14"/>
  <c r="C75" i="14"/>
  <c r="B75" i="14"/>
  <c r="K74" i="14"/>
  <c r="J74" i="14"/>
  <c r="I74" i="14"/>
  <c r="H74" i="14"/>
  <c r="G74" i="14"/>
  <c r="F74" i="14"/>
  <c r="D74" i="14"/>
  <c r="C74" i="14"/>
  <c r="B74" i="14"/>
  <c r="K73" i="14"/>
  <c r="J73" i="14"/>
  <c r="I73" i="14"/>
  <c r="H73" i="14"/>
  <c r="G73" i="14"/>
  <c r="F73" i="14"/>
  <c r="D73" i="14"/>
  <c r="C73" i="14"/>
  <c r="B73" i="14"/>
  <c r="K72" i="14"/>
  <c r="J72" i="14"/>
  <c r="I72" i="14"/>
  <c r="H72" i="14"/>
  <c r="G72" i="14"/>
  <c r="F72" i="14"/>
  <c r="D72" i="14"/>
  <c r="C72" i="14"/>
  <c r="B72" i="14"/>
  <c r="K71" i="14"/>
  <c r="J71" i="14"/>
  <c r="I71" i="14"/>
  <c r="H71" i="14"/>
  <c r="G71" i="14"/>
  <c r="F71" i="14"/>
  <c r="D71" i="14"/>
  <c r="C71" i="14"/>
  <c r="B71" i="14"/>
  <c r="D46" i="13"/>
  <c r="D24" i="13"/>
  <c r="D15" i="13"/>
  <c r="D40" i="13" s="1"/>
  <c r="D14" i="13"/>
  <c r="D19" i="13" s="1"/>
  <c r="D5" i="13"/>
  <c r="D121" i="12"/>
  <c r="D99" i="12"/>
  <c r="D90" i="12"/>
  <c r="D95" i="12" s="1"/>
  <c r="D89" i="12"/>
  <c r="D122" i="12" s="1"/>
  <c r="D66" i="12"/>
  <c r="D44" i="12"/>
  <c r="D35" i="12"/>
  <c r="D34" i="12"/>
  <c r="B20" i="12"/>
  <c r="B19" i="12"/>
  <c r="B18" i="12"/>
  <c r="B17" i="12"/>
  <c r="B16" i="12"/>
  <c r="B15" i="12"/>
  <c r="B14" i="12"/>
  <c r="B13" i="12"/>
  <c r="D8" i="12"/>
  <c r="D7" i="12"/>
  <c r="D6" i="12"/>
  <c r="D20" i="12" s="1"/>
  <c r="D92" i="11"/>
  <c r="D70" i="11"/>
  <c r="D61" i="11"/>
  <c r="D60" i="11"/>
  <c r="D93" i="11" s="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E5" i="11"/>
  <c r="D5" i="11"/>
  <c r="D39" i="10"/>
  <c r="K13" i="15" s="1"/>
  <c r="D17" i="10"/>
  <c r="D8" i="10"/>
  <c r="D13" i="10" s="1"/>
  <c r="D7" i="10"/>
  <c r="K10" i="15" s="1"/>
  <c r="C66" i="9"/>
  <c r="C65" i="9"/>
  <c r="C64" i="9"/>
  <c r="C63" i="9"/>
  <c r="C62" i="9"/>
  <c r="C61" i="9"/>
  <c r="C60" i="9"/>
  <c r="C59" i="9"/>
  <c r="C58" i="9"/>
  <c r="C57" i="9"/>
  <c r="C56" i="9"/>
  <c r="B150" i="8"/>
  <c r="B149" i="8"/>
  <c r="B148" i="8"/>
  <c r="B147" i="8"/>
  <c r="B58" i="15" s="1"/>
  <c r="C58" i="15" s="1"/>
  <c r="B146" i="8"/>
  <c r="B145" i="8"/>
  <c r="B56" i="15" s="1"/>
  <c r="C56" i="15" s="1"/>
  <c r="B144" i="8"/>
  <c r="B55" i="15" s="1"/>
  <c r="C55" i="15" s="1"/>
  <c r="B143" i="8"/>
  <c r="B142" i="8"/>
  <c r="B53" i="15" s="1"/>
  <c r="C53" i="15" s="1"/>
  <c r="B141" i="8"/>
  <c r="B52" i="15" s="1"/>
  <c r="C52" i="15" s="1"/>
  <c r="B140" i="8"/>
  <c r="B139" i="8"/>
  <c r="B50" i="15" s="1"/>
  <c r="C50" i="15" s="1"/>
  <c r="B138" i="8"/>
  <c r="B49" i="15" s="1"/>
  <c r="C49" i="15" s="1"/>
  <c r="B137" i="8"/>
  <c r="B136" i="8"/>
  <c r="B47" i="15" s="1"/>
  <c r="C47" i="15" s="1"/>
  <c r="B135" i="8"/>
  <c r="B46" i="15" s="1"/>
  <c r="C46" i="15" s="1"/>
  <c r="B134" i="8"/>
  <c r="B133" i="8"/>
  <c r="B44" i="15" s="1"/>
  <c r="C44" i="15" s="1"/>
  <c r="B132" i="8"/>
  <c r="B43" i="15" s="1"/>
  <c r="C43" i="15" s="1"/>
  <c r="B131" i="8"/>
  <c r="B130" i="8"/>
  <c r="B41" i="15" s="1"/>
  <c r="C41" i="15" s="1"/>
  <c r="B129" i="8"/>
  <c r="B40" i="15" s="1"/>
  <c r="C40" i="15" s="1"/>
  <c r="B128" i="8"/>
  <c r="B127" i="8"/>
  <c r="B38" i="15" s="1"/>
  <c r="C38" i="15" s="1"/>
  <c r="B126" i="8"/>
  <c r="B37" i="15" s="1"/>
  <c r="C37" i="15" s="1"/>
  <c r="B125" i="8"/>
  <c r="B36" i="15" s="1"/>
  <c r="C36" i="15" s="1"/>
  <c r="B124" i="8"/>
  <c r="B35" i="15" s="1"/>
  <c r="C35" i="15" s="1"/>
  <c r="B123" i="8"/>
  <c r="B34" i="15" s="1"/>
  <c r="C34" i="15" s="1"/>
  <c r="B122" i="8"/>
  <c r="B33" i="15" s="1"/>
  <c r="C33" i="15" s="1"/>
  <c r="B121" i="8"/>
  <c r="B32" i="15" s="1"/>
  <c r="C32" i="15" s="1"/>
  <c r="B120" i="8"/>
  <c r="B31" i="15" s="1"/>
  <c r="C31" i="15" s="1"/>
  <c r="B119" i="8"/>
  <c r="B118" i="8"/>
  <c r="B29" i="15" s="1"/>
  <c r="C29" i="15" s="1"/>
  <c r="B117" i="8"/>
  <c r="B28" i="15" s="1"/>
  <c r="C28" i="15" s="1"/>
  <c r="B116" i="8"/>
  <c r="B27" i="15" s="1"/>
  <c r="C27" i="15" s="1"/>
  <c r="B115" i="8"/>
  <c r="B114" i="8"/>
  <c r="B25" i="15" s="1"/>
  <c r="C25" i="15" s="1"/>
  <c r="B113" i="8"/>
  <c r="B24" i="15" s="1"/>
  <c r="C24" i="15" s="1"/>
  <c r="B112" i="8"/>
  <c r="B23" i="15" s="1"/>
  <c r="C23" i="15" s="1"/>
  <c r="B111" i="8"/>
  <c r="B22" i="15" s="1"/>
  <c r="C22" i="15" s="1"/>
  <c r="B110" i="8"/>
  <c r="B109" i="8"/>
  <c r="B20" i="15" s="1"/>
  <c r="C20" i="15" s="1"/>
  <c r="B108" i="8"/>
  <c r="B19" i="15" s="1"/>
  <c r="C19" i="15" s="1"/>
  <c r="B107" i="8"/>
  <c r="B106" i="8"/>
  <c r="B17" i="15" s="1"/>
  <c r="C17" i="15" s="1"/>
  <c r="B105" i="8"/>
  <c r="AG51" i="8"/>
  <c r="AD51" i="8"/>
  <c r="AA51" i="8"/>
  <c r="Y51" i="8"/>
  <c r="U51" i="8"/>
  <c r="G51" i="8"/>
  <c r="F51" i="8"/>
  <c r="AH50" i="8"/>
  <c r="AF50" i="8"/>
  <c r="AE50" i="8"/>
  <c r="AC50" i="8"/>
  <c r="AB50" i="8"/>
  <c r="Z50" i="8"/>
  <c r="X50" i="8"/>
  <c r="W50" i="8"/>
  <c r="V50" i="8"/>
  <c r="T50" i="8"/>
  <c r="S50" i="8"/>
  <c r="R50" i="8"/>
  <c r="Q50" i="8"/>
  <c r="P50" i="8"/>
  <c r="O50" i="8"/>
  <c r="N50" i="8"/>
  <c r="G50" i="8"/>
  <c r="F50" i="8"/>
  <c r="E50" i="8"/>
  <c r="D50" i="8"/>
  <c r="C50" i="8"/>
  <c r="AH49" i="8"/>
  <c r="AG49" i="8"/>
  <c r="AF49" i="8"/>
  <c r="AE49" i="8"/>
  <c r="AD49" i="8"/>
  <c r="AB49" i="8"/>
  <c r="AA49" i="8"/>
  <c r="Z49" i="8"/>
  <c r="Y49" i="8"/>
  <c r="X49" i="8"/>
  <c r="W49" i="8"/>
  <c r="V49" i="8"/>
  <c r="U49" i="8"/>
  <c r="T49" i="8"/>
  <c r="G49" i="8"/>
  <c r="F49" i="8"/>
  <c r="AI48" i="8"/>
  <c r="AH48" i="8"/>
  <c r="AF48" i="8"/>
  <c r="AE48" i="8"/>
  <c r="AC48" i="8"/>
  <c r="AB48" i="8"/>
  <c r="Z48" i="8"/>
  <c r="X48" i="8"/>
  <c r="W48" i="8"/>
  <c r="V48" i="8"/>
  <c r="T48" i="8"/>
  <c r="S48" i="8"/>
  <c r="R48" i="8"/>
  <c r="Q48" i="8"/>
  <c r="P48" i="8"/>
  <c r="O48" i="8"/>
  <c r="N48" i="8"/>
  <c r="M48" i="8"/>
  <c r="L48" i="8"/>
  <c r="K48" i="8"/>
  <c r="J48" i="8"/>
  <c r="I48" i="8"/>
  <c r="H48" i="8"/>
  <c r="G48" i="8"/>
  <c r="F48" i="8"/>
  <c r="E48" i="8"/>
  <c r="D48" i="8"/>
  <c r="C48" i="8"/>
  <c r="AI47" i="8"/>
  <c r="AG47" i="8"/>
  <c r="AD47" i="8"/>
  <c r="AC47" i="8"/>
  <c r="AA47" i="8"/>
  <c r="Y47" i="8"/>
  <c r="U47" i="8"/>
  <c r="S47" i="8"/>
  <c r="R47" i="8"/>
  <c r="Q47" i="8"/>
  <c r="P47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AG46" i="8"/>
  <c r="AD46" i="8"/>
  <c r="AA46" i="8"/>
  <c r="Y46" i="8"/>
  <c r="U46" i="8"/>
  <c r="AH45" i="8"/>
  <c r="AF45" i="8"/>
  <c r="AE45" i="8"/>
  <c r="AC45" i="8"/>
  <c r="AB45" i="8"/>
  <c r="Z45" i="8"/>
  <c r="X45" i="8"/>
  <c r="W45" i="8"/>
  <c r="V45" i="8"/>
  <c r="T45" i="8"/>
  <c r="S45" i="8"/>
  <c r="R45" i="8"/>
  <c r="Q45" i="8"/>
  <c r="P45" i="8"/>
  <c r="O45" i="8"/>
  <c r="N45" i="8"/>
  <c r="G45" i="8"/>
  <c r="F45" i="8"/>
  <c r="E45" i="8"/>
  <c r="D45" i="8"/>
  <c r="C45" i="8"/>
  <c r="AH44" i="8"/>
  <c r="AG44" i="8"/>
  <c r="AF44" i="8"/>
  <c r="AE44" i="8"/>
  <c r="AD44" i="8"/>
  <c r="AB44" i="8"/>
  <c r="AA44" i="8"/>
  <c r="Z44" i="8"/>
  <c r="Y44" i="8"/>
  <c r="X44" i="8"/>
  <c r="W44" i="8"/>
  <c r="V44" i="8"/>
  <c r="U44" i="8"/>
  <c r="T44" i="8"/>
  <c r="AI43" i="8"/>
  <c r="AH43" i="8"/>
  <c r="AF43" i="8"/>
  <c r="AE43" i="8"/>
  <c r="AC43" i="8"/>
  <c r="AB43" i="8"/>
  <c r="Z43" i="8"/>
  <c r="X43" i="8"/>
  <c r="W43" i="8"/>
  <c r="V43" i="8"/>
  <c r="T43" i="8"/>
  <c r="S43" i="8"/>
  <c r="R43" i="8"/>
  <c r="Q43" i="8"/>
  <c r="P43" i="8"/>
  <c r="O43" i="8"/>
  <c r="N43" i="8"/>
  <c r="M43" i="8"/>
  <c r="L43" i="8"/>
  <c r="K43" i="8"/>
  <c r="J43" i="8"/>
  <c r="I43" i="8"/>
  <c r="H43" i="8"/>
  <c r="G43" i="8"/>
  <c r="F43" i="8"/>
  <c r="E43" i="8"/>
  <c r="D43" i="8"/>
  <c r="C43" i="8"/>
  <c r="AI42" i="8"/>
  <c r="AG42" i="8"/>
  <c r="AD42" i="8"/>
  <c r="AC42" i="8"/>
  <c r="AA42" i="8"/>
  <c r="Y42" i="8"/>
  <c r="U42" i="8"/>
  <c r="S42" i="8"/>
  <c r="R42" i="8"/>
  <c r="Q42" i="8"/>
  <c r="P42" i="8"/>
  <c r="O42" i="8"/>
  <c r="N42" i="8"/>
  <c r="M42" i="8"/>
  <c r="L42" i="8"/>
  <c r="K42" i="8"/>
  <c r="J42" i="8"/>
  <c r="I42" i="8"/>
  <c r="H42" i="8"/>
  <c r="G42" i="8"/>
  <c r="F42" i="8"/>
  <c r="E42" i="8"/>
  <c r="D42" i="8"/>
  <c r="C42" i="8"/>
  <c r="L38" i="8"/>
  <c r="AH51" i="8" s="1"/>
  <c r="H38" i="8"/>
  <c r="AH47" i="8" s="1"/>
  <c r="G38" i="8"/>
  <c r="AH46" i="8" s="1"/>
  <c r="C38" i="8"/>
  <c r="AH42" i="8" s="1"/>
  <c r="H24" i="8"/>
  <c r="T47" i="8" s="1"/>
  <c r="C24" i="8"/>
  <c r="T42" i="8" s="1"/>
  <c r="G21" i="7"/>
  <c r="E21" i="7"/>
  <c r="G20" i="7"/>
  <c r="E20" i="7"/>
  <c r="G19" i="7"/>
  <c r="E19" i="7"/>
  <c r="G18" i="7"/>
  <c r="E18" i="7"/>
  <c r="G17" i="7"/>
  <c r="E17" i="7"/>
  <c r="H16" i="7"/>
  <c r="G16" i="7"/>
  <c r="E16" i="7"/>
  <c r="G15" i="7"/>
  <c r="E15" i="7"/>
  <c r="C7" i="7"/>
  <c r="C6" i="7"/>
  <c r="C28" i="6"/>
  <c r="H35" i="8" s="1"/>
  <c r="AE47" i="8" s="1"/>
  <c r="F27" i="6"/>
  <c r="F28" i="6" s="1"/>
  <c r="D27" i="6"/>
  <c r="D28" i="6" s="1"/>
  <c r="C27" i="6"/>
  <c r="H16" i="6"/>
  <c r="F16" i="6"/>
  <c r="D16" i="6"/>
  <c r="C16" i="6"/>
  <c r="H15" i="6"/>
  <c r="F15" i="6"/>
  <c r="D15" i="6"/>
  <c r="C15" i="6"/>
  <c r="H8" i="6"/>
  <c r="F8" i="6"/>
  <c r="D8" i="6"/>
  <c r="C8" i="6"/>
  <c r="H7" i="6"/>
  <c r="F7" i="6"/>
  <c r="D7" i="6"/>
  <c r="C7" i="6"/>
  <c r="D19" i="5"/>
  <c r="C5" i="5"/>
  <c r="C6" i="5" s="1"/>
  <c r="C38" i="4"/>
  <c r="D39" i="4" s="1"/>
  <c r="K25" i="8" s="1"/>
  <c r="U50" i="8" s="1"/>
  <c r="C37" i="4"/>
  <c r="D34" i="4"/>
  <c r="L24" i="8" s="1"/>
  <c r="T51" i="8" s="1"/>
  <c r="C34" i="4"/>
  <c r="G24" i="8" s="1"/>
  <c r="T46" i="8" s="1"/>
  <c r="C33" i="4"/>
  <c r="B32" i="4"/>
  <c r="B31" i="4"/>
  <c r="B30" i="4"/>
  <c r="B29" i="4"/>
  <c r="B28" i="4"/>
  <c r="B27" i="4"/>
  <c r="I22" i="4"/>
  <c r="I21" i="4"/>
  <c r="I20" i="4"/>
  <c r="I19" i="4"/>
  <c r="I18" i="4"/>
  <c r="I17" i="4"/>
  <c r="D11" i="4"/>
  <c r="C11" i="4"/>
  <c r="D10" i="4"/>
  <c r="C10" i="4"/>
  <c r="D9" i="4"/>
  <c r="C9" i="4"/>
  <c r="D8" i="4"/>
  <c r="C8" i="4"/>
  <c r="D7" i="4"/>
  <c r="C7" i="4"/>
  <c r="F56" i="3"/>
  <c r="F55" i="3"/>
  <c r="F54" i="3"/>
  <c r="F53" i="3"/>
  <c r="F52" i="3"/>
  <c r="F51" i="3"/>
  <c r="F50" i="3"/>
  <c r="F49" i="3"/>
  <c r="C49" i="3"/>
  <c r="F48" i="3"/>
  <c r="D31" i="3"/>
  <c r="D28" i="3"/>
  <c r="D26" i="3"/>
  <c r="D25" i="3"/>
  <c r="C30" i="3" s="1"/>
  <c r="F19" i="3"/>
  <c r="D19" i="3"/>
  <c r="G14" i="3"/>
  <c r="E14" i="3"/>
  <c r="C14" i="3"/>
  <c r="D14" i="3" s="1"/>
  <c r="G13" i="3"/>
  <c r="E13" i="3"/>
  <c r="C13" i="3"/>
  <c r="D13" i="3" s="1"/>
  <c r="G12" i="3"/>
  <c r="E12" i="3"/>
  <c r="C12" i="3"/>
  <c r="D12" i="3" s="1"/>
  <c r="G11" i="3"/>
  <c r="E11" i="3"/>
  <c r="C11" i="3"/>
  <c r="D11" i="3" s="1"/>
  <c r="G10" i="3"/>
  <c r="E10" i="3"/>
  <c r="C10" i="3"/>
  <c r="D10" i="3" s="1"/>
  <c r="C19" i="7" s="1"/>
  <c r="G9" i="3"/>
  <c r="E9" i="3"/>
  <c r="C9" i="3"/>
  <c r="D9" i="3" s="1"/>
  <c r="E8" i="3"/>
  <c r="C8" i="3"/>
  <c r="D8" i="3" s="1"/>
  <c r="H7" i="3"/>
  <c r="G7" i="3"/>
  <c r="C7" i="3"/>
  <c r="D7" i="3" s="1"/>
  <c r="F7" i="3" s="1"/>
  <c r="C106" i="2"/>
  <c r="B63" i="9" s="1"/>
  <c r="F95" i="2"/>
  <c r="C26" i="7" s="1"/>
  <c r="C27" i="7" s="1"/>
  <c r="F92" i="2"/>
  <c r="K84" i="2"/>
  <c r="K86" i="2" s="1"/>
  <c r="F84" i="2" s="1"/>
  <c r="F83" i="2"/>
  <c r="F59" i="2"/>
  <c r="F58" i="2"/>
  <c r="F50" i="2"/>
  <c r="C11" i="5" s="1"/>
  <c r="E11" i="5" s="1"/>
  <c r="F49" i="2"/>
  <c r="C10" i="5" s="1"/>
  <c r="E10" i="5" s="1"/>
  <c r="F48" i="2"/>
  <c r="F13" i="2"/>
  <c r="C17" i="4" s="1"/>
  <c r="F8" i="2"/>
  <c r="E12" i="4" s="1"/>
  <c r="G19" i="4" l="1"/>
  <c r="D47" i="13"/>
  <c r="B45" i="9"/>
  <c r="I45" i="9" s="1"/>
  <c r="B18" i="4"/>
  <c r="C15" i="12"/>
  <c r="E15" i="12" s="1"/>
  <c r="D20" i="13"/>
  <c r="D36" i="13" s="1"/>
  <c r="H14" i="3"/>
  <c r="E15" i="6"/>
  <c r="G15" i="6" s="1"/>
  <c r="B59" i="9"/>
  <c r="E59" i="9" s="1"/>
  <c r="F10" i="3"/>
  <c r="H10" i="3"/>
  <c r="C27" i="4"/>
  <c r="D27" i="4" s="1"/>
  <c r="F8" i="3"/>
  <c r="F12" i="3"/>
  <c r="H11" i="3"/>
  <c r="C20" i="7"/>
  <c r="C20" i="4"/>
  <c r="D20" i="4" s="1"/>
  <c r="E16" i="6"/>
  <c r="I16" i="6" s="1"/>
  <c r="E58" i="3"/>
  <c r="F19" i="2" s="1"/>
  <c r="E21" i="3" s="1"/>
  <c r="L7" i="8" s="1"/>
  <c r="C51" i="8" s="1"/>
  <c r="F85" i="2"/>
  <c r="C22" i="6" s="1"/>
  <c r="J33" i="8" s="1"/>
  <c r="AC49" i="8" s="1"/>
  <c r="C32" i="4"/>
  <c r="C29" i="7"/>
  <c r="E29" i="7" s="1"/>
  <c r="D107" i="11"/>
  <c r="D110" i="11" s="1"/>
  <c r="D86" i="11"/>
  <c r="C22" i="4"/>
  <c r="I34" i="8"/>
  <c r="AD48" i="8" s="1"/>
  <c r="D34" i="8"/>
  <c r="AD43" i="8" s="1"/>
  <c r="C30" i="7"/>
  <c r="E30" i="7" s="1"/>
  <c r="B59" i="15"/>
  <c r="C59" i="15" s="1"/>
  <c r="K59" i="15" s="1"/>
  <c r="B49" i="9"/>
  <c r="C49" i="9" s="1"/>
  <c r="H12" i="3"/>
  <c r="D39" i="12"/>
  <c r="D45" i="12" s="1"/>
  <c r="D46" i="12" s="1"/>
  <c r="D67" i="12"/>
  <c r="D74" i="12" s="1"/>
  <c r="B61" i="15"/>
  <c r="C61" i="15" s="1"/>
  <c r="F61" i="15" s="1"/>
  <c r="B51" i="9"/>
  <c r="I51" i="9" s="1"/>
  <c r="B26" i="15"/>
  <c r="C26" i="15" s="1"/>
  <c r="Q26" i="15" s="1"/>
  <c r="B16" i="9"/>
  <c r="B13" i="9"/>
  <c r="E99" i="14"/>
  <c r="E81" i="14"/>
  <c r="C31" i="4"/>
  <c r="E31" i="4" s="1"/>
  <c r="B22" i="4"/>
  <c r="C30" i="4"/>
  <c r="D30" i="4" s="1"/>
  <c r="G21" i="4"/>
  <c r="B21" i="4"/>
  <c r="B19" i="4"/>
  <c r="F14" i="3"/>
  <c r="C19" i="4"/>
  <c r="D19" i="4" s="1"/>
  <c r="C29" i="4"/>
  <c r="D65" i="11"/>
  <c r="D71" i="11" s="1"/>
  <c r="D72" i="11" s="1"/>
  <c r="D94" i="12"/>
  <c r="D111" i="12" s="1"/>
  <c r="B97" i="9"/>
  <c r="D100" i="11"/>
  <c r="C27" i="3"/>
  <c r="C32" i="3" s="1"/>
  <c r="E10" i="8" s="1"/>
  <c r="F44" i="8" s="1"/>
  <c r="E59" i="3"/>
  <c r="F20" i="2" s="1"/>
  <c r="C22" i="3" s="1"/>
  <c r="D12" i="10"/>
  <c r="D29" i="10" s="1"/>
  <c r="B10" i="9"/>
  <c r="I10" i="9" s="1"/>
  <c r="D7" i="13"/>
  <c r="D6" i="13"/>
  <c r="D10" i="5"/>
  <c r="D11" i="5"/>
  <c r="H13" i="3"/>
  <c r="F13" i="3"/>
  <c r="E63" i="9"/>
  <c r="D63" i="9"/>
  <c r="H9" i="3"/>
  <c r="C18" i="7"/>
  <c r="D15" i="3"/>
  <c r="E9" i="8" s="1"/>
  <c r="E44" i="8" s="1"/>
  <c r="F9" i="3"/>
  <c r="H8" i="3"/>
  <c r="D22" i="4"/>
  <c r="G27" i="6"/>
  <c r="K34" i="8" s="1"/>
  <c r="AD50" i="8" s="1"/>
  <c r="E27" i="6"/>
  <c r="F34" i="8" s="1"/>
  <c r="AD45" i="8" s="1"/>
  <c r="D107" i="12"/>
  <c r="D25" i="10"/>
  <c r="D78" i="11"/>
  <c r="D52" i="12"/>
  <c r="D32" i="13"/>
  <c r="E11" i="4"/>
  <c r="F11" i="4" s="1"/>
  <c r="E8" i="4"/>
  <c r="F8" i="4" s="1"/>
  <c r="E9" i="4"/>
  <c r="F9" i="4" s="1"/>
  <c r="G18" i="4"/>
  <c r="C21" i="7"/>
  <c r="I25" i="8"/>
  <c r="U48" i="8" s="1"/>
  <c r="B21" i="15"/>
  <c r="C21" i="15" s="1"/>
  <c r="B11" i="9"/>
  <c r="G17" i="15"/>
  <c r="R17" i="15"/>
  <c r="F17" i="15"/>
  <c r="Q17" i="15"/>
  <c r="E17" i="15"/>
  <c r="P17" i="15"/>
  <c r="D17" i="15"/>
  <c r="O17" i="15"/>
  <c r="N17" i="15"/>
  <c r="M17" i="15"/>
  <c r="L17" i="15"/>
  <c r="K17" i="15"/>
  <c r="J17" i="15"/>
  <c r="I17" i="15"/>
  <c r="H17" i="15"/>
  <c r="N10" i="19"/>
  <c r="O10" i="19" s="1"/>
  <c r="P10" i="19" s="1"/>
  <c r="N6" i="19"/>
  <c r="O6" i="19" s="1"/>
  <c r="P6" i="19" s="1"/>
  <c r="N13" i="19"/>
  <c r="O13" i="19" s="1"/>
  <c r="P13" i="19" s="1"/>
  <c r="N9" i="19"/>
  <c r="O9" i="19" s="1"/>
  <c r="P9" i="19" s="1"/>
  <c r="N12" i="19"/>
  <c r="O12" i="19" s="1"/>
  <c r="P12" i="19" s="1"/>
  <c r="N8" i="19"/>
  <c r="O8" i="19" s="1"/>
  <c r="P8" i="19" s="1"/>
  <c r="N11" i="19"/>
  <c r="O11" i="19" s="1"/>
  <c r="P11" i="19" s="1"/>
  <c r="N7" i="19"/>
  <c r="O7" i="19" s="1"/>
  <c r="P7" i="19" s="1"/>
  <c r="C41" i="7"/>
  <c r="D41" i="7" s="1"/>
  <c r="E41" i="7" s="1"/>
  <c r="D17" i="4"/>
  <c r="C35" i="8"/>
  <c r="AE42" i="8" s="1"/>
  <c r="E28" i="6"/>
  <c r="G35" i="8" s="1"/>
  <c r="AE46" i="8" s="1"/>
  <c r="C16" i="7"/>
  <c r="F11" i="3"/>
  <c r="B89" i="9"/>
  <c r="C75" i="9"/>
  <c r="C72" i="9"/>
  <c r="C69" i="9"/>
  <c r="B98" i="9"/>
  <c r="B86" i="9"/>
  <c r="B95" i="9"/>
  <c r="B83" i="9"/>
  <c r="B92" i="9"/>
  <c r="B80" i="9"/>
  <c r="B73" i="9"/>
  <c r="B70" i="9"/>
  <c r="B67" i="9"/>
  <c r="B64" i="9"/>
  <c r="B61" i="9"/>
  <c r="B58" i="9"/>
  <c r="B96" i="9"/>
  <c r="B71" i="9"/>
  <c r="B94" i="9"/>
  <c r="B75" i="9"/>
  <c r="B93" i="9"/>
  <c r="C70" i="9"/>
  <c r="B66" i="9"/>
  <c r="B62" i="9"/>
  <c r="B91" i="9"/>
  <c r="C74" i="9"/>
  <c r="B90" i="9"/>
  <c r="B74" i="9"/>
  <c r="B88" i="9"/>
  <c r="B69" i="9"/>
  <c r="B65" i="9"/>
  <c r="B57" i="9"/>
  <c r="B87" i="9"/>
  <c r="C73" i="9"/>
  <c r="B85" i="9"/>
  <c r="C68" i="9"/>
  <c r="B84" i="9"/>
  <c r="B68" i="9"/>
  <c r="B60" i="9"/>
  <c r="B56" i="9"/>
  <c r="B82" i="9"/>
  <c r="B72" i="9"/>
  <c r="B99" i="9"/>
  <c r="B81" i="9"/>
  <c r="C67" i="9"/>
  <c r="G28" i="6"/>
  <c r="L35" i="8" s="1"/>
  <c r="AE51" i="8" s="1"/>
  <c r="B54" i="15"/>
  <c r="C54" i="15" s="1"/>
  <c r="B44" i="9"/>
  <c r="I13" i="9"/>
  <c r="C13" i="9"/>
  <c r="C39" i="4"/>
  <c r="F25" i="8" s="1"/>
  <c r="U45" i="8" s="1"/>
  <c r="B7" i="9"/>
  <c r="G17" i="4"/>
  <c r="C15" i="5"/>
  <c r="B18" i="15"/>
  <c r="C18" i="15" s="1"/>
  <c r="B8" i="9"/>
  <c r="D16" i="3"/>
  <c r="J9" i="8" s="1"/>
  <c r="E49" i="8" s="1"/>
  <c r="D25" i="8"/>
  <c r="U43" i="8" s="1"/>
  <c r="E7" i="4"/>
  <c r="F7" i="4" s="1"/>
  <c r="G20" i="4"/>
  <c r="C40" i="7"/>
  <c r="D40" i="7" s="1"/>
  <c r="E40" i="7" s="1"/>
  <c r="B42" i="15"/>
  <c r="C42" i="15" s="1"/>
  <c r="B32" i="9"/>
  <c r="I16" i="9"/>
  <c r="C16" i="9"/>
  <c r="B30" i="15"/>
  <c r="C30" i="15" s="1"/>
  <c r="B20" i="9"/>
  <c r="E10" i="4"/>
  <c r="F10" i="4" s="1"/>
  <c r="C16" i="5"/>
  <c r="C17" i="7"/>
  <c r="B16" i="15"/>
  <c r="C16" i="15" s="1"/>
  <c r="B6" i="9"/>
  <c r="C71" i="9"/>
  <c r="Q29" i="15"/>
  <c r="K29" i="15"/>
  <c r="Q41" i="15"/>
  <c r="K41" i="15"/>
  <c r="Q53" i="15"/>
  <c r="K53" i="15"/>
  <c r="B21" i="9"/>
  <c r="D129" i="12"/>
  <c r="K28" i="15"/>
  <c r="Q28" i="15"/>
  <c r="K40" i="15"/>
  <c r="Q40" i="15"/>
  <c r="K52" i="15"/>
  <c r="Q52" i="15"/>
  <c r="B26" i="9"/>
  <c r="E93" i="14"/>
  <c r="Q27" i="15"/>
  <c r="E27" i="15"/>
  <c r="P27" i="15"/>
  <c r="D27" i="15"/>
  <c r="O27" i="15"/>
  <c r="N27" i="15"/>
  <c r="M27" i="15"/>
  <c r="L27" i="15"/>
  <c r="K27" i="15"/>
  <c r="J27" i="15"/>
  <c r="I27" i="15"/>
  <c r="H27" i="15"/>
  <c r="G27" i="15"/>
  <c r="R27" i="15"/>
  <c r="F27" i="15"/>
  <c r="B39" i="15"/>
  <c r="C39" i="15" s="1"/>
  <c r="B29" i="9"/>
  <c r="B51" i="15"/>
  <c r="C51" i="15" s="1"/>
  <c r="B41" i="9"/>
  <c r="B18" i="9"/>
  <c r="B28" i="9"/>
  <c r="B30" i="9"/>
  <c r="B34" i="9"/>
  <c r="B36" i="9"/>
  <c r="B40" i="9"/>
  <c r="B42" i="9"/>
  <c r="B46" i="9"/>
  <c r="B48" i="9"/>
  <c r="D81" i="11"/>
  <c r="D55" i="12"/>
  <c r="D35" i="13"/>
  <c r="D110" i="12"/>
  <c r="D28" i="10"/>
  <c r="Q38" i="15"/>
  <c r="K38" i="15"/>
  <c r="K50" i="15"/>
  <c r="Q50" i="15"/>
  <c r="B9" i="9"/>
  <c r="B12" i="9"/>
  <c r="B15" i="9"/>
  <c r="B23" i="9"/>
  <c r="E105" i="14"/>
  <c r="O25" i="15"/>
  <c r="N25" i="15"/>
  <c r="M25" i="15"/>
  <c r="L25" i="15"/>
  <c r="K25" i="15"/>
  <c r="J25" i="15"/>
  <c r="I25" i="15"/>
  <c r="H25" i="15"/>
  <c r="G25" i="15"/>
  <c r="R25" i="15"/>
  <c r="F25" i="15"/>
  <c r="Q25" i="15"/>
  <c r="E25" i="15"/>
  <c r="P25" i="15"/>
  <c r="D25" i="15"/>
  <c r="K37" i="15"/>
  <c r="Q37" i="15"/>
  <c r="Q49" i="15"/>
  <c r="K49" i="15"/>
  <c r="D25" i="13"/>
  <c r="D26" i="13" s="1"/>
  <c r="E75" i="14"/>
  <c r="H24" i="15"/>
  <c r="G24" i="15"/>
  <c r="R24" i="15"/>
  <c r="F24" i="15"/>
  <c r="Q24" i="15"/>
  <c r="E24" i="15"/>
  <c r="P24" i="15"/>
  <c r="D24" i="15"/>
  <c r="O24" i="15"/>
  <c r="N24" i="15"/>
  <c r="M24" i="15"/>
  <c r="L24" i="15"/>
  <c r="K24" i="15"/>
  <c r="J24" i="15"/>
  <c r="I24" i="15"/>
  <c r="Q36" i="15"/>
  <c r="K36" i="15"/>
  <c r="B48" i="15"/>
  <c r="C48" i="15" s="1"/>
  <c r="B38" i="9"/>
  <c r="B60" i="15"/>
  <c r="C60" i="15" s="1"/>
  <c r="B50" i="9"/>
  <c r="B25" i="9"/>
  <c r="E117" i="14"/>
  <c r="B20" i="4"/>
  <c r="C21" i="4"/>
  <c r="D21" i="4" s="1"/>
  <c r="M23" i="15"/>
  <c r="L23" i="15"/>
  <c r="K23" i="15"/>
  <c r="J23" i="15"/>
  <c r="I23" i="15"/>
  <c r="H23" i="15"/>
  <c r="G23" i="15"/>
  <c r="R23" i="15"/>
  <c r="F23" i="15"/>
  <c r="Q23" i="15"/>
  <c r="E23" i="15"/>
  <c r="P23" i="15"/>
  <c r="D23" i="15"/>
  <c r="O23" i="15"/>
  <c r="N23" i="15"/>
  <c r="K35" i="15"/>
  <c r="Q35" i="15"/>
  <c r="K47" i="15"/>
  <c r="Q47" i="15"/>
  <c r="E87" i="14"/>
  <c r="R22" i="15"/>
  <c r="F22" i="15"/>
  <c r="Q22" i="15"/>
  <c r="E22" i="15"/>
  <c r="P22" i="15"/>
  <c r="D22" i="15"/>
  <c r="O22" i="15"/>
  <c r="N22" i="15"/>
  <c r="M22" i="15"/>
  <c r="L22" i="15"/>
  <c r="K22" i="15"/>
  <c r="J22" i="15"/>
  <c r="I22" i="15"/>
  <c r="H22" i="15"/>
  <c r="G22" i="15"/>
  <c r="Q34" i="15"/>
  <c r="K34" i="15"/>
  <c r="Q46" i="15"/>
  <c r="K46" i="15"/>
  <c r="Q58" i="15"/>
  <c r="K58" i="15"/>
  <c r="B14" i="9"/>
  <c r="B17" i="9"/>
  <c r="B22" i="9"/>
  <c r="K33" i="15"/>
  <c r="Q33" i="15"/>
  <c r="B45" i="15"/>
  <c r="C45" i="15" s="1"/>
  <c r="B35" i="9"/>
  <c r="B57" i="15"/>
  <c r="C57" i="15" s="1"/>
  <c r="B47" i="9"/>
  <c r="B27" i="9"/>
  <c r="B31" i="9"/>
  <c r="B33" i="9"/>
  <c r="B37" i="9"/>
  <c r="B39" i="9"/>
  <c r="B43" i="9"/>
  <c r="A242" i="17"/>
  <c r="B311" i="15" s="1"/>
  <c r="A230" i="17"/>
  <c r="B299" i="15" s="1"/>
  <c r="A218" i="17"/>
  <c r="B287" i="15" s="1"/>
  <c r="A206" i="17"/>
  <c r="B275" i="15" s="1"/>
  <c r="A194" i="17"/>
  <c r="B263" i="15" s="1"/>
  <c r="A182" i="17"/>
  <c r="B251" i="15" s="1"/>
  <c r="A243" i="17"/>
  <c r="B312" i="15" s="1"/>
  <c r="A231" i="17"/>
  <c r="B300" i="15" s="1"/>
  <c r="A219" i="17"/>
  <c r="B288" i="15" s="1"/>
  <c r="A207" i="17"/>
  <c r="B276" i="15" s="1"/>
  <c r="A232" i="17"/>
  <c r="B301" i="15" s="1"/>
  <c r="A220" i="17"/>
  <c r="B289" i="15" s="1"/>
  <c r="A208" i="17"/>
  <c r="B277" i="15" s="1"/>
  <c r="A233" i="17"/>
  <c r="B302" i="15" s="1"/>
  <c r="A234" i="17"/>
  <c r="B303" i="15" s="1"/>
  <c r="A222" i="17"/>
  <c r="B291" i="15" s="1"/>
  <c r="A210" i="17"/>
  <c r="B279" i="15" s="1"/>
  <c r="A198" i="17"/>
  <c r="B267" i="15" s="1"/>
  <c r="A235" i="17"/>
  <c r="B304" i="15" s="1"/>
  <c r="A223" i="17"/>
  <c r="B292" i="15" s="1"/>
  <c r="A211" i="17"/>
  <c r="B280" i="15" s="1"/>
  <c r="A236" i="17"/>
  <c r="B305" i="15" s="1"/>
  <c r="A224" i="17"/>
  <c r="B293" i="15" s="1"/>
  <c r="A237" i="17"/>
  <c r="B306" i="15" s="1"/>
  <c r="A225" i="17"/>
  <c r="B294" i="15" s="1"/>
  <c r="A213" i="17"/>
  <c r="B282" i="15" s="1"/>
  <c r="A238" i="17"/>
  <c r="B307" i="15" s="1"/>
  <c r="A226" i="17"/>
  <c r="B295" i="15" s="1"/>
  <c r="A214" i="17"/>
  <c r="B283" i="15" s="1"/>
  <c r="A202" i="17"/>
  <c r="B271" i="15" s="1"/>
  <c r="A239" i="17"/>
  <c r="B308" i="15" s="1"/>
  <c r="A227" i="17"/>
  <c r="B296" i="15" s="1"/>
  <c r="A240" i="17"/>
  <c r="B309" i="15" s="1"/>
  <c r="A228" i="17"/>
  <c r="B297" i="15" s="1"/>
  <c r="A212" i="17"/>
  <c r="B281" i="15" s="1"/>
  <c r="A179" i="17"/>
  <c r="B248" i="15" s="1"/>
  <c r="A173" i="17"/>
  <c r="B242" i="15" s="1"/>
  <c r="A162" i="17"/>
  <c r="B231" i="15" s="1"/>
  <c r="A150" i="17"/>
  <c r="B219" i="15" s="1"/>
  <c r="A138" i="17"/>
  <c r="B207" i="15" s="1"/>
  <c r="A126" i="17"/>
  <c r="B195" i="15" s="1"/>
  <c r="A114" i="17"/>
  <c r="B183" i="15" s="1"/>
  <c r="A183" i="15" s="1"/>
  <c r="A102" i="17"/>
  <c r="B171" i="15" s="1"/>
  <c r="A171" i="15" s="1"/>
  <c r="A205" i="17"/>
  <c r="B274" i="15" s="1"/>
  <c r="A192" i="17"/>
  <c r="B261" i="15" s="1"/>
  <c r="A186" i="17"/>
  <c r="B255" i="15" s="1"/>
  <c r="A163" i="17"/>
  <c r="B232" i="15" s="1"/>
  <c r="A151" i="17"/>
  <c r="B220" i="15" s="1"/>
  <c r="A139" i="17"/>
  <c r="B208" i="15" s="1"/>
  <c r="C208" i="15" s="1"/>
  <c r="A127" i="17"/>
  <c r="B196" i="15" s="1"/>
  <c r="A115" i="17"/>
  <c r="B184" i="15" s="1"/>
  <c r="A103" i="17"/>
  <c r="B172" i="15" s="1"/>
  <c r="A172" i="15" s="1"/>
  <c r="A217" i="17"/>
  <c r="B286" i="15" s="1"/>
  <c r="A209" i="17"/>
  <c r="B278" i="15" s="1"/>
  <c r="A180" i="17"/>
  <c r="B249" i="15" s="1"/>
  <c r="A174" i="17"/>
  <c r="B243" i="15" s="1"/>
  <c r="A164" i="17"/>
  <c r="B233" i="15" s="1"/>
  <c r="A152" i="17"/>
  <c r="B221" i="15" s="1"/>
  <c r="A140" i="17"/>
  <c r="B209" i="15" s="1"/>
  <c r="A128" i="17"/>
  <c r="B197" i="15" s="1"/>
  <c r="A199" i="17"/>
  <c r="B268" i="15" s="1"/>
  <c r="A193" i="17"/>
  <c r="B262" i="15" s="1"/>
  <c r="A187" i="17"/>
  <c r="B256" i="15" s="1"/>
  <c r="A165" i="17"/>
  <c r="B234" i="15" s="1"/>
  <c r="A153" i="17"/>
  <c r="B222" i="15" s="1"/>
  <c r="A222" i="15" s="1"/>
  <c r="A141" i="17"/>
  <c r="B210" i="15" s="1"/>
  <c r="A181" i="17"/>
  <c r="B250" i="15" s="1"/>
  <c r="A175" i="17"/>
  <c r="B244" i="15" s="1"/>
  <c r="A166" i="17"/>
  <c r="B235" i="15" s="1"/>
  <c r="A235" i="15" s="1"/>
  <c r="A154" i="17"/>
  <c r="B223" i="15" s="1"/>
  <c r="A142" i="17"/>
  <c r="B211" i="15" s="1"/>
  <c r="A130" i="17"/>
  <c r="B199" i="15" s="1"/>
  <c r="A118" i="17"/>
  <c r="B187" i="15" s="1"/>
  <c r="A187" i="15" s="1"/>
  <c r="A188" i="17"/>
  <c r="B257" i="15" s="1"/>
  <c r="A167" i="17"/>
  <c r="B236" i="15" s="1"/>
  <c r="A155" i="17"/>
  <c r="B224" i="15" s="1"/>
  <c r="C224" i="15" s="1"/>
  <c r="A216" i="17"/>
  <c r="B285" i="15" s="1"/>
  <c r="A285" i="15" s="1"/>
  <c r="A204" i="17"/>
  <c r="B273" i="15" s="1"/>
  <c r="A195" i="17"/>
  <c r="B264" i="15" s="1"/>
  <c r="A176" i="17"/>
  <c r="B245" i="15" s="1"/>
  <c r="A168" i="17"/>
  <c r="B237" i="15" s="1"/>
  <c r="A156" i="17"/>
  <c r="B225" i="15" s="1"/>
  <c r="A144" i="17"/>
  <c r="B213" i="15" s="1"/>
  <c r="A132" i="17"/>
  <c r="B201" i="15" s="1"/>
  <c r="A229" i="17"/>
  <c r="B298" i="15" s="1"/>
  <c r="A200" i="17"/>
  <c r="B269" i="15" s="1"/>
  <c r="A189" i="17"/>
  <c r="B258" i="15" s="1"/>
  <c r="A183" i="17"/>
  <c r="B252" i="15" s="1"/>
  <c r="A169" i="17"/>
  <c r="B238" i="15" s="1"/>
  <c r="A157" i="17"/>
  <c r="B226" i="15" s="1"/>
  <c r="A241" i="17"/>
  <c r="B310" i="15" s="1"/>
  <c r="A221" i="17"/>
  <c r="B290" i="15" s="1"/>
  <c r="A196" i="17"/>
  <c r="B265" i="15" s="1"/>
  <c r="A177" i="17"/>
  <c r="B246" i="15" s="1"/>
  <c r="A170" i="17"/>
  <c r="B239" i="15" s="1"/>
  <c r="A158" i="17"/>
  <c r="B227" i="15" s="1"/>
  <c r="A190" i="17"/>
  <c r="B259" i="15" s="1"/>
  <c r="A184" i="17"/>
  <c r="B253" i="15" s="1"/>
  <c r="A171" i="17"/>
  <c r="B240" i="15" s="1"/>
  <c r="A159" i="17"/>
  <c r="B228" i="15" s="1"/>
  <c r="A215" i="17"/>
  <c r="B284" i="15" s="1"/>
  <c r="A197" i="17"/>
  <c r="B266" i="15" s="1"/>
  <c r="A178" i="17"/>
  <c r="B247" i="15" s="1"/>
  <c r="A172" i="17"/>
  <c r="B241" i="15" s="1"/>
  <c r="A160" i="17"/>
  <c r="B229" i="15" s="1"/>
  <c r="A203" i="17"/>
  <c r="B272" i="15" s="1"/>
  <c r="A90" i="17"/>
  <c r="B159" i="15" s="1"/>
  <c r="A78" i="17"/>
  <c r="B147" i="15" s="1"/>
  <c r="A66" i="17"/>
  <c r="B135" i="15" s="1"/>
  <c r="A54" i="17"/>
  <c r="B123" i="15" s="1"/>
  <c r="C123" i="15" s="1"/>
  <c r="D123" i="15" s="1"/>
  <c r="A42" i="17"/>
  <c r="B111" i="15" s="1"/>
  <c r="A30" i="17"/>
  <c r="B99" i="15" s="1"/>
  <c r="A201" i="17"/>
  <c r="B270" i="15" s="1"/>
  <c r="A149" i="17"/>
  <c r="B218" i="15" s="1"/>
  <c r="A101" i="17"/>
  <c r="B170" i="15" s="1"/>
  <c r="A97" i="17"/>
  <c r="B166" i="15" s="1"/>
  <c r="A91" i="17"/>
  <c r="B160" i="15" s="1"/>
  <c r="A79" i="17"/>
  <c r="B148" i="15" s="1"/>
  <c r="A67" i="17"/>
  <c r="B136" i="15" s="1"/>
  <c r="A55" i="17"/>
  <c r="B124" i="15" s="1"/>
  <c r="A43" i="17"/>
  <c r="B112" i="15" s="1"/>
  <c r="A112" i="15" s="1"/>
  <c r="A185" i="17"/>
  <c r="B254" i="15" s="1"/>
  <c r="A125" i="17"/>
  <c r="B194" i="15" s="1"/>
  <c r="C194" i="15" s="1"/>
  <c r="O194" i="15" s="1"/>
  <c r="A123" i="17"/>
  <c r="B192" i="15" s="1"/>
  <c r="C192" i="15" s="1"/>
  <c r="A121" i="17"/>
  <c r="B190" i="15" s="1"/>
  <c r="C190" i="15" s="1"/>
  <c r="O190" i="15" s="1"/>
  <c r="A110" i="17"/>
  <c r="B179" i="15" s="1"/>
  <c r="A179" i="15" s="1"/>
  <c r="A106" i="17"/>
  <c r="B175" i="15" s="1"/>
  <c r="A80" i="17"/>
  <c r="B149" i="15" s="1"/>
  <c r="A149" i="15" s="1"/>
  <c r="A68" i="17"/>
  <c r="B137" i="15" s="1"/>
  <c r="A56" i="17"/>
  <c r="B125" i="15" s="1"/>
  <c r="A136" i="17"/>
  <c r="B205" i="15" s="1"/>
  <c r="A134" i="17"/>
  <c r="B203" i="15" s="1"/>
  <c r="A92" i="17"/>
  <c r="B161" i="15" s="1"/>
  <c r="A81" i="17"/>
  <c r="B150" i="15" s="1"/>
  <c r="A146" i="17"/>
  <c r="B215" i="15" s="1"/>
  <c r="A98" i="17"/>
  <c r="B167" i="15" s="1"/>
  <c r="A82" i="17"/>
  <c r="B151" i="15" s="1"/>
  <c r="A70" i="17"/>
  <c r="B139" i="15" s="1"/>
  <c r="A58" i="17"/>
  <c r="B127" i="15" s="1"/>
  <c r="A119" i="17"/>
  <c r="B188" i="15" s="1"/>
  <c r="A111" i="17"/>
  <c r="B180" i="15" s="1"/>
  <c r="A107" i="17"/>
  <c r="B176" i="15" s="1"/>
  <c r="A93" i="17"/>
  <c r="B162" i="15" s="1"/>
  <c r="A83" i="17"/>
  <c r="B152" i="15" s="1"/>
  <c r="A71" i="17"/>
  <c r="B140" i="15" s="1"/>
  <c r="A59" i="17"/>
  <c r="B128" i="15" s="1"/>
  <c r="A128" i="15" s="1"/>
  <c r="A47" i="17"/>
  <c r="B116" i="15" s="1"/>
  <c r="A116" i="15" s="1"/>
  <c r="A148" i="17"/>
  <c r="B217" i="15" s="1"/>
  <c r="A116" i="17"/>
  <c r="B185" i="15" s="1"/>
  <c r="C185" i="15" s="1"/>
  <c r="N185" i="15" s="1"/>
  <c r="A99" i="17"/>
  <c r="B168" i="15" s="1"/>
  <c r="A168" i="15" s="1"/>
  <c r="A94" i="17"/>
  <c r="B163" i="15" s="1"/>
  <c r="A85" i="17"/>
  <c r="B154" i="15" s="1"/>
  <c r="A143" i="17"/>
  <c r="B212" i="15" s="1"/>
  <c r="A124" i="17"/>
  <c r="B193" i="15" s="1"/>
  <c r="C193" i="15" s="1"/>
  <c r="F193" i="15" s="1"/>
  <c r="A122" i="17"/>
  <c r="B191" i="15" s="1"/>
  <c r="A112" i="17"/>
  <c r="B181" i="15" s="1"/>
  <c r="A108" i="17"/>
  <c r="B177" i="15" s="1"/>
  <c r="A104" i="17"/>
  <c r="B173" i="15" s="1"/>
  <c r="A191" i="17"/>
  <c r="B260" i="15" s="1"/>
  <c r="A145" i="17"/>
  <c r="B214" i="15" s="1"/>
  <c r="A137" i="17"/>
  <c r="B206" i="15" s="1"/>
  <c r="A135" i="17"/>
  <c r="B204" i="15" s="1"/>
  <c r="A133" i="17"/>
  <c r="B202" i="15" s="1"/>
  <c r="A120" i="17"/>
  <c r="B189" i="15" s="1"/>
  <c r="A131" i="17"/>
  <c r="B200" i="15" s="1"/>
  <c r="A117" i="17"/>
  <c r="B186" i="15" s="1"/>
  <c r="A113" i="17"/>
  <c r="B182" i="15" s="1"/>
  <c r="A105" i="17"/>
  <c r="B174" i="15" s="1"/>
  <c r="A44" i="17"/>
  <c r="B113" i="15" s="1"/>
  <c r="A26" i="17"/>
  <c r="B95" i="15" s="1"/>
  <c r="A20" i="17"/>
  <c r="B89" i="15" s="1"/>
  <c r="A89" i="15" s="1"/>
  <c r="A8" i="17"/>
  <c r="B77" i="15" s="1"/>
  <c r="A77" i="15" s="1"/>
  <c r="A161" i="17"/>
  <c r="B230" i="15" s="1"/>
  <c r="C230" i="15" s="1"/>
  <c r="O230" i="15" s="1"/>
  <c r="A129" i="17"/>
  <c r="B198" i="15" s="1"/>
  <c r="C198" i="15" s="1"/>
  <c r="O198" i="15" s="1"/>
  <c r="A89" i="17"/>
  <c r="B158" i="15" s="1"/>
  <c r="A69" i="17"/>
  <c r="B138" i="15" s="1"/>
  <c r="A39" i="17"/>
  <c r="B108" i="15" s="1"/>
  <c r="A108" i="15" s="1"/>
  <c r="A33" i="17"/>
  <c r="B102" i="15" s="1"/>
  <c r="A102" i="15" s="1"/>
  <c r="A9" i="17"/>
  <c r="B78" i="15" s="1"/>
  <c r="A27" i="17"/>
  <c r="B96" i="15" s="1"/>
  <c r="A21" i="17"/>
  <c r="B90" i="15" s="1"/>
  <c r="A90" i="15" s="1"/>
  <c r="A10" i="17"/>
  <c r="B79" i="15" s="1"/>
  <c r="A79" i="15" s="1"/>
  <c r="A44" i="16"/>
  <c r="A41" i="16"/>
  <c r="A38" i="16"/>
  <c r="A35" i="16"/>
  <c r="A32" i="16"/>
  <c r="A29" i="16"/>
  <c r="A26" i="16"/>
  <c r="A23" i="16"/>
  <c r="A20" i="16"/>
  <c r="A17" i="16"/>
  <c r="A14" i="16"/>
  <c r="A88" i="17"/>
  <c r="B157" i="15" s="1"/>
  <c r="A52" i="17"/>
  <c r="B121" i="15" s="1"/>
  <c r="A50" i="17"/>
  <c r="B119" i="15" s="1"/>
  <c r="C119" i="15" s="1"/>
  <c r="G119" i="15" s="1"/>
  <c r="A48" i="17"/>
  <c r="B117" i="15" s="1"/>
  <c r="A45" i="17"/>
  <c r="B114" i="15" s="1"/>
  <c r="A114" i="15" s="1"/>
  <c r="A40" i="17"/>
  <c r="B109" i="15" s="1"/>
  <c r="C109" i="15" s="1"/>
  <c r="A34" i="17"/>
  <c r="B103" i="15" s="1"/>
  <c r="A103" i="15" s="1"/>
  <c r="A11" i="17"/>
  <c r="B80" i="15" s="1"/>
  <c r="A80" i="15" s="1"/>
  <c r="A147" i="17"/>
  <c r="B216" i="15" s="1"/>
  <c r="A65" i="17"/>
  <c r="B134" i="15" s="1"/>
  <c r="A63" i="17"/>
  <c r="B132" i="15" s="1"/>
  <c r="C132" i="15" s="1"/>
  <c r="A61" i="17"/>
  <c r="B130" i="15" s="1"/>
  <c r="C130" i="15" s="1"/>
  <c r="A28" i="17"/>
  <c r="B97" i="15" s="1"/>
  <c r="A22" i="17"/>
  <c r="B91" i="15" s="1"/>
  <c r="A91" i="15" s="1"/>
  <c r="A12" i="17"/>
  <c r="B81" i="15" s="1"/>
  <c r="A81" i="15" s="1"/>
  <c r="A87" i="17"/>
  <c r="B156" i="15" s="1"/>
  <c r="A76" i="17"/>
  <c r="B145" i="15" s="1"/>
  <c r="A74" i="17"/>
  <c r="B143" i="15" s="1"/>
  <c r="A72" i="17"/>
  <c r="B141" i="15" s="1"/>
  <c r="A41" i="17"/>
  <c r="B110" i="15" s="1"/>
  <c r="A110" i="15" s="1"/>
  <c r="A35" i="17"/>
  <c r="B104" i="15" s="1"/>
  <c r="A104" i="15" s="1"/>
  <c r="A13" i="17"/>
  <c r="B82" i="15" s="1"/>
  <c r="A109" i="17"/>
  <c r="B178" i="15" s="1"/>
  <c r="A84" i="17"/>
  <c r="B153" i="15" s="1"/>
  <c r="A57" i="17"/>
  <c r="B126" i="15" s="1"/>
  <c r="A126" i="15" s="1"/>
  <c r="A46" i="17"/>
  <c r="B115" i="15" s="1"/>
  <c r="A29" i="17"/>
  <c r="B98" i="15" s="1"/>
  <c r="A98" i="15" s="1"/>
  <c r="A23" i="17"/>
  <c r="B92" i="15" s="1"/>
  <c r="A92" i="15" s="1"/>
  <c r="A14" i="17"/>
  <c r="B83" i="15" s="1"/>
  <c r="A83" i="15" s="1"/>
  <c r="A45" i="16"/>
  <c r="A42" i="16"/>
  <c r="A39" i="16"/>
  <c r="A36" i="16"/>
  <c r="A33" i="16"/>
  <c r="A30" i="16"/>
  <c r="A27" i="16"/>
  <c r="A24" i="16"/>
  <c r="A21" i="16"/>
  <c r="A18" i="16"/>
  <c r="A15" i="16"/>
  <c r="A12" i="16"/>
  <c r="A96" i="17"/>
  <c r="B165" i="15" s="1"/>
  <c r="A36" i="17"/>
  <c r="B105" i="15" s="1"/>
  <c r="A15" i="17"/>
  <c r="B84" i="15" s="1"/>
  <c r="A84" i="15" s="1"/>
  <c r="A95" i="17"/>
  <c r="B164" i="15" s="1"/>
  <c r="A164" i="15" s="1"/>
  <c r="A24" i="17"/>
  <c r="B93" i="15" s="1"/>
  <c r="A16" i="17"/>
  <c r="B85" i="15" s="1"/>
  <c r="A85" i="15" s="1"/>
  <c r="A100" i="17"/>
  <c r="B169" i="15" s="1"/>
  <c r="A86" i="17"/>
  <c r="B155" i="15" s="1"/>
  <c r="A53" i="17"/>
  <c r="B122" i="15" s="1"/>
  <c r="A122" i="15" s="1"/>
  <c r="A51" i="17"/>
  <c r="B120" i="15" s="1"/>
  <c r="A120" i="15" s="1"/>
  <c r="A49" i="17"/>
  <c r="B118" i="15" s="1"/>
  <c r="A118" i="15" s="1"/>
  <c r="A37" i="17"/>
  <c r="B106" i="15" s="1"/>
  <c r="A31" i="17"/>
  <c r="B100" i="15" s="1"/>
  <c r="A100" i="15" s="1"/>
  <c r="A17" i="17"/>
  <c r="B86" i="15" s="1"/>
  <c r="A86" i="15" s="1"/>
  <c r="A64" i="17"/>
  <c r="B133" i="15" s="1"/>
  <c r="A62" i="17"/>
  <c r="B131" i="15" s="1"/>
  <c r="C131" i="15" s="1"/>
  <c r="A60" i="17"/>
  <c r="B129" i="15" s="1"/>
  <c r="A25" i="17"/>
  <c r="B94" i="15" s="1"/>
  <c r="A18" i="17"/>
  <c r="B87" i="15" s="1"/>
  <c r="C87" i="15" s="1"/>
  <c r="A19" i="17"/>
  <c r="B88" i="15" s="1"/>
  <c r="A88" i="15" s="1"/>
  <c r="A32" i="17"/>
  <c r="B101" i="15" s="1"/>
  <c r="A37" i="16"/>
  <c r="A40" i="16"/>
  <c r="E130" i="14"/>
  <c r="A9" i="16"/>
  <c r="A7" i="17"/>
  <c r="B76" i="15" s="1"/>
  <c r="A76" i="15" s="1"/>
  <c r="A43" i="16"/>
  <c r="A25" i="16"/>
  <c r="A22" i="16"/>
  <c r="A19" i="16"/>
  <c r="A11" i="16"/>
  <c r="A7" i="16"/>
  <c r="A16" i="16"/>
  <c r="A28" i="16"/>
  <c r="E126" i="14"/>
  <c r="E120" i="14"/>
  <c r="A38" i="17"/>
  <c r="B107" i="15" s="1"/>
  <c r="A6" i="17"/>
  <c r="B75" i="15" s="1"/>
  <c r="A75" i="15" s="1"/>
  <c r="A13" i="16"/>
  <c r="A77" i="17"/>
  <c r="B146" i="15" s="1"/>
  <c r="A31" i="16"/>
  <c r="A75" i="17"/>
  <c r="B144" i="15" s="1"/>
  <c r="A8" i="16"/>
  <c r="A6" i="16"/>
  <c r="A73" i="17"/>
  <c r="B142" i="15" s="1"/>
  <c r="A34" i="16"/>
  <c r="A10" i="16"/>
  <c r="E123" i="14"/>
  <c r="E129" i="14"/>
  <c r="E118" i="14"/>
  <c r="E112" i="14"/>
  <c r="E106" i="14"/>
  <c r="E100" i="14"/>
  <c r="E94" i="14"/>
  <c r="E88" i="14"/>
  <c r="E82" i="14"/>
  <c r="E76" i="14"/>
  <c r="E124" i="14"/>
  <c r="E119" i="14"/>
  <c r="E113" i="14"/>
  <c r="E107" i="14"/>
  <c r="E101" i="14"/>
  <c r="E95" i="14"/>
  <c r="E89" i="14"/>
  <c r="E83" i="14"/>
  <c r="E77" i="14"/>
  <c r="E71" i="14"/>
  <c r="E125" i="14"/>
  <c r="E114" i="14"/>
  <c r="E108" i="14"/>
  <c r="E102" i="14"/>
  <c r="E96" i="14"/>
  <c r="E90" i="14"/>
  <c r="E84" i="14"/>
  <c r="E78" i="14"/>
  <c r="E72" i="14"/>
  <c r="E115" i="14"/>
  <c r="E109" i="14"/>
  <c r="E103" i="14"/>
  <c r="E97" i="14"/>
  <c r="E91" i="14"/>
  <c r="E85" i="14"/>
  <c r="E79" i="14"/>
  <c r="E73" i="14"/>
  <c r="E121" i="14"/>
  <c r="E127" i="14"/>
  <c r="E116" i="14"/>
  <c r="E110" i="14"/>
  <c r="E104" i="14"/>
  <c r="E98" i="14"/>
  <c r="E92" i="14"/>
  <c r="E86" i="14"/>
  <c r="E80" i="14"/>
  <c r="E74" i="14"/>
  <c r="E122" i="14"/>
  <c r="B17" i="4"/>
  <c r="C18" i="4"/>
  <c r="D18" i="4" s="1"/>
  <c r="G22" i="4"/>
  <c r="C28" i="4"/>
  <c r="P20" i="15"/>
  <c r="D20" i="15"/>
  <c r="O20" i="15"/>
  <c r="N20" i="15"/>
  <c r="M20" i="15"/>
  <c r="L20" i="15"/>
  <c r="K20" i="15"/>
  <c r="J20" i="15"/>
  <c r="I20" i="15"/>
  <c r="H20" i="15"/>
  <c r="G20" i="15"/>
  <c r="R20" i="15"/>
  <c r="F20" i="15"/>
  <c r="Q20" i="15"/>
  <c r="E20" i="15"/>
  <c r="K32" i="15"/>
  <c r="Q32" i="15"/>
  <c r="K44" i="15"/>
  <c r="Q44" i="15"/>
  <c r="K56" i="15"/>
  <c r="Q56" i="15"/>
  <c r="B19" i="9"/>
  <c r="E128" i="14"/>
  <c r="I19" i="15"/>
  <c r="H19" i="15"/>
  <c r="G19" i="15"/>
  <c r="R19" i="15"/>
  <c r="F19" i="15"/>
  <c r="Q19" i="15"/>
  <c r="E19" i="15"/>
  <c r="P19" i="15"/>
  <c r="D19" i="15"/>
  <c r="O19" i="15"/>
  <c r="N19" i="15"/>
  <c r="M19" i="15"/>
  <c r="L19" i="15"/>
  <c r="K19" i="15"/>
  <c r="J19" i="15"/>
  <c r="Q31" i="15"/>
  <c r="K31" i="15"/>
  <c r="K43" i="15"/>
  <c r="Q43" i="15"/>
  <c r="K55" i="15"/>
  <c r="Q55" i="15"/>
  <c r="B24" i="9"/>
  <c r="D60" i="12"/>
  <c r="D81" i="12"/>
  <c r="D84" i="12" s="1"/>
  <c r="D40" i="12"/>
  <c r="D54" i="13"/>
  <c r="E111" i="14"/>
  <c r="D54" i="10"/>
  <c r="D57" i="10" s="1"/>
  <c r="D15" i="12"/>
  <c r="D136" i="12"/>
  <c r="D139" i="12" s="1"/>
  <c r="C16" i="12"/>
  <c r="E16" i="12" s="1"/>
  <c r="D16" i="12"/>
  <c r="D61" i="13"/>
  <c r="D64" i="13" s="1"/>
  <c r="D66" i="11"/>
  <c r="D75" i="11" s="1"/>
  <c r="C17" i="12"/>
  <c r="E17" i="12" s="1"/>
  <c r="D17" i="12"/>
  <c r="D33" i="10"/>
  <c r="D9" i="12"/>
  <c r="I17" i="12" s="1"/>
  <c r="C18" i="12"/>
  <c r="E18" i="12" s="1"/>
  <c r="D115" i="12"/>
  <c r="D18" i="12"/>
  <c r="C13" i="12"/>
  <c r="E13" i="12" s="1"/>
  <c r="C19" i="12"/>
  <c r="E19" i="12" s="1"/>
  <c r="D13" i="12"/>
  <c r="D19" i="12"/>
  <c r="D40" i="10"/>
  <c r="K14" i="15" s="1"/>
  <c r="C14" i="12"/>
  <c r="E14" i="12" s="1"/>
  <c r="C20" i="12"/>
  <c r="E20" i="12" s="1"/>
  <c r="D14" i="12"/>
  <c r="A87" i="15" l="1"/>
  <c r="A109" i="15"/>
  <c r="C126" i="15"/>
  <c r="C149" i="15"/>
  <c r="A130" i="15"/>
  <c r="C103" i="15"/>
  <c r="A131" i="15"/>
  <c r="A119" i="15"/>
  <c r="C75" i="15"/>
  <c r="C79" i="15"/>
  <c r="D79" i="15" s="1"/>
  <c r="I193" i="15"/>
  <c r="C112" i="15"/>
  <c r="H112" i="15" s="1"/>
  <c r="F119" i="15"/>
  <c r="R198" i="15"/>
  <c r="C45" i="9"/>
  <c r="E119" i="15"/>
  <c r="C235" i="15"/>
  <c r="A132" i="15"/>
  <c r="R119" i="15"/>
  <c r="C92" i="15"/>
  <c r="C77" i="15"/>
  <c r="C108" i="15"/>
  <c r="P108" i="15" s="1"/>
  <c r="Q185" i="15"/>
  <c r="C168" i="15"/>
  <c r="J168" i="15" s="1"/>
  <c r="M198" i="15"/>
  <c r="R190" i="15"/>
  <c r="I198" i="15"/>
  <c r="G16" i="6"/>
  <c r="D27" i="13"/>
  <c r="D28" i="13" s="1"/>
  <c r="A124" i="15"/>
  <c r="C124" i="15"/>
  <c r="A197" i="15"/>
  <c r="C197" i="15"/>
  <c r="A248" i="15"/>
  <c r="C248" i="15"/>
  <c r="P248" i="15" s="1"/>
  <c r="A306" i="15"/>
  <c r="C306" i="15"/>
  <c r="C289" i="15"/>
  <c r="A289" i="15"/>
  <c r="A174" i="15"/>
  <c r="C174" i="15"/>
  <c r="A147" i="15"/>
  <c r="C147" i="15"/>
  <c r="A82" i="15"/>
  <c r="C82" i="15"/>
  <c r="A162" i="15"/>
  <c r="C162" i="15"/>
  <c r="E162" i="15" s="1"/>
  <c r="A213" i="15"/>
  <c r="C213" i="15"/>
  <c r="C232" i="15"/>
  <c r="A232" i="15"/>
  <c r="C301" i="15"/>
  <c r="A301" i="15"/>
  <c r="Q59" i="15"/>
  <c r="A178" i="15"/>
  <c r="C178" i="15"/>
  <c r="C199" i="15"/>
  <c r="A199" i="15"/>
  <c r="A129" i="15"/>
  <c r="C129" i="15"/>
  <c r="A134" i="15"/>
  <c r="C134" i="15"/>
  <c r="A211" i="15"/>
  <c r="C211" i="15"/>
  <c r="A94" i="15"/>
  <c r="C94" i="15"/>
  <c r="A181" i="15"/>
  <c r="C181" i="15"/>
  <c r="A227" i="15"/>
  <c r="C227" i="15"/>
  <c r="C191" i="15"/>
  <c r="A191" i="15"/>
  <c r="A239" i="15"/>
  <c r="C239" i="15"/>
  <c r="A78" i="15"/>
  <c r="C78" i="15"/>
  <c r="A159" i="15"/>
  <c r="C159" i="15"/>
  <c r="A293" i="15"/>
  <c r="C293" i="15"/>
  <c r="C85" i="15"/>
  <c r="A144" i="15"/>
  <c r="C144" i="15"/>
  <c r="A96" i="15"/>
  <c r="C96" i="15"/>
  <c r="N96" i="15" s="1"/>
  <c r="C152" i="15"/>
  <c r="A152" i="15"/>
  <c r="A201" i="15"/>
  <c r="C201" i="15"/>
  <c r="A136" i="15"/>
  <c r="C136" i="15"/>
  <c r="A209" i="15"/>
  <c r="C209" i="15"/>
  <c r="A203" i="15"/>
  <c r="C203" i="15"/>
  <c r="A220" i="15"/>
  <c r="C220" i="15"/>
  <c r="D220" i="15" s="1"/>
  <c r="A93" i="15"/>
  <c r="C93" i="15"/>
  <c r="C182" i="15"/>
  <c r="A182" i="15"/>
  <c r="A205" i="15"/>
  <c r="C205" i="15"/>
  <c r="C281" i="15"/>
  <c r="A281" i="15"/>
  <c r="A246" i="15"/>
  <c r="C246" i="15"/>
  <c r="A255" i="15"/>
  <c r="C255" i="15"/>
  <c r="H255" i="15" s="1"/>
  <c r="A133" i="15"/>
  <c r="C133" i="15"/>
  <c r="C200" i="15"/>
  <c r="A200" i="15"/>
  <c r="C212" i="15"/>
  <c r="A212" i="15"/>
  <c r="A180" i="15"/>
  <c r="C180" i="15"/>
  <c r="A137" i="15"/>
  <c r="C137" i="15"/>
  <c r="A160" i="15"/>
  <c r="C160" i="15"/>
  <c r="C229" i="15"/>
  <c r="A229" i="15"/>
  <c r="A265" i="15"/>
  <c r="C265" i="15"/>
  <c r="A237" i="15"/>
  <c r="C237" i="15"/>
  <c r="A233" i="15"/>
  <c r="C233" i="15"/>
  <c r="C261" i="15"/>
  <c r="A261" i="15"/>
  <c r="A309" i="15"/>
  <c r="C309" i="15"/>
  <c r="P309" i="15" s="1"/>
  <c r="A280" i="15"/>
  <c r="C280" i="15"/>
  <c r="A288" i="15"/>
  <c r="C288" i="15"/>
  <c r="C76" i="15"/>
  <c r="C91" i="15"/>
  <c r="C116" i="15"/>
  <c r="C88" i="15"/>
  <c r="A123" i="15"/>
  <c r="Q119" i="15"/>
  <c r="M123" i="15"/>
  <c r="C171" i="15"/>
  <c r="J171" i="15" s="1"/>
  <c r="F190" i="15"/>
  <c r="A224" i="15"/>
  <c r="H198" i="15"/>
  <c r="C297" i="15"/>
  <c r="A297" i="15"/>
  <c r="A105" i="15"/>
  <c r="C105" i="15"/>
  <c r="A141" i="15"/>
  <c r="C141" i="15"/>
  <c r="A138" i="15"/>
  <c r="C138" i="15"/>
  <c r="C189" i="15"/>
  <c r="A189" i="15"/>
  <c r="A154" i="15"/>
  <c r="C154" i="15"/>
  <c r="C188" i="15"/>
  <c r="A188" i="15"/>
  <c r="A166" i="15"/>
  <c r="C166" i="15"/>
  <c r="A241" i="15"/>
  <c r="C241" i="15"/>
  <c r="A290" i="15"/>
  <c r="C290" i="15"/>
  <c r="C245" i="15"/>
  <c r="A245" i="15"/>
  <c r="A244" i="15"/>
  <c r="C244" i="15"/>
  <c r="C243" i="15"/>
  <c r="A243" i="15"/>
  <c r="A274" i="15"/>
  <c r="C274" i="15"/>
  <c r="A296" i="15"/>
  <c r="C296" i="15"/>
  <c r="P296" i="15" s="1"/>
  <c r="A292" i="15"/>
  <c r="C292" i="15"/>
  <c r="A300" i="15"/>
  <c r="C300" i="15"/>
  <c r="C81" i="15"/>
  <c r="H81" i="15" s="1"/>
  <c r="I119" i="15"/>
  <c r="L123" i="15"/>
  <c r="G230" i="15"/>
  <c r="C285" i="15"/>
  <c r="A146" i="15"/>
  <c r="C146" i="15"/>
  <c r="A176" i="15"/>
  <c r="C176" i="15"/>
  <c r="A221" i="15"/>
  <c r="C221" i="15"/>
  <c r="A107" i="15"/>
  <c r="C107" i="15"/>
  <c r="A165" i="15"/>
  <c r="C165" i="15"/>
  <c r="A143" i="15"/>
  <c r="C143" i="15"/>
  <c r="A158" i="15"/>
  <c r="C158" i="15"/>
  <c r="C202" i="15"/>
  <c r="A202" i="15"/>
  <c r="C163" i="15"/>
  <c r="A163" i="15"/>
  <c r="C127" i="15"/>
  <c r="A127" i="15"/>
  <c r="A175" i="15"/>
  <c r="C175" i="15"/>
  <c r="A170" i="15"/>
  <c r="C170" i="15"/>
  <c r="A247" i="15"/>
  <c r="C247" i="15"/>
  <c r="A310" i="15"/>
  <c r="C310" i="15"/>
  <c r="A264" i="15"/>
  <c r="C264" i="15"/>
  <c r="C250" i="15"/>
  <c r="A250" i="15"/>
  <c r="A249" i="15"/>
  <c r="C249" i="15"/>
  <c r="A308" i="15"/>
  <c r="C308" i="15"/>
  <c r="A304" i="15"/>
  <c r="C304" i="15"/>
  <c r="A312" i="15"/>
  <c r="C312" i="15"/>
  <c r="C80" i="15"/>
  <c r="N80" i="15" s="1"/>
  <c r="C120" i="15"/>
  <c r="I120" i="15" s="1"/>
  <c r="C110" i="15"/>
  <c r="J123" i="15"/>
  <c r="M194" i="15"/>
  <c r="A230" i="15"/>
  <c r="C186" i="15"/>
  <c r="A186" i="15"/>
  <c r="A148" i="15"/>
  <c r="C148" i="15"/>
  <c r="A276" i="15"/>
  <c r="C276" i="15"/>
  <c r="R75" i="15"/>
  <c r="F75" i="15"/>
  <c r="E75" i="15"/>
  <c r="D75" i="15"/>
  <c r="F15" i="12"/>
  <c r="G15" i="12" s="1"/>
  <c r="A106" i="15"/>
  <c r="C106" i="15"/>
  <c r="A145" i="15"/>
  <c r="C145" i="15"/>
  <c r="D198" i="15"/>
  <c r="J198" i="15"/>
  <c r="K198" i="15"/>
  <c r="L198" i="15"/>
  <c r="Q198" i="15"/>
  <c r="E198" i="15"/>
  <c r="F198" i="15"/>
  <c r="G198" i="15"/>
  <c r="C204" i="15"/>
  <c r="A204" i="15"/>
  <c r="A139" i="15"/>
  <c r="C139" i="15"/>
  <c r="C218" i="15"/>
  <c r="A218" i="15"/>
  <c r="C266" i="15"/>
  <c r="A266" i="15"/>
  <c r="A226" i="15"/>
  <c r="C226" i="15"/>
  <c r="A273" i="15"/>
  <c r="C273" i="15"/>
  <c r="C210" i="15"/>
  <c r="A210" i="15"/>
  <c r="C278" i="15"/>
  <c r="A278" i="15"/>
  <c r="A271" i="15"/>
  <c r="C271" i="15"/>
  <c r="A267" i="15"/>
  <c r="C267" i="15"/>
  <c r="A251" i="15"/>
  <c r="C251" i="15"/>
  <c r="J75" i="15"/>
  <c r="C98" i="15"/>
  <c r="C114" i="15"/>
  <c r="F123" i="15"/>
  <c r="C89" i="15"/>
  <c r="A185" i="15"/>
  <c r="C179" i="15"/>
  <c r="C216" i="15"/>
  <c r="A216" i="15"/>
  <c r="A125" i="15"/>
  <c r="C125" i="15"/>
  <c r="C305" i="15"/>
  <c r="A305" i="15"/>
  <c r="A156" i="15"/>
  <c r="C156" i="15"/>
  <c r="C117" i="15"/>
  <c r="A117" i="15"/>
  <c r="K230" i="15"/>
  <c r="L230" i="15"/>
  <c r="N230" i="15"/>
  <c r="P230" i="15"/>
  <c r="R230" i="15"/>
  <c r="D230" i="15"/>
  <c r="E230" i="15"/>
  <c r="F230" i="15"/>
  <c r="H230" i="15"/>
  <c r="I230" i="15"/>
  <c r="J230" i="15"/>
  <c r="Q230" i="15"/>
  <c r="M230" i="15"/>
  <c r="C206" i="15"/>
  <c r="A206" i="15"/>
  <c r="K185" i="15"/>
  <c r="O185" i="15"/>
  <c r="P185" i="15"/>
  <c r="M185" i="15"/>
  <c r="R185" i="15"/>
  <c r="E185" i="15"/>
  <c r="J185" i="15"/>
  <c r="I185" i="15"/>
  <c r="L185" i="15"/>
  <c r="D185" i="15"/>
  <c r="A151" i="15"/>
  <c r="C151" i="15"/>
  <c r="G190" i="15"/>
  <c r="K190" i="15"/>
  <c r="L190" i="15"/>
  <c r="Q190" i="15"/>
  <c r="D190" i="15"/>
  <c r="E190" i="15"/>
  <c r="I190" i="15"/>
  <c r="J190" i="15"/>
  <c r="H190" i="15"/>
  <c r="M190" i="15"/>
  <c r="A270" i="15"/>
  <c r="C270" i="15"/>
  <c r="H270" i="15" s="1"/>
  <c r="C284" i="15"/>
  <c r="A284" i="15"/>
  <c r="C238" i="15"/>
  <c r="A238" i="15"/>
  <c r="A286" i="15"/>
  <c r="C286" i="15"/>
  <c r="A195" i="15"/>
  <c r="C195" i="15"/>
  <c r="A283" i="15"/>
  <c r="C283" i="15"/>
  <c r="A279" i="15"/>
  <c r="C279" i="15"/>
  <c r="A263" i="15"/>
  <c r="C263" i="15"/>
  <c r="F263" i="15" s="1"/>
  <c r="H15" i="12"/>
  <c r="G75" i="15"/>
  <c r="C84" i="15"/>
  <c r="I84" i="15" s="1"/>
  <c r="C100" i="15"/>
  <c r="E123" i="15"/>
  <c r="A192" i="15"/>
  <c r="A223" i="15"/>
  <c r="C223" i="15"/>
  <c r="K119" i="15"/>
  <c r="N119" i="15"/>
  <c r="P119" i="15"/>
  <c r="O119" i="15"/>
  <c r="L119" i="15"/>
  <c r="D119" i="15"/>
  <c r="C214" i="15"/>
  <c r="A214" i="15"/>
  <c r="A217" i="15"/>
  <c r="C217" i="15"/>
  <c r="A167" i="15"/>
  <c r="C167" i="15"/>
  <c r="D192" i="15"/>
  <c r="P192" i="15"/>
  <c r="L192" i="15"/>
  <c r="N192" i="15"/>
  <c r="O192" i="15"/>
  <c r="F192" i="15"/>
  <c r="K192" i="15"/>
  <c r="J192" i="15"/>
  <c r="R192" i="15"/>
  <c r="G192" i="15"/>
  <c r="H192" i="15"/>
  <c r="I192" i="15"/>
  <c r="M192" i="15"/>
  <c r="E192" i="15"/>
  <c r="A99" i="15"/>
  <c r="C99" i="15"/>
  <c r="C228" i="15"/>
  <c r="A228" i="15"/>
  <c r="A252" i="15"/>
  <c r="C252" i="15"/>
  <c r="K224" i="15"/>
  <c r="I224" i="15"/>
  <c r="L224" i="15"/>
  <c r="M224" i="15"/>
  <c r="N224" i="15"/>
  <c r="E224" i="15"/>
  <c r="F224" i="15"/>
  <c r="G224" i="15"/>
  <c r="H224" i="15"/>
  <c r="O224" i="15"/>
  <c r="R224" i="15"/>
  <c r="J224" i="15"/>
  <c r="P224" i="15"/>
  <c r="C234" i="15"/>
  <c r="A234" i="15"/>
  <c r="C207" i="15"/>
  <c r="A207" i="15"/>
  <c r="A295" i="15"/>
  <c r="C295" i="15"/>
  <c r="A291" i="15"/>
  <c r="C291" i="15"/>
  <c r="A275" i="15"/>
  <c r="C275" i="15"/>
  <c r="K75" i="15"/>
  <c r="C86" i="15"/>
  <c r="C102" i="15"/>
  <c r="C118" i="15"/>
  <c r="R123" i="15"/>
  <c r="A190" i="15"/>
  <c r="Q192" i="15"/>
  <c r="A193" i="15"/>
  <c r="A198" i="15"/>
  <c r="C215" i="15"/>
  <c r="A215" i="15"/>
  <c r="G194" i="15"/>
  <c r="H194" i="15"/>
  <c r="I194" i="15"/>
  <c r="J194" i="15"/>
  <c r="K194" i="15"/>
  <c r="L194" i="15"/>
  <c r="Q194" i="15"/>
  <c r="R194" i="15"/>
  <c r="D194" i="15"/>
  <c r="E194" i="15"/>
  <c r="F194" i="15"/>
  <c r="C111" i="15"/>
  <c r="A111" i="15"/>
  <c r="C240" i="15"/>
  <c r="A240" i="15"/>
  <c r="C258" i="15"/>
  <c r="A258" i="15"/>
  <c r="C236" i="15"/>
  <c r="A236" i="15"/>
  <c r="A256" i="15"/>
  <c r="C256" i="15"/>
  <c r="L256" i="15" s="1"/>
  <c r="C184" i="15"/>
  <c r="A184" i="15"/>
  <c r="A219" i="15"/>
  <c r="C219" i="15"/>
  <c r="A307" i="15"/>
  <c r="C307" i="15"/>
  <c r="A303" i="15"/>
  <c r="C303" i="15"/>
  <c r="A287" i="15"/>
  <c r="C287" i="15"/>
  <c r="L75" i="15"/>
  <c r="C83" i="15"/>
  <c r="H83" i="15" s="1"/>
  <c r="C128" i="15"/>
  <c r="J128" i="15" s="1"/>
  <c r="C90" i="15"/>
  <c r="R90" i="15" s="1"/>
  <c r="M119" i="15"/>
  <c r="C172" i="15"/>
  <c r="G172" i="15" s="1"/>
  <c r="N190" i="15"/>
  <c r="P190" i="15"/>
  <c r="C183" i="15"/>
  <c r="N198" i="15"/>
  <c r="P198" i="15"/>
  <c r="H185" i="15"/>
  <c r="C222" i="15"/>
  <c r="G222" i="15" s="1"/>
  <c r="A272" i="15"/>
  <c r="C272" i="15"/>
  <c r="A142" i="15"/>
  <c r="C142" i="15"/>
  <c r="C115" i="15"/>
  <c r="A115" i="15"/>
  <c r="A155" i="15"/>
  <c r="C155" i="15"/>
  <c r="A97" i="15"/>
  <c r="C97" i="15"/>
  <c r="A157" i="15"/>
  <c r="C157" i="15"/>
  <c r="A95" i="15"/>
  <c r="C95" i="15"/>
  <c r="A173" i="15"/>
  <c r="C173" i="15"/>
  <c r="A150" i="15"/>
  <c r="C150" i="15"/>
  <c r="A254" i="15"/>
  <c r="C254" i="15"/>
  <c r="N123" i="15"/>
  <c r="K123" i="15"/>
  <c r="O123" i="15"/>
  <c r="P123" i="15"/>
  <c r="H123" i="15"/>
  <c r="I123" i="15"/>
  <c r="C253" i="15"/>
  <c r="A253" i="15"/>
  <c r="C269" i="15"/>
  <c r="A269" i="15"/>
  <c r="A257" i="15"/>
  <c r="C257" i="15"/>
  <c r="C262" i="15"/>
  <c r="A262" i="15"/>
  <c r="C196" i="15"/>
  <c r="A196" i="15"/>
  <c r="A231" i="15"/>
  <c r="C231" i="15"/>
  <c r="C282" i="15"/>
  <c r="A282" i="15"/>
  <c r="A302" i="15"/>
  <c r="C302" i="15"/>
  <c r="A299" i="15"/>
  <c r="C299" i="15"/>
  <c r="D30" i="7"/>
  <c r="F30" i="7" s="1"/>
  <c r="M75" i="15"/>
  <c r="C122" i="15"/>
  <c r="J119" i="15"/>
  <c r="Q123" i="15"/>
  <c r="N194" i="15"/>
  <c r="A194" i="15"/>
  <c r="C187" i="15"/>
  <c r="Q224" i="15"/>
  <c r="G185" i="15"/>
  <c r="G193" i="15"/>
  <c r="H193" i="15"/>
  <c r="K193" i="15"/>
  <c r="M193" i="15"/>
  <c r="N193" i="15"/>
  <c r="O193" i="15"/>
  <c r="P193" i="15"/>
  <c r="L193" i="15"/>
  <c r="Q193" i="15"/>
  <c r="D193" i="15"/>
  <c r="R193" i="15"/>
  <c r="J193" i="15"/>
  <c r="A225" i="15"/>
  <c r="C225" i="15"/>
  <c r="A101" i="15"/>
  <c r="C101" i="15"/>
  <c r="A121" i="15"/>
  <c r="C121" i="15"/>
  <c r="A260" i="15"/>
  <c r="C260" i="15"/>
  <c r="Q260" i="15" s="1"/>
  <c r="A169" i="15"/>
  <c r="C169" i="15"/>
  <c r="A153" i="15"/>
  <c r="C153" i="15"/>
  <c r="A113" i="15"/>
  <c r="C113" i="15"/>
  <c r="C177" i="15"/>
  <c r="A177" i="15"/>
  <c r="A140" i="15"/>
  <c r="C140" i="15"/>
  <c r="A161" i="15"/>
  <c r="C161" i="15"/>
  <c r="C135" i="15"/>
  <c r="A135" i="15"/>
  <c r="A259" i="15"/>
  <c r="C259" i="15"/>
  <c r="A298" i="15"/>
  <c r="C298" i="15"/>
  <c r="A268" i="15"/>
  <c r="C268" i="15"/>
  <c r="C242" i="15"/>
  <c r="A242" i="15"/>
  <c r="A294" i="15"/>
  <c r="C294" i="15"/>
  <c r="C277" i="15"/>
  <c r="A277" i="15"/>
  <c r="A311" i="15"/>
  <c r="C311" i="15"/>
  <c r="I311" i="15" s="1"/>
  <c r="N75" i="15"/>
  <c r="C164" i="15"/>
  <c r="H119" i="15"/>
  <c r="G123" i="15"/>
  <c r="C104" i="15"/>
  <c r="P194" i="15"/>
  <c r="E193" i="15"/>
  <c r="D224" i="15"/>
  <c r="F185" i="15"/>
  <c r="A208" i="15"/>
  <c r="M132" i="15"/>
  <c r="N132" i="15"/>
  <c r="O132" i="15"/>
  <c r="D132" i="15"/>
  <c r="P132" i="15"/>
  <c r="E132" i="15"/>
  <c r="Q132" i="15"/>
  <c r="F132" i="15"/>
  <c r="R132" i="15"/>
  <c r="H132" i="15"/>
  <c r="G132" i="15"/>
  <c r="I132" i="15"/>
  <c r="J132" i="15"/>
  <c r="K132" i="15"/>
  <c r="L132" i="15"/>
  <c r="I235" i="15"/>
  <c r="H235" i="15"/>
  <c r="M235" i="15"/>
  <c r="N235" i="15"/>
  <c r="O235" i="15"/>
  <c r="P235" i="15"/>
  <c r="Q235" i="15"/>
  <c r="G235" i="15"/>
  <c r="K235" i="15"/>
  <c r="L235" i="15"/>
  <c r="R235" i="15"/>
  <c r="D235" i="15"/>
  <c r="F235" i="15"/>
  <c r="J235" i="15"/>
  <c r="E235" i="15"/>
  <c r="H222" i="15"/>
  <c r="J222" i="15"/>
  <c r="J285" i="15"/>
  <c r="K285" i="15"/>
  <c r="L285" i="15"/>
  <c r="D285" i="15"/>
  <c r="Q285" i="15"/>
  <c r="M285" i="15"/>
  <c r="F285" i="15"/>
  <c r="N285" i="15"/>
  <c r="G285" i="15"/>
  <c r="O285" i="15"/>
  <c r="P285" i="15"/>
  <c r="R285" i="15"/>
  <c r="E285" i="15"/>
  <c r="H285" i="15"/>
  <c r="I285" i="15"/>
  <c r="J296" i="15"/>
  <c r="O296" i="15"/>
  <c r="K296" i="15"/>
  <c r="G77" i="15"/>
  <c r="H77" i="15"/>
  <c r="I77" i="15"/>
  <c r="J77" i="15"/>
  <c r="K77" i="15"/>
  <c r="L77" i="15"/>
  <c r="M77" i="15"/>
  <c r="O77" i="15"/>
  <c r="D77" i="15"/>
  <c r="P77" i="15"/>
  <c r="E77" i="15"/>
  <c r="Q77" i="15"/>
  <c r="F77" i="15"/>
  <c r="N77" i="15"/>
  <c r="R77" i="15"/>
  <c r="G87" i="15"/>
  <c r="I87" i="15"/>
  <c r="J87" i="15"/>
  <c r="K87" i="15"/>
  <c r="L87" i="15"/>
  <c r="M87" i="15"/>
  <c r="D87" i="15"/>
  <c r="P87" i="15"/>
  <c r="O87" i="15"/>
  <c r="Q87" i="15"/>
  <c r="R87" i="15"/>
  <c r="E87" i="15"/>
  <c r="H87" i="15"/>
  <c r="F87" i="15"/>
  <c r="N87" i="15"/>
  <c r="G145" i="15"/>
  <c r="H145" i="15"/>
  <c r="J145" i="15"/>
  <c r="L145" i="15"/>
  <c r="M145" i="15"/>
  <c r="N145" i="15"/>
  <c r="O145" i="15"/>
  <c r="P145" i="15"/>
  <c r="Q145" i="15"/>
  <c r="E145" i="15"/>
  <c r="I145" i="15"/>
  <c r="R145" i="15"/>
  <c r="D145" i="15"/>
  <c r="F145" i="15"/>
  <c r="K145" i="15"/>
  <c r="P311" i="15"/>
  <c r="G311" i="15"/>
  <c r="E300" i="15"/>
  <c r="Q300" i="15"/>
  <c r="F300" i="15"/>
  <c r="R300" i="15"/>
  <c r="G300" i="15"/>
  <c r="H300" i="15"/>
  <c r="O300" i="15"/>
  <c r="I300" i="15"/>
  <c r="J300" i="15"/>
  <c r="K300" i="15"/>
  <c r="L300" i="15"/>
  <c r="M300" i="15"/>
  <c r="N300" i="15"/>
  <c r="P300" i="15"/>
  <c r="D300" i="15"/>
  <c r="M92" i="15"/>
  <c r="O92" i="15"/>
  <c r="D92" i="15"/>
  <c r="P92" i="15"/>
  <c r="E92" i="15"/>
  <c r="Q92" i="15"/>
  <c r="F92" i="15"/>
  <c r="R92" i="15"/>
  <c r="G92" i="15"/>
  <c r="J92" i="15"/>
  <c r="K92" i="15"/>
  <c r="L92" i="15"/>
  <c r="N92" i="15"/>
  <c r="H92" i="15"/>
  <c r="I92" i="15"/>
  <c r="M152" i="15"/>
  <c r="F152" i="15"/>
  <c r="R152" i="15"/>
  <c r="H152" i="15"/>
  <c r="I152" i="15"/>
  <c r="J152" i="15"/>
  <c r="K152" i="15"/>
  <c r="L152" i="15"/>
  <c r="O152" i="15"/>
  <c r="Q152" i="15"/>
  <c r="E152" i="15"/>
  <c r="D152" i="15"/>
  <c r="G152" i="15"/>
  <c r="N152" i="15"/>
  <c r="P152" i="15"/>
  <c r="I183" i="15"/>
  <c r="L183" i="15"/>
  <c r="J183" i="15"/>
  <c r="K183" i="15"/>
  <c r="M183" i="15"/>
  <c r="N183" i="15"/>
  <c r="O183" i="15"/>
  <c r="P183" i="15"/>
  <c r="Q183" i="15"/>
  <c r="D183" i="15"/>
  <c r="E183" i="15"/>
  <c r="F183" i="15"/>
  <c r="G183" i="15"/>
  <c r="H183" i="15"/>
  <c r="R183" i="15"/>
  <c r="D252" i="15"/>
  <c r="P252" i="15"/>
  <c r="F252" i="15"/>
  <c r="R252" i="15"/>
  <c r="L252" i="15"/>
  <c r="N252" i="15"/>
  <c r="O252" i="15"/>
  <c r="Q252" i="15"/>
  <c r="E252" i="15"/>
  <c r="G252" i="15"/>
  <c r="I252" i="15"/>
  <c r="K252" i="15"/>
  <c r="H252" i="15"/>
  <c r="J252" i="15"/>
  <c r="M252" i="15"/>
  <c r="I209" i="15"/>
  <c r="E209" i="15"/>
  <c r="R209" i="15"/>
  <c r="G209" i="15"/>
  <c r="L209" i="15"/>
  <c r="F209" i="15"/>
  <c r="H209" i="15"/>
  <c r="J209" i="15"/>
  <c r="K209" i="15"/>
  <c r="M209" i="15"/>
  <c r="N209" i="15"/>
  <c r="O209" i="15"/>
  <c r="P209" i="15"/>
  <c r="Q209" i="15"/>
  <c r="D209" i="15"/>
  <c r="M76" i="15"/>
  <c r="N76" i="15"/>
  <c r="O76" i="15"/>
  <c r="D76" i="15"/>
  <c r="P76" i="15"/>
  <c r="E76" i="15"/>
  <c r="Q76" i="15"/>
  <c r="F76" i="15"/>
  <c r="R76" i="15"/>
  <c r="G76" i="15"/>
  <c r="I76" i="15"/>
  <c r="J76" i="15"/>
  <c r="K76" i="15"/>
  <c r="H76" i="15"/>
  <c r="L76" i="15"/>
  <c r="G91" i="15"/>
  <c r="I91" i="15"/>
  <c r="J91" i="15"/>
  <c r="K91" i="15"/>
  <c r="L91" i="15"/>
  <c r="M91" i="15"/>
  <c r="D91" i="15"/>
  <c r="P91" i="15"/>
  <c r="E91" i="15"/>
  <c r="F91" i="15"/>
  <c r="H91" i="15"/>
  <c r="N91" i="15"/>
  <c r="O91" i="15"/>
  <c r="Q91" i="15"/>
  <c r="R91" i="15"/>
  <c r="M116" i="15"/>
  <c r="O116" i="15"/>
  <c r="N116" i="15"/>
  <c r="P116" i="15"/>
  <c r="Q116" i="15"/>
  <c r="D116" i="15"/>
  <c r="R116" i="15"/>
  <c r="E116" i="15"/>
  <c r="F116" i="15"/>
  <c r="H116" i="15"/>
  <c r="I116" i="15"/>
  <c r="K116" i="15"/>
  <c r="L116" i="15"/>
  <c r="G116" i="15"/>
  <c r="J116" i="15"/>
  <c r="M88" i="15"/>
  <c r="O88" i="15"/>
  <c r="D88" i="15"/>
  <c r="P88" i="15"/>
  <c r="E88" i="15"/>
  <c r="Q88" i="15"/>
  <c r="F88" i="15"/>
  <c r="R88" i="15"/>
  <c r="G88" i="15"/>
  <c r="J88" i="15"/>
  <c r="H88" i="15"/>
  <c r="I88" i="15"/>
  <c r="K88" i="15"/>
  <c r="L88" i="15"/>
  <c r="N88" i="15"/>
  <c r="G103" i="15"/>
  <c r="I103" i="15"/>
  <c r="J103" i="15"/>
  <c r="L103" i="15"/>
  <c r="M103" i="15"/>
  <c r="D103" i="15"/>
  <c r="E103" i="15"/>
  <c r="F103" i="15"/>
  <c r="H103" i="15"/>
  <c r="K103" i="15"/>
  <c r="N103" i="15"/>
  <c r="O103" i="15"/>
  <c r="P103" i="15"/>
  <c r="Q103" i="15"/>
  <c r="R103" i="15"/>
  <c r="G89" i="15"/>
  <c r="I89" i="15"/>
  <c r="J89" i="15"/>
  <c r="K89" i="15"/>
  <c r="L89" i="15"/>
  <c r="M89" i="15"/>
  <c r="D89" i="15"/>
  <c r="P89" i="15"/>
  <c r="F89" i="15"/>
  <c r="H89" i="15"/>
  <c r="N89" i="15"/>
  <c r="O89" i="15"/>
  <c r="Q89" i="15"/>
  <c r="R89" i="15"/>
  <c r="E89" i="15"/>
  <c r="I187" i="15"/>
  <c r="L187" i="15"/>
  <c r="J187" i="15"/>
  <c r="K187" i="15"/>
  <c r="M187" i="15"/>
  <c r="N187" i="15"/>
  <c r="O187" i="15"/>
  <c r="Q187" i="15"/>
  <c r="F187" i="15"/>
  <c r="G187" i="15"/>
  <c r="H187" i="15"/>
  <c r="P187" i="15"/>
  <c r="R187" i="15"/>
  <c r="E187" i="15"/>
  <c r="D187" i="15"/>
  <c r="O208" i="15"/>
  <c r="J208" i="15"/>
  <c r="L208" i="15"/>
  <c r="D208" i="15"/>
  <c r="Q208" i="15"/>
  <c r="G208" i="15"/>
  <c r="H208" i="15"/>
  <c r="I208" i="15"/>
  <c r="K208" i="15"/>
  <c r="M208" i="15"/>
  <c r="N208" i="15"/>
  <c r="P208" i="15"/>
  <c r="R208" i="15"/>
  <c r="E208" i="15"/>
  <c r="F208" i="15"/>
  <c r="K299" i="15"/>
  <c r="L299" i="15"/>
  <c r="I299" i="15"/>
  <c r="J299" i="15"/>
  <c r="M299" i="15"/>
  <c r="N299" i="15"/>
  <c r="E299" i="15"/>
  <c r="O299" i="15"/>
  <c r="P299" i="15"/>
  <c r="F299" i="15"/>
  <c r="Q299" i="15"/>
  <c r="D299" i="15"/>
  <c r="R299" i="15"/>
  <c r="G299" i="15"/>
  <c r="H299" i="15"/>
  <c r="E304" i="15"/>
  <c r="Q304" i="15"/>
  <c r="F304" i="15"/>
  <c r="R304" i="15"/>
  <c r="G304" i="15"/>
  <c r="H304" i="15"/>
  <c r="I304" i="15"/>
  <c r="J304" i="15"/>
  <c r="N304" i="15"/>
  <c r="K304" i="15"/>
  <c r="L304" i="15"/>
  <c r="O304" i="15"/>
  <c r="P304" i="15"/>
  <c r="M304" i="15"/>
  <c r="D304" i="15"/>
  <c r="G85" i="15"/>
  <c r="H85" i="15"/>
  <c r="I85" i="15"/>
  <c r="J85" i="15"/>
  <c r="K85" i="15"/>
  <c r="L85" i="15"/>
  <c r="M85" i="15"/>
  <c r="O85" i="15"/>
  <c r="D85" i="15"/>
  <c r="P85" i="15"/>
  <c r="Q85" i="15"/>
  <c r="R85" i="15"/>
  <c r="E85" i="15"/>
  <c r="F85" i="15"/>
  <c r="N85" i="15"/>
  <c r="M78" i="15"/>
  <c r="N78" i="15"/>
  <c r="O78" i="15"/>
  <c r="D78" i="15"/>
  <c r="P78" i="15"/>
  <c r="E78" i="15"/>
  <c r="Q78" i="15"/>
  <c r="F78" i="15"/>
  <c r="R78" i="15"/>
  <c r="G78" i="15"/>
  <c r="I78" i="15"/>
  <c r="J78" i="15"/>
  <c r="K78" i="15"/>
  <c r="H78" i="15"/>
  <c r="L78" i="15"/>
  <c r="M94" i="15"/>
  <c r="O94" i="15"/>
  <c r="D94" i="15"/>
  <c r="P94" i="15"/>
  <c r="E94" i="15"/>
  <c r="Q94" i="15"/>
  <c r="F94" i="15"/>
  <c r="R94" i="15"/>
  <c r="G94" i="15"/>
  <c r="H94" i="15"/>
  <c r="I94" i="15"/>
  <c r="J94" i="15"/>
  <c r="K94" i="15"/>
  <c r="L94" i="15"/>
  <c r="N94" i="15"/>
  <c r="G81" i="15"/>
  <c r="D81" i="15"/>
  <c r="P81" i="15"/>
  <c r="E81" i="15"/>
  <c r="F81" i="15"/>
  <c r="P172" i="15"/>
  <c r="D172" i="15"/>
  <c r="Q172" i="15"/>
  <c r="F172" i="15"/>
  <c r="O172" i="15"/>
  <c r="O226" i="15"/>
  <c r="M226" i="15"/>
  <c r="G226" i="15"/>
  <c r="K226" i="15"/>
  <c r="L226" i="15"/>
  <c r="N226" i="15"/>
  <c r="P226" i="15"/>
  <c r="Q226" i="15"/>
  <c r="E226" i="15"/>
  <c r="F226" i="15"/>
  <c r="D226" i="15"/>
  <c r="H226" i="15"/>
  <c r="I226" i="15"/>
  <c r="J226" i="15"/>
  <c r="R226" i="15"/>
  <c r="K303" i="15"/>
  <c r="L303" i="15"/>
  <c r="I303" i="15"/>
  <c r="J303" i="15"/>
  <c r="M303" i="15"/>
  <c r="R303" i="15"/>
  <c r="E303" i="15"/>
  <c r="N303" i="15"/>
  <c r="F303" i="15"/>
  <c r="O303" i="15"/>
  <c r="D303" i="15"/>
  <c r="P303" i="15"/>
  <c r="Q303" i="15"/>
  <c r="G303" i="15"/>
  <c r="H303" i="15"/>
  <c r="M122" i="15"/>
  <c r="O122" i="15"/>
  <c r="G122" i="15"/>
  <c r="H122" i="15"/>
  <c r="I122" i="15"/>
  <c r="J122" i="15"/>
  <c r="K122" i="15"/>
  <c r="L122" i="15"/>
  <c r="P122" i="15"/>
  <c r="Q122" i="15"/>
  <c r="F122" i="15"/>
  <c r="N122" i="15"/>
  <c r="R122" i="15"/>
  <c r="D122" i="15"/>
  <c r="E122" i="15"/>
  <c r="M110" i="15"/>
  <c r="O110" i="15"/>
  <c r="F110" i="15"/>
  <c r="R110" i="15"/>
  <c r="D110" i="15"/>
  <c r="E110" i="15"/>
  <c r="G110" i="15"/>
  <c r="H110" i="15"/>
  <c r="I110" i="15"/>
  <c r="J110" i="15"/>
  <c r="K110" i="15"/>
  <c r="L110" i="15"/>
  <c r="N110" i="15"/>
  <c r="P110" i="15"/>
  <c r="Q110" i="15"/>
  <c r="K108" i="15"/>
  <c r="L108" i="15"/>
  <c r="N108" i="15"/>
  <c r="G147" i="15"/>
  <c r="H147" i="15"/>
  <c r="L147" i="15"/>
  <c r="I147" i="15"/>
  <c r="J147" i="15"/>
  <c r="K147" i="15"/>
  <c r="M147" i="15"/>
  <c r="N147" i="15"/>
  <c r="P147" i="15"/>
  <c r="R147" i="15"/>
  <c r="E147" i="15"/>
  <c r="D147" i="15"/>
  <c r="F147" i="15"/>
  <c r="O147" i="15"/>
  <c r="Q147" i="15"/>
  <c r="G179" i="15"/>
  <c r="E179" i="15"/>
  <c r="R179" i="15"/>
  <c r="I179" i="15"/>
  <c r="F179" i="15"/>
  <c r="H179" i="15"/>
  <c r="J179" i="15"/>
  <c r="K179" i="15"/>
  <c r="L179" i="15"/>
  <c r="M179" i="15"/>
  <c r="N179" i="15"/>
  <c r="D179" i="15"/>
  <c r="Q179" i="15"/>
  <c r="O179" i="15"/>
  <c r="P179" i="15"/>
  <c r="J247" i="15"/>
  <c r="L247" i="15"/>
  <c r="F247" i="15"/>
  <c r="R247" i="15"/>
  <c r="H247" i="15"/>
  <c r="I247" i="15"/>
  <c r="K247" i="15"/>
  <c r="M247" i="15"/>
  <c r="N247" i="15"/>
  <c r="O247" i="15"/>
  <c r="P247" i="15"/>
  <c r="E247" i="15"/>
  <c r="D247" i="15"/>
  <c r="G247" i="15"/>
  <c r="Q247" i="15"/>
  <c r="O204" i="15"/>
  <c r="D204" i="15"/>
  <c r="Q204" i="15"/>
  <c r="E204" i="15"/>
  <c r="R204" i="15"/>
  <c r="F204" i="15"/>
  <c r="J204" i="15"/>
  <c r="I204" i="15"/>
  <c r="K204" i="15"/>
  <c r="L204" i="15"/>
  <c r="M204" i="15"/>
  <c r="N204" i="15"/>
  <c r="P204" i="15"/>
  <c r="G204" i="15"/>
  <c r="H204" i="15"/>
  <c r="M164" i="15"/>
  <c r="N164" i="15"/>
  <c r="O164" i="15"/>
  <c r="P164" i="15"/>
  <c r="D164" i="15"/>
  <c r="Q164" i="15"/>
  <c r="G164" i="15"/>
  <c r="I164" i="15"/>
  <c r="J164" i="15"/>
  <c r="K164" i="15"/>
  <c r="L164" i="15"/>
  <c r="R164" i="15"/>
  <c r="F164" i="15"/>
  <c r="H164" i="15"/>
  <c r="E164" i="15"/>
  <c r="M82" i="15"/>
  <c r="N82" i="15"/>
  <c r="O82" i="15"/>
  <c r="D82" i="15"/>
  <c r="P82" i="15"/>
  <c r="E82" i="15"/>
  <c r="Q82" i="15"/>
  <c r="F82" i="15"/>
  <c r="R82" i="15"/>
  <c r="G82" i="15"/>
  <c r="I82" i="15"/>
  <c r="J82" i="15"/>
  <c r="K82" i="15"/>
  <c r="L82" i="15"/>
  <c r="H82" i="15"/>
  <c r="M98" i="15"/>
  <c r="O98" i="15"/>
  <c r="D98" i="15"/>
  <c r="P98" i="15"/>
  <c r="E98" i="15"/>
  <c r="Q98" i="15"/>
  <c r="F98" i="15"/>
  <c r="R98" i="15"/>
  <c r="G98" i="15"/>
  <c r="H98" i="15"/>
  <c r="I98" i="15"/>
  <c r="J98" i="15"/>
  <c r="K98" i="15"/>
  <c r="L98" i="15"/>
  <c r="N98" i="15"/>
  <c r="M114" i="15"/>
  <c r="O114" i="15"/>
  <c r="G114" i="15"/>
  <c r="H114" i="15"/>
  <c r="I114" i="15"/>
  <c r="J114" i="15"/>
  <c r="K114" i="15"/>
  <c r="L114" i="15"/>
  <c r="P114" i="15"/>
  <c r="Q114" i="15"/>
  <c r="F114" i="15"/>
  <c r="N114" i="15"/>
  <c r="R114" i="15"/>
  <c r="D114" i="15"/>
  <c r="E114" i="15"/>
  <c r="L79" i="15"/>
  <c r="M79" i="15"/>
  <c r="O79" i="15"/>
  <c r="M104" i="15"/>
  <c r="O104" i="15"/>
  <c r="D104" i="15"/>
  <c r="P104" i="15"/>
  <c r="F104" i="15"/>
  <c r="R104" i="15"/>
  <c r="G104" i="15"/>
  <c r="H104" i="15"/>
  <c r="I104" i="15"/>
  <c r="J104" i="15"/>
  <c r="K104" i="15"/>
  <c r="L104" i="15"/>
  <c r="N104" i="15"/>
  <c r="Q104" i="15"/>
  <c r="E104" i="15"/>
  <c r="M166" i="15"/>
  <c r="D166" i="15"/>
  <c r="Q166" i="15"/>
  <c r="E166" i="15"/>
  <c r="R166" i="15"/>
  <c r="F166" i="15"/>
  <c r="G166" i="15"/>
  <c r="J166" i="15"/>
  <c r="O166" i="15"/>
  <c r="P166" i="15"/>
  <c r="L166" i="15"/>
  <c r="N166" i="15"/>
  <c r="I166" i="15"/>
  <c r="K166" i="15"/>
  <c r="H166" i="15"/>
  <c r="M106" i="15"/>
  <c r="O106" i="15"/>
  <c r="D106" i="15"/>
  <c r="P106" i="15"/>
  <c r="F106" i="15"/>
  <c r="R106" i="15"/>
  <c r="H106" i="15"/>
  <c r="I106" i="15"/>
  <c r="J106" i="15"/>
  <c r="K106" i="15"/>
  <c r="L106" i="15"/>
  <c r="N106" i="15"/>
  <c r="Q106" i="15"/>
  <c r="E106" i="15"/>
  <c r="G106" i="15"/>
  <c r="I201" i="15"/>
  <c r="E201" i="15"/>
  <c r="R201" i="15"/>
  <c r="F201" i="15"/>
  <c r="G201" i="15"/>
  <c r="L201" i="15"/>
  <c r="N201" i="15"/>
  <c r="O201" i="15"/>
  <c r="P201" i="15"/>
  <c r="Q201" i="15"/>
  <c r="D201" i="15"/>
  <c r="H201" i="15"/>
  <c r="M201" i="15"/>
  <c r="J201" i="15"/>
  <c r="K201" i="15"/>
  <c r="I237" i="15"/>
  <c r="L237" i="15"/>
  <c r="E237" i="15"/>
  <c r="F237" i="15"/>
  <c r="G237" i="15"/>
  <c r="H237" i="15"/>
  <c r="J237" i="15"/>
  <c r="O237" i="15"/>
  <c r="D237" i="15"/>
  <c r="K237" i="15"/>
  <c r="M237" i="15"/>
  <c r="N237" i="15"/>
  <c r="P237" i="15"/>
  <c r="Q237" i="15"/>
  <c r="R237" i="15"/>
  <c r="M180" i="15"/>
  <c r="N180" i="15"/>
  <c r="D180" i="15"/>
  <c r="Q180" i="15"/>
  <c r="E180" i="15"/>
  <c r="F180" i="15"/>
  <c r="G180" i="15"/>
  <c r="H180" i="15"/>
  <c r="I180" i="15"/>
  <c r="J180" i="15"/>
  <c r="K180" i="15"/>
  <c r="R180" i="15"/>
  <c r="L180" i="15"/>
  <c r="O180" i="15"/>
  <c r="P180" i="15"/>
  <c r="E84" i="15"/>
  <c r="Q84" i="15"/>
  <c r="F84" i="15"/>
  <c r="G84" i="15"/>
  <c r="M124" i="15"/>
  <c r="O124" i="15"/>
  <c r="N124" i="15"/>
  <c r="P124" i="15"/>
  <c r="Q124" i="15"/>
  <c r="D124" i="15"/>
  <c r="R124" i="15"/>
  <c r="E124" i="15"/>
  <c r="F124" i="15"/>
  <c r="H124" i="15"/>
  <c r="I124" i="15"/>
  <c r="K124" i="15"/>
  <c r="L124" i="15"/>
  <c r="G124" i="15"/>
  <c r="J124" i="15"/>
  <c r="M100" i="15"/>
  <c r="O100" i="15"/>
  <c r="D100" i="15"/>
  <c r="P100" i="15"/>
  <c r="E100" i="15"/>
  <c r="Q100" i="15"/>
  <c r="F100" i="15"/>
  <c r="R100" i="15"/>
  <c r="G100" i="15"/>
  <c r="L100" i="15"/>
  <c r="N100" i="15"/>
  <c r="H100" i="15"/>
  <c r="I100" i="15"/>
  <c r="J100" i="15"/>
  <c r="K100" i="15"/>
  <c r="G159" i="15"/>
  <c r="L159" i="15"/>
  <c r="K159" i="15"/>
  <c r="M159" i="15"/>
  <c r="N159" i="15"/>
  <c r="O159" i="15"/>
  <c r="D159" i="15"/>
  <c r="R159" i="15"/>
  <c r="E159" i="15"/>
  <c r="F159" i="15"/>
  <c r="H159" i="15"/>
  <c r="I159" i="15"/>
  <c r="J159" i="15"/>
  <c r="P159" i="15"/>
  <c r="Q159" i="15"/>
  <c r="G109" i="15"/>
  <c r="I109" i="15"/>
  <c r="L109" i="15"/>
  <c r="E109" i="15"/>
  <c r="F109" i="15"/>
  <c r="H109" i="15"/>
  <c r="J109" i="15"/>
  <c r="K109" i="15"/>
  <c r="M109" i="15"/>
  <c r="N109" i="15"/>
  <c r="O109" i="15"/>
  <c r="P109" i="15"/>
  <c r="Q109" i="15"/>
  <c r="R109" i="15"/>
  <c r="D109" i="15"/>
  <c r="M130" i="15"/>
  <c r="O130" i="15"/>
  <c r="G130" i="15"/>
  <c r="H130" i="15"/>
  <c r="I130" i="15"/>
  <c r="J130" i="15"/>
  <c r="K130" i="15"/>
  <c r="L130" i="15"/>
  <c r="P130" i="15"/>
  <c r="D130" i="15"/>
  <c r="E130" i="15"/>
  <c r="F130" i="15"/>
  <c r="N130" i="15"/>
  <c r="Q130" i="15"/>
  <c r="R130" i="15"/>
  <c r="I225" i="15"/>
  <c r="E225" i="15"/>
  <c r="R225" i="15"/>
  <c r="L225" i="15"/>
  <c r="N225" i="15"/>
  <c r="O225" i="15"/>
  <c r="P225" i="15"/>
  <c r="Q225" i="15"/>
  <c r="G225" i="15"/>
  <c r="H225" i="15"/>
  <c r="K225" i="15"/>
  <c r="M225" i="15"/>
  <c r="F225" i="15"/>
  <c r="D225" i="15"/>
  <c r="J225" i="15"/>
  <c r="I205" i="15"/>
  <c r="L205" i="15"/>
  <c r="N205" i="15"/>
  <c r="E205" i="15"/>
  <c r="R205" i="15"/>
  <c r="J205" i="15"/>
  <c r="K205" i="15"/>
  <c r="M205" i="15"/>
  <c r="O205" i="15"/>
  <c r="P205" i="15"/>
  <c r="Q205" i="15"/>
  <c r="D205" i="15"/>
  <c r="F205" i="15"/>
  <c r="G205" i="15"/>
  <c r="H205" i="15"/>
  <c r="E288" i="15"/>
  <c r="Q288" i="15"/>
  <c r="F288" i="15"/>
  <c r="R288" i="15"/>
  <c r="K288" i="15"/>
  <c r="G288" i="15"/>
  <c r="H288" i="15"/>
  <c r="I288" i="15"/>
  <c r="J288" i="15"/>
  <c r="L288" i="15"/>
  <c r="P288" i="15"/>
  <c r="M288" i="15"/>
  <c r="N288" i="15"/>
  <c r="O288" i="15"/>
  <c r="D288" i="15"/>
  <c r="M174" i="15"/>
  <c r="D174" i="15"/>
  <c r="Q174" i="15"/>
  <c r="F174" i="15"/>
  <c r="G174" i="15"/>
  <c r="R174" i="15"/>
  <c r="E174" i="15"/>
  <c r="H174" i="15"/>
  <c r="I174" i="15"/>
  <c r="J174" i="15"/>
  <c r="O174" i="15"/>
  <c r="P174" i="15"/>
  <c r="K174" i="15"/>
  <c r="L174" i="15"/>
  <c r="N174" i="15"/>
  <c r="P270" i="15"/>
  <c r="F270" i="15"/>
  <c r="G270" i="15"/>
  <c r="M270" i="15"/>
  <c r="N270" i="15"/>
  <c r="M86" i="15"/>
  <c r="O86" i="15"/>
  <c r="D86" i="15"/>
  <c r="P86" i="15"/>
  <c r="E86" i="15"/>
  <c r="Q86" i="15"/>
  <c r="F86" i="15"/>
  <c r="R86" i="15"/>
  <c r="G86" i="15"/>
  <c r="I86" i="15"/>
  <c r="J86" i="15"/>
  <c r="H86" i="15"/>
  <c r="K86" i="15"/>
  <c r="L86" i="15"/>
  <c r="N86" i="15"/>
  <c r="M102" i="15"/>
  <c r="O102" i="15"/>
  <c r="D102" i="15"/>
  <c r="P102" i="15"/>
  <c r="F102" i="15"/>
  <c r="R102" i="15"/>
  <c r="G102" i="15"/>
  <c r="E102" i="15"/>
  <c r="H102" i="15"/>
  <c r="I102" i="15"/>
  <c r="J102" i="15"/>
  <c r="K102" i="15"/>
  <c r="L102" i="15"/>
  <c r="N102" i="15"/>
  <c r="Q102" i="15"/>
  <c r="M118" i="15"/>
  <c r="O118" i="15"/>
  <c r="G118" i="15"/>
  <c r="H118" i="15"/>
  <c r="I118" i="15"/>
  <c r="J118" i="15"/>
  <c r="K118" i="15"/>
  <c r="L118" i="15"/>
  <c r="P118" i="15"/>
  <c r="Q118" i="15"/>
  <c r="F118" i="15"/>
  <c r="N118" i="15"/>
  <c r="R118" i="15"/>
  <c r="D118" i="15"/>
  <c r="E118" i="15"/>
  <c r="M126" i="15"/>
  <c r="O126" i="15"/>
  <c r="G126" i="15"/>
  <c r="H126" i="15"/>
  <c r="I126" i="15"/>
  <c r="J126" i="15"/>
  <c r="K126" i="15"/>
  <c r="L126" i="15"/>
  <c r="P126" i="15"/>
  <c r="Q126" i="15"/>
  <c r="F126" i="15"/>
  <c r="N126" i="15"/>
  <c r="R126" i="15"/>
  <c r="D126" i="15"/>
  <c r="E126" i="15"/>
  <c r="G149" i="15"/>
  <c r="H149" i="15"/>
  <c r="L149" i="15"/>
  <c r="R149" i="15"/>
  <c r="D149" i="15"/>
  <c r="E149" i="15"/>
  <c r="F149" i="15"/>
  <c r="I149" i="15"/>
  <c r="K149" i="15"/>
  <c r="N149" i="15"/>
  <c r="P149" i="15"/>
  <c r="J149" i="15"/>
  <c r="O149" i="15"/>
  <c r="Q149" i="15"/>
  <c r="M149" i="15"/>
  <c r="G131" i="15"/>
  <c r="I131" i="15"/>
  <c r="Q131" i="15"/>
  <c r="D131" i="15"/>
  <c r="R131" i="15"/>
  <c r="E131" i="15"/>
  <c r="F131" i="15"/>
  <c r="H131" i="15"/>
  <c r="J131" i="15"/>
  <c r="L131" i="15"/>
  <c r="P131" i="15"/>
  <c r="K131" i="15"/>
  <c r="N131" i="15"/>
  <c r="M131" i="15"/>
  <c r="O131" i="15"/>
  <c r="O196" i="15"/>
  <c r="D196" i="15"/>
  <c r="Q196" i="15"/>
  <c r="E196" i="15"/>
  <c r="R196" i="15"/>
  <c r="F196" i="15"/>
  <c r="G196" i="15"/>
  <c r="J196" i="15"/>
  <c r="K196" i="15"/>
  <c r="L196" i="15"/>
  <c r="M196" i="15"/>
  <c r="N196" i="15"/>
  <c r="P196" i="15"/>
  <c r="H196" i="15"/>
  <c r="I196" i="15"/>
  <c r="D240" i="15"/>
  <c r="P240" i="15"/>
  <c r="E240" i="15"/>
  <c r="Q240" i="15"/>
  <c r="F240" i="15"/>
  <c r="R240" i="15"/>
  <c r="H240" i="15"/>
  <c r="L240" i="15"/>
  <c r="K240" i="15"/>
  <c r="M240" i="15"/>
  <c r="N240" i="15"/>
  <c r="O240" i="15"/>
  <c r="I240" i="15"/>
  <c r="G240" i="15"/>
  <c r="J240" i="15"/>
  <c r="H75" i="15"/>
  <c r="Q75" i="15"/>
  <c r="I75" i="15"/>
  <c r="D59" i="9"/>
  <c r="D30" i="10"/>
  <c r="D31" i="10" s="1"/>
  <c r="E17" i="6"/>
  <c r="G17" i="6"/>
  <c r="F31" i="8" s="1"/>
  <c r="AA45" i="8" s="1"/>
  <c r="E33" i="8"/>
  <c r="AC44" i="8" s="1"/>
  <c r="E18" i="6"/>
  <c r="C32" i="8" s="1"/>
  <c r="AB42" i="8" s="1"/>
  <c r="C23" i="6"/>
  <c r="G33" i="8" s="1"/>
  <c r="AC46" i="8" s="1"/>
  <c r="I15" i="6"/>
  <c r="I17" i="6" s="1"/>
  <c r="K31" i="8" s="1"/>
  <c r="AA50" i="8" s="1"/>
  <c r="E7" i="6"/>
  <c r="G61" i="15"/>
  <c r="J61" i="15"/>
  <c r="H61" i="15"/>
  <c r="K61" i="15"/>
  <c r="N61" i="15"/>
  <c r="O61" i="15"/>
  <c r="D37" i="13"/>
  <c r="D38" i="13" s="1"/>
  <c r="P61" i="15"/>
  <c r="Q61" i="15"/>
  <c r="R61" i="15"/>
  <c r="I61" i="15"/>
  <c r="D61" i="15"/>
  <c r="L61" i="15"/>
  <c r="E61" i="15"/>
  <c r="M61" i="15"/>
  <c r="F26" i="15"/>
  <c r="D29" i="7"/>
  <c r="F29" i="7" s="1"/>
  <c r="D23" i="6"/>
  <c r="L33" i="8" s="1"/>
  <c r="AC51" i="8" s="1"/>
  <c r="F17" i="12"/>
  <c r="G17" i="12" s="1"/>
  <c r="C10" i="9"/>
  <c r="R26" i="15"/>
  <c r="G26" i="15"/>
  <c r="C5" i="7"/>
  <c r="C9" i="7" s="1"/>
  <c r="C11" i="7" s="1"/>
  <c r="K26" i="15"/>
  <c r="H26" i="15"/>
  <c r="D12" i="4"/>
  <c r="L26" i="15"/>
  <c r="I26" i="15"/>
  <c r="M26" i="15"/>
  <c r="J26" i="15"/>
  <c r="N26" i="15"/>
  <c r="O26" i="15"/>
  <c r="D26" i="15"/>
  <c r="E30" i="4"/>
  <c r="F30" i="4" s="1"/>
  <c r="D31" i="4"/>
  <c r="F31" i="4" s="1"/>
  <c r="P26" i="15"/>
  <c r="E26" i="15"/>
  <c r="E27" i="4"/>
  <c r="F27" i="4" s="1"/>
  <c r="C51" i="9"/>
  <c r="E8" i="6"/>
  <c r="D82" i="11"/>
  <c r="D83" i="11" s="1"/>
  <c r="D84" i="11" s="1"/>
  <c r="E22" i="3"/>
  <c r="L8" i="8" s="1"/>
  <c r="D51" i="8" s="1"/>
  <c r="F13" i="12"/>
  <c r="G13" i="12" s="1"/>
  <c r="E8" i="8"/>
  <c r="D44" i="8" s="1"/>
  <c r="D22" i="3"/>
  <c r="G8" i="8" s="1"/>
  <c r="D46" i="8" s="1"/>
  <c r="C15" i="7"/>
  <c r="I49" i="9"/>
  <c r="C21" i="3"/>
  <c r="C29" i="3"/>
  <c r="D32" i="3" s="1"/>
  <c r="G10" i="8" s="1"/>
  <c r="F46" i="8" s="1"/>
  <c r="F20" i="12"/>
  <c r="G20" i="12" s="1"/>
  <c r="E7" i="8"/>
  <c r="C44" i="8" s="1"/>
  <c r="F15" i="3"/>
  <c r="G9" i="8" s="1"/>
  <c r="E46" i="8" s="1"/>
  <c r="D49" i="12"/>
  <c r="J7" i="8"/>
  <c r="C49" i="8" s="1"/>
  <c r="D21" i="3"/>
  <c r="G7" i="8" s="1"/>
  <c r="C46" i="8" s="1"/>
  <c r="D29" i="4"/>
  <c r="E29" i="4"/>
  <c r="AR91" i="9"/>
  <c r="AF91" i="9"/>
  <c r="T91" i="9"/>
  <c r="H91" i="9"/>
  <c r="AQ91" i="9"/>
  <c r="AE91" i="9"/>
  <c r="S91" i="9"/>
  <c r="G91" i="9"/>
  <c r="AP91" i="9"/>
  <c r="AD91" i="9"/>
  <c r="R91" i="9"/>
  <c r="F91" i="9"/>
  <c r="AO91" i="9"/>
  <c r="AC91" i="9"/>
  <c r="Q91" i="9"/>
  <c r="E91" i="9"/>
  <c r="AN91" i="9"/>
  <c r="AB91" i="9"/>
  <c r="P91" i="9"/>
  <c r="D91" i="9"/>
  <c r="AM91" i="9"/>
  <c r="AA91" i="9"/>
  <c r="O91" i="9"/>
  <c r="C91" i="9"/>
  <c r="AL91" i="9"/>
  <c r="Z91" i="9"/>
  <c r="N91" i="9"/>
  <c r="AK91" i="9"/>
  <c r="Y91" i="9"/>
  <c r="M91" i="9"/>
  <c r="AV91" i="9"/>
  <c r="AJ91" i="9"/>
  <c r="X91" i="9"/>
  <c r="L91" i="9"/>
  <c r="AU91" i="9"/>
  <c r="AI91" i="9"/>
  <c r="W91" i="9"/>
  <c r="K91" i="9"/>
  <c r="AT91" i="9"/>
  <c r="AH91" i="9"/>
  <c r="V91" i="9"/>
  <c r="J91" i="9"/>
  <c r="AS91" i="9"/>
  <c r="AG91" i="9"/>
  <c r="U91" i="9"/>
  <c r="I91" i="9"/>
  <c r="AV93" i="9"/>
  <c r="AJ93" i="9"/>
  <c r="X93" i="9"/>
  <c r="L93" i="9"/>
  <c r="AU93" i="9"/>
  <c r="AI93" i="9"/>
  <c r="W93" i="9"/>
  <c r="K93" i="9"/>
  <c r="AT93" i="9"/>
  <c r="AH93" i="9"/>
  <c r="V93" i="9"/>
  <c r="J93" i="9"/>
  <c r="AS93" i="9"/>
  <c r="AG93" i="9"/>
  <c r="U93" i="9"/>
  <c r="I93" i="9"/>
  <c r="AR93" i="9"/>
  <c r="AF93" i="9"/>
  <c r="T93" i="9"/>
  <c r="H93" i="9"/>
  <c r="AQ93" i="9"/>
  <c r="AE93" i="9"/>
  <c r="S93" i="9"/>
  <c r="G93" i="9"/>
  <c r="AP93" i="9"/>
  <c r="AD93" i="9"/>
  <c r="R93" i="9"/>
  <c r="F93" i="9"/>
  <c r="AO93" i="9"/>
  <c r="AC93" i="9"/>
  <c r="Q93" i="9"/>
  <c r="E93" i="9"/>
  <c r="AN93" i="9"/>
  <c r="AB93" i="9"/>
  <c r="P93" i="9"/>
  <c r="D93" i="9"/>
  <c r="AM93" i="9"/>
  <c r="AA93" i="9"/>
  <c r="O93" i="9"/>
  <c r="C93" i="9"/>
  <c r="AL93" i="9"/>
  <c r="Z93" i="9"/>
  <c r="N93" i="9"/>
  <c r="AK93" i="9"/>
  <c r="Y93" i="9"/>
  <c r="M93" i="9"/>
  <c r="AT92" i="9"/>
  <c r="AH92" i="9"/>
  <c r="V92" i="9"/>
  <c r="J92" i="9"/>
  <c r="AS92" i="9"/>
  <c r="AG92" i="9"/>
  <c r="U92" i="9"/>
  <c r="I92" i="9"/>
  <c r="AR92" i="9"/>
  <c r="AF92" i="9"/>
  <c r="T92" i="9"/>
  <c r="H92" i="9"/>
  <c r="AQ92" i="9"/>
  <c r="AE92" i="9"/>
  <c r="S92" i="9"/>
  <c r="G92" i="9"/>
  <c r="AP92" i="9"/>
  <c r="AD92" i="9"/>
  <c r="R92" i="9"/>
  <c r="F92" i="9"/>
  <c r="AO92" i="9"/>
  <c r="AC92" i="9"/>
  <c r="Q92" i="9"/>
  <c r="E92" i="9"/>
  <c r="AN92" i="9"/>
  <c r="AB92" i="9"/>
  <c r="P92" i="9"/>
  <c r="D92" i="9"/>
  <c r="AM92" i="9"/>
  <c r="AA92" i="9"/>
  <c r="O92" i="9"/>
  <c r="C92" i="9"/>
  <c r="AL92" i="9"/>
  <c r="Z92" i="9"/>
  <c r="N92" i="9"/>
  <c r="AK92" i="9"/>
  <c r="Y92" i="9"/>
  <c r="M92" i="9"/>
  <c r="AV92" i="9"/>
  <c r="AJ92" i="9"/>
  <c r="X92" i="9"/>
  <c r="L92" i="9"/>
  <c r="AU92" i="9"/>
  <c r="AI92" i="9"/>
  <c r="W92" i="9"/>
  <c r="K92" i="9"/>
  <c r="D56" i="12"/>
  <c r="D57" i="12" s="1"/>
  <c r="D58" i="12" s="1"/>
  <c r="AV99" i="9"/>
  <c r="AJ99" i="9"/>
  <c r="X99" i="9"/>
  <c r="L99" i="9"/>
  <c r="AU99" i="9"/>
  <c r="AI99" i="9"/>
  <c r="W99" i="9"/>
  <c r="K99" i="9"/>
  <c r="AT99" i="9"/>
  <c r="AH99" i="9"/>
  <c r="V99" i="9"/>
  <c r="J99" i="9"/>
  <c r="AS99" i="9"/>
  <c r="AG99" i="9"/>
  <c r="U99" i="9"/>
  <c r="I99" i="9"/>
  <c r="AR99" i="9"/>
  <c r="AF99" i="9"/>
  <c r="T99" i="9"/>
  <c r="H99" i="9"/>
  <c r="AQ99" i="9"/>
  <c r="AE99" i="9"/>
  <c r="S99" i="9"/>
  <c r="G99" i="9"/>
  <c r="AP99" i="9"/>
  <c r="AD99" i="9"/>
  <c r="R99" i="9"/>
  <c r="F99" i="9"/>
  <c r="AO99" i="9"/>
  <c r="AC99" i="9"/>
  <c r="Q99" i="9"/>
  <c r="E99" i="9"/>
  <c r="AN99" i="9"/>
  <c r="AB99" i="9"/>
  <c r="P99" i="9"/>
  <c r="D99" i="9"/>
  <c r="AM99" i="9"/>
  <c r="AA99" i="9"/>
  <c r="O99" i="9"/>
  <c r="C99" i="9"/>
  <c r="AL99" i="9"/>
  <c r="Z99" i="9"/>
  <c r="N99" i="9"/>
  <c r="AK99" i="9"/>
  <c r="Y99" i="9"/>
  <c r="M99" i="9"/>
  <c r="AL94" i="9"/>
  <c r="Z94" i="9"/>
  <c r="N94" i="9"/>
  <c r="AK94" i="9"/>
  <c r="Y94" i="9"/>
  <c r="M94" i="9"/>
  <c r="AV94" i="9"/>
  <c r="AJ94" i="9"/>
  <c r="X94" i="9"/>
  <c r="L94" i="9"/>
  <c r="AU94" i="9"/>
  <c r="AI94" i="9"/>
  <c r="W94" i="9"/>
  <c r="K94" i="9"/>
  <c r="AT94" i="9"/>
  <c r="AH94" i="9"/>
  <c r="V94" i="9"/>
  <c r="J94" i="9"/>
  <c r="AS94" i="9"/>
  <c r="AG94" i="9"/>
  <c r="U94" i="9"/>
  <c r="I94" i="9"/>
  <c r="AR94" i="9"/>
  <c r="AF94" i="9"/>
  <c r="T94" i="9"/>
  <c r="H94" i="9"/>
  <c r="AQ94" i="9"/>
  <c r="AE94" i="9"/>
  <c r="S94" i="9"/>
  <c r="G94" i="9"/>
  <c r="AP94" i="9"/>
  <c r="AD94" i="9"/>
  <c r="R94" i="9"/>
  <c r="F94" i="9"/>
  <c r="AO94" i="9"/>
  <c r="AC94" i="9"/>
  <c r="Q94" i="9"/>
  <c r="E94" i="9"/>
  <c r="AN94" i="9"/>
  <c r="AB94" i="9"/>
  <c r="P94" i="9"/>
  <c r="D94" i="9"/>
  <c r="AM94" i="9"/>
  <c r="AA94" i="9"/>
  <c r="O94" i="9"/>
  <c r="C94" i="9"/>
  <c r="AN95" i="9"/>
  <c r="AB95" i="9"/>
  <c r="P95" i="9"/>
  <c r="D95" i="9"/>
  <c r="AM95" i="9"/>
  <c r="AA95" i="9"/>
  <c r="O95" i="9"/>
  <c r="C95" i="9"/>
  <c r="AL95" i="9"/>
  <c r="Z95" i="9"/>
  <c r="N95" i="9"/>
  <c r="AK95" i="9"/>
  <c r="Y95" i="9"/>
  <c r="M95" i="9"/>
  <c r="AV95" i="9"/>
  <c r="AJ95" i="9"/>
  <c r="X95" i="9"/>
  <c r="L95" i="9"/>
  <c r="AU95" i="9"/>
  <c r="AI95" i="9"/>
  <c r="W95" i="9"/>
  <c r="K95" i="9"/>
  <c r="AT95" i="9"/>
  <c r="AH95" i="9"/>
  <c r="V95" i="9"/>
  <c r="J95" i="9"/>
  <c r="AS95" i="9"/>
  <c r="AG95" i="9"/>
  <c r="U95" i="9"/>
  <c r="I95" i="9"/>
  <c r="AR95" i="9"/>
  <c r="AF95" i="9"/>
  <c r="T95" i="9"/>
  <c r="H95" i="9"/>
  <c r="AQ95" i="9"/>
  <c r="AE95" i="9"/>
  <c r="S95" i="9"/>
  <c r="G95" i="9"/>
  <c r="AP95" i="9"/>
  <c r="AD95" i="9"/>
  <c r="R95" i="9"/>
  <c r="F95" i="9"/>
  <c r="AO95" i="9"/>
  <c r="AC95" i="9"/>
  <c r="Q95" i="9"/>
  <c r="E95" i="9"/>
  <c r="D48" i="13"/>
  <c r="D50" i="13" s="1"/>
  <c r="K11" i="15"/>
  <c r="D18" i="10"/>
  <c r="D32" i="4"/>
  <c r="E32" i="4"/>
  <c r="AT98" i="9"/>
  <c r="AH98" i="9"/>
  <c r="V98" i="9"/>
  <c r="J98" i="9"/>
  <c r="AS98" i="9"/>
  <c r="AG98" i="9"/>
  <c r="U98" i="9"/>
  <c r="I98" i="9"/>
  <c r="AR98" i="9"/>
  <c r="AF98" i="9"/>
  <c r="T98" i="9"/>
  <c r="H98" i="9"/>
  <c r="AQ98" i="9"/>
  <c r="AE98" i="9"/>
  <c r="S98" i="9"/>
  <c r="G98" i="9"/>
  <c r="AP98" i="9"/>
  <c r="AD98" i="9"/>
  <c r="R98" i="9"/>
  <c r="F98" i="9"/>
  <c r="AO98" i="9"/>
  <c r="AC98" i="9"/>
  <c r="Q98" i="9"/>
  <c r="E98" i="9"/>
  <c r="AN98" i="9"/>
  <c r="AB98" i="9"/>
  <c r="P98" i="9"/>
  <c r="D98" i="9"/>
  <c r="AM98" i="9"/>
  <c r="AA98" i="9"/>
  <c r="O98" i="9"/>
  <c r="C98" i="9"/>
  <c r="AL98" i="9"/>
  <c r="Z98" i="9"/>
  <c r="N98" i="9"/>
  <c r="AK98" i="9"/>
  <c r="Y98" i="9"/>
  <c r="M98" i="9"/>
  <c r="AV98" i="9"/>
  <c r="AJ98" i="9"/>
  <c r="X98" i="9"/>
  <c r="L98" i="9"/>
  <c r="AU98" i="9"/>
  <c r="AI98" i="9"/>
  <c r="W98" i="9"/>
  <c r="K98" i="9"/>
  <c r="AP96" i="9"/>
  <c r="AD96" i="9"/>
  <c r="R96" i="9"/>
  <c r="F96" i="9"/>
  <c r="AO96" i="9"/>
  <c r="AC96" i="9"/>
  <c r="Q96" i="9"/>
  <c r="E96" i="9"/>
  <c r="AN96" i="9"/>
  <c r="AB96" i="9"/>
  <c r="P96" i="9"/>
  <c r="D96" i="9"/>
  <c r="AM96" i="9"/>
  <c r="AA96" i="9"/>
  <c r="O96" i="9"/>
  <c r="C96" i="9"/>
  <c r="AL96" i="9"/>
  <c r="Z96" i="9"/>
  <c r="N96" i="9"/>
  <c r="AK96" i="9"/>
  <c r="Y96" i="9"/>
  <c r="M96" i="9"/>
  <c r="AV96" i="9"/>
  <c r="AJ96" i="9"/>
  <c r="X96" i="9"/>
  <c r="L96" i="9"/>
  <c r="AU96" i="9"/>
  <c r="AI96" i="9"/>
  <c r="W96" i="9"/>
  <c r="K96" i="9"/>
  <c r="AT96" i="9"/>
  <c r="AH96" i="9"/>
  <c r="V96" i="9"/>
  <c r="J96" i="9"/>
  <c r="AS96" i="9"/>
  <c r="AG96" i="9"/>
  <c r="U96" i="9"/>
  <c r="I96" i="9"/>
  <c r="AR96" i="9"/>
  <c r="AF96" i="9"/>
  <c r="T96" i="9"/>
  <c r="H96" i="9"/>
  <c r="AQ96" i="9"/>
  <c r="AE96" i="9"/>
  <c r="S96" i="9"/>
  <c r="G96" i="9"/>
  <c r="J8" i="8"/>
  <c r="D49" i="8" s="1"/>
  <c r="AR97" i="9"/>
  <c r="AF97" i="9"/>
  <c r="T97" i="9"/>
  <c r="H97" i="9"/>
  <c r="AQ97" i="9"/>
  <c r="AE97" i="9"/>
  <c r="S97" i="9"/>
  <c r="G97" i="9"/>
  <c r="AP97" i="9"/>
  <c r="AD97" i="9"/>
  <c r="R97" i="9"/>
  <c r="F97" i="9"/>
  <c r="AO97" i="9"/>
  <c r="AC97" i="9"/>
  <c r="Q97" i="9"/>
  <c r="E97" i="9"/>
  <c r="AN97" i="9"/>
  <c r="AB97" i="9"/>
  <c r="P97" i="9"/>
  <c r="D97" i="9"/>
  <c r="AM97" i="9"/>
  <c r="AA97" i="9"/>
  <c r="O97" i="9"/>
  <c r="C97" i="9"/>
  <c r="AL97" i="9"/>
  <c r="Z97" i="9"/>
  <c r="N97" i="9"/>
  <c r="AK97" i="9"/>
  <c r="Y97" i="9"/>
  <c r="M97" i="9"/>
  <c r="AV97" i="9"/>
  <c r="AJ97" i="9"/>
  <c r="X97" i="9"/>
  <c r="L97" i="9"/>
  <c r="AU97" i="9"/>
  <c r="AI97" i="9"/>
  <c r="W97" i="9"/>
  <c r="K97" i="9"/>
  <c r="AT97" i="9"/>
  <c r="AH97" i="9"/>
  <c r="V97" i="9"/>
  <c r="J97" i="9"/>
  <c r="AS97" i="9"/>
  <c r="AG97" i="9"/>
  <c r="U97" i="9"/>
  <c r="I97" i="9"/>
  <c r="D100" i="12"/>
  <c r="D104" i="12" s="1"/>
  <c r="D112" i="12"/>
  <c r="D113" i="12" s="1"/>
  <c r="H28" i="16"/>
  <c r="D28" i="16"/>
  <c r="C28" i="16"/>
  <c r="B28" i="16"/>
  <c r="A50" i="18"/>
  <c r="I50" i="17"/>
  <c r="H50" i="17"/>
  <c r="G50" i="17"/>
  <c r="E50" i="17"/>
  <c r="D50" i="17"/>
  <c r="F50" i="17"/>
  <c r="C50" i="17"/>
  <c r="B50" i="17"/>
  <c r="K50" i="17"/>
  <c r="J50" i="17"/>
  <c r="A30" i="18"/>
  <c r="I30" i="17"/>
  <c r="H30" i="17"/>
  <c r="G30" i="17"/>
  <c r="F30" i="17"/>
  <c r="E30" i="17"/>
  <c r="D30" i="17"/>
  <c r="C30" i="17"/>
  <c r="B30" i="17"/>
  <c r="K30" i="17"/>
  <c r="J30" i="17"/>
  <c r="A103" i="18"/>
  <c r="B103" i="17"/>
  <c r="H103" i="17"/>
  <c r="G103" i="17"/>
  <c r="F103" i="17"/>
  <c r="E103" i="17"/>
  <c r="D103" i="17"/>
  <c r="C103" i="17"/>
  <c r="K103" i="17"/>
  <c r="J103" i="17"/>
  <c r="I103" i="17"/>
  <c r="R9" i="19"/>
  <c r="Q9" i="19"/>
  <c r="H20" i="12"/>
  <c r="A73" i="18"/>
  <c r="H73" i="17"/>
  <c r="G73" i="17"/>
  <c r="F73" i="17"/>
  <c r="D73" i="17"/>
  <c r="C73" i="17"/>
  <c r="K73" i="17"/>
  <c r="J73" i="17"/>
  <c r="I73" i="17"/>
  <c r="E73" i="17"/>
  <c r="B73" i="17"/>
  <c r="H16" i="16"/>
  <c r="D16" i="16"/>
  <c r="C16" i="16"/>
  <c r="B16" i="16"/>
  <c r="A32" i="18"/>
  <c r="C32" i="17"/>
  <c r="K32" i="17"/>
  <c r="J32" i="17"/>
  <c r="I32" i="17"/>
  <c r="H32" i="17"/>
  <c r="G32" i="17"/>
  <c r="F32" i="17"/>
  <c r="E32" i="17"/>
  <c r="D32" i="17"/>
  <c r="B32" i="17"/>
  <c r="A53" i="18"/>
  <c r="K53" i="17"/>
  <c r="J53" i="17"/>
  <c r="H53" i="17"/>
  <c r="G53" i="17"/>
  <c r="I53" i="17"/>
  <c r="F53" i="17"/>
  <c r="E53" i="17"/>
  <c r="D53" i="17"/>
  <c r="C53" i="17"/>
  <c r="B53" i="17"/>
  <c r="C21" i="16"/>
  <c r="H21" i="16"/>
  <c r="D21" i="16"/>
  <c r="B21" i="16"/>
  <c r="A46" i="18"/>
  <c r="E46" i="17"/>
  <c r="D46" i="17"/>
  <c r="I46" i="17"/>
  <c r="H46" i="17"/>
  <c r="G46" i="17"/>
  <c r="F46" i="17"/>
  <c r="C46" i="17"/>
  <c r="B46" i="17"/>
  <c r="K46" i="17"/>
  <c r="J46" i="17"/>
  <c r="A22" i="18"/>
  <c r="E22" i="17"/>
  <c r="F22" i="17"/>
  <c r="D22" i="17"/>
  <c r="C22" i="17"/>
  <c r="B22" i="17"/>
  <c r="K22" i="17"/>
  <c r="J22" i="17"/>
  <c r="I22" i="17"/>
  <c r="H22" i="17"/>
  <c r="G22" i="17"/>
  <c r="A52" i="18"/>
  <c r="K52" i="17"/>
  <c r="J52" i="17"/>
  <c r="I52" i="17"/>
  <c r="G52" i="17"/>
  <c r="F52" i="17"/>
  <c r="D52" i="17"/>
  <c r="C52" i="17"/>
  <c r="B52" i="17"/>
  <c r="H52" i="17"/>
  <c r="E52" i="17"/>
  <c r="C44" i="16"/>
  <c r="B44" i="16"/>
  <c r="H44" i="16"/>
  <c r="D44" i="16"/>
  <c r="A20" i="18"/>
  <c r="C20" i="17"/>
  <c r="K20" i="17"/>
  <c r="J20" i="17"/>
  <c r="I20" i="17"/>
  <c r="H20" i="17"/>
  <c r="G20" i="17"/>
  <c r="F20" i="17"/>
  <c r="E20" i="17"/>
  <c r="D20" i="17"/>
  <c r="B20" i="17"/>
  <c r="A191" i="18"/>
  <c r="J191" i="17"/>
  <c r="K191" i="17"/>
  <c r="I191" i="17"/>
  <c r="H191" i="17"/>
  <c r="G191" i="17"/>
  <c r="F191" i="17"/>
  <c r="E191" i="17"/>
  <c r="D191" i="17"/>
  <c r="C191" i="17"/>
  <c r="B191" i="17"/>
  <c r="A47" i="18"/>
  <c r="F47" i="17"/>
  <c r="E47" i="17"/>
  <c r="D47" i="17"/>
  <c r="B47" i="17"/>
  <c r="K47" i="17"/>
  <c r="J47" i="17"/>
  <c r="I47" i="17"/>
  <c r="H47" i="17"/>
  <c r="G47" i="17"/>
  <c r="C47" i="17"/>
  <c r="A146" i="18"/>
  <c r="I146" i="17"/>
  <c r="H146" i="17"/>
  <c r="G146" i="17"/>
  <c r="F146" i="17"/>
  <c r="E146" i="17"/>
  <c r="C146" i="17"/>
  <c r="K146" i="17"/>
  <c r="J146" i="17"/>
  <c r="D146" i="17"/>
  <c r="B146" i="17"/>
  <c r="A125" i="18"/>
  <c r="K125" i="17"/>
  <c r="J125" i="17"/>
  <c r="H125" i="17"/>
  <c r="F125" i="17"/>
  <c r="C125" i="17"/>
  <c r="B125" i="17"/>
  <c r="I125" i="17"/>
  <c r="G125" i="17"/>
  <c r="E125" i="17"/>
  <c r="D125" i="17"/>
  <c r="A42" i="18"/>
  <c r="I42" i="17"/>
  <c r="H42" i="17"/>
  <c r="G42" i="17"/>
  <c r="F42" i="17"/>
  <c r="E42" i="17"/>
  <c r="D42" i="17"/>
  <c r="C42" i="17"/>
  <c r="B42" i="17"/>
  <c r="K42" i="17"/>
  <c r="J42" i="17"/>
  <c r="A171" i="18"/>
  <c r="J171" i="17"/>
  <c r="I171" i="17"/>
  <c r="H171" i="17"/>
  <c r="G171" i="17"/>
  <c r="F171" i="17"/>
  <c r="E171" i="17"/>
  <c r="D171" i="17"/>
  <c r="C171" i="17"/>
  <c r="B171" i="17"/>
  <c r="K171" i="17"/>
  <c r="A189" i="18"/>
  <c r="H189" i="17"/>
  <c r="I189" i="17"/>
  <c r="G189" i="17"/>
  <c r="F189" i="17"/>
  <c r="E189" i="17"/>
  <c r="D189" i="17"/>
  <c r="C189" i="17"/>
  <c r="B189" i="17"/>
  <c r="K189" i="17"/>
  <c r="J189" i="17"/>
  <c r="A167" i="18"/>
  <c r="F167" i="17"/>
  <c r="E167" i="17"/>
  <c r="D167" i="17"/>
  <c r="C167" i="17"/>
  <c r="B167" i="17"/>
  <c r="K167" i="17"/>
  <c r="J167" i="17"/>
  <c r="I167" i="17"/>
  <c r="H167" i="17"/>
  <c r="G167" i="17"/>
  <c r="A187" i="18"/>
  <c r="F187" i="17"/>
  <c r="D187" i="17"/>
  <c r="C187" i="17"/>
  <c r="B187" i="17"/>
  <c r="K187" i="17"/>
  <c r="J187" i="17"/>
  <c r="I187" i="17"/>
  <c r="H187" i="17"/>
  <c r="G187" i="17"/>
  <c r="E187" i="17"/>
  <c r="A115" i="18"/>
  <c r="B115" i="17"/>
  <c r="F115" i="17"/>
  <c r="E115" i="17"/>
  <c r="D115" i="17"/>
  <c r="C115" i="17"/>
  <c r="K115" i="17"/>
  <c r="J115" i="17"/>
  <c r="I115" i="17"/>
  <c r="H115" i="17"/>
  <c r="G115" i="17"/>
  <c r="A150" i="18"/>
  <c r="K150" i="17"/>
  <c r="J150" i="17"/>
  <c r="I150" i="17"/>
  <c r="G150" i="17"/>
  <c r="H150" i="17"/>
  <c r="F150" i="17"/>
  <c r="E150" i="17"/>
  <c r="D150" i="17"/>
  <c r="C150" i="17"/>
  <c r="B150" i="17"/>
  <c r="A238" i="18"/>
  <c r="I238" i="17"/>
  <c r="H238" i="17"/>
  <c r="G238" i="17"/>
  <c r="F238" i="17"/>
  <c r="E238" i="17"/>
  <c r="D238" i="17"/>
  <c r="C238" i="17"/>
  <c r="B238" i="17"/>
  <c r="K238" i="17"/>
  <c r="J238" i="17"/>
  <c r="A234" i="18"/>
  <c r="E234" i="17"/>
  <c r="D234" i="17"/>
  <c r="C234" i="17"/>
  <c r="B234" i="17"/>
  <c r="K234" i="17"/>
  <c r="J234" i="17"/>
  <c r="I234" i="17"/>
  <c r="H234" i="17"/>
  <c r="G234" i="17"/>
  <c r="F234" i="17"/>
  <c r="A218" i="18"/>
  <c r="K218" i="17"/>
  <c r="I218" i="17"/>
  <c r="H218" i="17"/>
  <c r="F218" i="17"/>
  <c r="E218" i="17"/>
  <c r="J218" i="17"/>
  <c r="G218" i="17"/>
  <c r="D218" i="17"/>
  <c r="C218" i="17"/>
  <c r="B218" i="17"/>
  <c r="I30" i="9"/>
  <c r="C30" i="9"/>
  <c r="Q39" i="15"/>
  <c r="K39" i="15"/>
  <c r="C20" i="9"/>
  <c r="I20" i="9"/>
  <c r="I7" i="9"/>
  <c r="C7" i="9"/>
  <c r="E57" i="9"/>
  <c r="D57" i="9"/>
  <c r="D75" i="9"/>
  <c r="E75" i="9"/>
  <c r="R13" i="19"/>
  <c r="Q13" i="19"/>
  <c r="I14" i="12"/>
  <c r="I28" i="9"/>
  <c r="C28" i="9"/>
  <c r="K30" i="15"/>
  <c r="Q30" i="15"/>
  <c r="D65" i="9"/>
  <c r="E65" i="9"/>
  <c r="R6" i="19"/>
  <c r="Q6" i="19"/>
  <c r="H27" i="8"/>
  <c r="W47" i="8" s="1"/>
  <c r="F11" i="5"/>
  <c r="L27" i="8" s="1"/>
  <c r="W51" i="8" s="1"/>
  <c r="I20" i="12"/>
  <c r="C41" i="16"/>
  <c r="B41" i="16"/>
  <c r="H41" i="16"/>
  <c r="D41" i="16"/>
  <c r="A222" i="18"/>
  <c r="E222" i="17"/>
  <c r="D222" i="17"/>
  <c r="C222" i="17"/>
  <c r="K222" i="17"/>
  <c r="J222" i="17"/>
  <c r="I222" i="17"/>
  <c r="G222" i="17"/>
  <c r="H222" i="17"/>
  <c r="F222" i="17"/>
  <c r="B222" i="17"/>
  <c r="A86" i="18"/>
  <c r="I86" i="17"/>
  <c r="H86" i="17"/>
  <c r="G86" i="17"/>
  <c r="F86" i="17"/>
  <c r="E86" i="17"/>
  <c r="D86" i="17"/>
  <c r="B86" i="17"/>
  <c r="K86" i="17"/>
  <c r="J86" i="17"/>
  <c r="C86" i="17"/>
  <c r="A10" i="18"/>
  <c r="C10" i="17"/>
  <c r="B10" i="17"/>
  <c r="K10" i="17"/>
  <c r="I10" i="17"/>
  <c r="H10" i="17"/>
  <c r="G10" i="17"/>
  <c r="J10" i="17"/>
  <c r="F10" i="17"/>
  <c r="E10" i="17"/>
  <c r="D10" i="17"/>
  <c r="A81" i="18"/>
  <c r="D81" i="17"/>
  <c r="C81" i="17"/>
  <c r="B81" i="17"/>
  <c r="K81" i="17"/>
  <c r="I81" i="17"/>
  <c r="J81" i="17"/>
  <c r="H81" i="17"/>
  <c r="G81" i="17"/>
  <c r="F81" i="17"/>
  <c r="E81" i="17"/>
  <c r="A188" i="18"/>
  <c r="G188" i="17"/>
  <c r="F188" i="17"/>
  <c r="E188" i="17"/>
  <c r="D188" i="17"/>
  <c r="C188" i="17"/>
  <c r="B188" i="17"/>
  <c r="K188" i="17"/>
  <c r="J188" i="17"/>
  <c r="I188" i="17"/>
  <c r="H188" i="17"/>
  <c r="A230" i="18"/>
  <c r="K230" i="17"/>
  <c r="J230" i="17"/>
  <c r="I230" i="17"/>
  <c r="H230" i="17"/>
  <c r="G230" i="17"/>
  <c r="F230" i="17"/>
  <c r="E230" i="17"/>
  <c r="D230" i="17"/>
  <c r="C230" i="17"/>
  <c r="B230" i="17"/>
  <c r="C19" i="9"/>
  <c r="I19" i="9"/>
  <c r="C8" i="16"/>
  <c r="B8" i="16"/>
  <c r="H8" i="16" s="1"/>
  <c r="C11" i="16"/>
  <c r="B11" i="16"/>
  <c r="H11" i="16" s="1"/>
  <c r="A18" i="18"/>
  <c r="K18" i="17"/>
  <c r="J18" i="17"/>
  <c r="I18" i="17"/>
  <c r="H18" i="17"/>
  <c r="G18" i="17"/>
  <c r="F18" i="17"/>
  <c r="E18" i="17"/>
  <c r="D18" i="17"/>
  <c r="C18" i="17"/>
  <c r="B18" i="17"/>
  <c r="A100" i="18"/>
  <c r="K100" i="17"/>
  <c r="J100" i="17"/>
  <c r="I100" i="17"/>
  <c r="H100" i="17"/>
  <c r="G100" i="17"/>
  <c r="F100" i="17"/>
  <c r="E100" i="17"/>
  <c r="D100" i="17"/>
  <c r="C100" i="17"/>
  <c r="B100" i="17"/>
  <c r="D27" i="16"/>
  <c r="C27" i="16"/>
  <c r="H27" i="16"/>
  <c r="B27" i="16"/>
  <c r="A84" i="18"/>
  <c r="G84" i="17"/>
  <c r="F84" i="17"/>
  <c r="E84" i="17"/>
  <c r="D84" i="17"/>
  <c r="C84" i="17"/>
  <c r="B84" i="17"/>
  <c r="K84" i="17"/>
  <c r="J84" i="17"/>
  <c r="I84" i="17"/>
  <c r="H84" i="17"/>
  <c r="A61" i="18"/>
  <c r="H61" i="17"/>
  <c r="G61" i="17"/>
  <c r="F61" i="17"/>
  <c r="D61" i="17"/>
  <c r="C61" i="17"/>
  <c r="J61" i="17"/>
  <c r="I61" i="17"/>
  <c r="E61" i="17"/>
  <c r="B61" i="17"/>
  <c r="K61" i="17"/>
  <c r="C14" i="16"/>
  <c r="B14" i="16"/>
  <c r="D14" i="16"/>
  <c r="H14" i="16"/>
  <c r="A21" i="18"/>
  <c r="D21" i="17"/>
  <c r="C21" i="17"/>
  <c r="B21" i="17"/>
  <c r="K21" i="17"/>
  <c r="J21" i="17"/>
  <c r="I21" i="17"/>
  <c r="H21" i="17"/>
  <c r="G21" i="17"/>
  <c r="F21" i="17"/>
  <c r="E21" i="17"/>
  <c r="A44" i="18"/>
  <c r="C44" i="17"/>
  <c r="B44" i="17"/>
  <c r="K44" i="17"/>
  <c r="J44" i="17"/>
  <c r="I44" i="17"/>
  <c r="H44" i="17"/>
  <c r="G44" i="17"/>
  <c r="F44" i="17"/>
  <c r="E44" i="17"/>
  <c r="D44" i="17"/>
  <c r="A108" i="18"/>
  <c r="G108" i="17"/>
  <c r="F108" i="17"/>
  <c r="K108" i="17"/>
  <c r="J108" i="17"/>
  <c r="I108" i="17"/>
  <c r="H108" i="17"/>
  <c r="E108" i="17"/>
  <c r="D108" i="17"/>
  <c r="C108" i="17"/>
  <c r="B108" i="17"/>
  <c r="A71" i="18"/>
  <c r="F71" i="17"/>
  <c r="E71" i="17"/>
  <c r="D71" i="17"/>
  <c r="B71" i="17"/>
  <c r="K71" i="17"/>
  <c r="J71" i="17"/>
  <c r="I71" i="17"/>
  <c r="H71" i="17"/>
  <c r="G71" i="17"/>
  <c r="C71" i="17"/>
  <c r="A92" i="18"/>
  <c r="C92" i="17"/>
  <c r="E92" i="17"/>
  <c r="D92" i="17"/>
  <c r="B92" i="17"/>
  <c r="K92" i="17"/>
  <c r="J92" i="17"/>
  <c r="I92" i="17"/>
  <c r="H92" i="17"/>
  <c r="G92" i="17"/>
  <c r="F92" i="17"/>
  <c r="A43" i="18"/>
  <c r="B43" i="17"/>
  <c r="K43" i="17"/>
  <c r="J43" i="17"/>
  <c r="I43" i="17"/>
  <c r="H43" i="17"/>
  <c r="G43" i="17"/>
  <c r="F43" i="17"/>
  <c r="E43" i="17"/>
  <c r="D43" i="17"/>
  <c r="C43" i="17"/>
  <c r="A66" i="18"/>
  <c r="K66" i="17"/>
  <c r="I66" i="17"/>
  <c r="H66" i="17"/>
  <c r="J66" i="17"/>
  <c r="G66" i="17"/>
  <c r="F66" i="17"/>
  <c r="E66" i="17"/>
  <c r="D66" i="17"/>
  <c r="C66" i="17"/>
  <c r="B66" i="17"/>
  <c r="A190" i="18"/>
  <c r="I190" i="17"/>
  <c r="K190" i="17"/>
  <c r="J190" i="17"/>
  <c r="H190" i="17"/>
  <c r="G190" i="17"/>
  <c r="F190" i="17"/>
  <c r="E190" i="17"/>
  <c r="D190" i="17"/>
  <c r="C190" i="17"/>
  <c r="B190" i="17"/>
  <c r="A229" i="18"/>
  <c r="K229" i="17"/>
  <c r="J229" i="17"/>
  <c r="I229" i="17"/>
  <c r="H229" i="17"/>
  <c r="G229" i="17"/>
  <c r="F229" i="17"/>
  <c r="E229" i="17"/>
  <c r="D229" i="17"/>
  <c r="C229" i="17"/>
  <c r="B229" i="17"/>
  <c r="A118" i="18"/>
  <c r="E118" i="17"/>
  <c r="D118" i="17"/>
  <c r="C118" i="17"/>
  <c r="B118" i="17"/>
  <c r="K118" i="17"/>
  <c r="J118" i="17"/>
  <c r="I118" i="17"/>
  <c r="H118" i="17"/>
  <c r="G118" i="17"/>
  <c r="F118" i="17"/>
  <c r="A199" i="18"/>
  <c r="F199" i="17"/>
  <c r="B199" i="17"/>
  <c r="J199" i="17"/>
  <c r="E199" i="17"/>
  <c r="D199" i="17"/>
  <c r="C199" i="17"/>
  <c r="K199" i="17"/>
  <c r="I199" i="17"/>
  <c r="H199" i="17"/>
  <c r="G199" i="17"/>
  <c r="A139" i="18"/>
  <c r="B139" i="17"/>
  <c r="K139" i="17"/>
  <c r="J139" i="17"/>
  <c r="H139" i="17"/>
  <c r="I139" i="17"/>
  <c r="G139" i="17"/>
  <c r="F139" i="17"/>
  <c r="E139" i="17"/>
  <c r="D139" i="17"/>
  <c r="C139" i="17"/>
  <c r="A173" i="18"/>
  <c r="D173" i="17"/>
  <c r="K173" i="17"/>
  <c r="J173" i="17"/>
  <c r="I173" i="17"/>
  <c r="H173" i="17"/>
  <c r="G173" i="17"/>
  <c r="F173" i="17"/>
  <c r="E173" i="17"/>
  <c r="C173" i="17"/>
  <c r="B173" i="17"/>
  <c r="A225" i="18"/>
  <c r="H225" i="17"/>
  <c r="G225" i="17"/>
  <c r="F225" i="17"/>
  <c r="E225" i="17"/>
  <c r="D225" i="17"/>
  <c r="C225" i="17"/>
  <c r="B225" i="17"/>
  <c r="K225" i="17"/>
  <c r="J225" i="17"/>
  <c r="I225" i="17"/>
  <c r="A208" i="18"/>
  <c r="C208" i="17"/>
  <c r="B208" i="17"/>
  <c r="K208" i="17"/>
  <c r="H208" i="17"/>
  <c r="G208" i="17"/>
  <c r="J208" i="17"/>
  <c r="I208" i="17"/>
  <c r="F208" i="17"/>
  <c r="E208" i="17"/>
  <c r="D208" i="17"/>
  <c r="A242" i="18"/>
  <c r="K242" i="17"/>
  <c r="J242" i="17"/>
  <c r="I242" i="17"/>
  <c r="H242" i="17"/>
  <c r="G242" i="17"/>
  <c r="F242" i="17"/>
  <c r="E242" i="17"/>
  <c r="D242" i="17"/>
  <c r="C242" i="17"/>
  <c r="B242" i="17"/>
  <c r="C47" i="9"/>
  <c r="I47" i="9"/>
  <c r="D29" i="13"/>
  <c r="D30" i="13" s="1"/>
  <c r="I18" i="9"/>
  <c r="C18" i="9"/>
  <c r="E72" i="9"/>
  <c r="D72" i="9"/>
  <c r="E69" i="9"/>
  <c r="D69" i="9"/>
  <c r="D71" i="9"/>
  <c r="E71" i="9"/>
  <c r="R10" i="19"/>
  <c r="Q10" i="19"/>
  <c r="F10" i="5"/>
  <c r="G27" i="8" s="1"/>
  <c r="W46" i="8" s="1"/>
  <c r="C27" i="8"/>
  <c r="W42" i="8" s="1"/>
  <c r="D10" i="13"/>
  <c r="D23" i="13" s="1"/>
  <c r="D9" i="13"/>
  <c r="D22" i="13" s="1"/>
  <c r="D8" i="13"/>
  <c r="D21" i="13" s="1"/>
  <c r="A51" i="18"/>
  <c r="J51" i="17"/>
  <c r="I51" i="17"/>
  <c r="H51" i="17"/>
  <c r="F51" i="17"/>
  <c r="E51" i="17"/>
  <c r="K51" i="17"/>
  <c r="G51" i="17"/>
  <c r="D51" i="17"/>
  <c r="C51" i="17"/>
  <c r="B51" i="17"/>
  <c r="A145" i="18"/>
  <c r="H145" i="17"/>
  <c r="G145" i="17"/>
  <c r="F145" i="17"/>
  <c r="E145" i="17"/>
  <c r="D145" i="17"/>
  <c r="B145" i="17"/>
  <c r="K145" i="17"/>
  <c r="J145" i="17"/>
  <c r="I145" i="17"/>
  <c r="C145" i="17"/>
  <c r="A183" i="18"/>
  <c r="B183" i="17"/>
  <c r="I183" i="17"/>
  <c r="H183" i="17"/>
  <c r="G183" i="17"/>
  <c r="F183" i="17"/>
  <c r="E183" i="17"/>
  <c r="D183" i="17"/>
  <c r="C183" i="17"/>
  <c r="K183" i="17"/>
  <c r="J183" i="17"/>
  <c r="C12" i="4"/>
  <c r="A19" i="18"/>
  <c r="K19" i="17"/>
  <c r="J19" i="17"/>
  <c r="I19" i="17"/>
  <c r="H19" i="17"/>
  <c r="G19" i="17"/>
  <c r="F19" i="17"/>
  <c r="E19" i="17"/>
  <c r="D19" i="17"/>
  <c r="C19" i="17"/>
  <c r="B19" i="17"/>
  <c r="A88" i="18"/>
  <c r="K88" i="17"/>
  <c r="J88" i="17"/>
  <c r="I88" i="17"/>
  <c r="H88" i="17"/>
  <c r="G88" i="17"/>
  <c r="F88" i="17"/>
  <c r="E88" i="17"/>
  <c r="D88" i="17"/>
  <c r="C88" i="17"/>
  <c r="B88" i="17"/>
  <c r="A185" i="18"/>
  <c r="D185" i="17"/>
  <c r="K185" i="17"/>
  <c r="J185" i="17"/>
  <c r="I185" i="17"/>
  <c r="H185" i="17"/>
  <c r="G185" i="17"/>
  <c r="F185" i="17"/>
  <c r="E185" i="17"/>
  <c r="C185" i="17"/>
  <c r="B185" i="17"/>
  <c r="A127" i="18"/>
  <c r="B127" i="17"/>
  <c r="J127" i="17"/>
  <c r="H127" i="17"/>
  <c r="C127" i="17"/>
  <c r="K127" i="17"/>
  <c r="I127" i="17"/>
  <c r="G127" i="17"/>
  <c r="F127" i="17"/>
  <c r="E127" i="17"/>
  <c r="D127" i="17"/>
  <c r="A75" i="18"/>
  <c r="J75" i="17"/>
  <c r="I75" i="17"/>
  <c r="H75" i="17"/>
  <c r="F75" i="17"/>
  <c r="E75" i="17"/>
  <c r="K75" i="17"/>
  <c r="G75" i="17"/>
  <c r="D75" i="17"/>
  <c r="C75" i="17"/>
  <c r="B75" i="17"/>
  <c r="D19" i="16"/>
  <c r="H19" i="16"/>
  <c r="C19" i="16"/>
  <c r="B19" i="16"/>
  <c r="A25" i="18"/>
  <c r="H25" i="17"/>
  <c r="K25" i="17"/>
  <c r="J25" i="17"/>
  <c r="I25" i="17"/>
  <c r="G25" i="17"/>
  <c r="F25" i="17"/>
  <c r="E25" i="17"/>
  <c r="D25" i="17"/>
  <c r="C25" i="17"/>
  <c r="B25" i="17"/>
  <c r="A16" i="18"/>
  <c r="I16" i="17"/>
  <c r="H16" i="17"/>
  <c r="G16" i="17"/>
  <c r="F16" i="17"/>
  <c r="E16" i="17"/>
  <c r="D16" i="17"/>
  <c r="C16" i="17"/>
  <c r="B16" i="17"/>
  <c r="K16" i="17"/>
  <c r="J16" i="17"/>
  <c r="D30" i="16"/>
  <c r="C30" i="16"/>
  <c r="H30" i="16"/>
  <c r="B30" i="16"/>
  <c r="A109" i="18"/>
  <c r="H109" i="17"/>
  <c r="G109" i="17"/>
  <c r="K109" i="17"/>
  <c r="J109" i="17"/>
  <c r="I109" i="17"/>
  <c r="F109" i="17"/>
  <c r="E109" i="17"/>
  <c r="D109" i="17"/>
  <c r="C109" i="17"/>
  <c r="B109" i="17"/>
  <c r="A63" i="18"/>
  <c r="J63" i="17"/>
  <c r="I63" i="17"/>
  <c r="H63" i="17"/>
  <c r="F63" i="17"/>
  <c r="E63" i="17"/>
  <c r="G63" i="17"/>
  <c r="D63" i="17"/>
  <c r="C63" i="17"/>
  <c r="B63" i="17"/>
  <c r="K63" i="17"/>
  <c r="C17" i="16"/>
  <c r="B17" i="16"/>
  <c r="H17" i="16"/>
  <c r="D17" i="16"/>
  <c r="A27" i="18"/>
  <c r="J27" i="17"/>
  <c r="C27" i="17"/>
  <c r="B27" i="17"/>
  <c r="K27" i="17"/>
  <c r="I27" i="17"/>
  <c r="H27" i="17"/>
  <c r="G27" i="17"/>
  <c r="F27" i="17"/>
  <c r="E27" i="17"/>
  <c r="D27" i="17"/>
  <c r="A105" i="18"/>
  <c r="D105" i="17"/>
  <c r="C105" i="17"/>
  <c r="K105" i="17"/>
  <c r="J105" i="17"/>
  <c r="I105" i="17"/>
  <c r="H105" i="17"/>
  <c r="G105" i="17"/>
  <c r="F105" i="17"/>
  <c r="E105" i="17"/>
  <c r="B105" i="17"/>
  <c r="A112" i="18"/>
  <c r="K112" i="17"/>
  <c r="J112" i="17"/>
  <c r="I112" i="17"/>
  <c r="H112" i="17"/>
  <c r="G112" i="17"/>
  <c r="F112" i="17"/>
  <c r="E112" i="17"/>
  <c r="D112" i="17"/>
  <c r="C112" i="17"/>
  <c r="B112" i="17"/>
  <c r="A83" i="18"/>
  <c r="F83" i="17"/>
  <c r="E83" i="17"/>
  <c r="D83" i="17"/>
  <c r="C83" i="17"/>
  <c r="B83" i="17"/>
  <c r="K83" i="17"/>
  <c r="J83" i="17"/>
  <c r="I83" i="17"/>
  <c r="H83" i="17"/>
  <c r="G83" i="17"/>
  <c r="A134" i="18"/>
  <c r="I134" i="17"/>
  <c r="H134" i="17"/>
  <c r="G134" i="17"/>
  <c r="E134" i="17"/>
  <c r="C134" i="17"/>
  <c r="F134" i="17"/>
  <c r="D134" i="17"/>
  <c r="B134" i="17"/>
  <c r="K134" i="17"/>
  <c r="J134" i="17"/>
  <c r="A55" i="18"/>
  <c r="B55" i="17"/>
  <c r="J55" i="17"/>
  <c r="I55" i="17"/>
  <c r="K55" i="17"/>
  <c r="H55" i="17"/>
  <c r="G55" i="17"/>
  <c r="F55" i="17"/>
  <c r="E55" i="17"/>
  <c r="D55" i="17"/>
  <c r="C55" i="17"/>
  <c r="A78" i="18"/>
  <c r="K78" i="17"/>
  <c r="I78" i="17"/>
  <c r="H78" i="17"/>
  <c r="F78" i="17"/>
  <c r="E78" i="17"/>
  <c r="D78" i="17"/>
  <c r="C78" i="17"/>
  <c r="B78" i="17"/>
  <c r="J78" i="17"/>
  <c r="G78" i="17"/>
  <c r="A158" i="18"/>
  <c r="I158" i="17"/>
  <c r="H158" i="17"/>
  <c r="G158" i="17"/>
  <c r="F158" i="17"/>
  <c r="E158" i="17"/>
  <c r="D158" i="17"/>
  <c r="C158" i="17"/>
  <c r="B158" i="17"/>
  <c r="K158" i="17"/>
  <c r="J158" i="17"/>
  <c r="A132" i="18"/>
  <c r="G132" i="17"/>
  <c r="F132" i="17"/>
  <c r="E132" i="17"/>
  <c r="C132" i="17"/>
  <c r="I132" i="17"/>
  <c r="H132" i="17"/>
  <c r="D132" i="17"/>
  <c r="B132" i="17"/>
  <c r="K132" i="17"/>
  <c r="J132" i="17"/>
  <c r="A130" i="18"/>
  <c r="E130" i="17"/>
  <c r="D130" i="17"/>
  <c r="C130" i="17"/>
  <c r="K130" i="17"/>
  <c r="I130" i="17"/>
  <c r="H130" i="17"/>
  <c r="G130" i="17"/>
  <c r="F130" i="17"/>
  <c r="B130" i="17"/>
  <c r="J130" i="17"/>
  <c r="A128" i="18"/>
  <c r="C128" i="17"/>
  <c r="B128" i="17"/>
  <c r="K128" i="17"/>
  <c r="I128" i="17"/>
  <c r="J128" i="17"/>
  <c r="H128" i="17"/>
  <c r="G128" i="17"/>
  <c r="F128" i="17"/>
  <c r="E128" i="17"/>
  <c r="D128" i="17"/>
  <c r="A151" i="18"/>
  <c r="B151" i="17"/>
  <c r="K151" i="17"/>
  <c r="J151" i="17"/>
  <c r="I151" i="17"/>
  <c r="H151" i="17"/>
  <c r="G151" i="17"/>
  <c r="F151" i="17"/>
  <c r="D151" i="17"/>
  <c r="C151" i="17"/>
  <c r="E151" i="17"/>
  <c r="A179" i="18"/>
  <c r="J179" i="17"/>
  <c r="K179" i="17"/>
  <c r="I179" i="17"/>
  <c r="H179" i="17"/>
  <c r="G179" i="17"/>
  <c r="F179" i="17"/>
  <c r="E179" i="17"/>
  <c r="D179" i="17"/>
  <c r="C179" i="17"/>
  <c r="B179" i="17"/>
  <c r="A237" i="18"/>
  <c r="H237" i="17"/>
  <c r="G237" i="17"/>
  <c r="F237" i="17"/>
  <c r="E237" i="17"/>
  <c r="D237" i="17"/>
  <c r="C237" i="17"/>
  <c r="B237" i="17"/>
  <c r="K237" i="17"/>
  <c r="J237" i="17"/>
  <c r="I237" i="17"/>
  <c r="A220" i="18"/>
  <c r="C220" i="17"/>
  <c r="B220" i="17"/>
  <c r="K220" i="17"/>
  <c r="J220" i="17"/>
  <c r="H220" i="17"/>
  <c r="G220" i="17"/>
  <c r="E220" i="17"/>
  <c r="I220" i="17"/>
  <c r="F220" i="17"/>
  <c r="D220" i="17"/>
  <c r="K57" i="15"/>
  <c r="Q57" i="15"/>
  <c r="C25" i="9"/>
  <c r="I25" i="9"/>
  <c r="I26" i="9"/>
  <c r="C26" i="9"/>
  <c r="I18" i="12"/>
  <c r="C18" i="16"/>
  <c r="H18" i="16"/>
  <c r="D18" i="16"/>
  <c r="B18" i="16"/>
  <c r="A148" i="18"/>
  <c r="K148" i="17"/>
  <c r="J148" i="17"/>
  <c r="I148" i="17"/>
  <c r="H148" i="17"/>
  <c r="G148" i="17"/>
  <c r="E148" i="17"/>
  <c r="F148" i="17"/>
  <c r="D148" i="17"/>
  <c r="C148" i="17"/>
  <c r="B148" i="17"/>
  <c r="A138" i="18"/>
  <c r="K138" i="17"/>
  <c r="I138" i="17"/>
  <c r="G138" i="17"/>
  <c r="D138" i="17"/>
  <c r="C138" i="17"/>
  <c r="B138" i="17"/>
  <c r="J138" i="17"/>
  <c r="H138" i="17"/>
  <c r="F138" i="17"/>
  <c r="E138" i="17"/>
  <c r="C24" i="16"/>
  <c r="H24" i="16"/>
  <c r="D24" i="16"/>
  <c r="B24" i="16"/>
  <c r="A26" i="18"/>
  <c r="I26" i="17"/>
  <c r="K26" i="17"/>
  <c r="J26" i="17"/>
  <c r="H26" i="17"/>
  <c r="G26" i="17"/>
  <c r="F26" i="17"/>
  <c r="E26" i="17"/>
  <c r="D26" i="17"/>
  <c r="C26" i="17"/>
  <c r="B26" i="17"/>
  <c r="A184" i="18"/>
  <c r="C184" i="17"/>
  <c r="K184" i="17"/>
  <c r="J184" i="17"/>
  <c r="I184" i="17"/>
  <c r="H184" i="17"/>
  <c r="G184" i="17"/>
  <c r="F184" i="17"/>
  <c r="E184" i="17"/>
  <c r="D184" i="17"/>
  <c r="B184" i="17"/>
  <c r="A233" i="18"/>
  <c r="D233" i="17"/>
  <c r="C233" i="17"/>
  <c r="B233" i="17"/>
  <c r="K233" i="17"/>
  <c r="J233" i="17"/>
  <c r="I233" i="17"/>
  <c r="H233" i="17"/>
  <c r="G233" i="17"/>
  <c r="F233" i="17"/>
  <c r="E233" i="17"/>
  <c r="F18" i="12"/>
  <c r="G18" i="12" s="1"/>
  <c r="I24" i="9"/>
  <c r="C24" i="9"/>
  <c r="H31" i="16"/>
  <c r="D31" i="16"/>
  <c r="C31" i="16"/>
  <c r="B31" i="16"/>
  <c r="D22" i="16"/>
  <c r="H22" i="16"/>
  <c r="C22" i="16"/>
  <c r="B22" i="16"/>
  <c r="A60" i="18"/>
  <c r="G60" i="17"/>
  <c r="F60" i="17"/>
  <c r="E60" i="17"/>
  <c r="C60" i="17"/>
  <c r="B60" i="17"/>
  <c r="K60" i="17"/>
  <c r="J60" i="17"/>
  <c r="I60" i="17"/>
  <c r="H60" i="17"/>
  <c r="D60" i="17"/>
  <c r="A24" i="18"/>
  <c r="G24" i="17"/>
  <c r="J24" i="17"/>
  <c r="I24" i="17"/>
  <c r="H24" i="17"/>
  <c r="F24" i="17"/>
  <c r="E24" i="17"/>
  <c r="D24" i="17"/>
  <c r="C24" i="17"/>
  <c r="B24" i="17"/>
  <c r="K24" i="17"/>
  <c r="D33" i="16"/>
  <c r="C33" i="16"/>
  <c r="H33" i="16"/>
  <c r="B33" i="16"/>
  <c r="A13" i="18"/>
  <c r="F13" i="17"/>
  <c r="E13" i="17"/>
  <c r="D13" i="17"/>
  <c r="C13" i="17"/>
  <c r="B13" i="17"/>
  <c r="K13" i="17"/>
  <c r="J13" i="17"/>
  <c r="H13" i="17"/>
  <c r="I13" i="17"/>
  <c r="G13" i="17"/>
  <c r="A65" i="18"/>
  <c r="K65" i="17"/>
  <c r="J65" i="17"/>
  <c r="H65" i="17"/>
  <c r="G65" i="17"/>
  <c r="E65" i="17"/>
  <c r="D65" i="17"/>
  <c r="C65" i="17"/>
  <c r="B65" i="17"/>
  <c r="I65" i="17"/>
  <c r="F65" i="17"/>
  <c r="C20" i="16"/>
  <c r="B20" i="16"/>
  <c r="H20" i="16"/>
  <c r="D20" i="16"/>
  <c r="A9" i="18"/>
  <c r="B9" i="17"/>
  <c r="K9" i="17"/>
  <c r="J9" i="17"/>
  <c r="H9" i="17"/>
  <c r="G9" i="17"/>
  <c r="F9" i="17"/>
  <c r="I9" i="17"/>
  <c r="E9" i="17"/>
  <c r="D9" i="17"/>
  <c r="C9" i="17"/>
  <c r="A113" i="18"/>
  <c r="K113" i="17"/>
  <c r="J113" i="17"/>
  <c r="I113" i="17"/>
  <c r="H113" i="17"/>
  <c r="G113" i="17"/>
  <c r="F113" i="17"/>
  <c r="E113" i="17"/>
  <c r="D113" i="17"/>
  <c r="C113" i="17"/>
  <c r="B113" i="17"/>
  <c r="A122" i="18"/>
  <c r="I122" i="17"/>
  <c r="H122" i="17"/>
  <c r="G122" i="17"/>
  <c r="E122" i="17"/>
  <c r="C122" i="17"/>
  <c r="K122" i="17"/>
  <c r="J122" i="17"/>
  <c r="F122" i="17"/>
  <c r="D122" i="17"/>
  <c r="B122" i="17"/>
  <c r="A93" i="18"/>
  <c r="D93" i="17"/>
  <c r="G93" i="17"/>
  <c r="F93" i="17"/>
  <c r="E93" i="17"/>
  <c r="C93" i="17"/>
  <c r="B93" i="17"/>
  <c r="K93" i="17"/>
  <c r="I93" i="17"/>
  <c r="H93" i="17"/>
  <c r="J93" i="17"/>
  <c r="A136" i="18"/>
  <c r="K136" i="17"/>
  <c r="J136" i="17"/>
  <c r="I136" i="17"/>
  <c r="G136" i="17"/>
  <c r="E136" i="17"/>
  <c r="D136" i="17"/>
  <c r="C136" i="17"/>
  <c r="B136" i="17"/>
  <c r="H136" i="17"/>
  <c r="F136" i="17"/>
  <c r="A67" i="18"/>
  <c r="B67" i="17"/>
  <c r="J67" i="17"/>
  <c r="I67" i="17"/>
  <c r="E67" i="17"/>
  <c r="D67" i="17"/>
  <c r="C67" i="17"/>
  <c r="K67" i="17"/>
  <c r="H67" i="17"/>
  <c r="G67" i="17"/>
  <c r="F67" i="17"/>
  <c r="A90" i="18"/>
  <c r="K90" i="17"/>
  <c r="J90" i="17"/>
  <c r="I90" i="17"/>
  <c r="H90" i="17"/>
  <c r="G90" i="17"/>
  <c r="F90" i="17"/>
  <c r="E90" i="17"/>
  <c r="D90" i="17"/>
  <c r="C90" i="17"/>
  <c r="B90" i="17"/>
  <c r="A170" i="18"/>
  <c r="I170" i="17"/>
  <c r="H170" i="17"/>
  <c r="G170" i="17"/>
  <c r="F170" i="17"/>
  <c r="E170" i="17"/>
  <c r="D170" i="17"/>
  <c r="C170" i="17"/>
  <c r="B170" i="17"/>
  <c r="K170" i="17"/>
  <c r="J170" i="17"/>
  <c r="A144" i="18"/>
  <c r="G144" i="17"/>
  <c r="F144" i="17"/>
  <c r="E144" i="17"/>
  <c r="D144" i="17"/>
  <c r="C144" i="17"/>
  <c r="I144" i="17"/>
  <c r="H144" i="17"/>
  <c r="B144" i="17"/>
  <c r="K144" i="17"/>
  <c r="J144" i="17"/>
  <c r="A142" i="18"/>
  <c r="E142" i="17"/>
  <c r="D142" i="17"/>
  <c r="C142" i="17"/>
  <c r="B142" i="17"/>
  <c r="K142" i="17"/>
  <c r="G142" i="17"/>
  <c r="F142" i="17"/>
  <c r="J142" i="17"/>
  <c r="I142" i="17"/>
  <c r="H142" i="17"/>
  <c r="A140" i="18"/>
  <c r="C140" i="17"/>
  <c r="B140" i="17"/>
  <c r="K140" i="17"/>
  <c r="I140" i="17"/>
  <c r="E140" i="17"/>
  <c r="D140" i="17"/>
  <c r="J140" i="17"/>
  <c r="H140" i="17"/>
  <c r="G140" i="17"/>
  <c r="F140" i="17"/>
  <c r="A163" i="18"/>
  <c r="B163" i="17"/>
  <c r="K163" i="17"/>
  <c r="J163" i="17"/>
  <c r="I163" i="17"/>
  <c r="H163" i="17"/>
  <c r="G163" i="17"/>
  <c r="F163" i="17"/>
  <c r="E163" i="17"/>
  <c r="D163" i="17"/>
  <c r="C163" i="17"/>
  <c r="A212" i="18"/>
  <c r="G212" i="17"/>
  <c r="F212" i="17"/>
  <c r="E212" i="17"/>
  <c r="C212" i="17"/>
  <c r="B212" i="17"/>
  <c r="K212" i="17"/>
  <c r="J212" i="17"/>
  <c r="I212" i="17"/>
  <c r="H212" i="17"/>
  <c r="D212" i="17"/>
  <c r="A224" i="18"/>
  <c r="G224" i="17"/>
  <c r="F224" i="17"/>
  <c r="E224" i="17"/>
  <c r="D224" i="17"/>
  <c r="C224" i="17"/>
  <c r="B224" i="17"/>
  <c r="K224" i="17"/>
  <c r="J224" i="17"/>
  <c r="I224" i="17"/>
  <c r="H224" i="17"/>
  <c r="A232" i="18"/>
  <c r="C232" i="17"/>
  <c r="B232" i="17"/>
  <c r="K232" i="17"/>
  <c r="J232" i="17"/>
  <c r="I232" i="17"/>
  <c r="H232" i="17"/>
  <c r="G232" i="17"/>
  <c r="F232" i="17"/>
  <c r="E232" i="17"/>
  <c r="D232" i="17"/>
  <c r="I50" i="9"/>
  <c r="C50" i="9"/>
  <c r="I6" i="9"/>
  <c r="C6" i="9"/>
  <c r="D56" i="9"/>
  <c r="E56" i="9"/>
  <c r="D74" i="9"/>
  <c r="E74" i="9"/>
  <c r="E58" i="9"/>
  <c r="D58" i="9"/>
  <c r="A12" i="18"/>
  <c r="E12" i="17"/>
  <c r="D12" i="17"/>
  <c r="C12" i="17"/>
  <c r="B12" i="17"/>
  <c r="K12" i="17"/>
  <c r="J12" i="17"/>
  <c r="I12" i="17"/>
  <c r="G12" i="17"/>
  <c r="H12" i="17"/>
  <c r="F12" i="17"/>
  <c r="A155" i="18"/>
  <c r="F155" i="17"/>
  <c r="E155" i="17"/>
  <c r="D155" i="17"/>
  <c r="C155" i="17"/>
  <c r="B155" i="17"/>
  <c r="K155" i="17"/>
  <c r="J155" i="17"/>
  <c r="I155" i="17"/>
  <c r="H155" i="17"/>
  <c r="G155" i="17"/>
  <c r="I27" i="9"/>
  <c r="C27" i="9"/>
  <c r="D28" i="4"/>
  <c r="E28" i="4"/>
  <c r="C6" i="16"/>
  <c r="B6" i="16"/>
  <c r="H6" i="16" s="1"/>
  <c r="A57" i="18"/>
  <c r="D57" i="17"/>
  <c r="C57" i="17"/>
  <c r="B57" i="17"/>
  <c r="K57" i="17"/>
  <c r="J57" i="17"/>
  <c r="I57" i="17"/>
  <c r="H57" i="17"/>
  <c r="G57" i="17"/>
  <c r="F57" i="17"/>
  <c r="E57" i="17"/>
  <c r="A59" i="18"/>
  <c r="F59" i="17"/>
  <c r="E59" i="17"/>
  <c r="D59" i="17"/>
  <c r="B59" i="17"/>
  <c r="J59" i="17"/>
  <c r="I59" i="17"/>
  <c r="H59" i="17"/>
  <c r="G59" i="17"/>
  <c r="C59" i="17"/>
  <c r="K59" i="17"/>
  <c r="A200" i="18"/>
  <c r="G200" i="17"/>
  <c r="C200" i="17"/>
  <c r="K200" i="17"/>
  <c r="J200" i="17"/>
  <c r="I200" i="17"/>
  <c r="H200" i="17"/>
  <c r="F200" i="17"/>
  <c r="E200" i="17"/>
  <c r="D200" i="17"/>
  <c r="B200" i="17"/>
  <c r="A162" i="18"/>
  <c r="K162" i="17"/>
  <c r="J162" i="17"/>
  <c r="I162" i="17"/>
  <c r="H162" i="17"/>
  <c r="G162" i="17"/>
  <c r="F162" i="17"/>
  <c r="E162" i="17"/>
  <c r="D162" i="17"/>
  <c r="C162" i="17"/>
  <c r="B162" i="17"/>
  <c r="F16" i="12"/>
  <c r="G16" i="12" s="1"/>
  <c r="F19" i="12"/>
  <c r="G19" i="12" s="1"/>
  <c r="D73" i="11"/>
  <c r="D74" i="11" s="1"/>
  <c r="D76" i="11" s="1"/>
  <c r="D94" i="11"/>
  <c r="A77" i="18"/>
  <c r="K77" i="17"/>
  <c r="J77" i="17"/>
  <c r="H77" i="17"/>
  <c r="G77" i="17"/>
  <c r="I77" i="17"/>
  <c r="F77" i="17"/>
  <c r="E77" i="17"/>
  <c r="D77" i="17"/>
  <c r="C77" i="17"/>
  <c r="B77" i="17"/>
  <c r="H25" i="16"/>
  <c r="D25" i="16"/>
  <c r="C25" i="16"/>
  <c r="B25" i="16"/>
  <c r="A62" i="18"/>
  <c r="I62" i="17"/>
  <c r="H62" i="17"/>
  <c r="G62" i="17"/>
  <c r="E62" i="17"/>
  <c r="D62" i="17"/>
  <c r="K62" i="17"/>
  <c r="J62" i="17"/>
  <c r="F62" i="17"/>
  <c r="C62" i="17"/>
  <c r="B62" i="17"/>
  <c r="A95" i="18"/>
  <c r="F95" i="17"/>
  <c r="K95" i="17"/>
  <c r="J95" i="17"/>
  <c r="I95" i="17"/>
  <c r="H95" i="17"/>
  <c r="G95" i="17"/>
  <c r="E95" i="17"/>
  <c r="D95" i="17"/>
  <c r="C95" i="17"/>
  <c r="B95" i="17"/>
  <c r="D36" i="16"/>
  <c r="C36" i="16"/>
  <c r="H36" i="16"/>
  <c r="B36" i="16"/>
  <c r="A35" i="18"/>
  <c r="F35" i="17"/>
  <c r="G35" i="17"/>
  <c r="E35" i="17"/>
  <c r="D35" i="17"/>
  <c r="C35" i="17"/>
  <c r="B35" i="17"/>
  <c r="K35" i="17"/>
  <c r="J35" i="17"/>
  <c r="I35" i="17"/>
  <c r="H35" i="17"/>
  <c r="A147" i="18"/>
  <c r="J147" i="17"/>
  <c r="I147" i="17"/>
  <c r="H147" i="17"/>
  <c r="G147" i="17"/>
  <c r="F147" i="17"/>
  <c r="D147" i="17"/>
  <c r="K147" i="17"/>
  <c r="E147" i="17"/>
  <c r="C147" i="17"/>
  <c r="B147" i="17"/>
  <c r="C23" i="16"/>
  <c r="B23" i="16"/>
  <c r="H23" i="16"/>
  <c r="D23" i="16"/>
  <c r="A33" i="18"/>
  <c r="D33" i="17"/>
  <c r="B33" i="17"/>
  <c r="K33" i="17"/>
  <c r="J33" i="17"/>
  <c r="I33" i="17"/>
  <c r="H33" i="17"/>
  <c r="G33" i="17"/>
  <c r="F33" i="17"/>
  <c r="E33" i="17"/>
  <c r="C33" i="17"/>
  <c r="A117" i="18"/>
  <c r="D117" i="17"/>
  <c r="C117" i="17"/>
  <c r="K117" i="17"/>
  <c r="J117" i="17"/>
  <c r="I117" i="17"/>
  <c r="H117" i="17"/>
  <c r="G117" i="17"/>
  <c r="F117" i="17"/>
  <c r="E117" i="17"/>
  <c r="B117" i="17"/>
  <c r="A124" i="18"/>
  <c r="K124" i="17"/>
  <c r="J124" i="17"/>
  <c r="I124" i="17"/>
  <c r="G124" i="17"/>
  <c r="E124" i="17"/>
  <c r="H124" i="17"/>
  <c r="F124" i="17"/>
  <c r="D124" i="17"/>
  <c r="C124" i="17"/>
  <c r="B124" i="17"/>
  <c r="A107" i="18"/>
  <c r="F107" i="17"/>
  <c r="E107" i="17"/>
  <c r="H107" i="17"/>
  <c r="G107" i="17"/>
  <c r="D107" i="17"/>
  <c r="C107" i="17"/>
  <c r="B107" i="17"/>
  <c r="K107" i="17"/>
  <c r="J107" i="17"/>
  <c r="I107" i="17"/>
  <c r="A56" i="18"/>
  <c r="C56" i="17"/>
  <c r="B56" i="17"/>
  <c r="K56" i="17"/>
  <c r="J56" i="17"/>
  <c r="D56" i="17"/>
  <c r="I56" i="17"/>
  <c r="H56" i="17"/>
  <c r="G56" i="17"/>
  <c r="F56" i="17"/>
  <c r="E56" i="17"/>
  <c r="A79" i="18"/>
  <c r="B79" i="17"/>
  <c r="J79" i="17"/>
  <c r="I79" i="17"/>
  <c r="K79" i="17"/>
  <c r="H79" i="17"/>
  <c r="G79" i="17"/>
  <c r="F79" i="17"/>
  <c r="E79" i="17"/>
  <c r="D79" i="17"/>
  <c r="C79" i="17"/>
  <c r="A203" i="18"/>
  <c r="J203" i="17"/>
  <c r="I203" i="17"/>
  <c r="H203" i="17"/>
  <c r="F203" i="17"/>
  <c r="C203" i="17"/>
  <c r="B203" i="17"/>
  <c r="K203" i="17"/>
  <c r="G203" i="17"/>
  <c r="E203" i="17"/>
  <c r="D203" i="17"/>
  <c r="A177" i="18"/>
  <c r="H177" i="17"/>
  <c r="J177" i="17"/>
  <c r="I177" i="17"/>
  <c r="G177" i="17"/>
  <c r="F177" i="17"/>
  <c r="E177" i="17"/>
  <c r="D177" i="17"/>
  <c r="C177" i="17"/>
  <c r="B177" i="17"/>
  <c r="K177" i="17"/>
  <c r="A156" i="18"/>
  <c r="G156" i="17"/>
  <c r="F156" i="17"/>
  <c r="E156" i="17"/>
  <c r="D156" i="17"/>
  <c r="C156" i="17"/>
  <c r="B156" i="17"/>
  <c r="K156" i="17"/>
  <c r="J156" i="17"/>
  <c r="I156" i="17"/>
  <c r="H156" i="17"/>
  <c r="A154" i="18"/>
  <c r="E154" i="17"/>
  <c r="D154" i="17"/>
  <c r="C154" i="17"/>
  <c r="B154" i="17"/>
  <c r="K154" i="17"/>
  <c r="J154" i="17"/>
  <c r="I154" i="17"/>
  <c r="G154" i="17"/>
  <c r="H154" i="17"/>
  <c r="F154" i="17"/>
  <c r="A152" i="18"/>
  <c r="C152" i="17"/>
  <c r="B152" i="17"/>
  <c r="K152" i="17"/>
  <c r="J152" i="17"/>
  <c r="I152" i="17"/>
  <c r="H152" i="17"/>
  <c r="G152" i="17"/>
  <c r="E152" i="17"/>
  <c r="F152" i="17"/>
  <c r="D152" i="17"/>
  <c r="A186" i="18"/>
  <c r="E186" i="17"/>
  <c r="B186" i="17"/>
  <c r="K186" i="17"/>
  <c r="J186" i="17"/>
  <c r="I186" i="17"/>
  <c r="H186" i="17"/>
  <c r="G186" i="17"/>
  <c r="F186" i="17"/>
  <c r="D186" i="17"/>
  <c r="C186" i="17"/>
  <c r="A228" i="18"/>
  <c r="K228" i="17"/>
  <c r="J228" i="17"/>
  <c r="I228" i="17"/>
  <c r="H228" i="17"/>
  <c r="G228" i="17"/>
  <c r="F228" i="17"/>
  <c r="E228" i="17"/>
  <c r="D228" i="17"/>
  <c r="C228" i="17"/>
  <c r="B228" i="17"/>
  <c r="A236" i="18"/>
  <c r="G236" i="17"/>
  <c r="F236" i="17"/>
  <c r="E236" i="17"/>
  <c r="D236" i="17"/>
  <c r="C236" i="17"/>
  <c r="B236" i="17"/>
  <c r="K236" i="17"/>
  <c r="J236" i="17"/>
  <c r="I236" i="17"/>
  <c r="H236" i="17"/>
  <c r="A207" i="18"/>
  <c r="B207" i="17"/>
  <c r="J207" i="17"/>
  <c r="G207" i="17"/>
  <c r="F207" i="17"/>
  <c r="D207" i="17"/>
  <c r="C207" i="17"/>
  <c r="K207" i="17"/>
  <c r="I207" i="17"/>
  <c r="H207" i="17"/>
  <c r="E207" i="17"/>
  <c r="R60" i="15"/>
  <c r="F60" i="15"/>
  <c r="Q60" i="15"/>
  <c r="E60" i="15"/>
  <c r="P60" i="15"/>
  <c r="O60" i="15"/>
  <c r="N60" i="15"/>
  <c r="M60" i="15"/>
  <c r="L60" i="15"/>
  <c r="K60" i="15"/>
  <c r="J60" i="15"/>
  <c r="I60" i="15"/>
  <c r="H60" i="15"/>
  <c r="G60" i="15"/>
  <c r="D60" i="15"/>
  <c r="L16" i="15"/>
  <c r="K16" i="15"/>
  <c r="J16" i="15"/>
  <c r="I16" i="15"/>
  <c r="H16" i="15"/>
  <c r="G16" i="15"/>
  <c r="R16" i="15"/>
  <c r="F16" i="15"/>
  <c r="Q16" i="15"/>
  <c r="E16" i="15"/>
  <c r="P16" i="15"/>
  <c r="D16" i="15"/>
  <c r="O16" i="15"/>
  <c r="N16" i="15"/>
  <c r="M16" i="15"/>
  <c r="E60" i="9"/>
  <c r="D60" i="9"/>
  <c r="E61" i="9"/>
  <c r="D61" i="9"/>
  <c r="I15" i="12"/>
  <c r="H37" i="16"/>
  <c r="D37" i="16"/>
  <c r="B37" i="16"/>
  <c r="C37" i="16"/>
  <c r="A8" i="18"/>
  <c r="K8" i="17"/>
  <c r="J8" i="17"/>
  <c r="I8" i="17"/>
  <c r="G8" i="17"/>
  <c r="F8" i="17"/>
  <c r="E8" i="17"/>
  <c r="C8" i="17"/>
  <c r="B8" i="17"/>
  <c r="H8" i="17"/>
  <c r="D8" i="17"/>
  <c r="A123" i="18"/>
  <c r="J123" i="17"/>
  <c r="I123" i="17"/>
  <c r="H123" i="17"/>
  <c r="F123" i="17"/>
  <c r="D123" i="17"/>
  <c r="C123" i="17"/>
  <c r="B123" i="17"/>
  <c r="K123" i="17"/>
  <c r="G123" i="17"/>
  <c r="E123" i="17"/>
  <c r="A159" i="18"/>
  <c r="J159" i="17"/>
  <c r="I159" i="17"/>
  <c r="H159" i="17"/>
  <c r="G159" i="17"/>
  <c r="F159" i="17"/>
  <c r="E159" i="17"/>
  <c r="D159" i="17"/>
  <c r="C159" i="17"/>
  <c r="B159" i="17"/>
  <c r="K159" i="17"/>
  <c r="A165" i="18"/>
  <c r="D165" i="17"/>
  <c r="C165" i="17"/>
  <c r="B165" i="17"/>
  <c r="K165" i="17"/>
  <c r="J165" i="17"/>
  <c r="I165" i="17"/>
  <c r="H165" i="17"/>
  <c r="G165" i="17"/>
  <c r="F165" i="17"/>
  <c r="E165" i="17"/>
  <c r="A206" i="18"/>
  <c r="K206" i="17"/>
  <c r="I206" i="17"/>
  <c r="F206" i="17"/>
  <c r="E206" i="17"/>
  <c r="J206" i="17"/>
  <c r="H206" i="17"/>
  <c r="G206" i="17"/>
  <c r="D206" i="17"/>
  <c r="C206" i="17"/>
  <c r="B206" i="17"/>
  <c r="C29" i="9"/>
  <c r="I29" i="9"/>
  <c r="C7" i="16"/>
  <c r="B7" i="16"/>
  <c r="H7" i="16" s="1"/>
  <c r="A28" i="18"/>
  <c r="K28" i="17"/>
  <c r="E28" i="17"/>
  <c r="D28" i="17"/>
  <c r="C28" i="17"/>
  <c r="B28" i="17"/>
  <c r="J28" i="17"/>
  <c r="I28" i="17"/>
  <c r="H28" i="17"/>
  <c r="G28" i="17"/>
  <c r="F28" i="17"/>
  <c r="A104" i="18"/>
  <c r="C104" i="17"/>
  <c r="B104" i="17"/>
  <c r="K104" i="17"/>
  <c r="J104" i="17"/>
  <c r="I104" i="17"/>
  <c r="H104" i="17"/>
  <c r="G104" i="17"/>
  <c r="F104" i="17"/>
  <c r="E104" i="17"/>
  <c r="D104" i="17"/>
  <c r="A54" i="18"/>
  <c r="K54" i="17"/>
  <c r="I54" i="17"/>
  <c r="H54" i="17"/>
  <c r="D54" i="17"/>
  <c r="C54" i="17"/>
  <c r="B54" i="17"/>
  <c r="J54" i="17"/>
  <c r="G54" i="17"/>
  <c r="F54" i="17"/>
  <c r="E54" i="17"/>
  <c r="A193" i="18"/>
  <c r="D193" i="17"/>
  <c r="C193" i="17"/>
  <c r="B193" i="17"/>
  <c r="K193" i="17"/>
  <c r="J193" i="17"/>
  <c r="I193" i="17"/>
  <c r="H193" i="17"/>
  <c r="G193" i="17"/>
  <c r="F193" i="17"/>
  <c r="E193" i="17"/>
  <c r="A213" i="18"/>
  <c r="H213" i="17"/>
  <c r="G213" i="17"/>
  <c r="F213" i="17"/>
  <c r="D213" i="17"/>
  <c r="C213" i="17"/>
  <c r="K213" i="17"/>
  <c r="J213" i="17"/>
  <c r="I213" i="17"/>
  <c r="E213" i="17"/>
  <c r="B213" i="17"/>
  <c r="D47" i="12"/>
  <c r="D48" i="12" s="1"/>
  <c r="D68" i="12"/>
  <c r="D70" i="12" s="1"/>
  <c r="H13" i="16"/>
  <c r="D13" i="16"/>
  <c r="C13" i="16"/>
  <c r="B13" i="16"/>
  <c r="H43" i="16"/>
  <c r="D43" i="16"/>
  <c r="C43" i="16"/>
  <c r="B43" i="16"/>
  <c r="A64" i="18"/>
  <c r="K64" i="17"/>
  <c r="J64" i="17"/>
  <c r="I64" i="17"/>
  <c r="G64" i="17"/>
  <c r="F64" i="17"/>
  <c r="H64" i="17"/>
  <c r="E64" i="17"/>
  <c r="D64" i="17"/>
  <c r="C64" i="17"/>
  <c r="B64" i="17"/>
  <c r="A15" i="18"/>
  <c r="H15" i="17"/>
  <c r="G15" i="17"/>
  <c r="F15" i="17"/>
  <c r="E15" i="17"/>
  <c r="D15" i="17"/>
  <c r="C15" i="17"/>
  <c r="B15" i="17"/>
  <c r="J15" i="17"/>
  <c r="K15" i="17"/>
  <c r="I15" i="17"/>
  <c r="D39" i="16"/>
  <c r="C39" i="16"/>
  <c r="H39" i="16"/>
  <c r="B39" i="16"/>
  <c r="A41" i="18"/>
  <c r="K41" i="17"/>
  <c r="F41" i="17"/>
  <c r="E41" i="17"/>
  <c r="D41" i="17"/>
  <c r="C41" i="17"/>
  <c r="B41" i="17"/>
  <c r="J41" i="17"/>
  <c r="I41" i="17"/>
  <c r="H41" i="17"/>
  <c r="G41" i="17"/>
  <c r="A11" i="18"/>
  <c r="D11" i="17"/>
  <c r="C11" i="17"/>
  <c r="B11" i="17"/>
  <c r="J11" i="17"/>
  <c r="I11" i="17"/>
  <c r="H11" i="17"/>
  <c r="F11" i="17"/>
  <c r="G11" i="17"/>
  <c r="E11" i="17"/>
  <c r="K11" i="17"/>
  <c r="C26" i="16"/>
  <c r="B26" i="16"/>
  <c r="H26" i="16"/>
  <c r="D26" i="16"/>
  <c r="A39" i="18"/>
  <c r="J39" i="17"/>
  <c r="B39" i="17"/>
  <c r="K39" i="17"/>
  <c r="I39" i="17"/>
  <c r="H39" i="17"/>
  <c r="G39" i="17"/>
  <c r="F39" i="17"/>
  <c r="E39" i="17"/>
  <c r="D39" i="17"/>
  <c r="C39" i="17"/>
  <c r="A131" i="18"/>
  <c r="F131" i="17"/>
  <c r="E131" i="17"/>
  <c r="D131" i="17"/>
  <c r="B131" i="17"/>
  <c r="K131" i="17"/>
  <c r="J131" i="17"/>
  <c r="I131" i="17"/>
  <c r="H131" i="17"/>
  <c r="G131" i="17"/>
  <c r="C131" i="17"/>
  <c r="A143" i="18"/>
  <c r="F143" i="17"/>
  <c r="E143" i="17"/>
  <c r="D143" i="17"/>
  <c r="C143" i="17"/>
  <c r="B143" i="17"/>
  <c r="K143" i="17"/>
  <c r="J143" i="17"/>
  <c r="I143" i="17"/>
  <c r="H143" i="17"/>
  <c r="G143" i="17"/>
  <c r="A111" i="18"/>
  <c r="J111" i="17"/>
  <c r="I111" i="17"/>
  <c r="F111" i="17"/>
  <c r="E111" i="17"/>
  <c r="D111" i="17"/>
  <c r="C111" i="17"/>
  <c r="B111" i="17"/>
  <c r="K111" i="17"/>
  <c r="H111" i="17"/>
  <c r="G111" i="17"/>
  <c r="A68" i="18"/>
  <c r="C68" i="17"/>
  <c r="B68" i="17"/>
  <c r="K68" i="17"/>
  <c r="J68" i="17"/>
  <c r="I68" i="17"/>
  <c r="H68" i="17"/>
  <c r="G68" i="17"/>
  <c r="F68" i="17"/>
  <c r="E68" i="17"/>
  <c r="D68" i="17"/>
  <c r="A91" i="18"/>
  <c r="B91" i="17"/>
  <c r="C91" i="17"/>
  <c r="K91" i="17"/>
  <c r="J91" i="17"/>
  <c r="I91" i="17"/>
  <c r="H91" i="17"/>
  <c r="G91" i="17"/>
  <c r="F91" i="17"/>
  <c r="E91" i="17"/>
  <c r="D91" i="17"/>
  <c r="A160" i="18"/>
  <c r="K160" i="17"/>
  <c r="J160" i="17"/>
  <c r="I160" i="17"/>
  <c r="H160" i="17"/>
  <c r="G160" i="17"/>
  <c r="F160" i="17"/>
  <c r="E160" i="17"/>
  <c r="D160" i="17"/>
  <c r="C160" i="17"/>
  <c r="B160" i="17"/>
  <c r="A196" i="18"/>
  <c r="C196" i="17"/>
  <c r="J196" i="17"/>
  <c r="I196" i="17"/>
  <c r="H196" i="17"/>
  <c r="G196" i="17"/>
  <c r="F196" i="17"/>
  <c r="E196" i="17"/>
  <c r="D196" i="17"/>
  <c r="B196" i="17"/>
  <c r="K196" i="17"/>
  <c r="A168" i="18"/>
  <c r="G168" i="17"/>
  <c r="F168" i="17"/>
  <c r="E168" i="17"/>
  <c r="D168" i="17"/>
  <c r="C168" i="17"/>
  <c r="B168" i="17"/>
  <c r="K168" i="17"/>
  <c r="J168" i="17"/>
  <c r="I168" i="17"/>
  <c r="H168" i="17"/>
  <c r="A166" i="18"/>
  <c r="E166" i="17"/>
  <c r="D166" i="17"/>
  <c r="C166" i="17"/>
  <c r="B166" i="17"/>
  <c r="K166" i="17"/>
  <c r="J166" i="17"/>
  <c r="I166" i="17"/>
  <c r="H166" i="17"/>
  <c r="G166" i="17"/>
  <c r="F166" i="17"/>
  <c r="A164" i="18"/>
  <c r="C164" i="17"/>
  <c r="B164" i="17"/>
  <c r="K164" i="17"/>
  <c r="J164" i="17"/>
  <c r="I164" i="17"/>
  <c r="H164" i="17"/>
  <c r="G164" i="17"/>
  <c r="F164" i="17"/>
  <c r="E164" i="17"/>
  <c r="D164" i="17"/>
  <c r="A192" i="18"/>
  <c r="K192" i="17"/>
  <c r="B192" i="17"/>
  <c r="J192" i="17"/>
  <c r="I192" i="17"/>
  <c r="H192" i="17"/>
  <c r="G192" i="17"/>
  <c r="F192" i="17"/>
  <c r="E192" i="17"/>
  <c r="D192" i="17"/>
  <c r="C192" i="17"/>
  <c r="A240" i="18"/>
  <c r="K240" i="17"/>
  <c r="J240" i="17"/>
  <c r="I240" i="17"/>
  <c r="H240" i="17"/>
  <c r="G240" i="17"/>
  <c r="F240" i="17"/>
  <c r="E240" i="17"/>
  <c r="D240" i="17"/>
  <c r="C240" i="17"/>
  <c r="B240" i="17"/>
  <c r="A211" i="18"/>
  <c r="F211" i="17"/>
  <c r="E211" i="17"/>
  <c r="D211" i="17"/>
  <c r="B211" i="17"/>
  <c r="K211" i="17"/>
  <c r="J211" i="17"/>
  <c r="I211" i="17"/>
  <c r="H211" i="17"/>
  <c r="G211" i="17"/>
  <c r="C211" i="17"/>
  <c r="A219" i="18"/>
  <c r="B219" i="17"/>
  <c r="J219" i="17"/>
  <c r="I219" i="17"/>
  <c r="G219" i="17"/>
  <c r="F219" i="17"/>
  <c r="K219" i="17"/>
  <c r="H219" i="17"/>
  <c r="E219" i="17"/>
  <c r="D219" i="17"/>
  <c r="C219" i="17"/>
  <c r="C43" i="9"/>
  <c r="I43" i="9"/>
  <c r="I23" i="9"/>
  <c r="C23" i="9"/>
  <c r="I48" i="9"/>
  <c r="C48" i="9"/>
  <c r="C41" i="9"/>
  <c r="I41" i="9"/>
  <c r="I21" i="9"/>
  <c r="C21" i="9"/>
  <c r="I32" i="9"/>
  <c r="C32" i="9"/>
  <c r="I44" i="9"/>
  <c r="C44" i="9"/>
  <c r="D68" i="9"/>
  <c r="E68" i="9"/>
  <c r="E64" i="9"/>
  <c r="D64" i="9"/>
  <c r="G41" i="7"/>
  <c r="F41" i="7"/>
  <c r="C11" i="9"/>
  <c r="I11" i="9"/>
  <c r="H13" i="12"/>
  <c r="H16" i="12"/>
  <c r="H34" i="16"/>
  <c r="D34" i="16"/>
  <c r="C34" i="16"/>
  <c r="B34" i="16"/>
  <c r="A29" i="18"/>
  <c r="G29" i="17"/>
  <c r="F29" i="17"/>
  <c r="E29" i="17"/>
  <c r="D29" i="17"/>
  <c r="C29" i="17"/>
  <c r="B29" i="17"/>
  <c r="K29" i="17"/>
  <c r="J29" i="17"/>
  <c r="I29" i="17"/>
  <c r="H29" i="17"/>
  <c r="A98" i="18"/>
  <c r="I98" i="17"/>
  <c r="H98" i="17"/>
  <c r="E98" i="17"/>
  <c r="D98" i="17"/>
  <c r="C98" i="17"/>
  <c r="B98" i="17"/>
  <c r="K98" i="17"/>
  <c r="G98" i="17"/>
  <c r="F98" i="17"/>
  <c r="J98" i="17"/>
  <c r="A226" i="18"/>
  <c r="I226" i="17"/>
  <c r="H226" i="17"/>
  <c r="G226" i="17"/>
  <c r="F226" i="17"/>
  <c r="E226" i="17"/>
  <c r="D226" i="17"/>
  <c r="C226" i="17"/>
  <c r="B226" i="17"/>
  <c r="K226" i="17"/>
  <c r="J226" i="17"/>
  <c r="I34" i="9"/>
  <c r="C34" i="9"/>
  <c r="A6" i="18"/>
  <c r="K6" i="17"/>
  <c r="J6" i="17"/>
  <c r="I6" i="17"/>
  <c r="H6" i="17"/>
  <c r="G6" i="17"/>
  <c r="E6" i="17"/>
  <c r="D6" i="17"/>
  <c r="C6" i="17"/>
  <c r="F6" i="17"/>
  <c r="B6" i="17"/>
  <c r="A7" i="18"/>
  <c r="K7" i="17"/>
  <c r="J7" i="17"/>
  <c r="I7" i="17"/>
  <c r="H7" i="17"/>
  <c r="F7" i="17"/>
  <c r="E7" i="17"/>
  <c r="D7" i="17"/>
  <c r="G7" i="17"/>
  <c r="C7" i="17"/>
  <c r="B7" i="17"/>
  <c r="A17" i="18"/>
  <c r="J17" i="17"/>
  <c r="I17" i="17"/>
  <c r="H17" i="17"/>
  <c r="G17" i="17"/>
  <c r="F17" i="17"/>
  <c r="E17" i="17"/>
  <c r="D17" i="17"/>
  <c r="C17" i="17"/>
  <c r="B17" i="17"/>
  <c r="K17" i="17"/>
  <c r="A36" i="18"/>
  <c r="G36" i="17"/>
  <c r="I36" i="17"/>
  <c r="H36" i="17"/>
  <c r="F36" i="17"/>
  <c r="E36" i="17"/>
  <c r="D36" i="17"/>
  <c r="C36" i="17"/>
  <c r="B36" i="17"/>
  <c r="K36" i="17"/>
  <c r="J36" i="17"/>
  <c r="D42" i="16"/>
  <c r="C42" i="16"/>
  <c r="H42" i="16"/>
  <c r="B42" i="16"/>
  <c r="A72" i="18"/>
  <c r="G72" i="17"/>
  <c r="F72" i="17"/>
  <c r="E72" i="17"/>
  <c r="C72" i="17"/>
  <c r="B72" i="17"/>
  <c r="K72" i="17"/>
  <c r="J72" i="17"/>
  <c r="I72" i="17"/>
  <c r="H72" i="17"/>
  <c r="D72" i="17"/>
  <c r="A34" i="18"/>
  <c r="E34" i="17"/>
  <c r="D34" i="17"/>
  <c r="C34" i="17"/>
  <c r="B34" i="17"/>
  <c r="K34" i="17"/>
  <c r="J34" i="17"/>
  <c r="I34" i="17"/>
  <c r="H34" i="17"/>
  <c r="G34" i="17"/>
  <c r="F34" i="17"/>
  <c r="C29" i="16"/>
  <c r="B29" i="16"/>
  <c r="H29" i="16"/>
  <c r="D29" i="16"/>
  <c r="A69" i="18"/>
  <c r="D69" i="17"/>
  <c r="C69" i="17"/>
  <c r="B69" i="17"/>
  <c r="K69" i="17"/>
  <c r="E69" i="17"/>
  <c r="J69" i="17"/>
  <c r="I69" i="17"/>
  <c r="H69" i="17"/>
  <c r="G69" i="17"/>
  <c r="F69" i="17"/>
  <c r="G120" i="17"/>
  <c r="F120" i="17"/>
  <c r="E120" i="17"/>
  <c r="C120" i="17"/>
  <c r="A120" i="18"/>
  <c r="K120" i="17"/>
  <c r="J120" i="17"/>
  <c r="I120" i="17"/>
  <c r="H120" i="17"/>
  <c r="D120" i="17"/>
  <c r="B120" i="17"/>
  <c r="A85" i="18"/>
  <c r="H85" i="17"/>
  <c r="G85" i="17"/>
  <c r="F85" i="17"/>
  <c r="E85" i="17"/>
  <c r="D85" i="17"/>
  <c r="C85" i="17"/>
  <c r="I85" i="17"/>
  <c r="B85" i="17"/>
  <c r="K85" i="17"/>
  <c r="J85" i="17"/>
  <c r="A119" i="18"/>
  <c r="F119" i="17"/>
  <c r="E119" i="17"/>
  <c r="B119" i="17"/>
  <c r="I119" i="17"/>
  <c r="H119" i="17"/>
  <c r="G119" i="17"/>
  <c r="D119" i="17"/>
  <c r="C119" i="17"/>
  <c r="K119" i="17"/>
  <c r="J119" i="17"/>
  <c r="A80" i="18"/>
  <c r="C80" i="17"/>
  <c r="B80" i="17"/>
  <c r="K80" i="17"/>
  <c r="J80" i="17"/>
  <c r="F80" i="17"/>
  <c r="E80" i="17"/>
  <c r="D80" i="17"/>
  <c r="I80" i="17"/>
  <c r="H80" i="17"/>
  <c r="G80" i="17"/>
  <c r="A97" i="18"/>
  <c r="H97" i="17"/>
  <c r="G97" i="17"/>
  <c r="B97" i="17"/>
  <c r="K97" i="17"/>
  <c r="J97" i="17"/>
  <c r="I97" i="17"/>
  <c r="F97" i="17"/>
  <c r="E97" i="17"/>
  <c r="D97" i="17"/>
  <c r="C97" i="17"/>
  <c r="A172" i="18"/>
  <c r="C172" i="17"/>
  <c r="K172" i="17"/>
  <c r="J172" i="17"/>
  <c r="I172" i="17"/>
  <c r="H172" i="17"/>
  <c r="G172" i="17"/>
  <c r="F172" i="17"/>
  <c r="E172" i="17"/>
  <c r="D172" i="17"/>
  <c r="B172" i="17"/>
  <c r="A221" i="18"/>
  <c r="D221" i="17"/>
  <c r="C221" i="17"/>
  <c r="B221" i="17"/>
  <c r="K221" i="17"/>
  <c r="I221" i="17"/>
  <c r="H221" i="17"/>
  <c r="F221" i="17"/>
  <c r="J221" i="17"/>
  <c r="G221" i="17"/>
  <c r="E221" i="17"/>
  <c r="A176" i="18"/>
  <c r="G176" i="17"/>
  <c r="H176" i="17"/>
  <c r="F176" i="17"/>
  <c r="E176" i="17"/>
  <c r="D176" i="17"/>
  <c r="C176" i="17"/>
  <c r="B176" i="17"/>
  <c r="K176" i="17"/>
  <c r="J176" i="17"/>
  <c r="I176" i="17"/>
  <c r="A175" i="18"/>
  <c r="F175" i="17"/>
  <c r="E175" i="17"/>
  <c r="D175" i="17"/>
  <c r="C175" i="17"/>
  <c r="B175" i="17"/>
  <c r="K175" i="17"/>
  <c r="J175" i="17"/>
  <c r="I175" i="17"/>
  <c r="H175" i="17"/>
  <c r="G175" i="17"/>
  <c r="A174" i="18"/>
  <c r="E174" i="17"/>
  <c r="C174" i="17"/>
  <c r="B174" i="17"/>
  <c r="K174" i="17"/>
  <c r="J174" i="17"/>
  <c r="I174" i="17"/>
  <c r="H174" i="17"/>
  <c r="G174" i="17"/>
  <c r="F174" i="17"/>
  <c r="D174" i="17"/>
  <c r="A205" i="18"/>
  <c r="K205" i="17"/>
  <c r="J205" i="17"/>
  <c r="H205" i="17"/>
  <c r="E205" i="17"/>
  <c r="D205" i="17"/>
  <c r="B205" i="17"/>
  <c r="I205" i="17"/>
  <c r="G205" i="17"/>
  <c r="F205" i="17"/>
  <c r="C205" i="17"/>
  <c r="A227" i="18"/>
  <c r="J227" i="17"/>
  <c r="I227" i="17"/>
  <c r="H227" i="17"/>
  <c r="G227" i="17"/>
  <c r="F227" i="17"/>
  <c r="E227" i="17"/>
  <c r="D227" i="17"/>
  <c r="C227" i="17"/>
  <c r="B227" i="17"/>
  <c r="K227" i="17"/>
  <c r="A223" i="18"/>
  <c r="F223" i="17"/>
  <c r="E223" i="17"/>
  <c r="D223" i="17"/>
  <c r="C223" i="17"/>
  <c r="B223" i="17"/>
  <c r="K223" i="17"/>
  <c r="J223" i="17"/>
  <c r="H223" i="17"/>
  <c r="I223" i="17"/>
  <c r="G223" i="17"/>
  <c r="A231" i="18"/>
  <c r="B231" i="17"/>
  <c r="K231" i="17"/>
  <c r="J231" i="17"/>
  <c r="I231" i="17"/>
  <c r="H231" i="17"/>
  <c r="G231" i="17"/>
  <c r="F231" i="17"/>
  <c r="E231" i="17"/>
  <c r="D231" i="17"/>
  <c r="C231" i="17"/>
  <c r="I39" i="9"/>
  <c r="C39" i="9"/>
  <c r="C35" i="9"/>
  <c r="I35" i="9"/>
  <c r="I15" i="9"/>
  <c r="C15" i="9"/>
  <c r="I46" i="9"/>
  <c r="C46" i="9"/>
  <c r="K51" i="15"/>
  <c r="Q51" i="15"/>
  <c r="Q42" i="15"/>
  <c r="K42" i="15"/>
  <c r="C8" i="9"/>
  <c r="I8" i="9"/>
  <c r="K54" i="15"/>
  <c r="Q54" i="15"/>
  <c r="E67" i="9"/>
  <c r="D67" i="9"/>
  <c r="R7" i="19"/>
  <c r="Q7" i="19"/>
  <c r="K21" i="15"/>
  <c r="J21" i="15"/>
  <c r="I21" i="15"/>
  <c r="H21" i="15"/>
  <c r="G21" i="15"/>
  <c r="R21" i="15"/>
  <c r="F21" i="15"/>
  <c r="Q21" i="15"/>
  <c r="E21" i="15"/>
  <c r="P21" i="15"/>
  <c r="D21" i="15"/>
  <c r="O21" i="15"/>
  <c r="N21" i="15"/>
  <c r="M21" i="15"/>
  <c r="L21" i="15"/>
  <c r="H19" i="12"/>
  <c r="I16" i="12"/>
  <c r="A38" i="18"/>
  <c r="I38" i="17"/>
  <c r="K38" i="17"/>
  <c r="J38" i="17"/>
  <c r="H38" i="17"/>
  <c r="G38" i="17"/>
  <c r="F38" i="17"/>
  <c r="E38" i="17"/>
  <c r="D38" i="17"/>
  <c r="C38" i="17"/>
  <c r="B38" i="17"/>
  <c r="C9" i="16"/>
  <c r="B9" i="16"/>
  <c r="H9" i="16" s="1"/>
  <c r="A31" i="18"/>
  <c r="B31" i="17"/>
  <c r="K31" i="17"/>
  <c r="J31" i="17"/>
  <c r="I31" i="17"/>
  <c r="H31" i="17"/>
  <c r="G31" i="17"/>
  <c r="F31" i="17"/>
  <c r="E31" i="17"/>
  <c r="D31" i="17"/>
  <c r="C31" i="17"/>
  <c r="A96" i="18"/>
  <c r="G96" i="17"/>
  <c r="K96" i="17"/>
  <c r="J96" i="17"/>
  <c r="I96" i="17"/>
  <c r="H96" i="17"/>
  <c r="F96" i="17"/>
  <c r="E96" i="17"/>
  <c r="D96" i="17"/>
  <c r="C96" i="17"/>
  <c r="B96" i="17"/>
  <c r="D45" i="16"/>
  <c r="C45" i="16"/>
  <c r="H45" i="16"/>
  <c r="B45" i="16"/>
  <c r="A74" i="18"/>
  <c r="I74" i="17"/>
  <c r="H74" i="17"/>
  <c r="G74" i="17"/>
  <c r="E74" i="17"/>
  <c r="D74" i="17"/>
  <c r="K74" i="17"/>
  <c r="J74" i="17"/>
  <c r="F74" i="17"/>
  <c r="C74" i="17"/>
  <c r="B74" i="17"/>
  <c r="A40" i="18"/>
  <c r="K40" i="17"/>
  <c r="D40" i="17"/>
  <c r="C40" i="17"/>
  <c r="B40" i="17"/>
  <c r="J40" i="17"/>
  <c r="I40" i="17"/>
  <c r="H40" i="17"/>
  <c r="G40" i="17"/>
  <c r="F40" i="17"/>
  <c r="E40" i="17"/>
  <c r="C32" i="16"/>
  <c r="B32" i="16"/>
  <c r="H32" i="16"/>
  <c r="D32" i="16"/>
  <c r="A89" i="18"/>
  <c r="K89" i="17"/>
  <c r="J89" i="17"/>
  <c r="I89" i="17"/>
  <c r="H89" i="17"/>
  <c r="G89" i="17"/>
  <c r="F89" i="17"/>
  <c r="E89" i="17"/>
  <c r="D89" i="17"/>
  <c r="B89" i="17"/>
  <c r="C89" i="17"/>
  <c r="A133" i="18"/>
  <c r="H133" i="17"/>
  <c r="G133" i="17"/>
  <c r="F133" i="17"/>
  <c r="D133" i="17"/>
  <c r="B133" i="17"/>
  <c r="K133" i="17"/>
  <c r="J133" i="17"/>
  <c r="I133" i="17"/>
  <c r="E133" i="17"/>
  <c r="C133" i="17"/>
  <c r="A94" i="18"/>
  <c r="E94" i="17"/>
  <c r="I94" i="17"/>
  <c r="H94" i="17"/>
  <c r="G94" i="17"/>
  <c r="F94" i="17"/>
  <c r="D94" i="17"/>
  <c r="C94" i="17"/>
  <c r="B94" i="17"/>
  <c r="K94" i="17"/>
  <c r="J94" i="17"/>
  <c r="A58" i="18"/>
  <c r="E58" i="17"/>
  <c r="D58" i="17"/>
  <c r="C58" i="17"/>
  <c r="K58" i="17"/>
  <c r="J58" i="17"/>
  <c r="I58" i="17"/>
  <c r="H58" i="17"/>
  <c r="G58" i="17"/>
  <c r="F58" i="17"/>
  <c r="B58" i="17"/>
  <c r="A106" i="18"/>
  <c r="E106" i="17"/>
  <c r="D106" i="17"/>
  <c r="C106" i="17"/>
  <c r="B106" i="17"/>
  <c r="K106" i="17"/>
  <c r="J106" i="17"/>
  <c r="I106" i="17"/>
  <c r="H106" i="17"/>
  <c r="G106" i="17"/>
  <c r="F106" i="17"/>
  <c r="A101" i="18"/>
  <c r="K101" i="17"/>
  <c r="B101" i="17"/>
  <c r="J101" i="17"/>
  <c r="I101" i="17"/>
  <c r="H101" i="17"/>
  <c r="G101" i="17"/>
  <c r="F101" i="17"/>
  <c r="E101" i="17"/>
  <c r="D101" i="17"/>
  <c r="C101" i="17"/>
  <c r="A178" i="18"/>
  <c r="I178" i="17"/>
  <c r="K178" i="17"/>
  <c r="J178" i="17"/>
  <c r="H178" i="17"/>
  <c r="G178" i="17"/>
  <c r="F178" i="17"/>
  <c r="E178" i="17"/>
  <c r="D178" i="17"/>
  <c r="C178" i="17"/>
  <c r="B178" i="17"/>
  <c r="A241" i="18"/>
  <c r="K241" i="17"/>
  <c r="J241" i="17"/>
  <c r="I241" i="17"/>
  <c r="H241" i="17"/>
  <c r="G241" i="17"/>
  <c r="F241" i="17"/>
  <c r="E241" i="17"/>
  <c r="D241" i="17"/>
  <c r="C241" i="17"/>
  <c r="B241" i="17"/>
  <c r="A195" i="18"/>
  <c r="B195" i="17"/>
  <c r="H195" i="17"/>
  <c r="G195" i="17"/>
  <c r="F195" i="17"/>
  <c r="E195" i="17"/>
  <c r="D195" i="17"/>
  <c r="C195" i="17"/>
  <c r="K195" i="17"/>
  <c r="J195" i="17"/>
  <c r="I195" i="17"/>
  <c r="A181" i="18"/>
  <c r="E181" i="17"/>
  <c r="D181" i="17"/>
  <c r="C181" i="17"/>
  <c r="B181" i="17"/>
  <c r="K181" i="17"/>
  <c r="J181" i="17"/>
  <c r="I181" i="17"/>
  <c r="H181" i="17"/>
  <c r="G181" i="17"/>
  <c r="F181" i="17"/>
  <c r="A180" i="18"/>
  <c r="K180" i="17"/>
  <c r="C180" i="17"/>
  <c r="B180" i="17"/>
  <c r="J180" i="17"/>
  <c r="I180" i="17"/>
  <c r="H180" i="17"/>
  <c r="G180" i="17"/>
  <c r="F180" i="17"/>
  <c r="E180" i="17"/>
  <c r="D180" i="17"/>
  <c r="A102" i="18"/>
  <c r="E102" i="17"/>
  <c r="D102" i="17"/>
  <c r="C102" i="17"/>
  <c r="B102" i="17"/>
  <c r="K102" i="17"/>
  <c r="J102" i="17"/>
  <c r="I102" i="17"/>
  <c r="H102" i="17"/>
  <c r="G102" i="17"/>
  <c r="F102" i="17"/>
  <c r="A239" i="18"/>
  <c r="J239" i="17"/>
  <c r="I239" i="17"/>
  <c r="H239" i="17"/>
  <c r="G239" i="17"/>
  <c r="F239" i="17"/>
  <c r="E239" i="17"/>
  <c r="D239" i="17"/>
  <c r="C239" i="17"/>
  <c r="B239" i="17"/>
  <c r="K239" i="17"/>
  <c r="A235" i="18"/>
  <c r="F235" i="17"/>
  <c r="E235" i="17"/>
  <c r="D235" i="17"/>
  <c r="C235" i="17"/>
  <c r="B235" i="17"/>
  <c r="K235" i="17"/>
  <c r="J235" i="17"/>
  <c r="I235" i="17"/>
  <c r="H235" i="17"/>
  <c r="G235" i="17"/>
  <c r="A243" i="18"/>
  <c r="B243" i="17"/>
  <c r="K243" i="17"/>
  <c r="J243" i="17"/>
  <c r="I243" i="17"/>
  <c r="H243" i="17"/>
  <c r="G243" i="17"/>
  <c r="F243" i="17"/>
  <c r="E243" i="17"/>
  <c r="D243" i="17"/>
  <c r="C243" i="17"/>
  <c r="C37" i="9"/>
  <c r="I37" i="9"/>
  <c r="Q45" i="15"/>
  <c r="K45" i="15"/>
  <c r="C22" i="9"/>
  <c r="I22" i="9"/>
  <c r="I12" i="9"/>
  <c r="C12" i="9"/>
  <c r="I42" i="9"/>
  <c r="C42" i="9"/>
  <c r="I18" i="6"/>
  <c r="L32" i="8" s="1"/>
  <c r="AB51" i="8" s="1"/>
  <c r="N18" i="15"/>
  <c r="M18" i="15"/>
  <c r="L18" i="15"/>
  <c r="K18" i="15"/>
  <c r="J18" i="15"/>
  <c r="I18" i="15"/>
  <c r="H18" i="15"/>
  <c r="G18" i="15"/>
  <c r="R18" i="15"/>
  <c r="F18" i="15"/>
  <c r="Q18" i="15"/>
  <c r="E18" i="15"/>
  <c r="P18" i="15"/>
  <c r="D18" i="15"/>
  <c r="O18" i="15"/>
  <c r="D62" i="9"/>
  <c r="E62" i="9"/>
  <c r="E70" i="9"/>
  <c r="D70" i="9"/>
  <c r="R11" i="19"/>
  <c r="Q11" i="19"/>
  <c r="I31" i="8"/>
  <c r="AA48" i="8" s="1"/>
  <c r="D31" i="8"/>
  <c r="AA43" i="8" s="1"/>
  <c r="I13" i="12"/>
  <c r="H17" i="12"/>
  <c r="A37" i="18"/>
  <c r="H37" i="17"/>
  <c r="K37" i="17"/>
  <c r="J37" i="17"/>
  <c r="I37" i="17"/>
  <c r="G37" i="17"/>
  <c r="F37" i="17"/>
  <c r="E37" i="17"/>
  <c r="D37" i="17"/>
  <c r="C37" i="17"/>
  <c r="B37" i="17"/>
  <c r="C12" i="16"/>
  <c r="H12" i="16"/>
  <c r="D12" i="16"/>
  <c r="B12" i="16"/>
  <c r="A14" i="18"/>
  <c r="G14" i="17"/>
  <c r="F14" i="17"/>
  <c r="E14" i="17"/>
  <c r="D14" i="17"/>
  <c r="C14" i="17"/>
  <c r="B14" i="17"/>
  <c r="K14" i="17"/>
  <c r="I14" i="17"/>
  <c r="J14" i="17"/>
  <c r="H14" i="17"/>
  <c r="A76" i="18"/>
  <c r="K76" i="17"/>
  <c r="J76" i="17"/>
  <c r="I76" i="17"/>
  <c r="G76" i="17"/>
  <c r="F76" i="17"/>
  <c r="H76" i="17"/>
  <c r="E76" i="17"/>
  <c r="D76" i="17"/>
  <c r="C76" i="17"/>
  <c r="B76" i="17"/>
  <c r="A45" i="18"/>
  <c r="D45" i="17"/>
  <c r="C45" i="17"/>
  <c r="F45" i="17"/>
  <c r="E45" i="17"/>
  <c r="B45" i="17"/>
  <c r="K45" i="17"/>
  <c r="J45" i="17"/>
  <c r="I45" i="17"/>
  <c r="H45" i="17"/>
  <c r="G45" i="17"/>
  <c r="C35" i="16"/>
  <c r="B35" i="16"/>
  <c r="H35" i="16"/>
  <c r="D35" i="16"/>
  <c r="A129" i="18"/>
  <c r="D129" i="17"/>
  <c r="C129" i="17"/>
  <c r="B129" i="17"/>
  <c r="J129" i="17"/>
  <c r="K129" i="17"/>
  <c r="I129" i="17"/>
  <c r="H129" i="17"/>
  <c r="G129" i="17"/>
  <c r="F129" i="17"/>
  <c r="E129" i="17"/>
  <c r="A135" i="18"/>
  <c r="J135" i="17"/>
  <c r="I135" i="17"/>
  <c r="H135" i="17"/>
  <c r="F135" i="17"/>
  <c r="D135" i="17"/>
  <c r="K135" i="17"/>
  <c r="G135" i="17"/>
  <c r="E135" i="17"/>
  <c r="C135" i="17"/>
  <c r="B135" i="17"/>
  <c r="J99" i="17"/>
  <c r="I99" i="17"/>
  <c r="A99" i="18"/>
  <c r="H99" i="17"/>
  <c r="G99" i="17"/>
  <c r="F99" i="17"/>
  <c r="E99" i="17"/>
  <c r="D99" i="17"/>
  <c r="C99" i="17"/>
  <c r="B99" i="17"/>
  <c r="K99" i="17"/>
  <c r="A70" i="18"/>
  <c r="E70" i="17"/>
  <c r="D70" i="17"/>
  <c r="C70" i="17"/>
  <c r="K70" i="17"/>
  <c r="J70" i="17"/>
  <c r="I70" i="17"/>
  <c r="H70" i="17"/>
  <c r="G70" i="17"/>
  <c r="F70" i="17"/>
  <c r="B70" i="17"/>
  <c r="A110" i="18"/>
  <c r="I110" i="17"/>
  <c r="H110" i="17"/>
  <c r="C110" i="17"/>
  <c r="B110" i="17"/>
  <c r="K110" i="17"/>
  <c r="J110" i="17"/>
  <c r="G110" i="17"/>
  <c r="F110" i="17"/>
  <c r="E110" i="17"/>
  <c r="D110" i="17"/>
  <c r="A149" i="18"/>
  <c r="K149" i="17"/>
  <c r="J149" i="17"/>
  <c r="I149" i="17"/>
  <c r="H149" i="17"/>
  <c r="F149" i="17"/>
  <c r="B149" i="17"/>
  <c r="G149" i="17"/>
  <c r="E149" i="17"/>
  <c r="D149" i="17"/>
  <c r="C149" i="17"/>
  <c r="A197" i="18"/>
  <c r="D197" i="17"/>
  <c r="K197" i="17"/>
  <c r="J197" i="17"/>
  <c r="I197" i="17"/>
  <c r="H197" i="17"/>
  <c r="G197" i="17"/>
  <c r="F197" i="17"/>
  <c r="E197" i="17"/>
  <c r="C197" i="17"/>
  <c r="B197" i="17"/>
  <c r="A157" i="18"/>
  <c r="H157" i="17"/>
  <c r="G157" i="17"/>
  <c r="F157" i="17"/>
  <c r="E157" i="17"/>
  <c r="D157" i="17"/>
  <c r="C157" i="17"/>
  <c r="B157" i="17"/>
  <c r="K157" i="17"/>
  <c r="J157" i="17"/>
  <c r="I157" i="17"/>
  <c r="A204" i="18"/>
  <c r="K204" i="17"/>
  <c r="J204" i="17"/>
  <c r="I204" i="17"/>
  <c r="G204" i="17"/>
  <c r="D204" i="17"/>
  <c r="C204" i="17"/>
  <c r="H204" i="17"/>
  <c r="F204" i="17"/>
  <c r="E204" i="17"/>
  <c r="B204" i="17"/>
  <c r="A141" i="18"/>
  <c r="D141" i="17"/>
  <c r="C141" i="17"/>
  <c r="B141" i="17"/>
  <c r="J141" i="17"/>
  <c r="K141" i="17"/>
  <c r="I141" i="17"/>
  <c r="H141" i="17"/>
  <c r="G141" i="17"/>
  <c r="F141" i="17"/>
  <c r="E141" i="17"/>
  <c r="A209" i="18"/>
  <c r="D209" i="17"/>
  <c r="C209" i="17"/>
  <c r="B209" i="17"/>
  <c r="K209" i="17"/>
  <c r="I209" i="17"/>
  <c r="H209" i="17"/>
  <c r="F209" i="17"/>
  <c r="E209" i="17"/>
  <c r="J209" i="17"/>
  <c r="G209" i="17"/>
  <c r="A114" i="18"/>
  <c r="C114" i="17"/>
  <c r="B114" i="17"/>
  <c r="K114" i="17"/>
  <c r="J114" i="17"/>
  <c r="I114" i="17"/>
  <c r="H114" i="17"/>
  <c r="G114" i="17"/>
  <c r="F114" i="17"/>
  <c r="E114" i="17"/>
  <c r="D114" i="17"/>
  <c r="A202" i="18"/>
  <c r="I202" i="17"/>
  <c r="H202" i="17"/>
  <c r="G202" i="17"/>
  <c r="E202" i="17"/>
  <c r="B202" i="17"/>
  <c r="K202" i="17"/>
  <c r="J202" i="17"/>
  <c r="F202" i="17"/>
  <c r="D202" i="17"/>
  <c r="C202" i="17"/>
  <c r="A198" i="18"/>
  <c r="E198" i="17"/>
  <c r="B198" i="17"/>
  <c r="K198" i="17"/>
  <c r="J198" i="17"/>
  <c r="I198" i="17"/>
  <c r="H198" i="17"/>
  <c r="G198" i="17"/>
  <c r="F198" i="17"/>
  <c r="D198" i="17"/>
  <c r="C198" i="17"/>
  <c r="A182" i="18"/>
  <c r="G182" i="17"/>
  <c r="F182" i="17"/>
  <c r="E182" i="17"/>
  <c r="D182" i="17"/>
  <c r="C182" i="17"/>
  <c r="B182" i="17"/>
  <c r="K182" i="17"/>
  <c r="J182" i="17"/>
  <c r="I182" i="17"/>
  <c r="H182" i="17"/>
  <c r="I33" i="9"/>
  <c r="C33" i="9"/>
  <c r="C17" i="9"/>
  <c r="I17" i="9"/>
  <c r="I38" i="9"/>
  <c r="C38" i="9"/>
  <c r="I9" i="9"/>
  <c r="C9" i="9"/>
  <c r="I40" i="9"/>
  <c r="C40" i="9"/>
  <c r="G40" i="7"/>
  <c r="F40" i="7"/>
  <c r="D66" i="9"/>
  <c r="E66" i="9"/>
  <c r="E73" i="9"/>
  <c r="D73" i="9"/>
  <c r="R8" i="19"/>
  <c r="Q8" i="19"/>
  <c r="H16" i="3"/>
  <c r="L9" i="8" s="1"/>
  <c r="E51" i="8" s="1"/>
  <c r="H15" i="3"/>
  <c r="I19" i="12"/>
  <c r="F14" i="12"/>
  <c r="G14" i="12" s="1"/>
  <c r="C10" i="16"/>
  <c r="B10" i="16"/>
  <c r="H10" i="16" s="1"/>
  <c r="H40" i="16"/>
  <c r="D40" i="16"/>
  <c r="C40" i="16"/>
  <c r="B40" i="16"/>
  <c r="A49" i="18"/>
  <c r="H49" i="17"/>
  <c r="G49" i="17"/>
  <c r="F49" i="17"/>
  <c r="D49" i="17"/>
  <c r="C49" i="17"/>
  <c r="K49" i="17"/>
  <c r="J49" i="17"/>
  <c r="I49" i="17"/>
  <c r="E49" i="17"/>
  <c r="B49" i="17"/>
  <c r="C15" i="16"/>
  <c r="H15" i="16"/>
  <c r="D15" i="16"/>
  <c r="B15" i="16"/>
  <c r="A23" i="18"/>
  <c r="F23" i="17"/>
  <c r="H23" i="17"/>
  <c r="G23" i="17"/>
  <c r="E23" i="17"/>
  <c r="D23" i="17"/>
  <c r="C23" i="17"/>
  <c r="B23" i="17"/>
  <c r="K23" i="17"/>
  <c r="J23" i="17"/>
  <c r="I23" i="17"/>
  <c r="A87" i="18"/>
  <c r="J87" i="17"/>
  <c r="I87" i="17"/>
  <c r="H87" i="17"/>
  <c r="G87" i="17"/>
  <c r="F87" i="17"/>
  <c r="E87" i="17"/>
  <c r="D87" i="17"/>
  <c r="C87" i="17"/>
  <c r="B87" i="17"/>
  <c r="K87" i="17"/>
  <c r="A48" i="18"/>
  <c r="G48" i="17"/>
  <c r="F48" i="17"/>
  <c r="E48" i="17"/>
  <c r="C48" i="17"/>
  <c r="B48" i="17"/>
  <c r="I48" i="17"/>
  <c r="H48" i="17"/>
  <c r="D48" i="17"/>
  <c r="K48" i="17"/>
  <c r="J48" i="17"/>
  <c r="C38" i="16"/>
  <c r="B38" i="16"/>
  <c r="H38" i="16"/>
  <c r="D38" i="16"/>
  <c r="A161" i="18"/>
  <c r="K161" i="17"/>
  <c r="J161" i="17"/>
  <c r="I161" i="17"/>
  <c r="H161" i="17"/>
  <c r="G161" i="17"/>
  <c r="F161" i="17"/>
  <c r="E161" i="17"/>
  <c r="D161" i="17"/>
  <c r="C161" i="17"/>
  <c r="B161" i="17"/>
  <c r="A137" i="18"/>
  <c r="K137" i="17"/>
  <c r="J137" i="17"/>
  <c r="H137" i="17"/>
  <c r="F137" i="17"/>
  <c r="I137" i="17"/>
  <c r="G137" i="17"/>
  <c r="E137" i="17"/>
  <c r="D137" i="17"/>
  <c r="C137" i="17"/>
  <c r="B137" i="17"/>
  <c r="A116" i="18"/>
  <c r="C116" i="17"/>
  <c r="B116" i="17"/>
  <c r="K116" i="17"/>
  <c r="I116" i="17"/>
  <c r="H116" i="17"/>
  <c r="G116" i="17"/>
  <c r="F116" i="17"/>
  <c r="E116" i="17"/>
  <c r="D116" i="17"/>
  <c r="J116" i="17"/>
  <c r="A82" i="18"/>
  <c r="E82" i="17"/>
  <c r="D82" i="17"/>
  <c r="C82" i="17"/>
  <c r="B82" i="17"/>
  <c r="J82" i="17"/>
  <c r="I82" i="17"/>
  <c r="H82" i="17"/>
  <c r="G82" i="17"/>
  <c r="F82" i="17"/>
  <c r="K82" i="17"/>
  <c r="A121" i="18"/>
  <c r="H121" i="17"/>
  <c r="G121" i="17"/>
  <c r="F121" i="17"/>
  <c r="D121" i="17"/>
  <c r="B121" i="17"/>
  <c r="E121" i="17"/>
  <c r="C121" i="17"/>
  <c r="K121" i="17"/>
  <c r="J121" i="17"/>
  <c r="I121" i="17"/>
  <c r="A201" i="18"/>
  <c r="H201" i="17"/>
  <c r="G201" i="17"/>
  <c r="F201" i="17"/>
  <c r="D201" i="17"/>
  <c r="K201" i="17"/>
  <c r="J201" i="17"/>
  <c r="I201" i="17"/>
  <c r="E201" i="17"/>
  <c r="C201" i="17"/>
  <c r="B201" i="17"/>
  <c r="A215" i="18"/>
  <c r="J215" i="17"/>
  <c r="I215" i="17"/>
  <c r="H215" i="17"/>
  <c r="F215" i="17"/>
  <c r="E215" i="17"/>
  <c r="C215" i="17"/>
  <c r="B215" i="17"/>
  <c r="K215" i="17"/>
  <c r="G215" i="17"/>
  <c r="D215" i="17"/>
  <c r="A169" i="18"/>
  <c r="H169" i="17"/>
  <c r="G169" i="17"/>
  <c r="F169" i="17"/>
  <c r="E169" i="17"/>
  <c r="D169" i="17"/>
  <c r="C169" i="17"/>
  <c r="B169" i="17"/>
  <c r="K169" i="17"/>
  <c r="J169" i="17"/>
  <c r="I169" i="17"/>
  <c r="A216" i="18"/>
  <c r="K216" i="17"/>
  <c r="J216" i="17"/>
  <c r="I216" i="17"/>
  <c r="G216" i="17"/>
  <c r="F216" i="17"/>
  <c r="D216" i="17"/>
  <c r="C216" i="17"/>
  <c r="H216" i="17"/>
  <c r="E216" i="17"/>
  <c r="B216" i="17"/>
  <c r="A153" i="18"/>
  <c r="D153" i="17"/>
  <c r="C153" i="17"/>
  <c r="B153" i="17"/>
  <c r="K153" i="17"/>
  <c r="J153" i="17"/>
  <c r="I153" i="17"/>
  <c r="H153" i="17"/>
  <c r="F153" i="17"/>
  <c r="G153" i="17"/>
  <c r="E153" i="17"/>
  <c r="A217" i="18"/>
  <c r="K217" i="17"/>
  <c r="J217" i="17"/>
  <c r="H217" i="17"/>
  <c r="G217" i="17"/>
  <c r="E217" i="17"/>
  <c r="D217" i="17"/>
  <c r="C217" i="17"/>
  <c r="B217" i="17"/>
  <c r="I217" i="17"/>
  <c r="F217" i="17"/>
  <c r="A126" i="18"/>
  <c r="K126" i="17"/>
  <c r="I126" i="17"/>
  <c r="G126" i="17"/>
  <c r="J126" i="17"/>
  <c r="H126" i="17"/>
  <c r="F126" i="17"/>
  <c r="E126" i="17"/>
  <c r="D126" i="17"/>
  <c r="C126" i="17"/>
  <c r="B126" i="17"/>
  <c r="A214" i="18"/>
  <c r="I214" i="17"/>
  <c r="H214" i="17"/>
  <c r="G214" i="17"/>
  <c r="E214" i="17"/>
  <c r="D214" i="17"/>
  <c r="B214" i="17"/>
  <c r="J214" i="17"/>
  <c r="F214" i="17"/>
  <c r="C214" i="17"/>
  <c r="K214" i="17"/>
  <c r="A210" i="18"/>
  <c r="E210" i="17"/>
  <c r="D210" i="17"/>
  <c r="C210" i="17"/>
  <c r="J210" i="17"/>
  <c r="I210" i="17"/>
  <c r="K210" i="17"/>
  <c r="H210" i="17"/>
  <c r="G210" i="17"/>
  <c r="F210" i="17"/>
  <c r="B210" i="17"/>
  <c r="A194" i="18"/>
  <c r="F194" i="17"/>
  <c r="E194" i="17"/>
  <c r="D194" i="17"/>
  <c r="C194" i="17"/>
  <c r="B194" i="17"/>
  <c r="K194" i="17"/>
  <c r="J194" i="17"/>
  <c r="I194" i="17"/>
  <c r="H194" i="17"/>
  <c r="G194" i="17"/>
  <c r="C31" i="9"/>
  <c r="I31" i="9"/>
  <c r="C14" i="9"/>
  <c r="I14" i="9"/>
  <c r="Q48" i="15"/>
  <c r="K48" i="15"/>
  <c r="I36" i="9"/>
  <c r="C36" i="9"/>
  <c r="F16" i="5"/>
  <c r="D16" i="5"/>
  <c r="E16" i="5" s="1"/>
  <c r="D15" i="5"/>
  <c r="F15" i="5"/>
  <c r="R12" i="19"/>
  <c r="Q12" i="19"/>
  <c r="H14" i="12"/>
  <c r="H18" i="12"/>
  <c r="E270" i="15" l="1"/>
  <c r="D270" i="15"/>
  <c r="K79" i="15"/>
  <c r="J108" i="15"/>
  <c r="I296" i="15"/>
  <c r="M222" i="15"/>
  <c r="J270" i="15"/>
  <c r="J79" i="15"/>
  <c r="I108" i="15"/>
  <c r="H296" i="15"/>
  <c r="I270" i="15"/>
  <c r="F79" i="15"/>
  <c r="I79" i="15"/>
  <c r="H108" i="15"/>
  <c r="G296" i="15"/>
  <c r="R270" i="15"/>
  <c r="R79" i="15"/>
  <c r="H79" i="15"/>
  <c r="R108" i="15"/>
  <c r="R296" i="15"/>
  <c r="Q270" i="15"/>
  <c r="N79" i="15"/>
  <c r="G79" i="15"/>
  <c r="F108" i="15"/>
  <c r="D296" i="15"/>
  <c r="F296" i="15"/>
  <c r="O270" i="15"/>
  <c r="Q79" i="15"/>
  <c r="E108" i="15"/>
  <c r="D108" i="15"/>
  <c r="L162" i="15"/>
  <c r="N296" i="15"/>
  <c r="Q296" i="15"/>
  <c r="L270" i="15"/>
  <c r="E79" i="15"/>
  <c r="G108" i="15"/>
  <c r="O108" i="15"/>
  <c r="K162" i="15"/>
  <c r="M296" i="15"/>
  <c r="E296" i="15"/>
  <c r="K270" i="15"/>
  <c r="P79" i="15"/>
  <c r="Q108" i="15"/>
  <c r="M108" i="15"/>
  <c r="L296" i="15"/>
  <c r="J248" i="15"/>
  <c r="E256" i="15"/>
  <c r="D248" i="15"/>
  <c r="O222" i="15"/>
  <c r="R222" i="15"/>
  <c r="P83" i="15"/>
  <c r="N222" i="15"/>
  <c r="D83" i="15"/>
  <c r="J311" i="15"/>
  <c r="E222" i="15"/>
  <c r="Q222" i="15"/>
  <c r="P222" i="15"/>
  <c r="O311" i="15"/>
  <c r="L222" i="15"/>
  <c r="N311" i="15"/>
  <c r="K222" i="15"/>
  <c r="G83" i="15"/>
  <c r="Q256" i="15"/>
  <c r="F311" i="15"/>
  <c r="N256" i="15"/>
  <c r="E311" i="15"/>
  <c r="R256" i="15"/>
  <c r="H311" i="15"/>
  <c r="I168" i="15"/>
  <c r="P256" i="15"/>
  <c r="D311" i="15"/>
  <c r="D256" i="15"/>
  <c r="G112" i="15"/>
  <c r="Q248" i="15"/>
  <c r="R162" i="15"/>
  <c r="F83" i="15"/>
  <c r="M248" i="15"/>
  <c r="Q162" i="15"/>
  <c r="E83" i="15"/>
  <c r="K248" i="15"/>
  <c r="N162" i="15"/>
  <c r="O168" i="15"/>
  <c r="H168" i="15"/>
  <c r="F112" i="15"/>
  <c r="L168" i="15"/>
  <c r="G168" i="15"/>
  <c r="E112" i="15"/>
  <c r="P168" i="15"/>
  <c r="M168" i="15"/>
  <c r="R112" i="15"/>
  <c r="M311" i="15"/>
  <c r="E128" i="15"/>
  <c r="R168" i="15"/>
  <c r="D112" i="15"/>
  <c r="L311" i="15"/>
  <c r="K311" i="15"/>
  <c r="D222" i="15"/>
  <c r="R128" i="15"/>
  <c r="Q168" i="15"/>
  <c r="I80" i="15"/>
  <c r="Q112" i="15"/>
  <c r="K168" i="15"/>
  <c r="G80" i="15"/>
  <c r="P112" i="15"/>
  <c r="F168" i="15"/>
  <c r="J112" i="15"/>
  <c r="N112" i="15"/>
  <c r="E168" i="15"/>
  <c r="L112" i="15"/>
  <c r="O112" i="15"/>
  <c r="L260" i="15"/>
  <c r="Q263" i="15"/>
  <c r="J17" i="12"/>
  <c r="D168" i="15"/>
  <c r="K112" i="15"/>
  <c r="M112" i="15"/>
  <c r="R260" i="15"/>
  <c r="O263" i="15"/>
  <c r="N168" i="15"/>
  <c r="I112" i="15"/>
  <c r="Q311" i="15"/>
  <c r="I222" i="15"/>
  <c r="P75" i="15"/>
  <c r="O75" i="15"/>
  <c r="R311" i="15"/>
  <c r="H171" i="15"/>
  <c r="E90" i="15"/>
  <c r="G255" i="15"/>
  <c r="L255" i="15"/>
  <c r="O309" i="15"/>
  <c r="R96" i="15"/>
  <c r="H32" i="8"/>
  <c r="AB47" i="8" s="1"/>
  <c r="G18" i="6"/>
  <c r="G32" i="8" s="1"/>
  <c r="AB46" i="8" s="1"/>
  <c r="E120" i="15"/>
  <c r="N220" i="15"/>
  <c r="F222" i="15"/>
  <c r="R277" i="15"/>
  <c r="H277" i="15"/>
  <c r="E277" i="15"/>
  <c r="F277" i="15"/>
  <c r="G277" i="15"/>
  <c r="I277" i="15"/>
  <c r="N277" i="15"/>
  <c r="O277" i="15"/>
  <c r="J277" i="15"/>
  <c r="M277" i="15"/>
  <c r="D277" i="15"/>
  <c r="K277" i="15"/>
  <c r="L277" i="15"/>
  <c r="P277" i="15"/>
  <c r="Q277" i="15"/>
  <c r="E228" i="15"/>
  <c r="H228" i="15"/>
  <c r="I228" i="15"/>
  <c r="P228" i="15"/>
  <c r="O228" i="15"/>
  <c r="M228" i="15"/>
  <c r="Q228" i="15"/>
  <c r="F228" i="15"/>
  <c r="G228" i="15"/>
  <c r="K228" i="15"/>
  <c r="N228" i="15"/>
  <c r="R228" i="15"/>
  <c r="D228" i="15"/>
  <c r="L228" i="15"/>
  <c r="J228" i="15"/>
  <c r="F90" i="15"/>
  <c r="H128" i="15"/>
  <c r="F309" i="15"/>
  <c r="R255" i="15"/>
  <c r="H120" i="15"/>
  <c r="K80" i="15"/>
  <c r="M80" i="15"/>
  <c r="G220" i="15"/>
  <c r="O220" i="15"/>
  <c r="L96" i="15"/>
  <c r="O260" i="15"/>
  <c r="D171" i="15"/>
  <c r="D263" i="15"/>
  <c r="J263" i="15"/>
  <c r="G269" i="15"/>
  <c r="H269" i="15"/>
  <c r="E269" i="15"/>
  <c r="F269" i="15"/>
  <c r="N269" i="15"/>
  <c r="I269" i="15"/>
  <c r="L269" i="15"/>
  <c r="P269" i="15"/>
  <c r="O269" i="15"/>
  <c r="D269" i="15"/>
  <c r="R269" i="15"/>
  <c r="J269" i="15"/>
  <c r="K269" i="15"/>
  <c r="M269" i="15"/>
  <c r="Q269" i="15"/>
  <c r="K115" i="15"/>
  <c r="N115" i="15"/>
  <c r="O115" i="15"/>
  <c r="P115" i="15"/>
  <c r="E115" i="15"/>
  <c r="G115" i="15"/>
  <c r="I115" i="15"/>
  <c r="Q115" i="15"/>
  <c r="D115" i="15"/>
  <c r="R115" i="15"/>
  <c r="F115" i="15"/>
  <c r="M115" i="15"/>
  <c r="H115" i="15"/>
  <c r="J115" i="15"/>
  <c r="L115" i="15"/>
  <c r="D219" i="15"/>
  <c r="E219" i="15"/>
  <c r="F219" i="15"/>
  <c r="L219" i="15"/>
  <c r="M219" i="15"/>
  <c r="N219" i="15"/>
  <c r="P219" i="15"/>
  <c r="Q219" i="15"/>
  <c r="R219" i="15"/>
  <c r="K219" i="15"/>
  <c r="O219" i="15"/>
  <c r="I219" i="15"/>
  <c r="H219" i="15"/>
  <c r="J219" i="15"/>
  <c r="G219" i="15"/>
  <c r="P275" i="15"/>
  <c r="J275" i="15"/>
  <c r="G275" i="15"/>
  <c r="H275" i="15"/>
  <c r="Q275" i="15"/>
  <c r="I275" i="15"/>
  <c r="N275" i="15"/>
  <c r="M275" i="15"/>
  <c r="O275" i="15"/>
  <c r="R275" i="15"/>
  <c r="K275" i="15"/>
  <c r="L275" i="15"/>
  <c r="D275" i="15"/>
  <c r="E275" i="15"/>
  <c r="F275" i="15"/>
  <c r="K214" i="15"/>
  <c r="D214" i="15"/>
  <c r="E214" i="15"/>
  <c r="F214" i="15"/>
  <c r="H214" i="15"/>
  <c r="J214" i="15"/>
  <c r="L214" i="15"/>
  <c r="N214" i="15"/>
  <c r="P214" i="15"/>
  <c r="M214" i="15"/>
  <c r="R214" i="15"/>
  <c r="Q214" i="15"/>
  <c r="O214" i="15"/>
  <c r="G214" i="15"/>
  <c r="I214" i="15"/>
  <c r="D107" i="15"/>
  <c r="E107" i="15"/>
  <c r="O107" i="15"/>
  <c r="L107" i="15"/>
  <c r="J107" i="15"/>
  <c r="F107" i="15"/>
  <c r="H107" i="15"/>
  <c r="K107" i="15"/>
  <c r="M107" i="15"/>
  <c r="N107" i="15"/>
  <c r="P107" i="15"/>
  <c r="G107" i="15"/>
  <c r="Q107" i="15"/>
  <c r="R107" i="15"/>
  <c r="I107" i="15"/>
  <c r="K280" i="15"/>
  <c r="L280" i="15"/>
  <c r="M280" i="15"/>
  <c r="Q280" i="15"/>
  <c r="E280" i="15"/>
  <c r="H280" i="15"/>
  <c r="N280" i="15"/>
  <c r="R280" i="15"/>
  <c r="G280" i="15"/>
  <c r="F280" i="15"/>
  <c r="P280" i="15"/>
  <c r="O280" i="15"/>
  <c r="D280" i="15"/>
  <c r="I280" i="15"/>
  <c r="J280" i="15"/>
  <c r="E133" i="15"/>
  <c r="J133" i="15"/>
  <c r="L133" i="15"/>
  <c r="N133" i="15"/>
  <c r="O133" i="15"/>
  <c r="G133" i="15"/>
  <c r="H133" i="15"/>
  <c r="I133" i="15"/>
  <c r="F133" i="15"/>
  <c r="K133" i="15"/>
  <c r="M133" i="15"/>
  <c r="P133" i="15"/>
  <c r="Q133" i="15"/>
  <c r="R133" i="15"/>
  <c r="D133" i="15"/>
  <c r="E93" i="15"/>
  <c r="F93" i="15"/>
  <c r="O93" i="15"/>
  <c r="P93" i="15"/>
  <c r="Q93" i="15"/>
  <c r="K93" i="15"/>
  <c r="R93" i="15"/>
  <c r="L93" i="15"/>
  <c r="I93" i="15"/>
  <c r="M93" i="15"/>
  <c r="D93" i="15"/>
  <c r="G93" i="15"/>
  <c r="H93" i="15"/>
  <c r="N93" i="15"/>
  <c r="J93" i="15"/>
  <c r="I282" i="15"/>
  <c r="O282" i="15"/>
  <c r="E282" i="15"/>
  <c r="G282" i="15"/>
  <c r="H282" i="15"/>
  <c r="J282" i="15"/>
  <c r="K282" i="15"/>
  <c r="N282" i="15"/>
  <c r="Q282" i="15"/>
  <c r="R282" i="15"/>
  <c r="D282" i="15"/>
  <c r="M282" i="15"/>
  <c r="P282" i="15"/>
  <c r="L282" i="15"/>
  <c r="F282" i="15"/>
  <c r="I245" i="15"/>
  <c r="D245" i="15"/>
  <c r="G245" i="15"/>
  <c r="K245" i="15"/>
  <c r="L245" i="15"/>
  <c r="F245" i="15"/>
  <c r="R245" i="15"/>
  <c r="O245" i="15"/>
  <c r="Q245" i="15"/>
  <c r="J245" i="15"/>
  <c r="M245" i="15"/>
  <c r="N245" i="15"/>
  <c r="P245" i="15"/>
  <c r="E245" i="15"/>
  <c r="H245" i="15"/>
  <c r="D306" i="15"/>
  <c r="F306" i="15"/>
  <c r="G306" i="15"/>
  <c r="H306" i="15"/>
  <c r="J306" i="15"/>
  <c r="P306" i="15"/>
  <c r="O306" i="15"/>
  <c r="N306" i="15"/>
  <c r="Q306" i="15"/>
  <c r="I306" i="15"/>
  <c r="L306" i="15"/>
  <c r="M306" i="15"/>
  <c r="R306" i="15"/>
  <c r="E306" i="15"/>
  <c r="K306" i="15"/>
  <c r="D50" i="12"/>
  <c r="Q90" i="15"/>
  <c r="F128" i="15"/>
  <c r="Q83" i="15"/>
  <c r="R309" i="15"/>
  <c r="N248" i="15"/>
  <c r="R84" i="15"/>
  <c r="O256" i="15"/>
  <c r="F256" i="15"/>
  <c r="Q255" i="15"/>
  <c r="F255" i="15"/>
  <c r="F120" i="15"/>
  <c r="J80" i="15"/>
  <c r="R220" i="15"/>
  <c r="E172" i="15"/>
  <c r="G96" i="15"/>
  <c r="Q81" i="15"/>
  <c r="N260" i="15"/>
  <c r="D162" i="15"/>
  <c r="I171" i="15"/>
  <c r="E263" i="15"/>
  <c r="G169" i="15"/>
  <c r="K169" i="15"/>
  <c r="L169" i="15"/>
  <c r="M169" i="15"/>
  <c r="N169" i="15"/>
  <c r="P169" i="15"/>
  <c r="F169" i="15"/>
  <c r="H169" i="15"/>
  <c r="I169" i="15"/>
  <c r="J169" i="15"/>
  <c r="E169" i="15"/>
  <c r="O169" i="15"/>
  <c r="Q169" i="15"/>
  <c r="R169" i="15"/>
  <c r="D169" i="15"/>
  <c r="D173" i="15"/>
  <c r="P173" i="15"/>
  <c r="Q173" i="15"/>
  <c r="F173" i="15"/>
  <c r="H173" i="15"/>
  <c r="O173" i="15"/>
  <c r="M173" i="15"/>
  <c r="N173" i="15"/>
  <c r="K173" i="15"/>
  <c r="L173" i="15"/>
  <c r="R173" i="15"/>
  <c r="E173" i="15"/>
  <c r="G173" i="15"/>
  <c r="J173" i="15"/>
  <c r="I173" i="15"/>
  <c r="E142" i="15"/>
  <c r="G142" i="15"/>
  <c r="I142" i="15"/>
  <c r="K142" i="15"/>
  <c r="H142" i="15"/>
  <c r="F142" i="15"/>
  <c r="J142" i="15"/>
  <c r="M142" i="15"/>
  <c r="Q142" i="15"/>
  <c r="N142" i="15"/>
  <c r="O142" i="15"/>
  <c r="D142" i="15"/>
  <c r="P142" i="15"/>
  <c r="L142" i="15"/>
  <c r="R142" i="15"/>
  <c r="N111" i="15"/>
  <c r="O111" i="15"/>
  <c r="P111" i="15"/>
  <c r="M111" i="15"/>
  <c r="D111" i="15"/>
  <c r="L111" i="15"/>
  <c r="Q111" i="15"/>
  <c r="R111" i="15"/>
  <c r="E111" i="15"/>
  <c r="F111" i="15"/>
  <c r="H111" i="15"/>
  <c r="G111" i="15"/>
  <c r="J111" i="15"/>
  <c r="K111" i="15"/>
  <c r="I111" i="15"/>
  <c r="K305" i="15"/>
  <c r="M305" i="15"/>
  <c r="P305" i="15"/>
  <c r="N305" i="15"/>
  <c r="J305" i="15"/>
  <c r="O305" i="15"/>
  <c r="L305" i="15"/>
  <c r="D305" i="15"/>
  <c r="E305" i="15"/>
  <c r="F305" i="15"/>
  <c r="G305" i="15"/>
  <c r="Q305" i="15"/>
  <c r="R305" i="15"/>
  <c r="H305" i="15"/>
  <c r="I305" i="15"/>
  <c r="H251" i="15"/>
  <c r="K251" i="15"/>
  <c r="M251" i="15"/>
  <c r="N251" i="15"/>
  <c r="O251" i="15"/>
  <c r="D251" i="15"/>
  <c r="E251" i="15"/>
  <c r="G251" i="15"/>
  <c r="I251" i="15"/>
  <c r="L251" i="15"/>
  <c r="F251" i="15"/>
  <c r="J251" i="15"/>
  <c r="R251" i="15"/>
  <c r="Q251" i="15"/>
  <c r="P251" i="15"/>
  <c r="J250" i="15"/>
  <c r="K250" i="15"/>
  <c r="M250" i="15"/>
  <c r="N250" i="15"/>
  <c r="O250" i="15"/>
  <c r="E250" i="15"/>
  <c r="H250" i="15"/>
  <c r="I250" i="15"/>
  <c r="Q250" i="15"/>
  <c r="G250" i="15"/>
  <c r="P250" i="15"/>
  <c r="F250" i="15"/>
  <c r="L250" i="15"/>
  <c r="D250" i="15"/>
  <c r="R250" i="15"/>
  <c r="N127" i="15"/>
  <c r="K127" i="15"/>
  <c r="O127" i="15"/>
  <c r="P127" i="15"/>
  <c r="E127" i="15"/>
  <c r="J127" i="15"/>
  <c r="L127" i="15"/>
  <c r="M127" i="15"/>
  <c r="G127" i="15"/>
  <c r="F127" i="15"/>
  <c r="I127" i="15"/>
  <c r="R127" i="15"/>
  <c r="Q127" i="15"/>
  <c r="D127" i="15"/>
  <c r="H127" i="15"/>
  <c r="J229" i="15"/>
  <c r="K229" i="15"/>
  <c r="M229" i="15"/>
  <c r="O229" i="15"/>
  <c r="P229" i="15"/>
  <c r="Q229" i="15"/>
  <c r="R229" i="15"/>
  <c r="D229" i="15"/>
  <c r="G229" i="15"/>
  <c r="H229" i="15"/>
  <c r="N229" i="15"/>
  <c r="I229" i="15"/>
  <c r="E229" i="15"/>
  <c r="L229" i="15"/>
  <c r="F229" i="15"/>
  <c r="E239" i="15"/>
  <c r="D239" i="15"/>
  <c r="G239" i="15"/>
  <c r="M239" i="15"/>
  <c r="L239" i="15"/>
  <c r="H239" i="15"/>
  <c r="F239" i="15"/>
  <c r="Q239" i="15"/>
  <c r="P239" i="15"/>
  <c r="O239" i="15"/>
  <c r="J239" i="15"/>
  <c r="K239" i="15"/>
  <c r="N239" i="15"/>
  <c r="R239" i="15"/>
  <c r="I239" i="15"/>
  <c r="M134" i="15"/>
  <c r="E134" i="15"/>
  <c r="G134" i="15"/>
  <c r="I134" i="15"/>
  <c r="J134" i="15"/>
  <c r="K134" i="15"/>
  <c r="L134" i="15"/>
  <c r="O134" i="15"/>
  <c r="Q134" i="15"/>
  <c r="H134" i="15"/>
  <c r="N134" i="15"/>
  <c r="R134" i="15"/>
  <c r="F134" i="15"/>
  <c r="P134" i="15"/>
  <c r="D134" i="15"/>
  <c r="R232" i="15"/>
  <c r="D232" i="15"/>
  <c r="F232" i="15"/>
  <c r="G232" i="15"/>
  <c r="Q232" i="15"/>
  <c r="P232" i="15"/>
  <c r="H232" i="15"/>
  <c r="M232" i="15"/>
  <c r="N232" i="15"/>
  <c r="J232" i="15"/>
  <c r="O232" i="15"/>
  <c r="I232" i="15"/>
  <c r="K232" i="15"/>
  <c r="L232" i="15"/>
  <c r="E232" i="15"/>
  <c r="P289" i="15"/>
  <c r="R289" i="15"/>
  <c r="J289" i="15"/>
  <c r="K289" i="15"/>
  <c r="E289" i="15"/>
  <c r="I289" i="15"/>
  <c r="N289" i="15"/>
  <c r="M289" i="15"/>
  <c r="F289" i="15"/>
  <c r="O289" i="15"/>
  <c r="H289" i="15"/>
  <c r="D289" i="15"/>
  <c r="L289" i="15"/>
  <c r="G289" i="15"/>
  <c r="Q289" i="15"/>
  <c r="Q160" i="15"/>
  <c r="R160" i="15"/>
  <c r="N160" i="15"/>
  <c r="L160" i="15"/>
  <c r="K160" i="15"/>
  <c r="O160" i="15"/>
  <c r="G160" i="15"/>
  <c r="E160" i="15"/>
  <c r="I160" i="15"/>
  <c r="D160" i="15"/>
  <c r="M160" i="15"/>
  <c r="P160" i="15"/>
  <c r="H160" i="15"/>
  <c r="F160" i="15"/>
  <c r="J160" i="15"/>
  <c r="N90" i="15"/>
  <c r="D90" i="15"/>
  <c r="D128" i="15"/>
  <c r="M309" i="15"/>
  <c r="E255" i="15"/>
  <c r="D120" i="15"/>
  <c r="R80" i="15"/>
  <c r="L220" i="15"/>
  <c r="Q96" i="15"/>
  <c r="M260" i="15"/>
  <c r="F260" i="15"/>
  <c r="M171" i="15"/>
  <c r="R171" i="15"/>
  <c r="N263" i="15"/>
  <c r="M295" i="15"/>
  <c r="D295" i="15"/>
  <c r="G295" i="15"/>
  <c r="J295" i="15"/>
  <c r="R295" i="15"/>
  <c r="K295" i="15"/>
  <c r="L295" i="15"/>
  <c r="E295" i="15"/>
  <c r="H295" i="15"/>
  <c r="Q295" i="15"/>
  <c r="I295" i="15"/>
  <c r="F295" i="15"/>
  <c r="P295" i="15"/>
  <c r="O295" i="15"/>
  <c r="N295" i="15"/>
  <c r="F284" i="15"/>
  <c r="G284" i="15"/>
  <c r="H284" i="15"/>
  <c r="I284" i="15"/>
  <c r="J284" i="15"/>
  <c r="E284" i="15"/>
  <c r="K284" i="15"/>
  <c r="L284" i="15"/>
  <c r="M284" i="15"/>
  <c r="N284" i="15"/>
  <c r="R284" i="15"/>
  <c r="Q284" i="15"/>
  <c r="D284" i="15"/>
  <c r="O284" i="15"/>
  <c r="P284" i="15"/>
  <c r="F266" i="15"/>
  <c r="G266" i="15"/>
  <c r="H266" i="15"/>
  <c r="I266" i="15"/>
  <c r="J266" i="15"/>
  <c r="P266" i="15"/>
  <c r="M266" i="15"/>
  <c r="O266" i="15"/>
  <c r="D266" i="15"/>
  <c r="L266" i="15"/>
  <c r="K266" i="15"/>
  <c r="N266" i="15"/>
  <c r="Q266" i="15"/>
  <c r="R266" i="15"/>
  <c r="E266" i="15"/>
  <c r="M276" i="15"/>
  <c r="N276" i="15"/>
  <c r="Q276" i="15"/>
  <c r="E276" i="15"/>
  <c r="I276" i="15"/>
  <c r="L276" i="15"/>
  <c r="F276" i="15"/>
  <c r="G276" i="15"/>
  <c r="R276" i="15"/>
  <c r="H276" i="15"/>
  <c r="J276" i="15"/>
  <c r="K276" i="15"/>
  <c r="O276" i="15"/>
  <c r="D276" i="15"/>
  <c r="P276" i="15"/>
  <c r="K312" i="15"/>
  <c r="D312" i="15"/>
  <c r="G312" i="15"/>
  <c r="R312" i="15"/>
  <c r="E312" i="15"/>
  <c r="P312" i="15"/>
  <c r="Q312" i="15"/>
  <c r="M312" i="15"/>
  <c r="O312" i="15"/>
  <c r="I312" i="15"/>
  <c r="J312" i="15"/>
  <c r="L312" i="15"/>
  <c r="F312" i="15"/>
  <c r="N312" i="15"/>
  <c r="H312" i="15"/>
  <c r="N310" i="15"/>
  <c r="P310" i="15"/>
  <c r="E310" i="15"/>
  <c r="O310" i="15"/>
  <c r="L310" i="15"/>
  <c r="K310" i="15"/>
  <c r="Q310" i="15"/>
  <c r="J310" i="15"/>
  <c r="M310" i="15"/>
  <c r="F310" i="15"/>
  <c r="G310" i="15"/>
  <c r="I310" i="15"/>
  <c r="R310" i="15"/>
  <c r="H310" i="15"/>
  <c r="D310" i="15"/>
  <c r="E176" i="15"/>
  <c r="D176" i="15"/>
  <c r="F176" i="15"/>
  <c r="H176" i="15"/>
  <c r="K176" i="15"/>
  <c r="L176" i="15"/>
  <c r="N176" i="15"/>
  <c r="M176" i="15"/>
  <c r="G176" i="15"/>
  <c r="I176" i="15"/>
  <c r="J176" i="15"/>
  <c r="R176" i="15"/>
  <c r="P176" i="15"/>
  <c r="Q176" i="15"/>
  <c r="O176" i="15"/>
  <c r="D137" i="15"/>
  <c r="E137" i="15"/>
  <c r="F137" i="15"/>
  <c r="I137" i="15"/>
  <c r="K137" i="15"/>
  <c r="R137" i="15"/>
  <c r="N137" i="15"/>
  <c r="P137" i="15"/>
  <c r="G137" i="15"/>
  <c r="O137" i="15"/>
  <c r="H137" i="15"/>
  <c r="Q137" i="15"/>
  <c r="J137" i="15"/>
  <c r="M137" i="15"/>
  <c r="L137" i="15"/>
  <c r="G246" i="15"/>
  <c r="N246" i="15"/>
  <c r="O246" i="15"/>
  <c r="Q246" i="15"/>
  <c r="E246" i="15"/>
  <c r="F246" i="15"/>
  <c r="L246" i="15"/>
  <c r="I246" i="15"/>
  <c r="H246" i="15"/>
  <c r="D246" i="15"/>
  <c r="P246" i="15"/>
  <c r="R246" i="15"/>
  <c r="J246" i="15"/>
  <c r="K246" i="15"/>
  <c r="M246" i="15"/>
  <c r="D203" i="15"/>
  <c r="E203" i="15"/>
  <c r="F203" i="15"/>
  <c r="G203" i="15"/>
  <c r="M203" i="15"/>
  <c r="Q203" i="15"/>
  <c r="H203" i="15"/>
  <c r="I203" i="15"/>
  <c r="J203" i="15"/>
  <c r="K203" i="15"/>
  <c r="O203" i="15"/>
  <c r="L203" i="15"/>
  <c r="N203" i="15"/>
  <c r="P203" i="15"/>
  <c r="R203" i="15"/>
  <c r="E144" i="15"/>
  <c r="G144" i="15"/>
  <c r="H144" i="15"/>
  <c r="I144" i="15"/>
  <c r="J144" i="15"/>
  <c r="R144" i="15"/>
  <c r="P144" i="15"/>
  <c r="K144" i="15"/>
  <c r="Q144" i="15"/>
  <c r="O144" i="15"/>
  <c r="D144" i="15"/>
  <c r="M144" i="15"/>
  <c r="N144" i="15"/>
  <c r="F144" i="15"/>
  <c r="L144" i="15"/>
  <c r="D191" i="15"/>
  <c r="E191" i="15"/>
  <c r="F191" i="15"/>
  <c r="G191" i="15"/>
  <c r="R191" i="15"/>
  <c r="L191" i="15"/>
  <c r="I191" i="15"/>
  <c r="J191" i="15"/>
  <c r="K191" i="15"/>
  <c r="P191" i="15"/>
  <c r="O191" i="15"/>
  <c r="H191" i="15"/>
  <c r="M191" i="15"/>
  <c r="N191" i="15"/>
  <c r="Q191" i="15"/>
  <c r="D255" i="15"/>
  <c r="F171" i="15"/>
  <c r="D99" i="15"/>
  <c r="J99" i="15"/>
  <c r="N99" i="15"/>
  <c r="P99" i="15"/>
  <c r="Q99" i="15"/>
  <c r="R99" i="15"/>
  <c r="G99" i="15"/>
  <c r="I99" i="15"/>
  <c r="K99" i="15"/>
  <c r="F99" i="15"/>
  <c r="E99" i="15"/>
  <c r="L99" i="15"/>
  <c r="M99" i="15"/>
  <c r="H99" i="15"/>
  <c r="O99" i="15"/>
  <c r="F267" i="15"/>
  <c r="D267" i="15"/>
  <c r="E267" i="15"/>
  <c r="O267" i="15"/>
  <c r="G267" i="15"/>
  <c r="H267" i="15"/>
  <c r="Q267" i="15"/>
  <c r="P267" i="15"/>
  <c r="I267" i="15"/>
  <c r="K267" i="15"/>
  <c r="N267" i="15"/>
  <c r="L267" i="15"/>
  <c r="M267" i="15"/>
  <c r="R267" i="15"/>
  <c r="J267" i="15"/>
  <c r="L90" i="15"/>
  <c r="O90" i="15"/>
  <c r="Q128" i="15"/>
  <c r="O83" i="15"/>
  <c r="E309" i="15"/>
  <c r="I248" i="15"/>
  <c r="P84" i="15"/>
  <c r="M256" i="15"/>
  <c r="P255" i="15"/>
  <c r="Q120" i="15"/>
  <c r="F80" i="15"/>
  <c r="K220" i="15"/>
  <c r="L172" i="15"/>
  <c r="N172" i="15"/>
  <c r="E96" i="15"/>
  <c r="O81" i="15"/>
  <c r="J260" i="15"/>
  <c r="P260" i="15"/>
  <c r="P162" i="15"/>
  <c r="J162" i="15"/>
  <c r="O171" i="15"/>
  <c r="E171" i="15"/>
  <c r="M263" i="15"/>
  <c r="E140" i="15"/>
  <c r="G140" i="15"/>
  <c r="J140" i="15"/>
  <c r="L140" i="15"/>
  <c r="F140" i="15"/>
  <c r="K140" i="15"/>
  <c r="Q140" i="15"/>
  <c r="I140" i="15"/>
  <c r="M140" i="15"/>
  <c r="O140" i="15"/>
  <c r="N140" i="15"/>
  <c r="D140" i="15"/>
  <c r="P140" i="15"/>
  <c r="R140" i="15"/>
  <c r="H140" i="15"/>
  <c r="F121" i="15"/>
  <c r="H121" i="15"/>
  <c r="J121" i="15"/>
  <c r="Q121" i="15"/>
  <c r="D121" i="15"/>
  <c r="K121" i="15"/>
  <c r="M121" i="15"/>
  <c r="N121" i="15"/>
  <c r="O121" i="15"/>
  <c r="P121" i="15"/>
  <c r="I121" i="15"/>
  <c r="R121" i="15"/>
  <c r="E121" i="15"/>
  <c r="G121" i="15"/>
  <c r="L121" i="15"/>
  <c r="J157" i="15"/>
  <c r="N157" i="15"/>
  <c r="G157" i="15"/>
  <c r="O157" i="15"/>
  <c r="F157" i="15"/>
  <c r="M157" i="15"/>
  <c r="K157" i="15"/>
  <c r="P157" i="15"/>
  <c r="Q157" i="15"/>
  <c r="L157" i="15"/>
  <c r="R157" i="15"/>
  <c r="D157" i="15"/>
  <c r="E157" i="15"/>
  <c r="H157" i="15"/>
  <c r="I157" i="15"/>
  <c r="R279" i="15"/>
  <c r="G279" i="15"/>
  <c r="P279" i="15"/>
  <c r="J279" i="15"/>
  <c r="I279" i="15"/>
  <c r="N279" i="15"/>
  <c r="L279" i="15"/>
  <c r="Q279" i="15"/>
  <c r="K279" i="15"/>
  <c r="E279" i="15"/>
  <c r="D279" i="15"/>
  <c r="O279" i="15"/>
  <c r="F279" i="15"/>
  <c r="H279" i="15"/>
  <c r="M279" i="15"/>
  <c r="E151" i="15"/>
  <c r="G151" i="15"/>
  <c r="L151" i="15"/>
  <c r="K151" i="15"/>
  <c r="M151" i="15"/>
  <c r="P151" i="15"/>
  <c r="R151" i="15"/>
  <c r="Q151" i="15"/>
  <c r="I151" i="15"/>
  <c r="J151" i="15"/>
  <c r="N151" i="15"/>
  <c r="F151" i="15"/>
  <c r="O151" i="15"/>
  <c r="D151" i="15"/>
  <c r="H151" i="15"/>
  <c r="H216" i="15"/>
  <c r="G216" i="15"/>
  <c r="I216" i="15"/>
  <c r="K216" i="15"/>
  <c r="M216" i="15"/>
  <c r="E216" i="15"/>
  <c r="F216" i="15"/>
  <c r="D216" i="15"/>
  <c r="N216" i="15"/>
  <c r="O216" i="15"/>
  <c r="J216" i="15"/>
  <c r="L216" i="15"/>
  <c r="Q216" i="15"/>
  <c r="R216" i="15"/>
  <c r="P216" i="15"/>
  <c r="J271" i="15"/>
  <c r="P271" i="15"/>
  <c r="Q271" i="15"/>
  <c r="R271" i="15"/>
  <c r="D271" i="15"/>
  <c r="I271" i="15"/>
  <c r="L271" i="15"/>
  <c r="M271" i="15"/>
  <c r="H271" i="15"/>
  <c r="E271" i="15"/>
  <c r="F271" i="15"/>
  <c r="K271" i="15"/>
  <c r="O271" i="15"/>
  <c r="N271" i="15"/>
  <c r="G271" i="15"/>
  <c r="O202" i="15"/>
  <c r="J202" i="15"/>
  <c r="K202" i="15"/>
  <c r="L202" i="15"/>
  <c r="N202" i="15"/>
  <c r="P202" i="15"/>
  <c r="Q202" i="15"/>
  <c r="D202" i="15"/>
  <c r="R202" i="15"/>
  <c r="E202" i="15"/>
  <c r="F202" i="15"/>
  <c r="G202" i="15"/>
  <c r="H202" i="15"/>
  <c r="I202" i="15"/>
  <c r="M202" i="15"/>
  <c r="H241" i="15"/>
  <c r="I241" i="15"/>
  <c r="O241" i="15"/>
  <c r="P241" i="15"/>
  <c r="Q241" i="15"/>
  <c r="G241" i="15"/>
  <c r="E241" i="15"/>
  <c r="D241" i="15"/>
  <c r="K241" i="15"/>
  <c r="L241" i="15"/>
  <c r="R241" i="15"/>
  <c r="M241" i="15"/>
  <c r="N241" i="15"/>
  <c r="J241" i="15"/>
  <c r="F241" i="15"/>
  <c r="E141" i="15"/>
  <c r="K141" i="15"/>
  <c r="N141" i="15"/>
  <c r="D141" i="15"/>
  <c r="F141" i="15"/>
  <c r="I141" i="15"/>
  <c r="M141" i="15"/>
  <c r="L141" i="15"/>
  <c r="Q141" i="15"/>
  <c r="G141" i="15"/>
  <c r="P141" i="15"/>
  <c r="H141" i="15"/>
  <c r="J141" i="15"/>
  <c r="O141" i="15"/>
  <c r="R141" i="15"/>
  <c r="E261" i="15"/>
  <c r="H261" i="15"/>
  <c r="K261" i="15"/>
  <c r="G261" i="15"/>
  <c r="I261" i="15"/>
  <c r="J261" i="15"/>
  <c r="L261" i="15"/>
  <c r="M261" i="15"/>
  <c r="O261" i="15"/>
  <c r="F261" i="15"/>
  <c r="R261" i="15"/>
  <c r="N261" i="15"/>
  <c r="P261" i="15"/>
  <c r="Q261" i="15"/>
  <c r="D261" i="15"/>
  <c r="K227" i="15"/>
  <c r="L227" i="15"/>
  <c r="M227" i="15"/>
  <c r="N227" i="15"/>
  <c r="P227" i="15"/>
  <c r="Q227" i="15"/>
  <c r="R227" i="15"/>
  <c r="E227" i="15"/>
  <c r="F227" i="15"/>
  <c r="D227" i="15"/>
  <c r="J227" i="15"/>
  <c r="I227" i="15"/>
  <c r="H227" i="15"/>
  <c r="O227" i="15"/>
  <c r="G227" i="15"/>
  <c r="J215" i="15"/>
  <c r="E215" i="15"/>
  <c r="F215" i="15"/>
  <c r="G215" i="15"/>
  <c r="K215" i="15"/>
  <c r="L215" i="15"/>
  <c r="M215" i="15"/>
  <c r="H215" i="15"/>
  <c r="N215" i="15"/>
  <c r="O215" i="15"/>
  <c r="Q215" i="15"/>
  <c r="R215" i="15"/>
  <c r="I215" i="15"/>
  <c r="D215" i="15"/>
  <c r="P215" i="15"/>
  <c r="H125" i="15"/>
  <c r="F125" i="15"/>
  <c r="J125" i="15"/>
  <c r="Q125" i="15"/>
  <c r="O125" i="15"/>
  <c r="G125" i="15"/>
  <c r="R125" i="15"/>
  <c r="I125" i="15"/>
  <c r="K125" i="15"/>
  <c r="L125" i="15"/>
  <c r="M125" i="15"/>
  <c r="N125" i="15"/>
  <c r="P125" i="15"/>
  <c r="D125" i="15"/>
  <c r="E125" i="15"/>
  <c r="F96" i="15"/>
  <c r="D184" i="15"/>
  <c r="E184" i="15"/>
  <c r="N184" i="15"/>
  <c r="F184" i="15"/>
  <c r="Q184" i="15"/>
  <c r="H184" i="15"/>
  <c r="J184" i="15"/>
  <c r="O184" i="15"/>
  <c r="R184" i="15"/>
  <c r="G184" i="15"/>
  <c r="I184" i="15"/>
  <c r="K184" i="15"/>
  <c r="L184" i="15"/>
  <c r="M184" i="15"/>
  <c r="P184" i="15"/>
  <c r="K90" i="15"/>
  <c r="M90" i="15"/>
  <c r="P128" i="15"/>
  <c r="M83" i="15"/>
  <c r="L309" i="15"/>
  <c r="H248" i="15"/>
  <c r="D84" i="15"/>
  <c r="K256" i="15"/>
  <c r="O255" i="15"/>
  <c r="P120" i="15"/>
  <c r="Q80" i="15"/>
  <c r="I220" i="15"/>
  <c r="K172" i="15"/>
  <c r="M172" i="15"/>
  <c r="P96" i="15"/>
  <c r="M81" i="15"/>
  <c r="H260" i="15"/>
  <c r="D260" i="15"/>
  <c r="O162" i="15"/>
  <c r="M162" i="15"/>
  <c r="N171" i="15"/>
  <c r="G171" i="15"/>
  <c r="L263" i="15"/>
  <c r="H242" i="15"/>
  <c r="J242" i="15"/>
  <c r="L242" i="15"/>
  <c r="K242" i="15"/>
  <c r="N242" i="15"/>
  <c r="D242" i="15"/>
  <c r="I242" i="15"/>
  <c r="E242" i="15"/>
  <c r="P242" i="15"/>
  <c r="Q242" i="15"/>
  <c r="F242" i="15"/>
  <c r="R242" i="15"/>
  <c r="M242" i="15"/>
  <c r="O242" i="15"/>
  <c r="G242" i="15"/>
  <c r="R287" i="15"/>
  <c r="D287" i="15"/>
  <c r="G287" i="15"/>
  <c r="O287" i="15"/>
  <c r="F287" i="15"/>
  <c r="M287" i="15"/>
  <c r="L287" i="15"/>
  <c r="J287" i="15"/>
  <c r="K287" i="15"/>
  <c r="N287" i="15"/>
  <c r="E287" i="15"/>
  <c r="Q287" i="15"/>
  <c r="H287" i="15"/>
  <c r="I287" i="15"/>
  <c r="P287" i="15"/>
  <c r="D206" i="15"/>
  <c r="E206" i="15"/>
  <c r="F206" i="15"/>
  <c r="H206" i="15"/>
  <c r="Q206" i="15"/>
  <c r="R206" i="15"/>
  <c r="I206" i="15"/>
  <c r="M206" i="15"/>
  <c r="P206" i="15"/>
  <c r="N206" i="15"/>
  <c r="O206" i="15"/>
  <c r="G206" i="15"/>
  <c r="K206" i="15"/>
  <c r="J206" i="15"/>
  <c r="L206" i="15"/>
  <c r="O218" i="15"/>
  <c r="D218" i="15"/>
  <c r="E218" i="15"/>
  <c r="F218" i="15"/>
  <c r="H218" i="15"/>
  <c r="I218" i="15"/>
  <c r="J218" i="15"/>
  <c r="K218" i="15"/>
  <c r="L218" i="15"/>
  <c r="N218" i="15"/>
  <c r="R218" i="15"/>
  <c r="Q218" i="15"/>
  <c r="P218" i="15"/>
  <c r="G218" i="15"/>
  <c r="M218" i="15"/>
  <c r="D148" i="15"/>
  <c r="J148" i="15"/>
  <c r="K148" i="15"/>
  <c r="O148" i="15"/>
  <c r="P148" i="15"/>
  <c r="Q148" i="15"/>
  <c r="M148" i="15"/>
  <c r="I148" i="15"/>
  <c r="E148" i="15"/>
  <c r="R148" i="15"/>
  <c r="F148" i="15"/>
  <c r="G148" i="15"/>
  <c r="L148" i="15"/>
  <c r="N148" i="15"/>
  <c r="H148" i="15"/>
  <c r="D158" i="15"/>
  <c r="N158" i="15"/>
  <c r="Q158" i="15"/>
  <c r="E158" i="15"/>
  <c r="G158" i="15"/>
  <c r="H158" i="15"/>
  <c r="I158" i="15"/>
  <c r="J158" i="15"/>
  <c r="K158" i="15"/>
  <c r="L158" i="15"/>
  <c r="M158" i="15"/>
  <c r="F158" i="15"/>
  <c r="R158" i="15"/>
  <c r="P158" i="15"/>
  <c r="O158" i="15"/>
  <c r="Q146" i="15"/>
  <c r="G146" i="15"/>
  <c r="I146" i="15"/>
  <c r="N146" i="15"/>
  <c r="L146" i="15"/>
  <c r="R146" i="15"/>
  <c r="J146" i="15"/>
  <c r="K146" i="15"/>
  <c r="O146" i="15"/>
  <c r="P146" i="15"/>
  <c r="E146" i="15"/>
  <c r="D146" i="15"/>
  <c r="H146" i="15"/>
  <c r="M146" i="15"/>
  <c r="F146" i="15"/>
  <c r="L233" i="15"/>
  <c r="I233" i="15"/>
  <c r="Q233" i="15"/>
  <c r="E233" i="15"/>
  <c r="D233" i="15"/>
  <c r="R233" i="15"/>
  <c r="F233" i="15"/>
  <c r="J233" i="15"/>
  <c r="O233" i="15"/>
  <c r="G233" i="15"/>
  <c r="H233" i="15"/>
  <c r="K233" i="15"/>
  <c r="M233" i="15"/>
  <c r="N233" i="15"/>
  <c r="P233" i="15"/>
  <c r="I199" i="15"/>
  <c r="E199" i="15"/>
  <c r="F199" i="15"/>
  <c r="G199" i="15"/>
  <c r="J199" i="15"/>
  <c r="K199" i="15"/>
  <c r="L199" i="15"/>
  <c r="M199" i="15"/>
  <c r="N199" i="15"/>
  <c r="P199" i="15"/>
  <c r="R199" i="15"/>
  <c r="Q199" i="15"/>
  <c r="H199" i="15"/>
  <c r="O199" i="15"/>
  <c r="D199" i="15"/>
  <c r="D197" i="15"/>
  <c r="G197" i="15"/>
  <c r="H197" i="15"/>
  <c r="J197" i="15"/>
  <c r="M197" i="15"/>
  <c r="N197" i="15"/>
  <c r="P197" i="15"/>
  <c r="Q197" i="15"/>
  <c r="I197" i="15"/>
  <c r="L197" i="15"/>
  <c r="O197" i="15"/>
  <c r="K197" i="15"/>
  <c r="E197" i="15"/>
  <c r="R197" i="15"/>
  <c r="F197" i="15"/>
  <c r="O264" i="15"/>
  <c r="M264" i="15"/>
  <c r="R264" i="15"/>
  <c r="F264" i="15"/>
  <c r="G264" i="15"/>
  <c r="H264" i="15"/>
  <c r="I264" i="15"/>
  <c r="N264" i="15"/>
  <c r="D264" i="15"/>
  <c r="P264" i="15"/>
  <c r="L264" i="15"/>
  <c r="E264" i="15"/>
  <c r="J264" i="15"/>
  <c r="K264" i="15"/>
  <c r="Q264" i="15"/>
  <c r="J255" i="15"/>
  <c r="E129" i="15"/>
  <c r="F129" i="15"/>
  <c r="J129" i="15"/>
  <c r="M129" i="15"/>
  <c r="Q129" i="15"/>
  <c r="G129" i="15"/>
  <c r="I129" i="15"/>
  <c r="D129" i="15"/>
  <c r="K129" i="15"/>
  <c r="H129" i="15"/>
  <c r="L129" i="15"/>
  <c r="N129" i="15"/>
  <c r="O129" i="15"/>
  <c r="P129" i="15"/>
  <c r="R129" i="15"/>
  <c r="I90" i="15"/>
  <c r="I128" i="15"/>
  <c r="N128" i="15"/>
  <c r="L83" i="15"/>
  <c r="H309" i="15"/>
  <c r="J309" i="15"/>
  <c r="G248" i="15"/>
  <c r="L84" i="15"/>
  <c r="O84" i="15"/>
  <c r="J256" i="15"/>
  <c r="N255" i="15"/>
  <c r="J120" i="15"/>
  <c r="N120" i="15"/>
  <c r="E80" i="15"/>
  <c r="H220" i="15"/>
  <c r="R172" i="15"/>
  <c r="J96" i="15"/>
  <c r="D96" i="15"/>
  <c r="L81" i="15"/>
  <c r="K260" i="15"/>
  <c r="I162" i="15"/>
  <c r="Q171" i="15"/>
  <c r="K263" i="15"/>
  <c r="I268" i="15"/>
  <c r="J268" i="15"/>
  <c r="K268" i="15"/>
  <c r="L268" i="15"/>
  <c r="M268" i="15"/>
  <c r="E268" i="15"/>
  <c r="G268" i="15"/>
  <c r="H268" i="15"/>
  <c r="N268" i="15"/>
  <c r="Q268" i="15"/>
  <c r="R268" i="15"/>
  <c r="F268" i="15"/>
  <c r="D268" i="15"/>
  <c r="O268" i="15"/>
  <c r="P268" i="15"/>
  <c r="E101" i="15"/>
  <c r="D101" i="15"/>
  <c r="F101" i="15"/>
  <c r="P101" i="15"/>
  <c r="Q101" i="15"/>
  <c r="O101" i="15"/>
  <c r="M101" i="15"/>
  <c r="H101" i="15"/>
  <c r="R101" i="15"/>
  <c r="N101" i="15"/>
  <c r="G101" i="15"/>
  <c r="I101" i="15"/>
  <c r="J101" i="15"/>
  <c r="K101" i="15"/>
  <c r="L101" i="15"/>
  <c r="E97" i="15"/>
  <c r="D97" i="15"/>
  <c r="F97" i="15"/>
  <c r="O97" i="15"/>
  <c r="P97" i="15"/>
  <c r="Q97" i="15"/>
  <c r="G97" i="15"/>
  <c r="I97" i="15"/>
  <c r="J97" i="15"/>
  <c r="K97" i="15"/>
  <c r="H97" i="15"/>
  <c r="L97" i="15"/>
  <c r="M97" i="15"/>
  <c r="N97" i="15"/>
  <c r="R97" i="15"/>
  <c r="F236" i="15"/>
  <c r="R236" i="15"/>
  <c r="H236" i="15"/>
  <c r="N236" i="15"/>
  <c r="P236" i="15"/>
  <c r="I236" i="15"/>
  <c r="J236" i="15"/>
  <c r="L236" i="15"/>
  <c r="O236" i="15"/>
  <c r="D236" i="15"/>
  <c r="Q236" i="15"/>
  <c r="K236" i="15"/>
  <c r="M236" i="15"/>
  <c r="E236" i="15"/>
  <c r="G236" i="15"/>
  <c r="E207" i="15"/>
  <c r="F207" i="15"/>
  <c r="G207" i="15"/>
  <c r="J207" i="15"/>
  <c r="L207" i="15"/>
  <c r="P207" i="15"/>
  <c r="O207" i="15"/>
  <c r="K207" i="15"/>
  <c r="M207" i="15"/>
  <c r="N207" i="15"/>
  <c r="R207" i="15"/>
  <c r="I207" i="15"/>
  <c r="Q207" i="15"/>
  <c r="D207" i="15"/>
  <c r="H207" i="15"/>
  <c r="F167" i="15"/>
  <c r="I167" i="15"/>
  <c r="J167" i="15"/>
  <c r="K167" i="15"/>
  <c r="P167" i="15"/>
  <c r="D167" i="15"/>
  <c r="H167" i="15"/>
  <c r="L167" i="15"/>
  <c r="G167" i="15"/>
  <c r="M167" i="15"/>
  <c r="Q167" i="15"/>
  <c r="N167" i="15"/>
  <c r="O167" i="15"/>
  <c r="E167" i="15"/>
  <c r="R167" i="15"/>
  <c r="K223" i="15"/>
  <c r="L223" i="15"/>
  <c r="M223" i="15"/>
  <c r="N223" i="15"/>
  <c r="P223" i="15"/>
  <c r="Q223" i="15"/>
  <c r="R223" i="15"/>
  <c r="D223" i="15"/>
  <c r="E223" i="15"/>
  <c r="F223" i="15"/>
  <c r="G223" i="15"/>
  <c r="J223" i="15"/>
  <c r="O223" i="15"/>
  <c r="H223" i="15"/>
  <c r="I223" i="15"/>
  <c r="F283" i="15"/>
  <c r="I283" i="15"/>
  <c r="K283" i="15"/>
  <c r="L283" i="15"/>
  <c r="M283" i="15"/>
  <c r="D283" i="15"/>
  <c r="O283" i="15"/>
  <c r="P283" i="15"/>
  <c r="E283" i="15"/>
  <c r="Q283" i="15"/>
  <c r="G283" i="15"/>
  <c r="H283" i="15"/>
  <c r="R283" i="15"/>
  <c r="N283" i="15"/>
  <c r="J283" i="15"/>
  <c r="D139" i="15"/>
  <c r="M139" i="15"/>
  <c r="E139" i="15"/>
  <c r="I139" i="15"/>
  <c r="L139" i="15"/>
  <c r="H139" i="15"/>
  <c r="J139" i="15"/>
  <c r="K139" i="15"/>
  <c r="N139" i="15"/>
  <c r="Q139" i="15"/>
  <c r="P139" i="15"/>
  <c r="F139" i="15"/>
  <c r="R139" i="15"/>
  <c r="O139" i="15"/>
  <c r="G139" i="15"/>
  <c r="G274" i="15"/>
  <c r="K274" i="15"/>
  <c r="I274" i="15"/>
  <c r="O274" i="15"/>
  <c r="Q274" i="15"/>
  <c r="D274" i="15"/>
  <c r="J274" i="15"/>
  <c r="P274" i="15"/>
  <c r="L274" i="15"/>
  <c r="M274" i="15"/>
  <c r="R274" i="15"/>
  <c r="N274" i="15"/>
  <c r="E274" i="15"/>
  <c r="F274" i="15"/>
  <c r="H274" i="15"/>
  <c r="E105" i="15"/>
  <c r="D105" i="15"/>
  <c r="N105" i="15"/>
  <c r="J105" i="15"/>
  <c r="K105" i="15"/>
  <c r="M105" i="15"/>
  <c r="O105" i="15"/>
  <c r="P105" i="15"/>
  <c r="F105" i="15"/>
  <c r="Q105" i="15"/>
  <c r="R105" i="15"/>
  <c r="G105" i="15"/>
  <c r="I105" i="15"/>
  <c r="L105" i="15"/>
  <c r="H105" i="15"/>
  <c r="I281" i="15"/>
  <c r="L281" i="15"/>
  <c r="M281" i="15"/>
  <c r="O281" i="15"/>
  <c r="F281" i="15"/>
  <c r="G281" i="15"/>
  <c r="H281" i="15"/>
  <c r="N281" i="15"/>
  <c r="P281" i="15"/>
  <c r="R281" i="15"/>
  <c r="K281" i="15"/>
  <c r="J281" i="15"/>
  <c r="D281" i="15"/>
  <c r="Q281" i="15"/>
  <c r="E281" i="15"/>
  <c r="D293" i="15"/>
  <c r="F293" i="15"/>
  <c r="G293" i="15"/>
  <c r="H293" i="15"/>
  <c r="J293" i="15"/>
  <c r="I293" i="15"/>
  <c r="Q293" i="15"/>
  <c r="N293" i="15"/>
  <c r="O293" i="15"/>
  <c r="P293" i="15"/>
  <c r="M293" i="15"/>
  <c r="L293" i="15"/>
  <c r="K293" i="15"/>
  <c r="R293" i="15"/>
  <c r="E293" i="15"/>
  <c r="D181" i="15"/>
  <c r="O181" i="15"/>
  <c r="P181" i="15"/>
  <c r="R181" i="15"/>
  <c r="F181" i="15"/>
  <c r="H181" i="15"/>
  <c r="M181" i="15"/>
  <c r="K181" i="15"/>
  <c r="N181" i="15"/>
  <c r="J181" i="15"/>
  <c r="G181" i="15"/>
  <c r="E181" i="15"/>
  <c r="I181" i="15"/>
  <c r="L181" i="15"/>
  <c r="Q181" i="15"/>
  <c r="R178" i="15"/>
  <c r="D178" i="15"/>
  <c r="E178" i="15"/>
  <c r="O178" i="15"/>
  <c r="P178" i="15"/>
  <c r="J178" i="15"/>
  <c r="M178" i="15"/>
  <c r="N178" i="15"/>
  <c r="H178" i="15"/>
  <c r="I178" i="15"/>
  <c r="Q178" i="15"/>
  <c r="G178" i="15"/>
  <c r="K178" i="15"/>
  <c r="L178" i="15"/>
  <c r="F178" i="15"/>
  <c r="R221" i="15"/>
  <c r="G221" i="15"/>
  <c r="H221" i="15"/>
  <c r="J221" i="15"/>
  <c r="O221" i="15"/>
  <c r="I221" i="15"/>
  <c r="D221" i="15"/>
  <c r="L221" i="15"/>
  <c r="F221" i="15"/>
  <c r="P221" i="15"/>
  <c r="N221" i="15"/>
  <c r="E221" i="15"/>
  <c r="K221" i="15"/>
  <c r="M221" i="15"/>
  <c r="Q221" i="15"/>
  <c r="H189" i="15"/>
  <c r="K189" i="15"/>
  <c r="M189" i="15"/>
  <c r="N189" i="15"/>
  <c r="O189" i="15"/>
  <c r="P189" i="15"/>
  <c r="L189" i="15"/>
  <c r="Q189" i="15"/>
  <c r="F189" i="15"/>
  <c r="G189" i="15"/>
  <c r="J189" i="15"/>
  <c r="I189" i="15"/>
  <c r="D189" i="15"/>
  <c r="R189" i="15"/>
  <c r="E189" i="15"/>
  <c r="K213" i="15"/>
  <c r="O213" i="15"/>
  <c r="P213" i="15"/>
  <c r="D213" i="15"/>
  <c r="F213" i="15"/>
  <c r="G213" i="15"/>
  <c r="M213" i="15"/>
  <c r="J213" i="15"/>
  <c r="H213" i="15"/>
  <c r="I213" i="15"/>
  <c r="L213" i="15"/>
  <c r="Q213" i="15"/>
  <c r="N213" i="15"/>
  <c r="E213" i="15"/>
  <c r="R213" i="15"/>
  <c r="P90" i="15"/>
  <c r="N309" i="15"/>
  <c r="H294" i="15"/>
  <c r="I294" i="15"/>
  <c r="G294" i="15"/>
  <c r="D294" i="15"/>
  <c r="M294" i="15"/>
  <c r="E294" i="15"/>
  <c r="N294" i="15"/>
  <c r="R294" i="15"/>
  <c r="J294" i="15"/>
  <c r="P294" i="15"/>
  <c r="Q294" i="15"/>
  <c r="F294" i="15"/>
  <c r="K294" i="15"/>
  <c r="L294" i="15"/>
  <c r="O294" i="15"/>
  <c r="D95" i="15"/>
  <c r="E95" i="15"/>
  <c r="O95" i="15"/>
  <c r="K95" i="15"/>
  <c r="J95" i="15"/>
  <c r="L95" i="15"/>
  <c r="G95" i="15"/>
  <c r="M95" i="15"/>
  <c r="F95" i="15"/>
  <c r="H95" i="15"/>
  <c r="N95" i="15"/>
  <c r="P95" i="15"/>
  <c r="Q95" i="15"/>
  <c r="R95" i="15"/>
  <c r="I95" i="15"/>
  <c r="D292" i="15"/>
  <c r="G292" i="15"/>
  <c r="H292" i="15"/>
  <c r="I292" i="15"/>
  <c r="M292" i="15"/>
  <c r="J292" i="15"/>
  <c r="P292" i="15"/>
  <c r="L292" i="15"/>
  <c r="E292" i="15"/>
  <c r="Q292" i="15"/>
  <c r="O292" i="15"/>
  <c r="F292" i="15"/>
  <c r="R292" i="15"/>
  <c r="N292" i="15"/>
  <c r="K292" i="15"/>
  <c r="M290" i="15"/>
  <c r="N290" i="15"/>
  <c r="O290" i="15"/>
  <c r="P290" i="15"/>
  <c r="J290" i="15"/>
  <c r="L290" i="15"/>
  <c r="D290" i="15"/>
  <c r="G290" i="15"/>
  <c r="H290" i="15"/>
  <c r="I290" i="15"/>
  <c r="E290" i="15"/>
  <c r="R290" i="15"/>
  <c r="Q290" i="15"/>
  <c r="F290" i="15"/>
  <c r="K290" i="15"/>
  <c r="E138" i="15"/>
  <c r="G138" i="15"/>
  <c r="I138" i="15"/>
  <c r="J138" i="15"/>
  <c r="K138" i="15"/>
  <c r="R138" i="15"/>
  <c r="M138" i="15"/>
  <c r="N138" i="15"/>
  <c r="D138" i="15"/>
  <c r="P138" i="15"/>
  <c r="Q138" i="15"/>
  <c r="F138" i="15"/>
  <c r="H138" i="15"/>
  <c r="O138" i="15"/>
  <c r="L138" i="15"/>
  <c r="H90" i="15"/>
  <c r="G128" i="15"/>
  <c r="O128" i="15"/>
  <c r="K83" i="15"/>
  <c r="G309" i="15"/>
  <c r="I309" i="15"/>
  <c r="L248" i="15"/>
  <c r="K84" i="15"/>
  <c r="N84" i="15"/>
  <c r="I256" i="15"/>
  <c r="M255" i="15"/>
  <c r="G120" i="15"/>
  <c r="O120" i="15"/>
  <c r="P80" i="15"/>
  <c r="J220" i="15"/>
  <c r="J172" i="15"/>
  <c r="I96" i="15"/>
  <c r="O96" i="15"/>
  <c r="K81" i="15"/>
  <c r="I260" i="15"/>
  <c r="H162" i="15"/>
  <c r="P171" i="15"/>
  <c r="I263" i="15"/>
  <c r="D177" i="15"/>
  <c r="F177" i="15"/>
  <c r="H177" i="15"/>
  <c r="I177" i="15"/>
  <c r="J177" i="15"/>
  <c r="L177" i="15"/>
  <c r="N177" i="15"/>
  <c r="P177" i="15"/>
  <c r="Q177" i="15"/>
  <c r="G177" i="15"/>
  <c r="O177" i="15"/>
  <c r="K177" i="15"/>
  <c r="E177" i="15"/>
  <c r="M177" i="15"/>
  <c r="R177" i="15"/>
  <c r="J262" i="15"/>
  <c r="G262" i="15"/>
  <c r="K262" i="15"/>
  <c r="M262" i="15"/>
  <c r="N262" i="15"/>
  <c r="O262" i="15"/>
  <c r="E262" i="15"/>
  <c r="P262" i="15"/>
  <c r="F262" i="15"/>
  <c r="D262" i="15"/>
  <c r="I262" i="15"/>
  <c r="R262" i="15"/>
  <c r="L262" i="15"/>
  <c r="Q262" i="15"/>
  <c r="H262" i="15"/>
  <c r="G278" i="15"/>
  <c r="K278" i="15"/>
  <c r="L278" i="15"/>
  <c r="Q278" i="15"/>
  <c r="E278" i="15"/>
  <c r="I278" i="15"/>
  <c r="J278" i="15"/>
  <c r="D278" i="15"/>
  <c r="M278" i="15"/>
  <c r="P278" i="15"/>
  <c r="F278" i="15"/>
  <c r="H278" i="15"/>
  <c r="R278" i="15"/>
  <c r="N278" i="15"/>
  <c r="O278" i="15"/>
  <c r="D308" i="15"/>
  <c r="K308" i="15"/>
  <c r="M308" i="15"/>
  <c r="P308" i="15"/>
  <c r="I308" i="15"/>
  <c r="J308" i="15"/>
  <c r="G308" i="15"/>
  <c r="N308" i="15"/>
  <c r="L308" i="15"/>
  <c r="H308" i="15"/>
  <c r="E308" i="15"/>
  <c r="O308" i="15"/>
  <c r="Q308" i="15"/>
  <c r="F308" i="15"/>
  <c r="R308" i="15"/>
  <c r="D170" i="15"/>
  <c r="Q170" i="15"/>
  <c r="R170" i="15"/>
  <c r="F170" i="15"/>
  <c r="G170" i="15"/>
  <c r="I170" i="15"/>
  <c r="O170" i="15"/>
  <c r="P170" i="15"/>
  <c r="H170" i="15"/>
  <c r="M170" i="15"/>
  <c r="N170" i="15"/>
  <c r="L170" i="15"/>
  <c r="E170" i="15"/>
  <c r="J170" i="15"/>
  <c r="K170" i="15"/>
  <c r="D143" i="15"/>
  <c r="I143" i="15"/>
  <c r="M143" i="15"/>
  <c r="E143" i="15"/>
  <c r="J143" i="15"/>
  <c r="O143" i="15"/>
  <c r="R143" i="15"/>
  <c r="N143" i="15"/>
  <c r="F143" i="15"/>
  <c r="Q143" i="15"/>
  <c r="H143" i="15"/>
  <c r="G143" i="15"/>
  <c r="K143" i="15"/>
  <c r="L143" i="15"/>
  <c r="P143" i="15"/>
  <c r="D136" i="15"/>
  <c r="P136" i="15"/>
  <c r="J136" i="15"/>
  <c r="F136" i="15"/>
  <c r="R136" i="15"/>
  <c r="H136" i="15"/>
  <c r="O136" i="15"/>
  <c r="E136" i="15"/>
  <c r="M136" i="15"/>
  <c r="N136" i="15"/>
  <c r="K136" i="15"/>
  <c r="I136" i="15"/>
  <c r="L136" i="15"/>
  <c r="G136" i="15"/>
  <c r="Q136" i="15"/>
  <c r="E253" i="15"/>
  <c r="K253" i="15"/>
  <c r="J253" i="15"/>
  <c r="L253" i="15"/>
  <c r="F253" i="15"/>
  <c r="R253" i="15"/>
  <c r="O253" i="15"/>
  <c r="Q253" i="15"/>
  <c r="H253" i="15"/>
  <c r="M253" i="15"/>
  <c r="N253" i="15"/>
  <c r="P253" i="15"/>
  <c r="G253" i="15"/>
  <c r="D253" i="15"/>
  <c r="I253" i="15"/>
  <c r="D291" i="15"/>
  <c r="O291" i="15"/>
  <c r="G291" i="15"/>
  <c r="H291" i="15"/>
  <c r="I291" i="15"/>
  <c r="J291" i="15"/>
  <c r="M291" i="15"/>
  <c r="N291" i="15"/>
  <c r="R291" i="15"/>
  <c r="K291" i="15"/>
  <c r="Q291" i="15"/>
  <c r="F291" i="15"/>
  <c r="P291" i="15"/>
  <c r="L291" i="15"/>
  <c r="E291" i="15"/>
  <c r="Q163" i="15"/>
  <c r="E163" i="15"/>
  <c r="N163" i="15"/>
  <c r="M163" i="15"/>
  <c r="G163" i="15"/>
  <c r="R163" i="15"/>
  <c r="P163" i="15"/>
  <c r="F163" i="15"/>
  <c r="L163" i="15"/>
  <c r="D163" i="15"/>
  <c r="O163" i="15"/>
  <c r="H163" i="15"/>
  <c r="I163" i="15"/>
  <c r="K163" i="15"/>
  <c r="J163" i="15"/>
  <c r="J90" i="15"/>
  <c r="L128" i="15"/>
  <c r="M128" i="15"/>
  <c r="J83" i="15"/>
  <c r="Q309" i="15"/>
  <c r="K309" i="15"/>
  <c r="R248" i="15"/>
  <c r="H84" i="15"/>
  <c r="M84" i="15"/>
  <c r="H256" i="15"/>
  <c r="K255" i="15"/>
  <c r="L120" i="15"/>
  <c r="M120" i="15"/>
  <c r="D80" i="15"/>
  <c r="F220" i="15"/>
  <c r="I172" i="15"/>
  <c r="K96" i="15"/>
  <c r="M96" i="15"/>
  <c r="J81" i="15"/>
  <c r="G260" i="15"/>
  <c r="G162" i="15"/>
  <c r="L171" i="15"/>
  <c r="H263" i="15"/>
  <c r="I298" i="15"/>
  <c r="J298" i="15"/>
  <c r="K298" i="15"/>
  <c r="G298" i="15"/>
  <c r="L298" i="15"/>
  <c r="O298" i="15"/>
  <c r="H298" i="15"/>
  <c r="D298" i="15"/>
  <c r="P298" i="15"/>
  <c r="Q298" i="15"/>
  <c r="R298" i="15"/>
  <c r="N298" i="15"/>
  <c r="E298" i="15"/>
  <c r="F298" i="15"/>
  <c r="M298" i="15"/>
  <c r="D113" i="15"/>
  <c r="J113" i="15"/>
  <c r="Q113" i="15"/>
  <c r="F113" i="15"/>
  <c r="H113" i="15"/>
  <c r="I113" i="15"/>
  <c r="R113" i="15"/>
  <c r="L113" i="15"/>
  <c r="M113" i="15"/>
  <c r="P113" i="15"/>
  <c r="E113" i="15"/>
  <c r="N113" i="15"/>
  <c r="O113" i="15"/>
  <c r="K113" i="15"/>
  <c r="G113" i="15"/>
  <c r="N257" i="15"/>
  <c r="G257" i="15"/>
  <c r="H257" i="15"/>
  <c r="P257" i="15"/>
  <c r="I257" i="15"/>
  <c r="K257" i="15"/>
  <c r="J257" i="15"/>
  <c r="Q257" i="15"/>
  <c r="F257" i="15"/>
  <c r="R257" i="15"/>
  <c r="O257" i="15"/>
  <c r="L257" i="15"/>
  <c r="E257" i="15"/>
  <c r="D257" i="15"/>
  <c r="M257" i="15"/>
  <c r="G254" i="15"/>
  <c r="J254" i="15"/>
  <c r="K254" i="15"/>
  <c r="M254" i="15"/>
  <c r="N254" i="15"/>
  <c r="E254" i="15"/>
  <c r="P254" i="15"/>
  <c r="F254" i="15"/>
  <c r="D254" i="15"/>
  <c r="R254" i="15"/>
  <c r="L254" i="15"/>
  <c r="O254" i="15"/>
  <c r="Q254" i="15"/>
  <c r="H254" i="15"/>
  <c r="I254" i="15"/>
  <c r="E155" i="15"/>
  <c r="H155" i="15"/>
  <c r="J155" i="15"/>
  <c r="Q155" i="15"/>
  <c r="I155" i="15"/>
  <c r="M155" i="15"/>
  <c r="O155" i="15"/>
  <c r="P155" i="15"/>
  <c r="D155" i="15"/>
  <c r="R155" i="15"/>
  <c r="K155" i="15"/>
  <c r="F155" i="15"/>
  <c r="L155" i="15"/>
  <c r="G155" i="15"/>
  <c r="N155" i="15"/>
  <c r="I258" i="15"/>
  <c r="J258" i="15"/>
  <c r="K258" i="15"/>
  <c r="M258" i="15"/>
  <c r="N258" i="15"/>
  <c r="E258" i="15"/>
  <c r="G258" i="15"/>
  <c r="H258" i="15"/>
  <c r="O258" i="15"/>
  <c r="Q258" i="15"/>
  <c r="P258" i="15"/>
  <c r="R258" i="15"/>
  <c r="D258" i="15"/>
  <c r="F258" i="15"/>
  <c r="L258" i="15"/>
  <c r="K234" i="15"/>
  <c r="L234" i="15"/>
  <c r="N234" i="15"/>
  <c r="P234" i="15"/>
  <c r="Q234" i="15"/>
  <c r="D234" i="15"/>
  <c r="R234" i="15"/>
  <c r="E234" i="15"/>
  <c r="F234" i="15"/>
  <c r="G234" i="15"/>
  <c r="H234" i="15"/>
  <c r="I234" i="15"/>
  <c r="J234" i="15"/>
  <c r="O234" i="15"/>
  <c r="M234" i="15"/>
  <c r="F217" i="15"/>
  <c r="D217" i="15"/>
  <c r="J217" i="15"/>
  <c r="K217" i="15"/>
  <c r="M217" i="15"/>
  <c r="L217" i="15"/>
  <c r="I217" i="15"/>
  <c r="E217" i="15"/>
  <c r="R217" i="15"/>
  <c r="H217" i="15"/>
  <c r="G217" i="15"/>
  <c r="P217" i="15"/>
  <c r="Q217" i="15"/>
  <c r="O217" i="15"/>
  <c r="N217" i="15"/>
  <c r="D195" i="15"/>
  <c r="L195" i="15"/>
  <c r="O195" i="15"/>
  <c r="F195" i="15"/>
  <c r="N195" i="15"/>
  <c r="I195" i="15"/>
  <c r="Q195" i="15"/>
  <c r="H195" i="15"/>
  <c r="J195" i="15"/>
  <c r="K195" i="15"/>
  <c r="E195" i="15"/>
  <c r="G195" i="15"/>
  <c r="M195" i="15"/>
  <c r="P195" i="15"/>
  <c r="R195" i="15"/>
  <c r="F117" i="15"/>
  <c r="H117" i="15"/>
  <c r="J117" i="15"/>
  <c r="Q117" i="15"/>
  <c r="E117" i="15"/>
  <c r="M117" i="15"/>
  <c r="G117" i="15"/>
  <c r="I117" i="15"/>
  <c r="K117" i="15"/>
  <c r="D117" i="15"/>
  <c r="L117" i="15"/>
  <c r="N117" i="15"/>
  <c r="O117" i="15"/>
  <c r="P117" i="15"/>
  <c r="R117" i="15"/>
  <c r="G186" i="15"/>
  <c r="K186" i="15"/>
  <c r="L186" i="15"/>
  <c r="N186" i="15"/>
  <c r="Q186" i="15"/>
  <c r="D186" i="15"/>
  <c r="E186" i="15"/>
  <c r="H186" i="15"/>
  <c r="I186" i="15"/>
  <c r="J186" i="15"/>
  <c r="R186" i="15"/>
  <c r="P186" i="15"/>
  <c r="O186" i="15"/>
  <c r="M186" i="15"/>
  <c r="F186" i="15"/>
  <c r="L212" i="15"/>
  <c r="K212" i="15"/>
  <c r="M212" i="15"/>
  <c r="N212" i="15"/>
  <c r="P212" i="15"/>
  <c r="E212" i="15"/>
  <c r="G212" i="15"/>
  <c r="H212" i="15"/>
  <c r="I212" i="15"/>
  <c r="R212" i="15"/>
  <c r="Q212" i="15"/>
  <c r="J212" i="15"/>
  <c r="O212" i="15"/>
  <c r="D212" i="15"/>
  <c r="F212" i="15"/>
  <c r="E135" i="15"/>
  <c r="K135" i="15"/>
  <c r="M135" i="15"/>
  <c r="D135" i="15"/>
  <c r="I135" i="15"/>
  <c r="J135" i="15"/>
  <c r="L135" i="15"/>
  <c r="N135" i="15"/>
  <c r="O135" i="15"/>
  <c r="Q135" i="15"/>
  <c r="R135" i="15"/>
  <c r="G135" i="15"/>
  <c r="H135" i="15"/>
  <c r="P135" i="15"/>
  <c r="F135" i="15"/>
  <c r="G238" i="15"/>
  <c r="R238" i="15"/>
  <c r="E238" i="15"/>
  <c r="F238" i="15"/>
  <c r="H238" i="15"/>
  <c r="I238" i="15"/>
  <c r="J238" i="15"/>
  <c r="L238" i="15"/>
  <c r="M238" i="15"/>
  <c r="N238" i="15"/>
  <c r="P238" i="15"/>
  <c r="K238" i="15"/>
  <c r="Q238" i="15"/>
  <c r="D238" i="15"/>
  <c r="O238" i="15"/>
  <c r="M220" i="15"/>
  <c r="G161" i="15"/>
  <c r="H161" i="15"/>
  <c r="I161" i="15"/>
  <c r="J161" i="15"/>
  <c r="K161" i="15"/>
  <c r="L161" i="15"/>
  <c r="M161" i="15"/>
  <c r="N161" i="15"/>
  <c r="P161" i="15"/>
  <c r="Q161" i="15"/>
  <c r="D161" i="15"/>
  <c r="F161" i="15"/>
  <c r="R161" i="15"/>
  <c r="E161" i="15"/>
  <c r="O161" i="15"/>
  <c r="H272" i="15"/>
  <c r="G272" i="15"/>
  <c r="E272" i="15"/>
  <c r="F272" i="15"/>
  <c r="L272" i="15"/>
  <c r="R272" i="15"/>
  <c r="D272" i="15"/>
  <c r="P272" i="15"/>
  <c r="K272" i="15"/>
  <c r="O272" i="15"/>
  <c r="I272" i="15"/>
  <c r="Q272" i="15"/>
  <c r="J272" i="15"/>
  <c r="N272" i="15"/>
  <c r="M272" i="15"/>
  <c r="G90" i="15"/>
  <c r="K128" i="15"/>
  <c r="R83" i="15"/>
  <c r="I83" i="15"/>
  <c r="D309" i="15"/>
  <c r="O248" i="15"/>
  <c r="F248" i="15"/>
  <c r="J84" i="15"/>
  <c r="G256" i="15"/>
  <c r="I255" i="15"/>
  <c r="K120" i="15"/>
  <c r="L80" i="15"/>
  <c r="O80" i="15"/>
  <c r="E220" i="15"/>
  <c r="Q220" i="15"/>
  <c r="H172" i="15"/>
  <c r="H96" i="15"/>
  <c r="R81" i="15"/>
  <c r="I81" i="15"/>
  <c r="E260" i="15"/>
  <c r="F162" i="15"/>
  <c r="K171" i="15"/>
  <c r="P263" i="15"/>
  <c r="R263" i="15"/>
  <c r="K307" i="15"/>
  <c r="N307" i="15"/>
  <c r="F307" i="15"/>
  <c r="R307" i="15"/>
  <c r="Q307" i="15"/>
  <c r="E307" i="15"/>
  <c r="D307" i="15"/>
  <c r="M307" i="15"/>
  <c r="G307" i="15"/>
  <c r="O307" i="15"/>
  <c r="H307" i="15"/>
  <c r="J307" i="15"/>
  <c r="L307" i="15"/>
  <c r="I307" i="15"/>
  <c r="P307" i="15"/>
  <c r="M156" i="15"/>
  <c r="F156" i="15"/>
  <c r="N156" i="15"/>
  <c r="R156" i="15"/>
  <c r="Q156" i="15"/>
  <c r="P156" i="15"/>
  <c r="H156" i="15"/>
  <c r="K156" i="15"/>
  <c r="O156" i="15"/>
  <c r="I156" i="15"/>
  <c r="J156" i="15"/>
  <c r="G156" i="15"/>
  <c r="L156" i="15"/>
  <c r="E156" i="15"/>
  <c r="D156" i="15"/>
  <c r="O210" i="15"/>
  <c r="K210" i="15"/>
  <c r="L210" i="15"/>
  <c r="N210" i="15"/>
  <c r="P210" i="15"/>
  <c r="Q210" i="15"/>
  <c r="R210" i="15"/>
  <c r="D210" i="15"/>
  <c r="E210" i="15"/>
  <c r="F210" i="15"/>
  <c r="H210" i="15"/>
  <c r="I210" i="15"/>
  <c r="J210" i="15"/>
  <c r="G210" i="15"/>
  <c r="M210" i="15"/>
  <c r="N249" i="15"/>
  <c r="E249" i="15"/>
  <c r="G249" i="15"/>
  <c r="I249" i="15"/>
  <c r="O249" i="15"/>
  <c r="P249" i="15"/>
  <c r="L249" i="15"/>
  <c r="F249" i="15"/>
  <c r="R249" i="15"/>
  <c r="D249" i="15"/>
  <c r="H249" i="15"/>
  <c r="K249" i="15"/>
  <c r="M249" i="15"/>
  <c r="Q249" i="15"/>
  <c r="J249" i="15"/>
  <c r="F175" i="15"/>
  <c r="M175" i="15"/>
  <c r="Q175" i="15"/>
  <c r="D175" i="15"/>
  <c r="E175" i="15"/>
  <c r="H175" i="15"/>
  <c r="I175" i="15"/>
  <c r="J175" i="15"/>
  <c r="K175" i="15"/>
  <c r="P175" i="15"/>
  <c r="G175" i="15"/>
  <c r="R175" i="15"/>
  <c r="L175" i="15"/>
  <c r="N175" i="15"/>
  <c r="O175" i="15"/>
  <c r="D165" i="15"/>
  <c r="M165" i="15"/>
  <c r="E165" i="15"/>
  <c r="N165" i="15"/>
  <c r="G165" i="15"/>
  <c r="H165" i="15"/>
  <c r="I165" i="15"/>
  <c r="J165" i="15"/>
  <c r="K165" i="15"/>
  <c r="L165" i="15"/>
  <c r="O165" i="15"/>
  <c r="P165" i="15"/>
  <c r="R165" i="15"/>
  <c r="Q165" i="15"/>
  <c r="F165" i="15"/>
  <c r="D243" i="15"/>
  <c r="G243" i="15"/>
  <c r="I243" i="15"/>
  <c r="P243" i="15"/>
  <c r="Q243" i="15"/>
  <c r="E243" i="15"/>
  <c r="H243" i="15"/>
  <c r="L243" i="15"/>
  <c r="R243" i="15"/>
  <c r="J243" i="15"/>
  <c r="K243" i="15"/>
  <c r="F243" i="15"/>
  <c r="M243" i="15"/>
  <c r="N243" i="15"/>
  <c r="O243" i="15"/>
  <c r="D188" i="15"/>
  <c r="L188" i="15"/>
  <c r="N188" i="15"/>
  <c r="P188" i="15"/>
  <c r="M188" i="15"/>
  <c r="R188" i="15"/>
  <c r="F188" i="15"/>
  <c r="G188" i="15"/>
  <c r="H188" i="15"/>
  <c r="I188" i="15"/>
  <c r="J188" i="15"/>
  <c r="K188" i="15"/>
  <c r="O188" i="15"/>
  <c r="Q188" i="15"/>
  <c r="E188" i="15"/>
  <c r="E297" i="15"/>
  <c r="F297" i="15"/>
  <c r="G297" i="15"/>
  <c r="H297" i="15"/>
  <c r="I297" i="15"/>
  <c r="K297" i="15"/>
  <c r="J297" i="15"/>
  <c r="Q297" i="15"/>
  <c r="P297" i="15"/>
  <c r="M297" i="15"/>
  <c r="N297" i="15"/>
  <c r="O297" i="15"/>
  <c r="L297" i="15"/>
  <c r="D297" i="15"/>
  <c r="R297" i="15"/>
  <c r="H265" i="15"/>
  <c r="I265" i="15"/>
  <c r="K265" i="15"/>
  <c r="L265" i="15"/>
  <c r="M265" i="15"/>
  <c r="N265" i="15"/>
  <c r="E265" i="15"/>
  <c r="G265" i="15"/>
  <c r="Q265" i="15"/>
  <c r="D265" i="15"/>
  <c r="P265" i="15"/>
  <c r="R265" i="15"/>
  <c r="O265" i="15"/>
  <c r="J265" i="15"/>
  <c r="F265" i="15"/>
  <c r="R120" i="15"/>
  <c r="G231" i="15"/>
  <c r="K231" i="15"/>
  <c r="L231" i="15"/>
  <c r="Q231" i="15"/>
  <c r="R231" i="15"/>
  <c r="D231" i="15"/>
  <c r="E231" i="15"/>
  <c r="F231" i="15"/>
  <c r="J231" i="15"/>
  <c r="O231" i="15"/>
  <c r="P231" i="15"/>
  <c r="H231" i="15"/>
  <c r="N231" i="15"/>
  <c r="M231" i="15"/>
  <c r="I231" i="15"/>
  <c r="J15" i="12"/>
  <c r="N83" i="15"/>
  <c r="E248" i="15"/>
  <c r="H80" i="15"/>
  <c r="P220" i="15"/>
  <c r="N81" i="15"/>
  <c r="G263" i="15"/>
  <c r="H259" i="15"/>
  <c r="I259" i="15"/>
  <c r="K259" i="15"/>
  <c r="M259" i="15"/>
  <c r="N259" i="15"/>
  <c r="O259" i="15"/>
  <c r="E259" i="15"/>
  <c r="G259" i="15"/>
  <c r="D259" i="15"/>
  <c r="P259" i="15"/>
  <c r="L259" i="15"/>
  <c r="F259" i="15"/>
  <c r="R259" i="15"/>
  <c r="J259" i="15"/>
  <c r="Q259" i="15"/>
  <c r="J153" i="15"/>
  <c r="G153" i="15"/>
  <c r="O153" i="15"/>
  <c r="L153" i="15"/>
  <c r="E153" i="15"/>
  <c r="H153" i="15"/>
  <c r="D153" i="15"/>
  <c r="R153" i="15"/>
  <c r="F153" i="15"/>
  <c r="N153" i="15"/>
  <c r="I153" i="15"/>
  <c r="K153" i="15"/>
  <c r="P153" i="15"/>
  <c r="M153" i="15"/>
  <c r="Q153" i="15"/>
  <c r="G302" i="15"/>
  <c r="H302" i="15"/>
  <c r="I302" i="15"/>
  <c r="J302" i="15"/>
  <c r="K302" i="15"/>
  <c r="L302" i="15"/>
  <c r="O302" i="15"/>
  <c r="D302" i="15"/>
  <c r="E302" i="15"/>
  <c r="P302" i="15"/>
  <c r="Q302" i="15"/>
  <c r="F302" i="15"/>
  <c r="M302" i="15"/>
  <c r="N302" i="15"/>
  <c r="R302" i="15"/>
  <c r="D150" i="15"/>
  <c r="E150" i="15"/>
  <c r="G150" i="15"/>
  <c r="H150" i="15"/>
  <c r="I150" i="15"/>
  <c r="J150" i="15"/>
  <c r="K150" i="15"/>
  <c r="L150" i="15"/>
  <c r="N150" i="15"/>
  <c r="Q150" i="15"/>
  <c r="M150" i="15"/>
  <c r="P150" i="15"/>
  <c r="F150" i="15"/>
  <c r="R150" i="15"/>
  <c r="O150" i="15"/>
  <c r="H286" i="15"/>
  <c r="D286" i="15"/>
  <c r="G286" i="15"/>
  <c r="I286" i="15"/>
  <c r="R286" i="15"/>
  <c r="J286" i="15"/>
  <c r="K286" i="15"/>
  <c r="P286" i="15"/>
  <c r="O286" i="15"/>
  <c r="E286" i="15"/>
  <c r="N286" i="15"/>
  <c r="Q286" i="15"/>
  <c r="F286" i="15"/>
  <c r="L286" i="15"/>
  <c r="M286" i="15"/>
  <c r="G273" i="15"/>
  <c r="H273" i="15"/>
  <c r="L273" i="15"/>
  <c r="O273" i="15"/>
  <c r="M273" i="15"/>
  <c r="I273" i="15"/>
  <c r="K273" i="15"/>
  <c r="J273" i="15"/>
  <c r="Q273" i="15"/>
  <c r="D273" i="15"/>
  <c r="E273" i="15"/>
  <c r="R273" i="15"/>
  <c r="F273" i="15"/>
  <c r="N273" i="15"/>
  <c r="P273" i="15"/>
  <c r="E244" i="15"/>
  <c r="Q244" i="15"/>
  <c r="F244" i="15"/>
  <c r="R244" i="15"/>
  <c r="M244" i="15"/>
  <c r="O244" i="15"/>
  <c r="G244" i="15"/>
  <c r="J244" i="15"/>
  <c r="D244" i="15"/>
  <c r="P244" i="15"/>
  <c r="L244" i="15"/>
  <c r="H244" i="15"/>
  <c r="K244" i="15"/>
  <c r="N244" i="15"/>
  <c r="I244" i="15"/>
  <c r="D154" i="15"/>
  <c r="J154" i="15"/>
  <c r="K154" i="15"/>
  <c r="L154" i="15"/>
  <c r="N154" i="15"/>
  <c r="Q154" i="15"/>
  <c r="E154" i="15"/>
  <c r="I154" i="15"/>
  <c r="H154" i="15"/>
  <c r="G154" i="15"/>
  <c r="F154" i="15"/>
  <c r="O154" i="15"/>
  <c r="M154" i="15"/>
  <c r="R154" i="15"/>
  <c r="P154" i="15"/>
  <c r="E200" i="15"/>
  <c r="G200" i="15"/>
  <c r="H200" i="15"/>
  <c r="I200" i="15"/>
  <c r="K200" i="15"/>
  <c r="O200" i="15"/>
  <c r="J200" i="15"/>
  <c r="L200" i="15"/>
  <c r="D200" i="15"/>
  <c r="Q200" i="15"/>
  <c r="N200" i="15"/>
  <c r="M200" i="15"/>
  <c r="F200" i="15"/>
  <c r="R200" i="15"/>
  <c r="P200" i="15"/>
  <c r="G182" i="15"/>
  <c r="Q182" i="15"/>
  <c r="D182" i="15"/>
  <c r="E182" i="15"/>
  <c r="H182" i="15"/>
  <c r="I182" i="15"/>
  <c r="J182" i="15"/>
  <c r="K182" i="15"/>
  <c r="L182" i="15"/>
  <c r="N182" i="15"/>
  <c r="O182" i="15"/>
  <c r="F182" i="15"/>
  <c r="P182" i="15"/>
  <c r="R182" i="15"/>
  <c r="M182" i="15"/>
  <c r="G211" i="15"/>
  <c r="J211" i="15"/>
  <c r="L211" i="15"/>
  <c r="M211" i="15"/>
  <c r="N211" i="15"/>
  <c r="P211" i="15"/>
  <c r="Q211" i="15"/>
  <c r="D211" i="15"/>
  <c r="E211" i="15"/>
  <c r="F211" i="15"/>
  <c r="K211" i="15"/>
  <c r="O211" i="15"/>
  <c r="I211" i="15"/>
  <c r="H211" i="15"/>
  <c r="R211" i="15"/>
  <c r="F301" i="15"/>
  <c r="G301" i="15"/>
  <c r="H301" i="15"/>
  <c r="K301" i="15"/>
  <c r="I301" i="15"/>
  <c r="L301" i="15"/>
  <c r="O301" i="15"/>
  <c r="M301" i="15"/>
  <c r="R301" i="15"/>
  <c r="J301" i="15"/>
  <c r="Q301" i="15"/>
  <c r="D301" i="15"/>
  <c r="N301" i="15"/>
  <c r="E301" i="15"/>
  <c r="P301" i="15"/>
  <c r="D39" i="13"/>
  <c r="D41" i="13" s="1"/>
  <c r="D42" i="13" s="1"/>
  <c r="E9" i="6"/>
  <c r="D29" i="8" s="1"/>
  <c r="Y43" i="8" s="1"/>
  <c r="E10" i="6"/>
  <c r="C30" i="8" s="1"/>
  <c r="Z42" i="8" s="1"/>
  <c r="G7" i="6"/>
  <c r="I7" i="6"/>
  <c r="F29" i="4"/>
  <c r="C8" i="7"/>
  <c r="C10" i="7" s="1"/>
  <c r="D17" i="7" s="1"/>
  <c r="M20" i="12"/>
  <c r="C13" i="4"/>
  <c r="D8" i="16" s="1"/>
  <c r="G8" i="16" s="1"/>
  <c r="G8" i="6"/>
  <c r="I8" i="6"/>
  <c r="F32" i="4"/>
  <c r="F28" i="4"/>
  <c r="O20" i="12"/>
  <c r="L17" i="12"/>
  <c r="M17" i="12"/>
  <c r="N17" i="12"/>
  <c r="O17" i="12"/>
  <c r="J20" i="12"/>
  <c r="K15" i="12"/>
  <c r="K20" i="12"/>
  <c r="L13" i="12"/>
  <c r="L20" i="12"/>
  <c r="D101" i="12"/>
  <c r="D102" i="12" s="1"/>
  <c r="D103" i="12" s="1"/>
  <c r="D105" i="12" s="1"/>
  <c r="D123" i="12"/>
  <c r="D125" i="12" s="1"/>
  <c r="N20" i="12"/>
  <c r="D19" i="10"/>
  <c r="D20" i="10" s="1"/>
  <c r="D21" i="10" s="1"/>
  <c r="D41" i="10"/>
  <c r="D22" i="10"/>
  <c r="M13" i="12"/>
  <c r="N13" i="12"/>
  <c r="D7" i="16"/>
  <c r="G7" i="16" s="1"/>
  <c r="D31" i="13"/>
  <c r="D33" i="13"/>
  <c r="H126" i="18"/>
  <c r="G126" i="18"/>
  <c r="F126" i="18"/>
  <c r="E126" i="18"/>
  <c r="D126" i="18"/>
  <c r="C126" i="18"/>
  <c r="H157" i="18"/>
  <c r="G157" i="18"/>
  <c r="E157" i="18"/>
  <c r="C157" i="18"/>
  <c r="F157" i="18"/>
  <c r="D157" i="18"/>
  <c r="K17" i="12"/>
  <c r="H235" i="18"/>
  <c r="G235" i="18"/>
  <c r="F235" i="18"/>
  <c r="E235" i="18"/>
  <c r="C235" i="18"/>
  <c r="D235" i="18"/>
  <c r="H133" i="18"/>
  <c r="F133" i="18"/>
  <c r="E133" i="18"/>
  <c r="D133" i="18"/>
  <c r="C133" i="18"/>
  <c r="G133" i="18"/>
  <c r="G32" i="16"/>
  <c r="F32" i="16"/>
  <c r="E32" i="16"/>
  <c r="H174" i="18"/>
  <c r="G174" i="18"/>
  <c r="E174" i="18"/>
  <c r="D174" i="18"/>
  <c r="C174" i="18"/>
  <c r="F174" i="18"/>
  <c r="O13" i="12"/>
  <c r="H98" i="18"/>
  <c r="G98" i="18"/>
  <c r="F98" i="18"/>
  <c r="E98" i="18"/>
  <c r="C98" i="18"/>
  <c r="D98" i="18"/>
  <c r="H168" i="18"/>
  <c r="G168" i="18"/>
  <c r="E168" i="18"/>
  <c r="D168" i="18"/>
  <c r="C168" i="18"/>
  <c r="F168" i="18"/>
  <c r="L15" i="12"/>
  <c r="H207" i="18"/>
  <c r="G207" i="18"/>
  <c r="E207" i="18"/>
  <c r="D207" i="18"/>
  <c r="C207" i="18"/>
  <c r="F207" i="18"/>
  <c r="D124" i="18"/>
  <c r="C124" i="18"/>
  <c r="H124" i="18"/>
  <c r="G124" i="18"/>
  <c r="F124" i="18"/>
  <c r="E124" i="18"/>
  <c r="H35" i="18"/>
  <c r="G35" i="18"/>
  <c r="F35" i="18"/>
  <c r="E35" i="18"/>
  <c r="D35" i="18"/>
  <c r="C35" i="18"/>
  <c r="D140" i="18"/>
  <c r="H140" i="18"/>
  <c r="G140" i="18"/>
  <c r="F140" i="18"/>
  <c r="E140" i="18"/>
  <c r="C140" i="18"/>
  <c r="H128" i="18"/>
  <c r="G128" i="18"/>
  <c r="F128" i="18"/>
  <c r="E128" i="18"/>
  <c r="D128" i="18"/>
  <c r="C128" i="18"/>
  <c r="H92" i="18"/>
  <c r="G92" i="18"/>
  <c r="F92" i="18"/>
  <c r="E92" i="18"/>
  <c r="C92" i="18"/>
  <c r="D92" i="18"/>
  <c r="C18" i="18"/>
  <c r="H18" i="18"/>
  <c r="G18" i="18"/>
  <c r="F18" i="18"/>
  <c r="E18" i="18"/>
  <c r="D18" i="18"/>
  <c r="H125" i="18"/>
  <c r="G125" i="18"/>
  <c r="F125" i="18"/>
  <c r="E125" i="18"/>
  <c r="D125" i="18"/>
  <c r="C125" i="18"/>
  <c r="H53" i="18"/>
  <c r="G53" i="18"/>
  <c r="F53" i="18"/>
  <c r="E53" i="18"/>
  <c r="D53" i="18"/>
  <c r="C53" i="18"/>
  <c r="D242" i="18"/>
  <c r="C242" i="18"/>
  <c r="G242" i="18"/>
  <c r="F242" i="18"/>
  <c r="E242" i="18"/>
  <c r="H242" i="18"/>
  <c r="H214" i="18"/>
  <c r="G214" i="18"/>
  <c r="F214" i="18"/>
  <c r="E214" i="18"/>
  <c r="C214" i="18"/>
  <c r="D214" i="18"/>
  <c r="D161" i="18"/>
  <c r="C161" i="18"/>
  <c r="G161" i="18"/>
  <c r="H161" i="18"/>
  <c r="F161" i="18"/>
  <c r="E161" i="18"/>
  <c r="H204" i="18"/>
  <c r="G204" i="18"/>
  <c r="E204" i="18"/>
  <c r="D204" i="18"/>
  <c r="C204" i="18"/>
  <c r="F204" i="18"/>
  <c r="H243" i="18"/>
  <c r="G243" i="18"/>
  <c r="F243" i="18"/>
  <c r="E243" i="18"/>
  <c r="D243" i="18"/>
  <c r="C243" i="18"/>
  <c r="D94" i="18"/>
  <c r="C94" i="18"/>
  <c r="H94" i="18"/>
  <c r="G94" i="18"/>
  <c r="F94" i="18"/>
  <c r="E94" i="18"/>
  <c r="H74" i="18"/>
  <c r="G74" i="18"/>
  <c r="C74" i="18"/>
  <c r="F74" i="18"/>
  <c r="E74" i="18"/>
  <c r="D74" i="18"/>
  <c r="H205" i="18"/>
  <c r="G205" i="18"/>
  <c r="E205" i="18"/>
  <c r="C205" i="18"/>
  <c r="F205" i="18"/>
  <c r="D205" i="18"/>
  <c r="H226" i="18"/>
  <c r="G226" i="18"/>
  <c r="F226" i="18"/>
  <c r="E226" i="18"/>
  <c r="C226" i="18"/>
  <c r="D226" i="18"/>
  <c r="H166" i="18"/>
  <c r="G166" i="18"/>
  <c r="E166" i="18"/>
  <c r="C166" i="18"/>
  <c r="F166" i="18"/>
  <c r="D166" i="18"/>
  <c r="M15" i="12"/>
  <c r="H107" i="18"/>
  <c r="G107" i="18"/>
  <c r="F107" i="18"/>
  <c r="E107" i="18"/>
  <c r="D107" i="18"/>
  <c r="C107" i="18"/>
  <c r="H147" i="18"/>
  <c r="G147" i="18"/>
  <c r="D147" i="18"/>
  <c r="C147" i="18"/>
  <c r="F147" i="18"/>
  <c r="E147" i="18"/>
  <c r="H163" i="18"/>
  <c r="G163" i="18"/>
  <c r="E163" i="18"/>
  <c r="C163" i="18"/>
  <c r="D163" i="18"/>
  <c r="F163" i="18"/>
  <c r="G31" i="16"/>
  <c r="E31" i="16"/>
  <c r="F31" i="16"/>
  <c r="H151" i="18"/>
  <c r="G151" i="18"/>
  <c r="E151" i="18"/>
  <c r="C151" i="18"/>
  <c r="F151" i="18"/>
  <c r="D151" i="18"/>
  <c r="D43" i="18"/>
  <c r="C43" i="18"/>
  <c r="F43" i="18"/>
  <c r="E43" i="18"/>
  <c r="H43" i="18"/>
  <c r="G43" i="18"/>
  <c r="D100" i="18"/>
  <c r="C100" i="18"/>
  <c r="H100" i="18"/>
  <c r="G100" i="18"/>
  <c r="F100" i="18"/>
  <c r="E100" i="18"/>
  <c r="H42" i="18"/>
  <c r="G42" i="18"/>
  <c r="F42" i="18"/>
  <c r="E42" i="18"/>
  <c r="D42" i="18"/>
  <c r="C42" i="18"/>
  <c r="H50" i="18"/>
  <c r="G50" i="18"/>
  <c r="F50" i="18"/>
  <c r="E50" i="18"/>
  <c r="D50" i="18"/>
  <c r="C50" i="18"/>
  <c r="H29" i="18"/>
  <c r="G29" i="18"/>
  <c r="F29" i="18"/>
  <c r="E29" i="18"/>
  <c r="D29" i="18"/>
  <c r="C29" i="18"/>
  <c r="D61" i="18"/>
  <c r="C61" i="18"/>
  <c r="H61" i="18"/>
  <c r="G61" i="18"/>
  <c r="F61" i="18"/>
  <c r="E61" i="18"/>
  <c r="G21" i="16"/>
  <c r="F21" i="16"/>
  <c r="E21" i="16"/>
  <c r="C19" i="5"/>
  <c r="E15" i="5"/>
  <c r="H210" i="18"/>
  <c r="G210" i="18"/>
  <c r="E210" i="18"/>
  <c r="D210" i="18"/>
  <c r="C210" i="18"/>
  <c r="F210" i="18"/>
  <c r="D137" i="18"/>
  <c r="C137" i="18"/>
  <c r="H137" i="18"/>
  <c r="G137" i="18"/>
  <c r="F137" i="18"/>
  <c r="E137" i="18"/>
  <c r="G38" i="16"/>
  <c r="F38" i="16"/>
  <c r="E38" i="16"/>
  <c r="H23" i="18"/>
  <c r="G23" i="18"/>
  <c r="F23" i="18"/>
  <c r="E23" i="18"/>
  <c r="D23" i="18"/>
  <c r="C23" i="18"/>
  <c r="H141" i="18"/>
  <c r="D141" i="18"/>
  <c r="C141" i="18"/>
  <c r="G141" i="18"/>
  <c r="F141" i="18"/>
  <c r="E141" i="18"/>
  <c r="D58" i="18"/>
  <c r="C58" i="18"/>
  <c r="H58" i="18"/>
  <c r="G58" i="18"/>
  <c r="F58" i="18"/>
  <c r="E58" i="18"/>
  <c r="D40" i="18"/>
  <c r="C40" i="18"/>
  <c r="H40" i="18"/>
  <c r="G40" i="18"/>
  <c r="F40" i="18"/>
  <c r="E40" i="18"/>
  <c r="D227" i="18"/>
  <c r="C227" i="18"/>
  <c r="G227" i="18"/>
  <c r="F227" i="18"/>
  <c r="E227" i="18"/>
  <c r="H227" i="18"/>
  <c r="G69" i="18"/>
  <c r="E69" i="18"/>
  <c r="D69" i="18"/>
  <c r="H69" i="18"/>
  <c r="F69" i="18"/>
  <c r="C69" i="18"/>
  <c r="G34" i="16"/>
  <c r="E34" i="16"/>
  <c r="F34" i="16"/>
  <c r="D164" i="18"/>
  <c r="C164" i="18"/>
  <c r="G164" i="18"/>
  <c r="H164" i="18"/>
  <c r="F164" i="18"/>
  <c r="E164" i="18"/>
  <c r="G28" i="18"/>
  <c r="F28" i="18"/>
  <c r="E28" i="18"/>
  <c r="D28" i="18"/>
  <c r="C28" i="18"/>
  <c r="H28" i="18"/>
  <c r="N15" i="12"/>
  <c r="H56" i="18"/>
  <c r="G56" i="18"/>
  <c r="F56" i="18"/>
  <c r="E56" i="18"/>
  <c r="D56" i="18"/>
  <c r="C56" i="18"/>
  <c r="H62" i="18"/>
  <c r="G62" i="18"/>
  <c r="C62" i="18"/>
  <c r="F62" i="18"/>
  <c r="E62" i="18"/>
  <c r="D62" i="18"/>
  <c r="D212" i="18"/>
  <c r="C212" i="18"/>
  <c r="G212" i="18"/>
  <c r="E212" i="18"/>
  <c r="H212" i="18"/>
  <c r="F212" i="18"/>
  <c r="C9" i="18"/>
  <c r="H9" i="18"/>
  <c r="G9" i="18"/>
  <c r="F9" i="18"/>
  <c r="E9" i="18"/>
  <c r="D9" i="18"/>
  <c r="D179" i="18"/>
  <c r="C179" i="18"/>
  <c r="G179" i="18"/>
  <c r="H179" i="18"/>
  <c r="F179" i="18"/>
  <c r="E179" i="18"/>
  <c r="C27" i="18"/>
  <c r="H27" i="18"/>
  <c r="G27" i="18"/>
  <c r="F27" i="18"/>
  <c r="E27" i="18"/>
  <c r="D27" i="18"/>
  <c r="G66" i="18"/>
  <c r="D66" i="18"/>
  <c r="H66" i="18"/>
  <c r="F66" i="18"/>
  <c r="E66" i="18"/>
  <c r="C66" i="18"/>
  <c r="G27" i="16"/>
  <c r="F27" i="16"/>
  <c r="E27" i="16"/>
  <c r="H171" i="18"/>
  <c r="G171" i="18"/>
  <c r="E171" i="18"/>
  <c r="D171" i="18"/>
  <c r="C171" i="18"/>
  <c r="F171" i="18"/>
  <c r="G16" i="16"/>
  <c r="E16" i="16"/>
  <c r="F16" i="16"/>
  <c r="D73" i="18"/>
  <c r="C73" i="18"/>
  <c r="H73" i="18"/>
  <c r="G73" i="18"/>
  <c r="F73" i="18"/>
  <c r="E73" i="18"/>
  <c r="C30" i="18"/>
  <c r="H30" i="18"/>
  <c r="G30" i="18"/>
  <c r="F30" i="18"/>
  <c r="E30" i="18"/>
  <c r="D30" i="18"/>
  <c r="H175" i="18"/>
  <c r="G175" i="18"/>
  <c r="E175" i="18"/>
  <c r="C175" i="18"/>
  <c r="F175" i="18"/>
  <c r="D175" i="18"/>
  <c r="G43" i="16"/>
  <c r="E43" i="16"/>
  <c r="F43" i="16"/>
  <c r="D209" i="18"/>
  <c r="C209" i="18"/>
  <c r="G209" i="18"/>
  <c r="E209" i="18"/>
  <c r="H209" i="18"/>
  <c r="F209" i="18"/>
  <c r="D106" i="18"/>
  <c r="C106" i="18"/>
  <c r="H106" i="18"/>
  <c r="G106" i="18"/>
  <c r="F106" i="18"/>
  <c r="E106" i="18"/>
  <c r="G31" i="18"/>
  <c r="F31" i="18"/>
  <c r="E31" i="18"/>
  <c r="D31" i="18"/>
  <c r="C31" i="18"/>
  <c r="H31" i="18"/>
  <c r="H223" i="18"/>
  <c r="G223" i="18"/>
  <c r="F223" i="18"/>
  <c r="E223" i="18"/>
  <c r="C223" i="18"/>
  <c r="D223" i="18"/>
  <c r="G29" i="16"/>
  <c r="F29" i="16"/>
  <c r="E29" i="16"/>
  <c r="H192" i="18"/>
  <c r="G192" i="18"/>
  <c r="E192" i="18"/>
  <c r="D192" i="18"/>
  <c r="C192" i="18"/>
  <c r="F192" i="18"/>
  <c r="G13" i="16"/>
  <c r="E13" i="16"/>
  <c r="F13" i="16"/>
  <c r="H104" i="18"/>
  <c r="G104" i="18"/>
  <c r="F104" i="18"/>
  <c r="E104" i="18"/>
  <c r="D104" i="18"/>
  <c r="C104" i="18"/>
  <c r="D79" i="18"/>
  <c r="C79" i="18"/>
  <c r="H79" i="18"/>
  <c r="G79" i="18"/>
  <c r="F79" i="18"/>
  <c r="E79" i="18"/>
  <c r="H95" i="18"/>
  <c r="G95" i="18"/>
  <c r="F95" i="18"/>
  <c r="E95" i="18"/>
  <c r="C95" i="18"/>
  <c r="D95" i="18"/>
  <c r="C12" i="18"/>
  <c r="H12" i="18"/>
  <c r="G12" i="18"/>
  <c r="F12" i="18"/>
  <c r="E12" i="18"/>
  <c r="D12" i="18"/>
  <c r="D224" i="18"/>
  <c r="C224" i="18"/>
  <c r="G224" i="18"/>
  <c r="F224" i="18"/>
  <c r="E224" i="18"/>
  <c r="H224" i="18"/>
  <c r="H113" i="18"/>
  <c r="G113" i="18"/>
  <c r="F113" i="18"/>
  <c r="E113" i="18"/>
  <c r="D113" i="18"/>
  <c r="C113" i="18"/>
  <c r="G20" i="16"/>
  <c r="F20" i="16"/>
  <c r="E20" i="16"/>
  <c r="H26" i="18"/>
  <c r="G26" i="18"/>
  <c r="F26" i="18"/>
  <c r="E26" i="18"/>
  <c r="D26" i="18"/>
  <c r="C26" i="18"/>
  <c r="H237" i="18"/>
  <c r="G237" i="18"/>
  <c r="F237" i="18"/>
  <c r="E237" i="18"/>
  <c r="D237" i="18"/>
  <c r="C237" i="18"/>
  <c r="H105" i="18"/>
  <c r="G105" i="18"/>
  <c r="F105" i="18"/>
  <c r="E105" i="18"/>
  <c r="D105" i="18"/>
  <c r="C105" i="18"/>
  <c r="G17" i="16"/>
  <c r="F17" i="16"/>
  <c r="E17" i="16"/>
  <c r="H190" i="18"/>
  <c r="G190" i="18"/>
  <c r="E190" i="18"/>
  <c r="C190" i="18"/>
  <c r="F190" i="18"/>
  <c r="D190" i="18"/>
  <c r="H189" i="18"/>
  <c r="G189" i="18"/>
  <c r="E189" i="18"/>
  <c r="D189" i="18"/>
  <c r="C189" i="18"/>
  <c r="F189" i="18"/>
  <c r="D103" i="18"/>
  <c r="C103" i="18"/>
  <c r="H103" i="18"/>
  <c r="G103" i="18"/>
  <c r="F103" i="18"/>
  <c r="E103" i="18"/>
  <c r="H120" i="18"/>
  <c r="G120" i="18"/>
  <c r="F120" i="18"/>
  <c r="E120" i="18"/>
  <c r="D120" i="18"/>
  <c r="C120" i="18"/>
  <c r="G23" i="16"/>
  <c r="F23" i="16"/>
  <c r="E23" i="16"/>
  <c r="H162" i="18"/>
  <c r="G162" i="18"/>
  <c r="E162" i="18"/>
  <c r="D162" i="18"/>
  <c r="C162" i="18"/>
  <c r="F162" i="18"/>
  <c r="D127" i="18"/>
  <c r="C127" i="18"/>
  <c r="H127" i="18"/>
  <c r="G127" i="18"/>
  <c r="F127" i="18"/>
  <c r="E127" i="18"/>
  <c r="D58" i="13"/>
  <c r="D59" i="13" s="1"/>
  <c r="D60" i="13" s="1"/>
  <c r="H32" i="18"/>
  <c r="G32" i="18"/>
  <c r="F32" i="18"/>
  <c r="E32" i="18"/>
  <c r="D32" i="18"/>
  <c r="C32" i="18"/>
  <c r="H101" i="18"/>
  <c r="G101" i="18"/>
  <c r="F101" i="18"/>
  <c r="E101" i="18"/>
  <c r="D101" i="18"/>
  <c r="C101" i="18"/>
  <c r="G96" i="18"/>
  <c r="F96" i="18"/>
  <c r="E96" i="18"/>
  <c r="D96" i="18"/>
  <c r="C96" i="18"/>
  <c r="H96" i="18"/>
  <c r="H231" i="18"/>
  <c r="G231" i="18"/>
  <c r="F231" i="18"/>
  <c r="E231" i="18"/>
  <c r="D231" i="18"/>
  <c r="C231" i="18"/>
  <c r="D85" i="18"/>
  <c r="C85" i="18"/>
  <c r="H85" i="18"/>
  <c r="G85" i="18"/>
  <c r="F85" i="18"/>
  <c r="E85" i="18"/>
  <c r="G72" i="18"/>
  <c r="E72" i="18"/>
  <c r="D72" i="18"/>
  <c r="H72" i="18"/>
  <c r="F72" i="18"/>
  <c r="C72" i="18"/>
  <c r="C6" i="18"/>
  <c r="H6" i="18"/>
  <c r="G6" i="18"/>
  <c r="F6" i="18"/>
  <c r="E6" i="18"/>
  <c r="D6" i="18"/>
  <c r="H240" i="18"/>
  <c r="G240" i="18"/>
  <c r="F240" i="18"/>
  <c r="E240" i="18"/>
  <c r="D240" i="18"/>
  <c r="C240" i="18"/>
  <c r="H39" i="18"/>
  <c r="G39" i="18"/>
  <c r="F39" i="18"/>
  <c r="E39" i="18"/>
  <c r="D39" i="18"/>
  <c r="C39" i="18"/>
  <c r="D54" i="18"/>
  <c r="H54" i="18"/>
  <c r="G54" i="18"/>
  <c r="F54" i="18"/>
  <c r="E54" i="18"/>
  <c r="C54" i="18"/>
  <c r="H8" i="18"/>
  <c r="G8" i="18"/>
  <c r="F8" i="18"/>
  <c r="E8" i="18"/>
  <c r="D8" i="18"/>
  <c r="C8" i="18"/>
  <c r="D203" i="18"/>
  <c r="C203" i="18"/>
  <c r="G203" i="18"/>
  <c r="E203" i="18"/>
  <c r="H203" i="18"/>
  <c r="F203" i="18"/>
  <c r="G36" i="16"/>
  <c r="F36" i="16"/>
  <c r="E36" i="16"/>
  <c r="D155" i="18"/>
  <c r="C155" i="18"/>
  <c r="G155" i="18"/>
  <c r="H155" i="18"/>
  <c r="F155" i="18"/>
  <c r="E155" i="18"/>
  <c r="H232" i="18"/>
  <c r="G232" i="18"/>
  <c r="F232" i="18"/>
  <c r="E232" i="18"/>
  <c r="C232" i="18"/>
  <c r="D232" i="18"/>
  <c r="H122" i="18"/>
  <c r="G122" i="18"/>
  <c r="F122" i="18"/>
  <c r="E122" i="18"/>
  <c r="D122" i="18"/>
  <c r="C122" i="18"/>
  <c r="G13" i="18"/>
  <c r="F13" i="18"/>
  <c r="E13" i="18"/>
  <c r="D13" i="18"/>
  <c r="C13" i="18"/>
  <c r="H13" i="18"/>
  <c r="H184" i="18"/>
  <c r="G184" i="18"/>
  <c r="E184" i="18"/>
  <c r="C184" i="18"/>
  <c r="F184" i="18"/>
  <c r="D184" i="18"/>
  <c r="H220" i="18"/>
  <c r="G220" i="18"/>
  <c r="F220" i="18"/>
  <c r="E220" i="18"/>
  <c r="C220" i="18"/>
  <c r="D220" i="18"/>
  <c r="D112" i="18"/>
  <c r="C112" i="18"/>
  <c r="H112" i="18"/>
  <c r="G112" i="18"/>
  <c r="F112" i="18"/>
  <c r="E112" i="18"/>
  <c r="D109" i="18"/>
  <c r="C109" i="18"/>
  <c r="H109" i="18"/>
  <c r="G109" i="18"/>
  <c r="F109" i="18"/>
  <c r="E109" i="18"/>
  <c r="H229" i="18"/>
  <c r="G229" i="18"/>
  <c r="F229" i="18"/>
  <c r="E229" i="18"/>
  <c r="C229" i="18"/>
  <c r="D229" i="18"/>
  <c r="D167" i="18"/>
  <c r="C167" i="18"/>
  <c r="G167" i="18"/>
  <c r="H167" i="18"/>
  <c r="F167" i="18"/>
  <c r="E167" i="18"/>
  <c r="G28" i="16"/>
  <c r="E28" i="16"/>
  <c r="F28" i="16"/>
  <c r="H196" i="18"/>
  <c r="G196" i="18"/>
  <c r="E196" i="18"/>
  <c r="C196" i="18"/>
  <c r="F196" i="18"/>
  <c r="D196" i="18"/>
  <c r="H117" i="18"/>
  <c r="G117" i="18"/>
  <c r="F117" i="18"/>
  <c r="E117" i="18"/>
  <c r="D117" i="18"/>
  <c r="C117" i="18"/>
  <c r="L16" i="12"/>
  <c r="K16" i="12"/>
  <c r="J16" i="12"/>
  <c r="O16" i="12"/>
  <c r="N16" i="12"/>
  <c r="M16" i="12"/>
  <c r="O14" i="12"/>
  <c r="N14" i="12"/>
  <c r="M14" i="12"/>
  <c r="L14" i="12"/>
  <c r="K14" i="12"/>
  <c r="J14" i="12"/>
  <c r="H202" i="18"/>
  <c r="G202" i="18"/>
  <c r="E202" i="18"/>
  <c r="C202" i="18"/>
  <c r="F202" i="18"/>
  <c r="D202" i="18"/>
  <c r="H99" i="18"/>
  <c r="G99" i="18"/>
  <c r="F99" i="18"/>
  <c r="E99" i="18"/>
  <c r="D99" i="18"/>
  <c r="C99" i="18"/>
  <c r="H129" i="18"/>
  <c r="G129" i="18"/>
  <c r="F129" i="18"/>
  <c r="E129" i="18"/>
  <c r="D129" i="18"/>
  <c r="C129" i="18"/>
  <c r="H178" i="18"/>
  <c r="G178" i="18"/>
  <c r="E178" i="18"/>
  <c r="C178" i="18"/>
  <c r="F178" i="18"/>
  <c r="D178" i="18"/>
  <c r="G45" i="16"/>
  <c r="F45" i="16"/>
  <c r="E45" i="16"/>
  <c r="H119" i="18"/>
  <c r="G119" i="18"/>
  <c r="F119" i="18"/>
  <c r="E119" i="18"/>
  <c r="D119" i="18"/>
  <c r="C119" i="18"/>
  <c r="G34" i="18"/>
  <c r="F34" i="18"/>
  <c r="E34" i="18"/>
  <c r="D34" i="18"/>
  <c r="C34" i="18"/>
  <c r="H34" i="18"/>
  <c r="G7" i="18"/>
  <c r="F7" i="18"/>
  <c r="E7" i="18"/>
  <c r="D7" i="18"/>
  <c r="C7" i="18"/>
  <c r="H7" i="18"/>
  <c r="H211" i="18"/>
  <c r="G211" i="18"/>
  <c r="E211" i="18"/>
  <c r="C211" i="18"/>
  <c r="F211" i="18"/>
  <c r="D211" i="18"/>
  <c r="H131" i="18"/>
  <c r="G131" i="18"/>
  <c r="F131" i="18"/>
  <c r="E131" i="18"/>
  <c r="D131" i="18"/>
  <c r="C131" i="18"/>
  <c r="E26" i="16"/>
  <c r="G26" i="16"/>
  <c r="F26" i="16"/>
  <c r="H193" i="18"/>
  <c r="G193" i="18"/>
  <c r="E193" i="18"/>
  <c r="C193" i="18"/>
  <c r="F193" i="18"/>
  <c r="D193" i="18"/>
  <c r="H123" i="18"/>
  <c r="G123" i="18"/>
  <c r="F123" i="18"/>
  <c r="E123" i="18"/>
  <c r="D123" i="18"/>
  <c r="C123" i="18"/>
  <c r="H177" i="18"/>
  <c r="G177" i="18"/>
  <c r="E177" i="18"/>
  <c r="D177" i="18"/>
  <c r="C177" i="18"/>
  <c r="F177" i="18"/>
  <c r="G25" i="16"/>
  <c r="E25" i="16"/>
  <c r="F25" i="16"/>
  <c r="H77" i="18"/>
  <c r="G77" i="18"/>
  <c r="C77" i="18"/>
  <c r="F77" i="18"/>
  <c r="E77" i="18"/>
  <c r="D77" i="18"/>
  <c r="G93" i="18"/>
  <c r="F93" i="18"/>
  <c r="E93" i="18"/>
  <c r="D93" i="18"/>
  <c r="C93" i="18"/>
  <c r="H93" i="18"/>
  <c r="H65" i="18"/>
  <c r="G65" i="18"/>
  <c r="C65" i="18"/>
  <c r="F65" i="18"/>
  <c r="E65" i="18"/>
  <c r="D65" i="18"/>
  <c r="D233" i="18"/>
  <c r="C233" i="18"/>
  <c r="G233" i="18"/>
  <c r="F233" i="18"/>
  <c r="E233" i="18"/>
  <c r="H233" i="18"/>
  <c r="G24" i="16"/>
  <c r="F24" i="16"/>
  <c r="E24" i="16"/>
  <c r="H148" i="18"/>
  <c r="G148" i="18"/>
  <c r="E148" i="18"/>
  <c r="F148" i="18"/>
  <c r="D148" i="18"/>
  <c r="C148" i="18"/>
  <c r="H83" i="18"/>
  <c r="G83" i="18"/>
  <c r="E83" i="18"/>
  <c r="C83" i="18"/>
  <c r="F83" i="18"/>
  <c r="D83" i="18"/>
  <c r="G63" i="18"/>
  <c r="D63" i="18"/>
  <c r="E63" i="18"/>
  <c r="C63" i="18"/>
  <c r="H63" i="18"/>
  <c r="F63" i="18"/>
  <c r="D118" i="18"/>
  <c r="C118" i="18"/>
  <c r="H118" i="18"/>
  <c r="G118" i="18"/>
  <c r="F118" i="18"/>
  <c r="E118" i="18"/>
  <c r="H222" i="18"/>
  <c r="G222" i="18"/>
  <c r="F222" i="18"/>
  <c r="E222" i="18"/>
  <c r="D222" i="18"/>
  <c r="C222" i="18"/>
  <c r="H187" i="18"/>
  <c r="G187" i="18"/>
  <c r="E187" i="18"/>
  <c r="C187" i="18"/>
  <c r="F187" i="18"/>
  <c r="D187" i="18"/>
  <c r="D146" i="18"/>
  <c r="H146" i="18"/>
  <c r="G146" i="18"/>
  <c r="F146" i="18"/>
  <c r="E146" i="18"/>
  <c r="C146" i="18"/>
  <c r="G16" i="5"/>
  <c r="L26" i="8" s="1"/>
  <c r="V51" i="8" s="1"/>
  <c r="H26" i="8"/>
  <c r="V47" i="8" s="1"/>
  <c r="G87" i="18"/>
  <c r="F87" i="18"/>
  <c r="E87" i="18"/>
  <c r="D87" i="18"/>
  <c r="C87" i="18"/>
  <c r="H87" i="18"/>
  <c r="D48" i="18"/>
  <c r="H48" i="18"/>
  <c r="G48" i="18"/>
  <c r="F48" i="18"/>
  <c r="E48" i="18"/>
  <c r="C48" i="18"/>
  <c r="D121" i="18"/>
  <c r="C121" i="18"/>
  <c r="H121" i="18"/>
  <c r="G121" i="18"/>
  <c r="F121" i="18"/>
  <c r="E121" i="18"/>
  <c r="H135" i="18"/>
  <c r="D135" i="18"/>
  <c r="E135" i="18"/>
  <c r="C135" i="18"/>
  <c r="G135" i="18"/>
  <c r="F135" i="18"/>
  <c r="H241" i="18"/>
  <c r="G241" i="18"/>
  <c r="F241" i="18"/>
  <c r="E241" i="18"/>
  <c r="C241" i="18"/>
  <c r="D241" i="18"/>
  <c r="H38" i="18"/>
  <c r="G38" i="18"/>
  <c r="F38" i="18"/>
  <c r="E38" i="18"/>
  <c r="D38" i="18"/>
  <c r="C38" i="18"/>
  <c r="H80" i="18"/>
  <c r="G80" i="18"/>
  <c r="C80" i="18"/>
  <c r="F80" i="18"/>
  <c r="E80" i="18"/>
  <c r="D80" i="18"/>
  <c r="H17" i="18"/>
  <c r="G17" i="18"/>
  <c r="F17" i="18"/>
  <c r="E17" i="18"/>
  <c r="D17" i="18"/>
  <c r="C17" i="18"/>
  <c r="H219" i="18"/>
  <c r="G219" i="18"/>
  <c r="F219" i="18"/>
  <c r="E219" i="18"/>
  <c r="D219" i="18"/>
  <c r="C219" i="18"/>
  <c r="D143" i="18"/>
  <c r="C143" i="18"/>
  <c r="H143" i="18"/>
  <c r="G143" i="18"/>
  <c r="F143" i="18"/>
  <c r="E143" i="18"/>
  <c r="H41" i="18"/>
  <c r="G41" i="18"/>
  <c r="F41" i="18"/>
  <c r="E41" i="18"/>
  <c r="D41" i="18"/>
  <c r="C41" i="18"/>
  <c r="H213" i="18"/>
  <c r="G213" i="18"/>
  <c r="F213" i="18"/>
  <c r="E213" i="18"/>
  <c r="D213" i="18"/>
  <c r="C213" i="18"/>
  <c r="H159" i="18"/>
  <c r="G159" i="18"/>
  <c r="E159" i="18"/>
  <c r="D159" i="18"/>
  <c r="C159" i="18"/>
  <c r="F159" i="18"/>
  <c r="H156" i="18"/>
  <c r="G156" i="18"/>
  <c r="E156" i="18"/>
  <c r="D156" i="18"/>
  <c r="C156" i="18"/>
  <c r="F156" i="18"/>
  <c r="D114" i="11"/>
  <c r="D96" i="11"/>
  <c r="H136" i="18"/>
  <c r="G136" i="18"/>
  <c r="F136" i="18"/>
  <c r="E136" i="18"/>
  <c r="D136" i="18"/>
  <c r="C136" i="18"/>
  <c r="G60" i="18"/>
  <c r="D60" i="18"/>
  <c r="H60" i="18"/>
  <c r="F60" i="18"/>
  <c r="E60" i="18"/>
  <c r="C60" i="18"/>
  <c r="O18" i="12"/>
  <c r="N18" i="12"/>
  <c r="M18" i="12"/>
  <c r="L18" i="12"/>
  <c r="K18" i="12"/>
  <c r="J18" i="12"/>
  <c r="H138" i="18"/>
  <c r="D138" i="18"/>
  <c r="C138" i="18"/>
  <c r="G138" i="18"/>
  <c r="F138" i="18"/>
  <c r="E138" i="18"/>
  <c r="D134" i="18"/>
  <c r="H134" i="18"/>
  <c r="G134" i="18"/>
  <c r="F134" i="18"/>
  <c r="E134" i="18"/>
  <c r="C134" i="18"/>
  <c r="G25" i="18"/>
  <c r="F25" i="18"/>
  <c r="E25" i="18"/>
  <c r="D25" i="18"/>
  <c r="C25" i="18"/>
  <c r="H25" i="18"/>
  <c r="D51" i="18"/>
  <c r="H51" i="18"/>
  <c r="G51" i="18"/>
  <c r="F51" i="18"/>
  <c r="E51" i="18"/>
  <c r="C51" i="18"/>
  <c r="H199" i="18"/>
  <c r="G199" i="18"/>
  <c r="E199" i="18"/>
  <c r="C199" i="18"/>
  <c r="D199" i="18"/>
  <c r="F199" i="18"/>
  <c r="H86" i="18"/>
  <c r="G86" i="18"/>
  <c r="E86" i="18"/>
  <c r="C86" i="18"/>
  <c r="F86" i="18"/>
  <c r="D86" i="18"/>
  <c r="G41" i="16"/>
  <c r="F41" i="16"/>
  <c r="E41" i="16"/>
  <c r="D115" i="18"/>
  <c r="C115" i="18"/>
  <c r="H115" i="18"/>
  <c r="G115" i="18"/>
  <c r="F115" i="18"/>
  <c r="E115" i="18"/>
  <c r="H89" i="18"/>
  <c r="G89" i="18"/>
  <c r="E89" i="18"/>
  <c r="C89" i="18"/>
  <c r="F89" i="18"/>
  <c r="D89" i="18"/>
  <c r="H116" i="18"/>
  <c r="G116" i="18"/>
  <c r="F116" i="18"/>
  <c r="E116" i="18"/>
  <c r="D116" i="18"/>
  <c r="C116" i="18"/>
  <c r="G15" i="16"/>
  <c r="F15" i="16"/>
  <c r="E15" i="16"/>
  <c r="H114" i="18"/>
  <c r="G114" i="18"/>
  <c r="F114" i="18"/>
  <c r="E114" i="18"/>
  <c r="D114" i="18"/>
  <c r="C114" i="18"/>
  <c r="D49" i="18"/>
  <c r="C49" i="18"/>
  <c r="H49" i="18"/>
  <c r="G49" i="18"/>
  <c r="F49" i="18"/>
  <c r="E49" i="18"/>
  <c r="H201" i="18"/>
  <c r="G201" i="18"/>
  <c r="E201" i="18"/>
  <c r="D201" i="18"/>
  <c r="C201" i="18"/>
  <c r="F201" i="18"/>
  <c r="H14" i="18"/>
  <c r="G14" i="18"/>
  <c r="F14" i="18"/>
  <c r="E14" i="18"/>
  <c r="D14" i="18"/>
  <c r="C14" i="18"/>
  <c r="D215" i="18"/>
  <c r="C215" i="18"/>
  <c r="G215" i="18"/>
  <c r="F215" i="18"/>
  <c r="E215" i="18"/>
  <c r="H215" i="18"/>
  <c r="D182" i="18"/>
  <c r="C182" i="18"/>
  <c r="G182" i="18"/>
  <c r="H182" i="18"/>
  <c r="F182" i="18"/>
  <c r="E182" i="18"/>
  <c r="D76" i="18"/>
  <c r="C76" i="18"/>
  <c r="H76" i="18"/>
  <c r="G76" i="18"/>
  <c r="F76" i="18"/>
  <c r="E76" i="18"/>
  <c r="H195" i="18"/>
  <c r="G195" i="18"/>
  <c r="E195" i="18"/>
  <c r="D195" i="18"/>
  <c r="C195" i="18"/>
  <c r="F195" i="18"/>
  <c r="D97" i="18"/>
  <c r="C97" i="18"/>
  <c r="H97" i="18"/>
  <c r="G97" i="18"/>
  <c r="F97" i="18"/>
  <c r="E97" i="18"/>
  <c r="D36" i="18"/>
  <c r="C36" i="18"/>
  <c r="H36" i="18"/>
  <c r="G36" i="18"/>
  <c r="F36" i="18"/>
  <c r="E36" i="18"/>
  <c r="J13" i="12"/>
  <c r="H111" i="18"/>
  <c r="G111" i="18"/>
  <c r="F111" i="18"/>
  <c r="E111" i="18"/>
  <c r="D111" i="18"/>
  <c r="C111" i="18"/>
  <c r="H11" i="18"/>
  <c r="G11" i="18"/>
  <c r="F11" i="18"/>
  <c r="E11" i="18"/>
  <c r="D11" i="18"/>
  <c r="C11" i="18"/>
  <c r="H165" i="18"/>
  <c r="G165" i="18"/>
  <c r="E165" i="18"/>
  <c r="D165" i="18"/>
  <c r="C165" i="18"/>
  <c r="F165" i="18"/>
  <c r="G37" i="16"/>
  <c r="E37" i="16"/>
  <c r="F37" i="16"/>
  <c r="H154" i="18"/>
  <c r="G154" i="18"/>
  <c r="E154" i="18"/>
  <c r="C154" i="18"/>
  <c r="F154" i="18"/>
  <c r="D154" i="18"/>
  <c r="D67" i="18"/>
  <c r="C67" i="18"/>
  <c r="H67" i="18"/>
  <c r="G67" i="18"/>
  <c r="F67" i="18"/>
  <c r="E67" i="18"/>
  <c r="C24" i="18"/>
  <c r="H24" i="18"/>
  <c r="G24" i="18"/>
  <c r="F24" i="18"/>
  <c r="E24" i="18"/>
  <c r="D24" i="18"/>
  <c r="G18" i="16"/>
  <c r="F18" i="16"/>
  <c r="E18" i="16"/>
  <c r="D55" i="18"/>
  <c r="C55" i="18"/>
  <c r="H55" i="18"/>
  <c r="G55" i="18"/>
  <c r="F55" i="18"/>
  <c r="E55" i="18"/>
  <c r="G16" i="18"/>
  <c r="F16" i="18"/>
  <c r="E16" i="18"/>
  <c r="D16" i="18"/>
  <c r="C16" i="18"/>
  <c r="H16" i="18"/>
  <c r="H145" i="18"/>
  <c r="G145" i="18"/>
  <c r="C145" i="18"/>
  <c r="F145" i="18"/>
  <c r="E145" i="18"/>
  <c r="D145" i="18"/>
  <c r="H139" i="18"/>
  <c r="G139" i="18"/>
  <c r="C139" i="18"/>
  <c r="F139" i="18"/>
  <c r="E139" i="18"/>
  <c r="D139" i="18"/>
  <c r="G10" i="18"/>
  <c r="F10" i="18"/>
  <c r="E10" i="18"/>
  <c r="D10" i="18"/>
  <c r="C10" i="18"/>
  <c r="H10" i="18"/>
  <c r="H150" i="18"/>
  <c r="G150" i="18"/>
  <c r="D150" i="18"/>
  <c r="C150" i="18"/>
  <c r="F150" i="18"/>
  <c r="E150" i="18"/>
  <c r="D239" i="18"/>
  <c r="C239" i="18"/>
  <c r="G239" i="18"/>
  <c r="F239" i="18"/>
  <c r="E239" i="18"/>
  <c r="H239" i="18"/>
  <c r="H142" i="18"/>
  <c r="G142" i="18"/>
  <c r="F142" i="18"/>
  <c r="E142" i="18"/>
  <c r="D142" i="18"/>
  <c r="C142" i="18"/>
  <c r="D52" i="18"/>
  <c r="C52" i="18"/>
  <c r="H52" i="18"/>
  <c r="G52" i="18"/>
  <c r="F52" i="18"/>
  <c r="E52" i="18"/>
  <c r="D82" i="18"/>
  <c r="C82" i="18"/>
  <c r="H82" i="18"/>
  <c r="G82" i="18"/>
  <c r="F82" i="18"/>
  <c r="E82" i="18"/>
  <c r="H198" i="18"/>
  <c r="G198" i="18"/>
  <c r="E198" i="18"/>
  <c r="D198" i="18"/>
  <c r="C198" i="18"/>
  <c r="F198" i="18"/>
  <c r="G35" i="16"/>
  <c r="F35" i="16"/>
  <c r="E35" i="16"/>
  <c r="H169" i="18"/>
  <c r="G169" i="18"/>
  <c r="E169" i="18"/>
  <c r="C169" i="18"/>
  <c r="F169" i="18"/>
  <c r="D169" i="18"/>
  <c r="G40" i="16"/>
  <c r="E40" i="16"/>
  <c r="F40" i="16"/>
  <c r="D70" i="18"/>
  <c r="C70" i="18"/>
  <c r="H70" i="18"/>
  <c r="F70" i="18"/>
  <c r="E70" i="18"/>
  <c r="G70" i="18"/>
  <c r="D45" i="18"/>
  <c r="C45" i="18"/>
  <c r="H45" i="18"/>
  <c r="G45" i="18"/>
  <c r="F45" i="18"/>
  <c r="E45" i="18"/>
  <c r="G12" i="16"/>
  <c r="F12" i="16"/>
  <c r="E12" i="16"/>
  <c r="H181" i="18"/>
  <c r="G181" i="18"/>
  <c r="E181" i="18"/>
  <c r="C181" i="18"/>
  <c r="D181" i="18"/>
  <c r="F181" i="18"/>
  <c r="H172" i="18"/>
  <c r="G172" i="18"/>
  <c r="E172" i="18"/>
  <c r="C172" i="18"/>
  <c r="F172" i="18"/>
  <c r="D172" i="18"/>
  <c r="G42" i="16"/>
  <c r="F42" i="16"/>
  <c r="E42" i="16"/>
  <c r="K13" i="12"/>
  <c r="H68" i="18"/>
  <c r="G68" i="18"/>
  <c r="C68" i="18"/>
  <c r="F68" i="18"/>
  <c r="E68" i="18"/>
  <c r="D68" i="18"/>
  <c r="D64" i="18"/>
  <c r="C64" i="18"/>
  <c r="H64" i="18"/>
  <c r="G64" i="18"/>
  <c r="F64" i="18"/>
  <c r="E64" i="18"/>
  <c r="D206" i="18"/>
  <c r="C206" i="18"/>
  <c r="G206" i="18"/>
  <c r="E206" i="18"/>
  <c r="H206" i="18"/>
  <c r="F206" i="18"/>
  <c r="D152" i="18"/>
  <c r="C152" i="18"/>
  <c r="G152" i="18"/>
  <c r="F152" i="18"/>
  <c r="E152" i="18"/>
  <c r="H152" i="18"/>
  <c r="D57" i="18"/>
  <c r="H57" i="18"/>
  <c r="G57" i="18"/>
  <c r="F57" i="18"/>
  <c r="E57" i="18"/>
  <c r="C57" i="18"/>
  <c r="G90" i="18"/>
  <c r="F90" i="18"/>
  <c r="E90" i="18"/>
  <c r="D90" i="18"/>
  <c r="C90" i="18"/>
  <c r="H90" i="18"/>
  <c r="G33" i="16"/>
  <c r="F33" i="16"/>
  <c r="E33" i="16"/>
  <c r="G78" i="18"/>
  <c r="E78" i="18"/>
  <c r="D78" i="18"/>
  <c r="C78" i="18"/>
  <c r="H78" i="18"/>
  <c r="F78" i="18"/>
  <c r="G30" i="16"/>
  <c r="F30" i="16"/>
  <c r="E30" i="16"/>
  <c r="G19" i="18"/>
  <c r="F19" i="18"/>
  <c r="E19" i="18"/>
  <c r="D19" i="18"/>
  <c r="C19" i="18"/>
  <c r="H19" i="18"/>
  <c r="H183" i="18"/>
  <c r="G183" i="18"/>
  <c r="E183" i="18"/>
  <c r="D183" i="18"/>
  <c r="C183" i="18"/>
  <c r="F183" i="18"/>
  <c r="D173" i="18"/>
  <c r="C173" i="18"/>
  <c r="G173" i="18"/>
  <c r="H173" i="18"/>
  <c r="F173" i="18"/>
  <c r="E173" i="18"/>
  <c r="C21" i="18"/>
  <c r="H21" i="18"/>
  <c r="G21" i="18"/>
  <c r="F21" i="18"/>
  <c r="E21" i="18"/>
  <c r="D21" i="18"/>
  <c r="G81" i="18"/>
  <c r="E81" i="18"/>
  <c r="D81" i="18"/>
  <c r="C81" i="18"/>
  <c r="H81" i="18"/>
  <c r="F81" i="18"/>
  <c r="H238" i="18"/>
  <c r="G238" i="18"/>
  <c r="F238" i="18"/>
  <c r="E238" i="18"/>
  <c r="C238" i="18"/>
  <c r="D238" i="18"/>
  <c r="H20" i="18"/>
  <c r="G20" i="18"/>
  <c r="F20" i="18"/>
  <c r="E20" i="18"/>
  <c r="D20" i="18"/>
  <c r="C20" i="18"/>
  <c r="D197" i="18"/>
  <c r="C197" i="18"/>
  <c r="G197" i="18"/>
  <c r="H197" i="18"/>
  <c r="F197" i="18"/>
  <c r="E197" i="18"/>
  <c r="D130" i="18"/>
  <c r="C130" i="18"/>
  <c r="H130" i="18"/>
  <c r="G130" i="18"/>
  <c r="F130" i="18"/>
  <c r="E130" i="18"/>
  <c r="H71" i="18"/>
  <c r="G71" i="18"/>
  <c r="C71" i="18"/>
  <c r="F71" i="18"/>
  <c r="E71" i="18"/>
  <c r="D71" i="18"/>
  <c r="D194" i="18"/>
  <c r="C194" i="18"/>
  <c r="G194" i="18"/>
  <c r="H194" i="18"/>
  <c r="F194" i="18"/>
  <c r="E194" i="18"/>
  <c r="H216" i="18"/>
  <c r="G216" i="18"/>
  <c r="F216" i="18"/>
  <c r="E216" i="18"/>
  <c r="D216" i="18"/>
  <c r="C216" i="18"/>
  <c r="H110" i="18"/>
  <c r="G110" i="18"/>
  <c r="F110" i="18"/>
  <c r="E110" i="18"/>
  <c r="D110" i="18"/>
  <c r="C110" i="18"/>
  <c r="D37" i="18"/>
  <c r="C37" i="18"/>
  <c r="H37" i="18"/>
  <c r="G37" i="18"/>
  <c r="F37" i="18"/>
  <c r="E37" i="18"/>
  <c r="H180" i="18"/>
  <c r="G180" i="18"/>
  <c r="E180" i="18"/>
  <c r="D180" i="18"/>
  <c r="C180" i="18"/>
  <c r="F180" i="18"/>
  <c r="D221" i="18"/>
  <c r="C221" i="18"/>
  <c r="G221" i="18"/>
  <c r="F221" i="18"/>
  <c r="E221" i="18"/>
  <c r="H221" i="18"/>
  <c r="D91" i="18"/>
  <c r="C91" i="18"/>
  <c r="H91" i="18"/>
  <c r="G91" i="18"/>
  <c r="F91" i="18"/>
  <c r="E91" i="18"/>
  <c r="C15" i="18"/>
  <c r="H15" i="18"/>
  <c r="G15" i="18"/>
  <c r="F15" i="18"/>
  <c r="E15" i="18"/>
  <c r="D15" i="18"/>
  <c r="O15" i="12"/>
  <c r="H186" i="18"/>
  <c r="G186" i="18"/>
  <c r="E186" i="18"/>
  <c r="D186" i="18"/>
  <c r="C186" i="18"/>
  <c r="F186" i="18"/>
  <c r="O19" i="12"/>
  <c r="N19" i="12"/>
  <c r="M19" i="12"/>
  <c r="L19" i="12"/>
  <c r="K19" i="12"/>
  <c r="J19" i="12"/>
  <c r="H59" i="18"/>
  <c r="G59" i="18"/>
  <c r="F59" i="18"/>
  <c r="E59" i="18"/>
  <c r="D59" i="18"/>
  <c r="C59" i="18"/>
  <c r="D170" i="18"/>
  <c r="C170" i="18"/>
  <c r="G170" i="18"/>
  <c r="F170" i="18"/>
  <c r="E170" i="18"/>
  <c r="H170" i="18"/>
  <c r="D158" i="18"/>
  <c r="C158" i="18"/>
  <c r="G158" i="18"/>
  <c r="H158" i="18"/>
  <c r="F158" i="18"/>
  <c r="E158" i="18"/>
  <c r="G75" i="18"/>
  <c r="E75" i="18"/>
  <c r="D75" i="18"/>
  <c r="C75" i="18"/>
  <c r="H75" i="18"/>
  <c r="F75" i="18"/>
  <c r="D88" i="18"/>
  <c r="C88" i="18"/>
  <c r="H88" i="18"/>
  <c r="G88" i="18"/>
  <c r="F88" i="18"/>
  <c r="E88" i="18"/>
  <c r="E20" i="4"/>
  <c r="H225" i="18"/>
  <c r="G225" i="18"/>
  <c r="F225" i="18"/>
  <c r="E225" i="18"/>
  <c r="D225" i="18"/>
  <c r="C225" i="18"/>
  <c r="H44" i="18"/>
  <c r="G44" i="18"/>
  <c r="F44" i="18"/>
  <c r="E44" i="18"/>
  <c r="D44" i="18"/>
  <c r="C44" i="18"/>
  <c r="D188" i="18"/>
  <c r="C188" i="18"/>
  <c r="G188" i="18"/>
  <c r="F188" i="18"/>
  <c r="E188" i="18"/>
  <c r="H188" i="18"/>
  <c r="H234" i="18"/>
  <c r="G234" i="18"/>
  <c r="F234" i="18"/>
  <c r="E234" i="18"/>
  <c r="D234" i="18"/>
  <c r="C234" i="18"/>
  <c r="D191" i="18"/>
  <c r="C191" i="18"/>
  <c r="G191" i="18"/>
  <c r="H191" i="18"/>
  <c r="F191" i="18"/>
  <c r="E191" i="18"/>
  <c r="G44" i="16"/>
  <c r="E44" i="16"/>
  <c r="F44" i="16"/>
  <c r="D46" i="18"/>
  <c r="C46" i="18"/>
  <c r="H46" i="18"/>
  <c r="G46" i="18"/>
  <c r="F46" i="18"/>
  <c r="E46" i="18"/>
  <c r="H217" i="18"/>
  <c r="G217" i="18"/>
  <c r="F217" i="18"/>
  <c r="E217" i="18"/>
  <c r="C217" i="18"/>
  <c r="D217" i="18"/>
  <c r="D236" i="18"/>
  <c r="C236" i="18"/>
  <c r="G236" i="18"/>
  <c r="F236" i="18"/>
  <c r="E236" i="18"/>
  <c r="H236" i="18"/>
  <c r="H153" i="18"/>
  <c r="G153" i="18"/>
  <c r="E153" i="18"/>
  <c r="D153" i="18"/>
  <c r="C153" i="18"/>
  <c r="F153" i="18"/>
  <c r="D149" i="18"/>
  <c r="C149" i="18"/>
  <c r="G149" i="18"/>
  <c r="F149" i="18"/>
  <c r="E149" i="18"/>
  <c r="H149" i="18"/>
  <c r="H102" i="18"/>
  <c r="G102" i="18"/>
  <c r="F102" i="18"/>
  <c r="E102" i="18"/>
  <c r="D102" i="18"/>
  <c r="C102" i="18"/>
  <c r="D176" i="18"/>
  <c r="C176" i="18"/>
  <c r="G176" i="18"/>
  <c r="H176" i="18"/>
  <c r="F176" i="18"/>
  <c r="E176" i="18"/>
  <c r="H160" i="18"/>
  <c r="G160" i="18"/>
  <c r="E160" i="18"/>
  <c r="C160" i="18"/>
  <c r="F160" i="18"/>
  <c r="D160" i="18"/>
  <c r="G39" i="16"/>
  <c r="F39" i="16"/>
  <c r="E39" i="16"/>
  <c r="H228" i="18"/>
  <c r="G228" i="18"/>
  <c r="F228" i="18"/>
  <c r="E228" i="18"/>
  <c r="D228" i="18"/>
  <c r="C228" i="18"/>
  <c r="C33" i="18"/>
  <c r="H33" i="18"/>
  <c r="G33" i="18"/>
  <c r="F33" i="18"/>
  <c r="E33" i="18"/>
  <c r="D33" i="18"/>
  <c r="D200" i="18"/>
  <c r="C200" i="18"/>
  <c r="G200" i="18"/>
  <c r="E200" i="18"/>
  <c r="H200" i="18"/>
  <c r="F200" i="18"/>
  <c r="H30" i="8"/>
  <c r="Z47" i="8" s="1"/>
  <c r="H144" i="18"/>
  <c r="D144" i="18"/>
  <c r="C144" i="18"/>
  <c r="G144" i="18"/>
  <c r="F144" i="18"/>
  <c r="E144" i="18"/>
  <c r="G22" i="16"/>
  <c r="E22" i="16"/>
  <c r="F22" i="16"/>
  <c r="H132" i="18"/>
  <c r="D132" i="18"/>
  <c r="G132" i="18"/>
  <c r="F132" i="18"/>
  <c r="E132" i="18"/>
  <c r="C132" i="18"/>
  <c r="G19" i="16"/>
  <c r="E19" i="16"/>
  <c r="F19" i="16"/>
  <c r="D185" i="18"/>
  <c r="C185" i="18"/>
  <c r="G185" i="18"/>
  <c r="H185" i="18"/>
  <c r="F185" i="18"/>
  <c r="E185" i="18"/>
  <c r="D49" i="13"/>
  <c r="E31" i="13"/>
  <c r="H208" i="18"/>
  <c r="G208" i="18"/>
  <c r="E208" i="18"/>
  <c r="C208" i="18"/>
  <c r="D208" i="18"/>
  <c r="F208" i="18"/>
  <c r="H108" i="18"/>
  <c r="G108" i="18"/>
  <c r="F108" i="18"/>
  <c r="E108" i="18"/>
  <c r="D108" i="18"/>
  <c r="C108" i="18"/>
  <c r="F14" i="16"/>
  <c r="E14" i="16"/>
  <c r="G14" i="16"/>
  <c r="G84" i="18"/>
  <c r="E84" i="18"/>
  <c r="D84" i="18"/>
  <c r="C84" i="18"/>
  <c r="H84" i="18"/>
  <c r="F84" i="18"/>
  <c r="D230" i="18"/>
  <c r="C230" i="18"/>
  <c r="G230" i="18"/>
  <c r="F230" i="18"/>
  <c r="E230" i="18"/>
  <c r="H230" i="18"/>
  <c r="D218" i="18"/>
  <c r="C218" i="18"/>
  <c r="G218" i="18"/>
  <c r="F218" i="18"/>
  <c r="E218" i="18"/>
  <c r="H218" i="18"/>
  <c r="H47" i="18"/>
  <c r="G47" i="18"/>
  <c r="F47" i="18"/>
  <c r="E47" i="18"/>
  <c r="D47" i="18"/>
  <c r="C47" i="18"/>
  <c r="G22" i="18"/>
  <c r="F22" i="18"/>
  <c r="E22" i="18"/>
  <c r="D22" i="18"/>
  <c r="C22" i="18"/>
  <c r="H22" i="18"/>
  <c r="D15" i="7" l="1"/>
  <c r="I29" i="8"/>
  <c r="Y48" i="8" s="1"/>
  <c r="G10" i="6"/>
  <c r="G30" i="8" s="1"/>
  <c r="Z46" i="8" s="1"/>
  <c r="I10" i="6"/>
  <c r="L30" i="8" s="1"/>
  <c r="Z51" i="8" s="1"/>
  <c r="G9" i="6"/>
  <c r="F29" i="8" s="1"/>
  <c r="Y45" i="8" s="1"/>
  <c r="D9" i="16"/>
  <c r="G9" i="16" s="1"/>
  <c r="C22" i="5"/>
  <c r="C23" i="5" s="1"/>
  <c r="D24" i="5" s="1"/>
  <c r="L28" i="8" s="1"/>
  <c r="X51" i="8" s="1"/>
  <c r="E18" i="4"/>
  <c r="F18" i="4" s="1"/>
  <c r="H18" i="4" s="1"/>
  <c r="E19" i="4"/>
  <c r="E21" i="4"/>
  <c r="E22" i="4"/>
  <c r="F22" i="4" s="1"/>
  <c r="H22" i="4" s="1"/>
  <c r="E17" i="4"/>
  <c r="F17" i="4" s="1"/>
  <c r="H17" i="4" s="1"/>
  <c r="D6" i="16"/>
  <c r="G6" i="16" s="1"/>
  <c r="I9" i="6"/>
  <c r="K29" i="8" s="1"/>
  <c r="Y50" i="8" s="1"/>
  <c r="D20" i="7"/>
  <c r="H20" i="7" s="1"/>
  <c r="D18" i="7"/>
  <c r="F18" i="7" s="1"/>
  <c r="D21" i="7"/>
  <c r="H21" i="7" s="1"/>
  <c r="D16" i="7"/>
  <c r="F16" i="7" s="1"/>
  <c r="D19" i="7"/>
  <c r="D126" i="11"/>
  <c r="D125" i="11"/>
  <c r="D10" i="16"/>
  <c r="G10" i="16" s="1"/>
  <c r="D11" i="16"/>
  <c r="E39" i="8" s="1"/>
  <c r="AI44" i="8" s="1"/>
  <c r="E8" i="16"/>
  <c r="F8" i="16"/>
  <c r="L21" i="12"/>
  <c r="D26" i="12" s="1"/>
  <c r="D42" i="12" s="1"/>
  <c r="D78" i="12" s="1"/>
  <c r="D79" i="12" s="1"/>
  <c r="D80" i="12" s="1"/>
  <c r="N21" i="12"/>
  <c r="D31" i="12" s="1"/>
  <c r="D98" i="12" s="1"/>
  <c r="E7" i="16"/>
  <c r="F7" i="16"/>
  <c r="D43" i="10"/>
  <c r="K12" i="15"/>
  <c r="D23" i="10"/>
  <c r="M21" i="12"/>
  <c r="D29" i="12" s="1"/>
  <c r="D96" i="12" s="1"/>
  <c r="E106" i="12" s="1"/>
  <c r="F19" i="4"/>
  <c r="H19" i="4" s="1"/>
  <c r="C26" i="8"/>
  <c r="V42" i="8" s="1"/>
  <c r="G15" i="5"/>
  <c r="G26" i="8" s="1"/>
  <c r="V46" i="8" s="1"/>
  <c r="F15" i="7"/>
  <c r="H15" i="7"/>
  <c r="E19" i="5"/>
  <c r="G11" i="8" s="1"/>
  <c r="G46" i="8" s="1"/>
  <c r="E11" i="8"/>
  <c r="G44" i="8" s="1"/>
  <c r="F21" i="4"/>
  <c r="H21" i="4" s="1"/>
  <c r="F20" i="4"/>
  <c r="H20" i="4" s="1"/>
  <c r="O21" i="12"/>
  <c r="D30" i="12" s="1"/>
  <c r="D97" i="12" s="1"/>
  <c r="C28" i="8"/>
  <c r="X42" i="8" s="1"/>
  <c r="K21" i="12"/>
  <c r="D27" i="12" s="1"/>
  <c r="D43" i="12" s="1"/>
  <c r="J21" i="12"/>
  <c r="D25" i="12" s="1"/>
  <c r="F17" i="7"/>
  <c r="H17" i="7"/>
  <c r="D52" i="13"/>
  <c r="D51" i="13"/>
  <c r="D53" i="13" s="1"/>
  <c r="D55" i="13" s="1"/>
  <c r="D56" i="13" s="1"/>
  <c r="E9" i="16" l="1"/>
  <c r="F9" i="16"/>
  <c r="C24" i="5"/>
  <c r="G28" i="8" s="1"/>
  <c r="X46" i="8" s="1"/>
  <c r="H28" i="8"/>
  <c r="X47" i="8" s="1"/>
  <c r="F6" i="16"/>
  <c r="H18" i="7"/>
  <c r="H22" i="7" s="1"/>
  <c r="F36" i="7" s="1"/>
  <c r="K37" i="8" s="1"/>
  <c r="AG50" i="8" s="1"/>
  <c r="F21" i="7"/>
  <c r="E6" i="16"/>
  <c r="F20" i="7"/>
  <c r="D22" i="7"/>
  <c r="C35" i="7" s="1"/>
  <c r="C36" i="8" s="1"/>
  <c r="AF42" i="8" s="1"/>
  <c r="C124" i="8" s="1"/>
  <c r="D25" i="9" s="1"/>
  <c r="H19" i="7"/>
  <c r="F19" i="7"/>
  <c r="F22" i="7" s="1"/>
  <c r="D35" i="7" s="1"/>
  <c r="G36" i="8" s="1"/>
  <c r="AF46" i="8" s="1"/>
  <c r="D23" i="7"/>
  <c r="E35" i="7" s="1"/>
  <c r="H36" i="8" s="1"/>
  <c r="AF47" i="8" s="1"/>
  <c r="H122" i="8" s="1"/>
  <c r="F33" i="15" s="1"/>
  <c r="D127" i="11"/>
  <c r="D119" i="11" s="1"/>
  <c r="F10" i="16"/>
  <c r="E10" i="16"/>
  <c r="F11" i="16"/>
  <c r="G39" i="8" s="1"/>
  <c r="AI46" i="8" s="1"/>
  <c r="E11" i="16"/>
  <c r="K39" i="8" s="1"/>
  <c r="AI50" i="8" s="1"/>
  <c r="G11" i="16"/>
  <c r="L39" i="8" s="1"/>
  <c r="AI51" i="8" s="1"/>
  <c r="J39" i="8"/>
  <c r="AI49" i="8" s="1"/>
  <c r="D114" i="12"/>
  <c r="D116" i="12" s="1"/>
  <c r="D117" i="12" s="1"/>
  <c r="D59" i="12"/>
  <c r="D61" i="12" s="1"/>
  <c r="D62" i="12" s="1"/>
  <c r="D41" i="12"/>
  <c r="D51" i="12" s="1"/>
  <c r="D106" i="12"/>
  <c r="D108" i="12"/>
  <c r="J16" i="8"/>
  <c r="L49" i="8" s="1"/>
  <c r="L21" i="4"/>
  <c r="K21" i="4"/>
  <c r="J22" i="8"/>
  <c r="R49" i="8" s="1"/>
  <c r="J21" i="4"/>
  <c r="E22" i="8"/>
  <c r="R44" i="8" s="1"/>
  <c r="E16" i="8"/>
  <c r="L44" i="8" s="1"/>
  <c r="J15" i="8"/>
  <c r="K49" i="8" s="1"/>
  <c r="J21" i="8"/>
  <c r="Q49" i="8" s="1"/>
  <c r="K20" i="4"/>
  <c r="E21" i="8"/>
  <c r="Q44" i="8" s="1"/>
  <c r="E15" i="8"/>
  <c r="K44" i="8" s="1"/>
  <c r="L20" i="4"/>
  <c r="J20" i="4"/>
  <c r="E20" i="8"/>
  <c r="P44" i="8" s="1"/>
  <c r="J14" i="8"/>
  <c r="J49" i="8" s="1"/>
  <c r="J19" i="4"/>
  <c r="J20" i="8"/>
  <c r="P49" i="8" s="1"/>
  <c r="E14" i="8"/>
  <c r="J44" i="8" s="1"/>
  <c r="L19" i="4"/>
  <c r="K19" i="4"/>
  <c r="K17" i="4"/>
  <c r="J12" i="8"/>
  <c r="H49" i="8" s="1"/>
  <c r="J18" i="8"/>
  <c r="N49" i="8" s="1"/>
  <c r="E18" i="8"/>
  <c r="N44" i="8" s="1"/>
  <c r="J17" i="4"/>
  <c r="L17" i="4"/>
  <c r="E12" i="8"/>
  <c r="H44" i="8" s="1"/>
  <c r="D133" i="12"/>
  <c r="D134" i="12" s="1"/>
  <c r="D135" i="12" s="1"/>
  <c r="J13" i="8"/>
  <c r="I49" i="8" s="1"/>
  <c r="L18" i="4"/>
  <c r="E19" i="8"/>
  <c r="O44" i="8" s="1"/>
  <c r="K18" i="4"/>
  <c r="J18" i="4"/>
  <c r="E13" i="8"/>
  <c r="I44" i="8" s="1"/>
  <c r="J19" i="8"/>
  <c r="O49" i="8" s="1"/>
  <c r="D57" i="13"/>
  <c r="C7" i="20" s="1"/>
  <c r="E57" i="13"/>
  <c r="F39" i="8"/>
  <c r="AI45" i="8" s="1"/>
  <c r="J17" i="8"/>
  <c r="M49" i="8" s="1"/>
  <c r="E23" i="8"/>
  <c r="S44" i="8" s="1"/>
  <c r="J23" i="8"/>
  <c r="S49" i="8" s="1"/>
  <c r="K22" i="4"/>
  <c r="E17" i="8"/>
  <c r="M44" i="8" s="1"/>
  <c r="L22" i="4"/>
  <c r="J22" i="4"/>
  <c r="D124" i="12"/>
  <c r="C36" i="7" l="1"/>
  <c r="D37" i="8" s="1"/>
  <c r="AG43" i="8" s="1"/>
  <c r="E36" i="7"/>
  <c r="I37" i="8" s="1"/>
  <c r="AG48" i="8" s="1"/>
  <c r="F35" i="7"/>
  <c r="L36" i="8" s="1"/>
  <c r="AF51" i="8" s="1"/>
  <c r="D115" i="11"/>
  <c r="D116" i="11" s="1"/>
  <c r="D117" i="11" s="1"/>
  <c r="E51" i="12"/>
  <c r="D69" i="12"/>
  <c r="D53" i="12"/>
  <c r="D36" i="7"/>
  <c r="F37" i="8" s="1"/>
  <c r="AG45" i="8" s="1"/>
  <c r="H126" i="8"/>
  <c r="F37" i="15" s="1"/>
  <c r="H131" i="8"/>
  <c r="F42" i="15" s="1"/>
  <c r="H116" i="8"/>
  <c r="C130" i="8"/>
  <c r="D31" i="9" s="1"/>
  <c r="C150" i="8"/>
  <c r="D51" i="9" s="1"/>
  <c r="H148" i="8"/>
  <c r="F59" i="15" s="1"/>
  <c r="P59" i="15" s="1"/>
  <c r="H149" i="8"/>
  <c r="H150" i="8"/>
  <c r="H120" i="8"/>
  <c r="F31" i="15" s="1"/>
  <c r="P31" i="15" s="1"/>
  <c r="E124" i="8"/>
  <c r="H137" i="8"/>
  <c r="F48" i="15" s="1"/>
  <c r="P48" i="15" s="1"/>
  <c r="H147" i="8"/>
  <c r="F58" i="15" s="1"/>
  <c r="P58" i="15" s="1"/>
  <c r="H138" i="8"/>
  <c r="F49" i="15" s="1"/>
  <c r="P49" i="15" s="1"/>
  <c r="H114" i="8"/>
  <c r="H118" i="8"/>
  <c r="F29" i="15" s="1"/>
  <c r="P29" i="15" s="1"/>
  <c r="H145" i="8"/>
  <c r="F56" i="15" s="1"/>
  <c r="P56" i="15" s="1"/>
  <c r="H121" i="8"/>
  <c r="F32" i="15" s="1"/>
  <c r="P32" i="15" s="1"/>
  <c r="H119" i="8"/>
  <c r="F30" i="15" s="1"/>
  <c r="P30" i="15" s="1"/>
  <c r="H134" i="8"/>
  <c r="F45" i="15" s="1"/>
  <c r="H125" i="8"/>
  <c r="F36" i="15" s="1"/>
  <c r="P36" i="15" s="1"/>
  <c r="H124" i="8"/>
  <c r="F35" i="15" s="1"/>
  <c r="P35" i="15" s="1"/>
  <c r="F25" i="9"/>
  <c r="E148" i="8"/>
  <c r="H115" i="8"/>
  <c r="E142" i="8"/>
  <c r="H135" i="8"/>
  <c r="F46" i="15" s="1"/>
  <c r="P46" i="15" s="1"/>
  <c r="E129" i="8"/>
  <c r="H146" i="8"/>
  <c r="F57" i="15" s="1"/>
  <c r="P57" i="15" s="1"/>
  <c r="E116" i="8"/>
  <c r="H109" i="8"/>
  <c r="H107" i="8"/>
  <c r="H111" i="8"/>
  <c r="H106" i="8"/>
  <c r="E140" i="8"/>
  <c r="H108" i="8"/>
  <c r="H117" i="8"/>
  <c r="F28" i="15" s="1"/>
  <c r="H141" i="8"/>
  <c r="F52" i="15" s="1"/>
  <c r="P52" i="15" s="1"/>
  <c r="H133" i="8"/>
  <c r="F44" i="15" s="1"/>
  <c r="P44" i="15" s="1"/>
  <c r="C128" i="8"/>
  <c r="D29" i="9" s="1"/>
  <c r="H132" i="8"/>
  <c r="F43" i="15" s="1"/>
  <c r="P43" i="15" s="1"/>
  <c r="H142" i="8"/>
  <c r="F53" i="15" s="1"/>
  <c r="P53" i="15" s="1"/>
  <c r="P33" i="15"/>
  <c r="B12" i="19"/>
  <c r="B8" i="19"/>
  <c r="B10" i="19"/>
  <c r="B6" i="19"/>
  <c r="B11" i="19"/>
  <c r="B7" i="19"/>
  <c r="B13" i="19"/>
  <c r="B9" i="19"/>
  <c r="D13" i="19"/>
  <c r="E115" i="8"/>
  <c r="E125" i="8"/>
  <c r="E149" i="8"/>
  <c r="D12" i="19"/>
  <c r="G13" i="8"/>
  <c r="I46" i="8" s="1"/>
  <c r="G19" i="8"/>
  <c r="O46" i="8" s="1"/>
  <c r="C149" i="8"/>
  <c r="D50" i="9" s="1"/>
  <c r="C133" i="8"/>
  <c r="D34" i="9" s="1"/>
  <c r="C114" i="8"/>
  <c r="D15" i="9" s="1"/>
  <c r="C110" i="8"/>
  <c r="D11" i="9" s="1"/>
  <c r="H112" i="8"/>
  <c r="E109" i="8"/>
  <c r="E147" i="8"/>
  <c r="E110" i="8"/>
  <c r="D11" i="19"/>
  <c r="C109" i="8"/>
  <c r="D10" i="9" s="1"/>
  <c r="C125" i="8"/>
  <c r="D26" i="9" s="1"/>
  <c r="C123" i="8"/>
  <c r="D24" i="9" s="1"/>
  <c r="C129" i="8"/>
  <c r="D30" i="9" s="1"/>
  <c r="H139" i="8"/>
  <c r="F50" i="15" s="1"/>
  <c r="L12" i="8"/>
  <c r="H51" i="8" s="1"/>
  <c r="L18" i="8"/>
  <c r="N51" i="8" s="1"/>
  <c r="G15" i="8"/>
  <c r="K46" i="8" s="1"/>
  <c r="G21" i="8"/>
  <c r="Q46" i="8" s="1"/>
  <c r="P37" i="15"/>
  <c r="E118" i="8"/>
  <c r="D6" i="19"/>
  <c r="E144" i="8"/>
  <c r="E133" i="8"/>
  <c r="L13" i="8"/>
  <c r="I51" i="8" s="1"/>
  <c r="L19" i="8"/>
  <c r="O51" i="8" s="1"/>
  <c r="C120" i="8"/>
  <c r="D21" i="9" s="1"/>
  <c r="C144" i="8"/>
  <c r="D45" i="9" s="1"/>
  <c r="C111" i="8"/>
  <c r="D12" i="9" s="1"/>
  <c r="C113" i="8"/>
  <c r="D14" i="9" s="1"/>
  <c r="H130" i="8"/>
  <c r="F41" i="15" s="1"/>
  <c r="K12" i="8"/>
  <c r="H50" i="8" s="1"/>
  <c r="F12" i="8"/>
  <c r="H45" i="8" s="1"/>
  <c r="G20" i="8"/>
  <c r="P46" i="8" s="1"/>
  <c r="G14" i="8"/>
  <c r="J46" i="8" s="1"/>
  <c r="E139" i="8"/>
  <c r="E136" i="8"/>
  <c r="E141" i="8"/>
  <c r="E108" i="8"/>
  <c r="C106" i="8"/>
  <c r="D7" i="9" s="1"/>
  <c r="C143" i="8"/>
  <c r="D44" i="9" s="1"/>
  <c r="C142" i="8"/>
  <c r="D43" i="9" s="1"/>
  <c r="C122" i="8"/>
  <c r="D23" i="9" s="1"/>
  <c r="L14" i="8"/>
  <c r="J51" i="8" s="1"/>
  <c r="L20" i="8"/>
  <c r="P51" i="8" s="1"/>
  <c r="K13" i="8"/>
  <c r="I50" i="8" s="1"/>
  <c r="F13" i="8"/>
  <c r="I45" i="8" s="1"/>
  <c r="P45" i="15"/>
  <c r="K17" i="8"/>
  <c r="M50" i="8" s="1"/>
  <c r="F17" i="8"/>
  <c r="M45" i="8" s="1"/>
  <c r="E111" i="8"/>
  <c r="E126" i="8"/>
  <c r="E137" i="8"/>
  <c r="E119" i="8"/>
  <c r="G13" i="19"/>
  <c r="G9" i="19"/>
  <c r="G6" i="19"/>
  <c r="G12" i="19"/>
  <c r="G8" i="19"/>
  <c r="G11" i="19"/>
  <c r="G7" i="19"/>
  <c r="G10" i="19"/>
  <c r="H143" i="8"/>
  <c r="F54" i="15" s="1"/>
  <c r="H127" i="8"/>
  <c r="F38" i="15" s="1"/>
  <c r="H128" i="8"/>
  <c r="F39" i="15" s="1"/>
  <c r="H144" i="8"/>
  <c r="F55" i="15" s="1"/>
  <c r="C119" i="8"/>
  <c r="D20" i="9" s="1"/>
  <c r="C127" i="8"/>
  <c r="D28" i="9" s="1"/>
  <c r="C126" i="8"/>
  <c r="D27" i="9" s="1"/>
  <c r="L17" i="8"/>
  <c r="M51" i="8" s="1"/>
  <c r="L23" i="8"/>
  <c r="S51" i="8" s="1"/>
  <c r="E143" i="8"/>
  <c r="E145" i="8"/>
  <c r="D7" i="19"/>
  <c r="E128" i="8"/>
  <c r="H123" i="8"/>
  <c r="F34" i="15" s="1"/>
  <c r="H9" i="19"/>
  <c r="H11" i="19"/>
  <c r="H7" i="19"/>
  <c r="H8" i="19"/>
  <c r="H10" i="19"/>
  <c r="H6" i="19"/>
  <c r="H13" i="19"/>
  <c r="H12" i="19"/>
  <c r="I131" i="8"/>
  <c r="I124" i="8"/>
  <c r="I129" i="8"/>
  <c r="I114" i="8"/>
  <c r="I128" i="8"/>
  <c r="I150" i="8"/>
  <c r="I134" i="8"/>
  <c r="I120" i="8"/>
  <c r="I137" i="8"/>
  <c r="I108" i="8"/>
  <c r="I111" i="8"/>
  <c r="I138" i="8"/>
  <c r="I147" i="8"/>
  <c r="I117" i="8"/>
  <c r="I125" i="8"/>
  <c r="I143" i="8"/>
  <c r="I149" i="8"/>
  <c r="I118" i="8"/>
  <c r="I115" i="8"/>
  <c r="I130" i="8"/>
  <c r="I145" i="8"/>
  <c r="I135" i="8"/>
  <c r="I140" i="8"/>
  <c r="I110" i="8"/>
  <c r="I121" i="8"/>
  <c r="I109" i="8"/>
  <c r="I119" i="8"/>
  <c r="I116" i="8"/>
  <c r="I148" i="8"/>
  <c r="I106" i="8"/>
  <c r="I142" i="8"/>
  <c r="I127" i="8"/>
  <c r="I112" i="8"/>
  <c r="I122" i="8"/>
  <c r="I144" i="8"/>
  <c r="I126" i="8"/>
  <c r="I139" i="8"/>
  <c r="I141" i="8"/>
  <c r="I136" i="8"/>
  <c r="I105" i="8"/>
  <c r="I113" i="8"/>
  <c r="I146" i="8"/>
  <c r="I107" i="8"/>
  <c r="I132" i="8"/>
  <c r="I133" i="8"/>
  <c r="I123" i="8"/>
  <c r="C140" i="8"/>
  <c r="D41" i="9" s="1"/>
  <c r="C136" i="8"/>
  <c r="D37" i="9" s="1"/>
  <c r="C135" i="8"/>
  <c r="D36" i="9" s="1"/>
  <c r="J116" i="8"/>
  <c r="J132" i="8"/>
  <c r="D43" i="15" s="1"/>
  <c r="J135" i="8"/>
  <c r="D46" i="15" s="1"/>
  <c r="J138" i="8"/>
  <c r="D49" i="15" s="1"/>
  <c r="J128" i="8"/>
  <c r="D39" i="15" s="1"/>
  <c r="J141" i="8"/>
  <c r="D52" i="15" s="1"/>
  <c r="J120" i="8"/>
  <c r="D31" i="15" s="1"/>
  <c r="J123" i="8"/>
  <c r="D34" i="15" s="1"/>
  <c r="J126" i="8"/>
  <c r="D37" i="15" s="1"/>
  <c r="I11" i="19"/>
  <c r="J129" i="8"/>
  <c r="D40" i="15" s="1"/>
  <c r="J108" i="8"/>
  <c r="J111" i="8"/>
  <c r="J114" i="8"/>
  <c r="I7" i="19"/>
  <c r="J117" i="8"/>
  <c r="J145" i="8"/>
  <c r="D56" i="15" s="1"/>
  <c r="J148" i="8"/>
  <c r="D59" i="15" s="1"/>
  <c r="J106" i="8"/>
  <c r="I10" i="19"/>
  <c r="J105" i="8"/>
  <c r="J133" i="8"/>
  <c r="D44" i="15" s="1"/>
  <c r="J136" i="8"/>
  <c r="D47" i="15" s="1"/>
  <c r="J115" i="8"/>
  <c r="J147" i="8"/>
  <c r="D58" i="15" s="1"/>
  <c r="I6" i="19"/>
  <c r="J142" i="8"/>
  <c r="D53" i="15" s="1"/>
  <c r="J121" i="8"/>
  <c r="D32" i="15" s="1"/>
  <c r="J124" i="8"/>
  <c r="D35" i="15" s="1"/>
  <c r="J127" i="8"/>
  <c r="D38" i="15" s="1"/>
  <c r="I13" i="19"/>
  <c r="J130" i="8"/>
  <c r="D41" i="15" s="1"/>
  <c r="J109" i="8"/>
  <c r="J112" i="8"/>
  <c r="J107" i="8"/>
  <c r="I9" i="19"/>
  <c r="J118" i="8"/>
  <c r="D29" i="15" s="1"/>
  <c r="J146" i="8"/>
  <c r="D57" i="15" s="1"/>
  <c r="J149" i="8"/>
  <c r="J139" i="8"/>
  <c r="D50" i="15" s="1"/>
  <c r="I12" i="19"/>
  <c r="J143" i="8"/>
  <c r="D54" i="15" s="1"/>
  <c r="J134" i="8"/>
  <c r="D45" i="15" s="1"/>
  <c r="J137" i="8"/>
  <c r="D48" i="15" s="1"/>
  <c r="I8" i="19"/>
  <c r="J131" i="8"/>
  <c r="D42" i="15" s="1"/>
  <c r="J122" i="8"/>
  <c r="D33" i="15" s="1"/>
  <c r="J125" i="8"/>
  <c r="D36" i="15" s="1"/>
  <c r="J150" i="8"/>
  <c r="J140" i="8"/>
  <c r="D51" i="15" s="1"/>
  <c r="J119" i="8"/>
  <c r="D30" i="15" s="1"/>
  <c r="J110" i="8"/>
  <c r="J113" i="8"/>
  <c r="J144" i="8"/>
  <c r="D55" i="15" s="1"/>
  <c r="G23" i="8"/>
  <c r="S46" i="8" s="1"/>
  <c r="G17" i="8"/>
  <c r="M46" i="8" s="1"/>
  <c r="E121" i="8"/>
  <c r="E120" i="8"/>
  <c r="E105" i="8"/>
  <c r="E112" i="8"/>
  <c r="C134" i="8"/>
  <c r="D35" i="9" s="1"/>
  <c r="C112" i="8"/>
  <c r="D13" i="9" s="1"/>
  <c r="C145" i="8"/>
  <c r="D46" i="9" s="1"/>
  <c r="C107" i="8"/>
  <c r="D8" i="9" s="1"/>
  <c r="G12" i="8"/>
  <c r="H46" i="8" s="1"/>
  <c r="G18" i="8"/>
  <c r="N46" i="8" s="1"/>
  <c r="K14" i="8"/>
  <c r="J50" i="8" s="1"/>
  <c r="F14" i="8"/>
  <c r="J45" i="8" s="1"/>
  <c r="K16" i="8"/>
  <c r="L50" i="8" s="1"/>
  <c r="F16" i="8"/>
  <c r="L45" i="8" s="1"/>
  <c r="C12" i="19"/>
  <c r="C8" i="19"/>
  <c r="C11" i="19"/>
  <c r="C7" i="19"/>
  <c r="C10" i="19"/>
  <c r="C9" i="19"/>
  <c r="C6" i="19"/>
  <c r="C13" i="19"/>
  <c r="D139" i="8"/>
  <c r="E40" i="9" s="1"/>
  <c r="D105" i="8"/>
  <c r="D124" i="8"/>
  <c r="E25" i="9" s="1"/>
  <c r="D109" i="8"/>
  <c r="E10" i="9" s="1"/>
  <c r="D110" i="8"/>
  <c r="E11" i="9" s="1"/>
  <c r="D115" i="8"/>
  <c r="E16" i="9" s="1"/>
  <c r="D129" i="8"/>
  <c r="E30" i="9" s="1"/>
  <c r="D106" i="8"/>
  <c r="E7" i="9" s="1"/>
  <c r="D145" i="8"/>
  <c r="E46" i="9" s="1"/>
  <c r="D122" i="8"/>
  <c r="E23" i="9" s="1"/>
  <c r="D127" i="8"/>
  <c r="E28" i="9" s="1"/>
  <c r="D141" i="8"/>
  <c r="E42" i="9" s="1"/>
  <c r="D147" i="8"/>
  <c r="E48" i="9" s="1"/>
  <c r="D146" i="8"/>
  <c r="E47" i="9" s="1"/>
  <c r="D125" i="8"/>
  <c r="E26" i="9" s="1"/>
  <c r="D131" i="8"/>
  <c r="E32" i="9" s="1"/>
  <c r="D134" i="8"/>
  <c r="E35" i="9" s="1"/>
  <c r="D107" i="8"/>
  <c r="E8" i="9" s="1"/>
  <c r="D126" i="8"/>
  <c r="E27" i="9" s="1"/>
  <c r="D144" i="8"/>
  <c r="E45" i="9" s="1"/>
  <c r="D142" i="8"/>
  <c r="E43" i="9" s="1"/>
  <c r="D135" i="8"/>
  <c r="E36" i="9" s="1"/>
  <c r="D114" i="8"/>
  <c r="E15" i="9" s="1"/>
  <c r="D116" i="8"/>
  <c r="E17" i="9" s="1"/>
  <c r="D150" i="8"/>
  <c r="E51" i="9" s="1"/>
  <c r="D148" i="8"/>
  <c r="E49" i="9" s="1"/>
  <c r="D130" i="8"/>
  <c r="E31" i="9" s="1"/>
  <c r="D119" i="8"/>
  <c r="E20" i="9" s="1"/>
  <c r="D132" i="8"/>
  <c r="E33" i="9" s="1"/>
  <c r="D138" i="8"/>
  <c r="E39" i="9" s="1"/>
  <c r="D149" i="8"/>
  <c r="E50" i="9" s="1"/>
  <c r="D112" i="8"/>
  <c r="E13" i="9" s="1"/>
  <c r="D111" i="8"/>
  <c r="E12" i="9" s="1"/>
  <c r="D108" i="8"/>
  <c r="E9" i="9" s="1"/>
  <c r="D117" i="8"/>
  <c r="D143" i="8"/>
  <c r="E44" i="9" s="1"/>
  <c r="D118" i="8"/>
  <c r="E19" i="9" s="1"/>
  <c r="D133" i="8"/>
  <c r="E34" i="9" s="1"/>
  <c r="D120" i="8"/>
  <c r="E21" i="9" s="1"/>
  <c r="D140" i="8"/>
  <c r="E41" i="9" s="1"/>
  <c r="D128" i="8"/>
  <c r="E29" i="9" s="1"/>
  <c r="D136" i="8"/>
  <c r="E37" i="9" s="1"/>
  <c r="D123" i="8"/>
  <c r="E24" i="9" s="1"/>
  <c r="D113" i="8"/>
  <c r="E14" i="9" s="1"/>
  <c r="D121" i="8"/>
  <c r="E22" i="9" s="1"/>
  <c r="D137" i="8"/>
  <c r="E38" i="9" s="1"/>
  <c r="D9" i="19"/>
  <c r="E130" i="8"/>
  <c r="E132" i="8"/>
  <c r="E117" i="8"/>
  <c r="D8" i="19"/>
  <c r="C132" i="8"/>
  <c r="D33" i="9" s="1"/>
  <c r="C121" i="8"/>
  <c r="D22" i="9" s="1"/>
  <c r="C108" i="8"/>
  <c r="D9" i="9" s="1"/>
  <c r="C105" i="8"/>
  <c r="H136" i="8"/>
  <c r="F47" i="15" s="1"/>
  <c r="D72" i="12"/>
  <c r="D71" i="12"/>
  <c r="D73" i="12" s="1"/>
  <c r="D75" i="12" s="1"/>
  <c r="D76" i="12" s="1"/>
  <c r="H105" i="8"/>
  <c r="P42" i="15"/>
  <c r="E134" i="8"/>
  <c r="E114" i="8"/>
  <c r="E135" i="8"/>
  <c r="D10" i="19"/>
  <c r="E113" i="8"/>
  <c r="C116" i="8"/>
  <c r="D17" i="9" s="1"/>
  <c r="C141" i="8"/>
  <c r="D42" i="9" s="1"/>
  <c r="C118" i="8"/>
  <c r="D19" i="9" s="1"/>
  <c r="C138" i="8"/>
  <c r="D39" i="9" s="1"/>
  <c r="H129" i="8"/>
  <c r="F40" i="15" s="1"/>
  <c r="G22" i="8"/>
  <c r="R46" i="8" s="1"/>
  <c r="G16" i="8"/>
  <c r="L46" i="8" s="1"/>
  <c r="E106" i="8"/>
  <c r="E123" i="8"/>
  <c r="E138" i="8"/>
  <c r="E146" i="8"/>
  <c r="E131" i="8"/>
  <c r="C137" i="8"/>
  <c r="D38" i="9" s="1"/>
  <c r="C131" i="8"/>
  <c r="D32" i="9" s="1"/>
  <c r="C139" i="8"/>
  <c r="D40" i="9" s="1"/>
  <c r="C147" i="8"/>
  <c r="D48" i="9" s="1"/>
  <c r="H113" i="8"/>
  <c r="F15" i="8"/>
  <c r="K45" i="8" s="1"/>
  <c r="K15" i="8"/>
  <c r="K50" i="8" s="1"/>
  <c r="L16" i="8"/>
  <c r="L51" i="8" s="1"/>
  <c r="L22" i="8"/>
  <c r="R51" i="8" s="1"/>
  <c r="D127" i="12"/>
  <c r="D126" i="12"/>
  <c r="D128" i="12" s="1"/>
  <c r="D130" i="12" s="1"/>
  <c r="D131" i="12" s="1"/>
  <c r="E127" i="8"/>
  <c r="E122" i="8"/>
  <c r="E150" i="8"/>
  <c r="E107" i="8"/>
  <c r="H110" i="8"/>
  <c r="C146" i="8"/>
  <c r="D47" i="9" s="1"/>
  <c r="C115" i="8"/>
  <c r="D16" i="9" s="1"/>
  <c r="C148" i="8"/>
  <c r="D49" i="9" s="1"/>
  <c r="C117" i="8"/>
  <c r="H140" i="8"/>
  <c r="F51" i="15" s="1"/>
  <c r="L21" i="8"/>
  <c r="Q51" i="8" s="1"/>
  <c r="L15" i="8"/>
  <c r="K51" i="8" s="1"/>
  <c r="F9" i="19" l="1"/>
  <c r="E11" i="19"/>
  <c r="J10" i="19"/>
  <c r="F8" i="19"/>
  <c r="F33" i="9"/>
  <c r="F11" i="9"/>
  <c r="F50" i="9"/>
  <c r="F27" i="9"/>
  <c r="F23" i="9"/>
  <c r="F28" i="9"/>
  <c r="F31" i="9"/>
  <c r="F9" i="9"/>
  <c r="F48" i="9"/>
  <c r="F26" i="9"/>
  <c r="F22" i="9"/>
  <c r="F42" i="9"/>
  <c r="F10" i="9"/>
  <c r="F16" i="9"/>
  <c r="F35" i="9"/>
  <c r="F21" i="9"/>
  <c r="F37" i="9"/>
  <c r="F17" i="9"/>
  <c r="F12" i="9"/>
  <c r="F32" i="9"/>
  <c r="F40" i="9"/>
  <c r="F8" i="9"/>
  <c r="F41" i="9"/>
  <c r="F47" i="9"/>
  <c r="AR85" i="9"/>
  <c r="J9" i="19"/>
  <c r="F30" i="9"/>
  <c r="F39" i="9"/>
  <c r="F29" i="9"/>
  <c r="F34" i="9"/>
  <c r="F24" i="9"/>
  <c r="F45" i="9"/>
  <c r="F43" i="9"/>
  <c r="F51" i="9"/>
  <c r="F7" i="9"/>
  <c r="F36" i="9"/>
  <c r="F13" i="9"/>
  <c r="F46" i="9"/>
  <c r="F20" i="9"/>
  <c r="F14" i="9"/>
  <c r="E7" i="19"/>
  <c r="F15" i="9"/>
  <c r="F44" i="9"/>
  <c r="F38" i="9"/>
  <c r="J13" i="19"/>
  <c r="F19" i="9"/>
  <c r="F49" i="9"/>
  <c r="P41" i="15"/>
  <c r="H154" i="8"/>
  <c r="H155" i="8"/>
  <c r="F6" i="9"/>
  <c r="E154" i="8"/>
  <c r="E155" i="8"/>
  <c r="J7" i="19"/>
  <c r="D77" i="12"/>
  <c r="E77" i="12"/>
  <c r="F18" i="9"/>
  <c r="E156" i="8"/>
  <c r="E157" i="8"/>
  <c r="E6" i="9"/>
  <c r="D154" i="8"/>
  <c r="D155" i="8"/>
  <c r="J11" i="19"/>
  <c r="J154" i="8"/>
  <c r="J155" i="8"/>
  <c r="I158" i="8"/>
  <c r="I159" i="8"/>
  <c r="P55" i="15"/>
  <c r="P39" i="15"/>
  <c r="L128" i="8"/>
  <c r="E39" i="15" s="1"/>
  <c r="G39" i="15" s="1"/>
  <c r="L118" i="8"/>
  <c r="E29" i="15" s="1"/>
  <c r="G29" i="15" s="1"/>
  <c r="L146" i="8"/>
  <c r="E57" i="15" s="1"/>
  <c r="G57" i="15" s="1"/>
  <c r="L149" i="8"/>
  <c r="L130" i="8"/>
  <c r="E41" i="15" s="1"/>
  <c r="G41" i="15" s="1"/>
  <c r="L114" i="8"/>
  <c r="L116" i="8"/>
  <c r="L111" i="8"/>
  <c r="L117" i="8"/>
  <c r="L120" i="8"/>
  <c r="E31" i="15" s="1"/>
  <c r="G31" i="15" s="1"/>
  <c r="L132" i="8"/>
  <c r="E43" i="15" s="1"/>
  <c r="G43" i="15" s="1"/>
  <c r="L125" i="8"/>
  <c r="E36" i="15" s="1"/>
  <c r="G36" i="15" s="1"/>
  <c r="L108" i="8"/>
  <c r="L122" i="8"/>
  <c r="E33" i="15" s="1"/>
  <c r="G33" i="15" s="1"/>
  <c r="L137" i="8"/>
  <c r="E48" i="15" s="1"/>
  <c r="G48" i="15" s="1"/>
  <c r="L134" i="8"/>
  <c r="E45" i="15" s="1"/>
  <c r="G45" i="15" s="1"/>
  <c r="L150" i="8"/>
  <c r="L143" i="8"/>
  <c r="E54" i="15" s="1"/>
  <c r="G54" i="15" s="1"/>
  <c r="L110" i="8"/>
  <c r="L147" i="8"/>
  <c r="E58" i="15" s="1"/>
  <c r="G58" i="15" s="1"/>
  <c r="L129" i="8"/>
  <c r="E40" i="15" s="1"/>
  <c r="G40" i="15" s="1"/>
  <c r="L126" i="8"/>
  <c r="E37" i="15" s="1"/>
  <c r="G37" i="15" s="1"/>
  <c r="L138" i="8"/>
  <c r="E49" i="15" s="1"/>
  <c r="G49" i="15" s="1"/>
  <c r="L144" i="8"/>
  <c r="E55" i="15" s="1"/>
  <c r="G55" i="15" s="1"/>
  <c r="L127" i="8"/>
  <c r="E38" i="15" s="1"/>
  <c r="G38" i="15" s="1"/>
  <c r="L119" i="8"/>
  <c r="E30" i="15" s="1"/>
  <c r="G30" i="15" s="1"/>
  <c r="L113" i="8"/>
  <c r="L136" i="8"/>
  <c r="E47" i="15" s="1"/>
  <c r="G47" i="15" s="1"/>
  <c r="L139" i="8"/>
  <c r="E50" i="15" s="1"/>
  <c r="G50" i="15" s="1"/>
  <c r="L106" i="8"/>
  <c r="L115" i="8"/>
  <c r="L145" i="8"/>
  <c r="E56" i="15" s="1"/>
  <c r="G56" i="15" s="1"/>
  <c r="L148" i="8"/>
  <c r="E59" i="15" s="1"/>
  <c r="G59" i="15" s="1"/>
  <c r="L109" i="8"/>
  <c r="L141" i="8"/>
  <c r="E52" i="15" s="1"/>
  <c r="G52" i="15" s="1"/>
  <c r="L107" i="8"/>
  <c r="L140" i="8"/>
  <c r="E51" i="15" s="1"/>
  <c r="G51" i="15" s="1"/>
  <c r="L124" i="8"/>
  <c r="E35" i="15" s="1"/>
  <c r="G35" i="15" s="1"/>
  <c r="L105" i="8"/>
  <c r="L112" i="8"/>
  <c r="L133" i="8"/>
  <c r="E44" i="15" s="1"/>
  <c r="G44" i="15" s="1"/>
  <c r="L123" i="8"/>
  <c r="E34" i="15" s="1"/>
  <c r="G34" i="15" s="1"/>
  <c r="L135" i="8"/>
  <c r="E46" i="15" s="1"/>
  <c r="G46" i="15" s="1"/>
  <c r="L131" i="8"/>
  <c r="E42" i="15" s="1"/>
  <c r="G42" i="15" s="1"/>
  <c r="L121" i="8"/>
  <c r="E32" i="15" s="1"/>
  <c r="G32" i="15" s="1"/>
  <c r="L142" i="8"/>
  <c r="E53" i="15" s="1"/>
  <c r="G53" i="15" s="1"/>
  <c r="K8" i="19"/>
  <c r="P40" i="15"/>
  <c r="E12" i="19"/>
  <c r="F10" i="19"/>
  <c r="E6" i="19"/>
  <c r="D6" i="9"/>
  <c r="C154" i="8"/>
  <c r="C155" i="8"/>
  <c r="D157" i="8"/>
  <c r="E18" i="9"/>
  <c r="D156" i="8"/>
  <c r="D158" i="8"/>
  <c r="D159" i="8"/>
  <c r="G122" i="8"/>
  <c r="H23" i="9" s="1"/>
  <c r="G123" i="8"/>
  <c r="H24" i="9" s="1"/>
  <c r="G145" i="8"/>
  <c r="H46" i="9" s="1"/>
  <c r="G118" i="8"/>
  <c r="H19" i="9" s="1"/>
  <c r="G148" i="8"/>
  <c r="H49" i="9" s="1"/>
  <c r="G134" i="8"/>
  <c r="H35" i="9" s="1"/>
  <c r="G105" i="8"/>
  <c r="G149" i="8"/>
  <c r="H50" i="9" s="1"/>
  <c r="G131" i="8"/>
  <c r="H32" i="9" s="1"/>
  <c r="G112" i="8"/>
  <c r="H13" i="9" s="1"/>
  <c r="G109" i="8"/>
  <c r="H10" i="9" s="1"/>
  <c r="G126" i="8"/>
  <c r="H27" i="9" s="1"/>
  <c r="G128" i="8"/>
  <c r="H29" i="9" s="1"/>
  <c r="G113" i="8"/>
  <c r="H14" i="9" s="1"/>
  <c r="G107" i="8"/>
  <c r="H8" i="9" s="1"/>
  <c r="G129" i="8"/>
  <c r="H30" i="9" s="1"/>
  <c r="G142" i="8"/>
  <c r="H43" i="9" s="1"/>
  <c r="G147" i="8"/>
  <c r="H48" i="9" s="1"/>
  <c r="G120" i="8"/>
  <c r="H21" i="9" s="1"/>
  <c r="G133" i="8"/>
  <c r="H34" i="9" s="1"/>
  <c r="G127" i="8"/>
  <c r="H28" i="9" s="1"/>
  <c r="G137" i="8"/>
  <c r="H38" i="9" s="1"/>
  <c r="G111" i="8"/>
  <c r="H12" i="9" s="1"/>
  <c r="G136" i="8"/>
  <c r="H37" i="9" s="1"/>
  <c r="G143" i="8"/>
  <c r="H44" i="9" s="1"/>
  <c r="G115" i="8"/>
  <c r="H16" i="9" s="1"/>
  <c r="G106" i="8"/>
  <c r="H7" i="9" s="1"/>
  <c r="G116" i="8"/>
  <c r="H17" i="9" s="1"/>
  <c r="G150" i="8"/>
  <c r="H51" i="9" s="1"/>
  <c r="G146" i="8"/>
  <c r="H47" i="9" s="1"/>
  <c r="G108" i="8"/>
  <c r="H9" i="9" s="1"/>
  <c r="G144" i="8"/>
  <c r="H45" i="9" s="1"/>
  <c r="G117" i="8"/>
  <c r="G114" i="8"/>
  <c r="H15" i="9" s="1"/>
  <c r="G135" i="8"/>
  <c r="H36" i="9" s="1"/>
  <c r="G130" i="8"/>
  <c r="H31" i="9" s="1"/>
  <c r="G125" i="8"/>
  <c r="H26" i="9" s="1"/>
  <c r="G124" i="8"/>
  <c r="H25" i="9" s="1"/>
  <c r="G121" i="8"/>
  <c r="H22" i="9" s="1"/>
  <c r="G132" i="8"/>
  <c r="H33" i="9" s="1"/>
  <c r="G140" i="8"/>
  <c r="H41" i="9" s="1"/>
  <c r="G141" i="8"/>
  <c r="H42" i="9" s="1"/>
  <c r="G138" i="8"/>
  <c r="H39" i="9" s="1"/>
  <c r="G110" i="8"/>
  <c r="H11" i="9" s="1"/>
  <c r="G119" i="8"/>
  <c r="H20" i="9" s="1"/>
  <c r="G139" i="8"/>
  <c r="H40" i="9" s="1"/>
  <c r="P38" i="15"/>
  <c r="P28" i="15"/>
  <c r="P50" i="15"/>
  <c r="K12" i="19"/>
  <c r="F6" i="19"/>
  <c r="P47" i="15"/>
  <c r="F7" i="19"/>
  <c r="E8" i="19"/>
  <c r="P54" i="15"/>
  <c r="H157" i="8"/>
  <c r="K7" i="19"/>
  <c r="C158" i="8"/>
  <c r="C159" i="8"/>
  <c r="H156" i="8"/>
  <c r="J8" i="19"/>
  <c r="K11" i="19"/>
  <c r="H159" i="8"/>
  <c r="H158" i="8"/>
  <c r="E9" i="19"/>
  <c r="J156" i="8"/>
  <c r="J157" i="8"/>
  <c r="D28" i="15"/>
  <c r="J12" i="19"/>
  <c r="K9" i="19"/>
  <c r="P51" i="15"/>
  <c r="E10" i="19"/>
  <c r="I154" i="8"/>
  <c r="I155" i="8"/>
  <c r="P34" i="15"/>
  <c r="K13" i="19"/>
  <c r="D132" i="12"/>
  <c r="E132" i="12"/>
  <c r="J158" i="8"/>
  <c r="J159" i="8"/>
  <c r="F147" i="8"/>
  <c r="G48" i="9" s="1"/>
  <c r="F105" i="8"/>
  <c r="C82" i="9" s="1"/>
  <c r="F143" i="8"/>
  <c r="G44" i="9" s="1"/>
  <c r="F127" i="8"/>
  <c r="G28" i="9" s="1"/>
  <c r="F126" i="8"/>
  <c r="G27" i="9" s="1"/>
  <c r="F132" i="8"/>
  <c r="G33" i="9" s="1"/>
  <c r="F119" i="8"/>
  <c r="G20" i="9" s="1"/>
  <c r="F123" i="8"/>
  <c r="G24" i="9" s="1"/>
  <c r="F122" i="8"/>
  <c r="G23" i="9" s="1"/>
  <c r="F146" i="8"/>
  <c r="G47" i="9" s="1"/>
  <c r="F106" i="8"/>
  <c r="G7" i="9" s="1"/>
  <c r="F130" i="8"/>
  <c r="G31" i="9" s="1"/>
  <c r="F113" i="8"/>
  <c r="G14" i="9" s="1"/>
  <c r="F137" i="8"/>
  <c r="G38" i="9" s="1"/>
  <c r="F141" i="8"/>
  <c r="G42" i="9" s="1"/>
  <c r="F117" i="8"/>
  <c r="O82" i="9" s="1"/>
  <c r="F124" i="8"/>
  <c r="F148" i="8"/>
  <c r="G49" i="9" s="1"/>
  <c r="F111" i="8"/>
  <c r="G12" i="9" s="1"/>
  <c r="F116" i="8"/>
  <c r="G17" i="9" s="1"/>
  <c r="F121" i="8"/>
  <c r="G22" i="9" s="1"/>
  <c r="F145" i="8"/>
  <c r="G46" i="9" s="1"/>
  <c r="F128" i="8"/>
  <c r="G29" i="9" s="1"/>
  <c r="F138" i="8"/>
  <c r="G39" i="9" s="1"/>
  <c r="F133" i="8"/>
  <c r="G34" i="9" s="1"/>
  <c r="F144" i="8"/>
  <c r="G45" i="9" s="1"/>
  <c r="F139" i="8"/>
  <c r="G40" i="9" s="1"/>
  <c r="F110" i="8"/>
  <c r="G11" i="9" s="1"/>
  <c r="F107" i="8"/>
  <c r="G8" i="9" s="1"/>
  <c r="F131" i="8"/>
  <c r="G32" i="9" s="1"/>
  <c r="F114" i="8"/>
  <c r="G15" i="9" s="1"/>
  <c r="F115" i="8"/>
  <c r="G16" i="9" s="1"/>
  <c r="F109" i="8"/>
  <c r="G10" i="9" s="1"/>
  <c r="F134" i="8"/>
  <c r="G35" i="9" s="1"/>
  <c r="F120" i="8"/>
  <c r="G21" i="9" s="1"/>
  <c r="F118" i="8"/>
  <c r="G19" i="9" s="1"/>
  <c r="F142" i="8"/>
  <c r="G43" i="9" s="1"/>
  <c r="F125" i="8"/>
  <c r="G26" i="9" s="1"/>
  <c r="F140" i="8"/>
  <c r="G41" i="9" s="1"/>
  <c r="F149" i="8"/>
  <c r="G50" i="9" s="1"/>
  <c r="F108" i="8"/>
  <c r="G9" i="9" s="1"/>
  <c r="F135" i="8"/>
  <c r="G36" i="9" s="1"/>
  <c r="F129" i="8"/>
  <c r="G30" i="9" s="1"/>
  <c r="F150" i="8"/>
  <c r="G51" i="9" s="1"/>
  <c r="F112" i="8"/>
  <c r="G13" i="9" s="1"/>
  <c r="F136" i="8"/>
  <c r="G37" i="9" s="1"/>
  <c r="K6" i="19"/>
  <c r="F11" i="19"/>
  <c r="C157" i="8"/>
  <c r="D18" i="9"/>
  <c r="C156" i="8"/>
  <c r="F12" i="19"/>
  <c r="E13" i="19"/>
  <c r="F13" i="19"/>
  <c r="I156" i="8"/>
  <c r="I157" i="8"/>
  <c r="K107" i="8"/>
  <c r="K105" i="8"/>
  <c r="K133" i="8"/>
  <c r="K136" i="8"/>
  <c r="K127" i="8"/>
  <c r="K142" i="8"/>
  <c r="K121" i="8"/>
  <c r="K124" i="8"/>
  <c r="K115" i="8"/>
  <c r="K108" i="8"/>
  <c r="K130" i="8"/>
  <c r="K109" i="8"/>
  <c r="K112" i="8"/>
  <c r="K118" i="8"/>
  <c r="K146" i="8"/>
  <c r="K149" i="8"/>
  <c r="K128" i="8"/>
  <c r="K106" i="8"/>
  <c r="K134" i="8"/>
  <c r="K137" i="8"/>
  <c r="K143" i="8"/>
  <c r="K122" i="8"/>
  <c r="K125" i="8"/>
  <c r="K148" i="8"/>
  <c r="K116" i="8"/>
  <c r="K140" i="8"/>
  <c r="K131" i="8"/>
  <c r="K110" i="8"/>
  <c r="K113" i="8"/>
  <c r="K119" i="8"/>
  <c r="K147" i="8"/>
  <c r="K150" i="8"/>
  <c r="K144" i="8"/>
  <c r="K135" i="8"/>
  <c r="K138" i="8"/>
  <c r="K141" i="8"/>
  <c r="K132" i="8"/>
  <c r="K123" i="8"/>
  <c r="K126" i="8"/>
  <c r="K129" i="8"/>
  <c r="K120" i="8"/>
  <c r="K111" i="8"/>
  <c r="K114" i="8"/>
  <c r="K117" i="8"/>
  <c r="K145" i="8"/>
  <c r="K139" i="8"/>
  <c r="E158" i="8"/>
  <c r="E159" i="8"/>
  <c r="J6" i="19"/>
  <c r="K10" i="19"/>
  <c r="C8" i="20" l="1"/>
  <c r="AT90" i="9"/>
  <c r="AO85" i="9"/>
  <c r="J82" i="9"/>
  <c r="U89" i="9"/>
  <c r="AR87" i="9"/>
  <c r="N90" i="9"/>
  <c r="AM87" i="9"/>
  <c r="AT84" i="9"/>
  <c r="T80" i="9"/>
  <c r="AT88" i="9"/>
  <c r="C89" i="9"/>
  <c r="AG82" i="9"/>
  <c r="AE87" i="9"/>
  <c r="AL89" i="9"/>
  <c r="S87" i="9"/>
  <c r="L88" i="9"/>
  <c r="R85" i="9"/>
  <c r="P82" i="9"/>
  <c r="D82" i="9"/>
  <c r="Z90" i="9"/>
  <c r="E84" i="9"/>
  <c r="W89" i="9"/>
  <c r="P90" i="9"/>
  <c r="AF88" i="9"/>
  <c r="W82" i="9"/>
  <c r="K83" i="9"/>
  <c r="AV88" i="9"/>
  <c r="AJ82" i="9"/>
  <c r="AK80" i="9"/>
  <c r="AF82" i="9"/>
  <c r="AD87" i="9"/>
  <c r="AS87" i="9"/>
  <c r="C87" i="9"/>
  <c r="AI89" i="9"/>
  <c r="Q90" i="9"/>
  <c r="AN87" i="9"/>
  <c r="AA82" i="9"/>
  <c r="AC88" i="9"/>
  <c r="M86" i="9"/>
  <c r="AI80" i="9"/>
  <c r="F85" i="9"/>
  <c r="AI82" i="9"/>
  <c r="AQ90" i="9"/>
  <c r="AP85" i="9"/>
  <c r="I88" i="9"/>
  <c r="G87" i="9"/>
  <c r="X82" i="9"/>
  <c r="AU88" i="9"/>
  <c r="H83" i="9"/>
  <c r="P89" i="9"/>
  <c r="AI85" i="9"/>
  <c r="AO88" i="9"/>
  <c r="C85" i="9"/>
  <c r="L89" i="9"/>
  <c r="K81" i="9"/>
  <c r="O85" i="9"/>
  <c r="Q84" i="9"/>
  <c r="AQ84" i="9"/>
  <c r="J88" i="9"/>
  <c r="AG88" i="9"/>
  <c r="D89" i="9"/>
  <c r="AV89" i="9"/>
  <c r="AN82" i="9"/>
  <c r="AP82" i="9"/>
  <c r="U85" i="9"/>
  <c r="AE86" i="9"/>
  <c r="Z84" i="9"/>
  <c r="AJ88" i="9"/>
  <c r="AA89" i="9"/>
  <c r="AR88" i="9"/>
  <c r="AL85" i="9"/>
  <c r="E80" i="9"/>
  <c r="AK81" i="9"/>
  <c r="AC89" i="9"/>
  <c r="I89" i="9"/>
  <c r="N84" i="9"/>
  <c r="AH87" i="9"/>
  <c r="R89" i="9"/>
  <c r="AF89" i="9"/>
  <c r="M82" i="9"/>
  <c r="G82" i="9"/>
  <c r="AM82" i="9"/>
  <c r="S82" i="9"/>
  <c r="W85" i="9"/>
  <c r="AS82" i="9"/>
  <c r="F88" i="9"/>
  <c r="AB82" i="9"/>
  <c r="Y87" i="9"/>
  <c r="T83" i="9"/>
  <c r="X85" i="9"/>
  <c r="AU89" i="9"/>
  <c r="H81" i="9"/>
  <c r="AD82" i="9"/>
  <c r="O89" i="9"/>
  <c r="AH84" i="9"/>
  <c r="AB86" i="9"/>
  <c r="AT86" i="9"/>
  <c r="P85" i="9"/>
  <c r="AI83" i="9"/>
  <c r="AO89" i="9"/>
  <c r="C88" i="9"/>
  <c r="L83" i="9"/>
  <c r="K90" i="9"/>
  <c r="O90" i="9"/>
  <c r="Q80" i="9"/>
  <c r="AQ86" i="9"/>
  <c r="J89" i="9"/>
  <c r="AG89" i="9"/>
  <c r="D85" i="9"/>
  <c r="AV85" i="9"/>
  <c r="AN89" i="9"/>
  <c r="AP88" i="9"/>
  <c r="U80" i="9"/>
  <c r="AE82" i="9"/>
  <c r="Z80" i="9"/>
  <c r="AJ89" i="9"/>
  <c r="AA88" i="9"/>
  <c r="AR89" i="9"/>
  <c r="AL83" i="9"/>
  <c r="E83" i="9"/>
  <c r="AK90" i="9"/>
  <c r="AC90" i="9"/>
  <c r="I80" i="9"/>
  <c r="N80" i="9"/>
  <c r="AH82" i="9"/>
  <c r="R90" i="9"/>
  <c r="AF80" i="9"/>
  <c r="M88" i="9"/>
  <c r="G85" i="9"/>
  <c r="AM85" i="9"/>
  <c r="S85" i="9"/>
  <c r="W83" i="9"/>
  <c r="AS88" i="9"/>
  <c r="F89" i="9"/>
  <c r="AB89" i="9"/>
  <c r="Y82" i="9"/>
  <c r="T81" i="9"/>
  <c r="X89" i="9"/>
  <c r="AU85" i="9"/>
  <c r="H90" i="9"/>
  <c r="AD88" i="9"/>
  <c r="AT87" i="9"/>
  <c r="P88" i="9"/>
  <c r="AI81" i="9"/>
  <c r="AO90" i="9"/>
  <c r="C83" i="9"/>
  <c r="L81" i="9"/>
  <c r="K84" i="9"/>
  <c r="O84" i="9"/>
  <c r="Q83" i="9"/>
  <c r="AQ87" i="9"/>
  <c r="J85" i="9"/>
  <c r="AG85" i="9"/>
  <c r="D88" i="9"/>
  <c r="AV82" i="9"/>
  <c r="AN85" i="9"/>
  <c r="AP89" i="9"/>
  <c r="U83" i="9"/>
  <c r="AE85" i="9"/>
  <c r="Z81" i="9"/>
  <c r="AJ85" i="9"/>
  <c r="AA83" i="9"/>
  <c r="AR80" i="9"/>
  <c r="AL90" i="9"/>
  <c r="E81" i="9"/>
  <c r="AK86" i="9"/>
  <c r="AC84" i="9"/>
  <c r="I83" i="9"/>
  <c r="N81" i="9"/>
  <c r="AH88" i="9"/>
  <c r="R84" i="9"/>
  <c r="AF83" i="9"/>
  <c r="M89" i="9"/>
  <c r="G88" i="9"/>
  <c r="AM88" i="9"/>
  <c r="S88" i="9"/>
  <c r="W81" i="9"/>
  <c r="AS89" i="9"/>
  <c r="F84" i="9"/>
  <c r="AB85" i="9"/>
  <c r="Y88" i="9"/>
  <c r="T89" i="9"/>
  <c r="X83" i="9"/>
  <c r="AU83" i="9"/>
  <c r="H84" i="9"/>
  <c r="AD89" i="9"/>
  <c r="AT82" i="9"/>
  <c r="P83" i="9"/>
  <c r="AI84" i="9"/>
  <c r="AO84" i="9"/>
  <c r="C84" i="9"/>
  <c r="L90" i="9"/>
  <c r="K80" i="9"/>
  <c r="O80" i="9"/>
  <c r="Q81" i="9"/>
  <c r="AQ82" i="9"/>
  <c r="J80" i="9"/>
  <c r="AG80" i="9"/>
  <c r="D83" i="9"/>
  <c r="AV83" i="9"/>
  <c r="AN88" i="9"/>
  <c r="AP90" i="9"/>
  <c r="U81" i="9"/>
  <c r="AE88" i="9"/>
  <c r="Z86" i="9"/>
  <c r="AJ83" i="9"/>
  <c r="AA85" i="9"/>
  <c r="AR83" i="9"/>
  <c r="AL84" i="9"/>
  <c r="E86" i="9"/>
  <c r="AK87" i="9"/>
  <c r="AC80" i="9"/>
  <c r="I81" i="9"/>
  <c r="N86" i="9"/>
  <c r="AH89" i="9"/>
  <c r="R80" i="9"/>
  <c r="AF81" i="9"/>
  <c r="M85" i="9"/>
  <c r="G89" i="9"/>
  <c r="AM83" i="9"/>
  <c r="S89" i="9"/>
  <c r="W90" i="9"/>
  <c r="AS85" i="9"/>
  <c r="F80" i="9"/>
  <c r="AB88" i="9"/>
  <c r="Y89" i="9"/>
  <c r="T90" i="9"/>
  <c r="X81" i="9"/>
  <c r="AU81" i="9"/>
  <c r="H86" i="9"/>
  <c r="AD90" i="9"/>
  <c r="O81" i="9"/>
  <c r="Q86" i="9"/>
  <c r="AQ85" i="9"/>
  <c r="J83" i="9"/>
  <c r="AG83" i="9"/>
  <c r="D90" i="9"/>
  <c r="AV81" i="9"/>
  <c r="AN83" i="9"/>
  <c r="AP84" i="9"/>
  <c r="U90" i="9"/>
  <c r="AE89" i="9"/>
  <c r="Z87" i="9"/>
  <c r="AJ81" i="9"/>
  <c r="AA90" i="9"/>
  <c r="AR90" i="9"/>
  <c r="AL80" i="9"/>
  <c r="E87" i="9"/>
  <c r="AK82" i="9"/>
  <c r="AC83" i="9"/>
  <c r="I90" i="9"/>
  <c r="N87" i="9"/>
  <c r="AH86" i="9"/>
  <c r="R88" i="9"/>
  <c r="AF84" i="9"/>
  <c r="M83" i="9"/>
  <c r="G80" i="9"/>
  <c r="AM90" i="9"/>
  <c r="S80" i="9"/>
  <c r="W84" i="9"/>
  <c r="AS80" i="9"/>
  <c r="F90" i="9"/>
  <c r="AB83" i="9"/>
  <c r="Y85" i="9"/>
  <c r="T84" i="9"/>
  <c r="X90" i="9"/>
  <c r="AU90" i="9"/>
  <c r="H87" i="9"/>
  <c r="AD84" i="9"/>
  <c r="Y86" i="9"/>
  <c r="C80" i="9"/>
  <c r="L84" i="9"/>
  <c r="AT89" i="9"/>
  <c r="P84" i="9"/>
  <c r="AI90" i="9"/>
  <c r="AO83" i="9"/>
  <c r="C90" i="9"/>
  <c r="L80" i="9"/>
  <c r="K86" i="9"/>
  <c r="O88" i="9"/>
  <c r="Q87" i="9"/>
  <c r="AQ88" i="9"/>
  <c r="J81" i="9"/>
  <c r="AG81" i="9"/>
  <c r="D84" i="9"/>
  <c r="AV90" i="9"/>
  <c r="AN90" i="9"/>
  <c r="AP80" i="9"/>
  <c r="U84" i="9"/>
  <c r="AE80" i="9"/>
  <c r="Z82" i="9"/>
  <c r="AJ90" i="9"/>
  <c r="AA84" i="9"/>
  <c r="AR84" i="9"/>
  <c r="AL81" i="9"/>
  <c r="E82" i="9"/>
  <c r="AK88" i="9"/>
  <c r="AC81" i="9"/>
  <c r="I84" i="9"/>
  <c r="N82" i="9"/>
  <c r="AH85" i="9"/>
  <c r="R83" i="9"/>
  <c r="AF90" i="9"/>
  <c r="M90" i="9"/>
  <c r="G83" i="9"/>
  <c r="AM84" i="9"/>
  <c r="S83" i="9"/>
  <c r="W80" i="9"/>
  <c r="AS83" i="9"/>
  <c r="F83" i="9"/>
  <c r="AB90" i="9"/>
  <c r="Y83" i="9"/>
  <c r="T86" i="9"/>
  <c r="X84" i="9"/>
  <c r="AU84" i="9"/>
  <c r="H82" i="9"/>
  <c r="AD80" i="9"/>
  <c r="AO80" i="9"/>
  <c r="K87" i="9"/>
  <c r="AT85" i="9"/>
  <c r="P80" i="9"/>
  <c r="AI87" i="9"/>
  <c r="AO81" i="9"/>
  <c r="C81" i="9"/>
  <c r="L87" i="9"/>
  <c r="K82" i="9"/>
  <c r="O83" i="9"/>
  <c r="Q82" i="9"/>
  <c r="AQ89" i="9"/>
  <c r="J90" i="9"/>
  <c r="AG90" i="9"/>
  <c r="D80" i="9"/>
  <c r="AV84" i="9"/>
  <c r="AN84" i="9"/>
  <c r="AP83" i="9"/>
  <c r="U86" i="9"/>
  <c r="AE83" i="9"/>
  <c r="Z88" i="9"/>
  <c r="AJ84" i="9"/>
  <c r="AA80" i="9"/>
  <c r="AR81" i="9"/>
  <c r="AL86" i="9"/>
  <c r="E85" i="9"/>
  <c r="AK89" i="9"/>
  <c r="AC86" i="9"/>
  <c r="I85" i="9"/>
  <c r="N88" i="9"/>
  <c r="AH80" i="9"/>
  <c r="R81" i="9"/>
  <c r="AF86" i="9"/>
  <c r="M84" i="9"/>
  <c r="G81" i="9"/>
  <c r="AM80" i="9"/>
  <c r="S81" i="9"/>
  <c r="W87" i="9"/>
  <c r="AS81" i="9"/>
  <c r="F81" i="9"/>
  <c r="AB84" i="9"/>
  <c r="Y90" i="9"/>
  <c r="T87" i="9"/>
  <c r="X80" i="9"/>
  <c r="AU80" i="9"/>
  <c r="H85" i="9"/>
  <c r="AD83" i="9"/>
  <c r="AT80" i="9"/>
  <c r="P81" i="9"/>
  <c r="AI86" i="9"/>
  <c r="AO86" i="9"/>
  <c r="C86" i="9"/>
  <c r="L85" i="9"/>
  <c r="K88" i="9"/>
  <c r="O86" i="9"/>
  <c r="Q85" i="9"/>
  <c r="AQ80" i="9"/>
  <c r="J84" i="9"/>
  <c r="AG84" i="9"/>
  <c r="D81" i="9"/>
  <c r="AV80" i="9"/>
  <c r="AN80" i="9"/>
  <c r="AP81" i="9"/>
  <c r="U87" i="9"/>
  <c r="AE81" i="9"/>
  <c r="Z89" i="9"/>
  <c r="AJ80" i="9"/>
  <c r="AA81" i="9"/>
  <c r="AR86" i="9"/>
  <c r="AL87" i="9"/>
  <c r="E88" i="9"/>
  <c r="AK85" i="9"/>
  <c r="AC87" i="9"/>
  <c r="I86" i="9"/>
  <c r="N89" i="9"/>
  <c r="AH83" i="9"/>
  <c r="R86" i="9"/>
  <c r="AF87" i="9"/>
  <c r="M80" i="9"/>
  <c r="G90" i="9"/>
  <c r="AM89" i="9"/>
  <c r="S90" i="9"/>
  <c r="W86" i="9"/>
  <c r="AS90" i="9"/>
  <c r="F86" i="9"/>
  <c r="AB80" i="9"/>
  <c r="Y84" i="9"/>
  <c r="T82" i="9"/>
  <c r="X88" i="9"/>
  <c r="AU87" i="9"/>
  <c r="H88" i="9"/>
  <c r="AD81" i="9"/>
  <c r="Y80" i="9"/>
  <c r="T85" i="9"/>
  <c r="X87" i="9"/>
  <c r="AU86" i="9"/>
  <c r="H89" i="9"/>
  <c r="AD85" i="9"/>
  <c r="AO87" i="9"/>
  <c r="K89" i="9"/>
  <c r="AL82" i="9"/>
  <c r="AK83" i="9"/>
  <c r="I87" i="9"/>
  <c r="AH81" i="9"/>
  <c r="R87" i="9"/>
  <c r="G84" i="9"/>
  <c r="AM81" i="9"/>
  <c r="S84" i="9"/>
  <c r="AS84" i="9"/>
  <c r="AB81" i="9"/>
  <c r="AT83" i="9"/>
  <c r="P86" i="9"/>
  <c r="L86" i="9"/>
  <c r="Q89" i="9"/>
  <c r="AQ83" i="9"/>
  <c r="J86" i="9"/>
  <c r="AG86" i="9"/>
  <c r="D86" i="9"/>
  <c r="AV87" i="9"/>
  <c r="AN81" i="9"/>
  <c r="AP86" i="9"/>
  <c r="U82" i="9"/>
  <c r="AE90" i="9"/>
  <c r="Z85" i="9"/>
  <c r="AJ87" i="9"/>
  <c r="AA86" i="9"/>
  <c r="O87" i="9"/>
  <c r="E89" i="9"/>
  <c r="AC82" i="9"/>
  <c r="N85" i="9"/>
  <c r="M81" i="9"/>
  <c r="F87" i="9"/>
  <c r="G25" i="9"/>
  <c r="V84" i="9"/>
  <c r="V90" i="9"/>
  <c r="V81" i="9"/>
  <c r="V83" i="9"/>
  <c r="V80" i="9"/>
  <c r="V85" i="9"/>
  <c r="V89" i="9"/>
  <c r="V86" i="9"/>
  <c r="V88" i="9"/>
  <c r="V87" i="9"/>
  <c r="V82" i="9"/>
  <c r="AT81" i="9"/>
  <c r="P87" i="9"/>
  <c r="AI88" i="9"/>
  <c r="AO82" i="9"/>
  <c r="L82" i="9"/>
  <c r="K85" i="9"/>
  <c r="Q88" i="9"/>
  <c r="AQ81" i="9"/>
  <c r="J87" i="9"/>
  <c r="AG87" i="9"/>
  <c r="D87" i="9"/>
  <c r="AV86" i="9"/>
  <c r="AN86" i="9"/>
  <c r="AP87" i="9"/>
  <c r="U88" i="9"/>
  <c r="AE84" i="9"/>
  <c r="Z83" i="9"/>
  <c r="AJ86" i="9"/>
  <c r="AA87" i="9"/>
  <c r="AR82" i="9"/>
  <c r="AL88" i="9"/>
  <c r="E90" i="9"/>
  <c r="AK84" i="9"/>
  <c r="AC85" i="9"/>
  <c r="I82" i="9"/>
  <c r="N83" i="9"/>
  <c r="AH90" i="9"/>
  <c r="R82" i="9"/>
  <c r="AF85" i="9"/>
  <c r="M87" i="9"/>
  <c r="G86" i="9"/>
  <c r="AM86" i="9"/>
  <c r="S86" i="9"/>
  <c r="W88" i="9"/>
  <c r="AS86" i="9"/>
  <c r="F82" i="9"/>
  <c r="AB87" i="9"/>
  <c r="Y81" i="9"/>
  <c r="T88" i="9"/>
  <c r="X86" i="9"/>
  <c r="AU82" i="9"/>
  <c r="H80" i="9"/>
  <c r="AD86" i="9"/>
  <c r="I53" i="15"/>
  <c r="H53" i="15"/>
  <c r="J53" i="15" s="1"/>
  <c r="I37" i="15"/>
  <c r="H37" i="15"/>
  <c r="J37" i="15" s="1"/>
  <c r="I31" i="15"/>
  <c r="H31" i="15"/>
  <c r="J31" i="15" s="1"/>
  <c r="H18" i="9"/>
  <c r="G156" i="8"/>
  <c r="G157" i="8"/>
  <c r="I32" i="15"/>
  <c r="H32" i="15"/>
  <c r="J32" i="15" s="1"/>
  <c r="I59" i="15"/>
  <c r="H59" i="15"/>
  <c r="J59" i="15" s="1"/>
  <c r="I40" i="15"/>
  <c r="H40" i="15"/>
  <c r="J40" i="15" s="1"/>
  <c r="L156" i="8"/>
  <c r="L157" i="8"/>
  <c r="E28" i="15"/>
  <c r="G28" i="15" s="1"/>
  <c r="I42" i="15"/>
  <c r="H42" i="15"/>
  <c r="J42" i="15" s="1"/>
  <c r="H56" i="15"/>
  <c r="J56" i="15" s="1"/>
  <c r="I56" i="15"/>
  <c r="I58" i="15"/>
  <c r="H58" i="15"/>
  <c r="J58" i="15" s="1"/>
  <c r="K156" i="8"/>
  <c r="K157" i="8"/>
  <c r="G18" i="9"/>
  <c r="F156" i="8"/>
  <c r="F157" i="8"/>
  <c r="H6" i="9"/>
  <c r="G154" i="8"/>
  <c r="G155" i="8"/>
  <c r="I46" i="15"/>
  <c r="H46" i="15"/>
  <c r="J46" i="15" s="1"/>
  <c r="I49" i="15"/>
  <c r="H49" i="15"/>
  <c r="J49" i="15" s="1"/>
  <c r="G159" i="8"/>
  <c r="G158" i="8"/>
  <c r="H34" i="15"/>
  <c r="J34" i="15" s="1"/>
  <c r="I34" i="15"/>
  <c r="I54" i="15"/>
  <c r="H54" i="15"/>
  <c r="J54" i="15" s="1"/>
  <c r="I43" i="15"/>
  <c r="H43" i="15"/>
  <c r="J43" i="15" s="1"/>
  <c r="G6" i="9"/>
  <c r="F154" i="8"/>
  <c r="F155" i="8"/>
  <c r="I44" i="15"/>
  <c r="H44" i="15"/>
  <c r="J44" i="15" s="1"/>
  <c r="I50" i="15"/>
  <c r="H50" i="15"/>
  <c r="J50" i="15" s="1"/>
  <c r="I41" i="15"/>
  <c r="H41" i="15"/>
  <c r="J41" i="15" s="1"/>
  <c r="I52" i="15"/>
  <c r="H52" i="15"/>
  <c r="J52" i="15" s="1"/>
  <c r="F158" i="8"/>
  <c r="F159" i="8"/>
  <c r="I47" i="15"/>
  <c r="H47" i="15"/>
  <c r="J47" i="15" s="1"/>
  <c r="H45" i="15"/>
  <c r="J45" i="15" s="1"/>
  <c r="I45" i="15"/>
  <c r="L155" i="8"/>
  <c r="L154" i="8"/>
  <c r="I48" i="15"/>
  <c r="H48" i="15"/>
  <c r="J48" i="15" s="1"/>
  <c r="I57" i="15"/>
  <c r="H57" i="15"/>
  <c r="J57" i="15" s="1"/>
  <c r="L158" i="8"/>
  <c r="L159" i="8"/>
  <c r="I35" i="15"/>
  <c r="H35" i="15"/>
  <c r="J35" i="15" s="1"/>
  <c r="I30" i="15"/>
  <c r="H30" i="15"/>
  <c r="J30" i="15" s="1"/>
  <c r="H33" i="15"/>
  <c r="J33" i="15" s="1"/>
  <c r="I33" i="15"/>
  <c r="I29" i="15"/>
  <c r="H29" i="15"/>
  <c r="J29" i="15" s="1"/>
  <c r="K155" i="8"/>
  <c r="K154" i="8"/>
  <c r="I51" i="15"/>
  <c r="H51" i="15"/>
  <c r="J51" i="15" s="1"/>
  <c r="I38" i="15"/>
  <c r="H38" i="15"/>
  <c r="J38" i="15" s="1"/>
  <c r="I39" i="15"/>
  <c r="H39" i="15"/>
  <c r="J39" i="15" s="1"/>
  <c r="K158" i="8"/>
  <c r="K159" i="8"/>
  <c r="H55" i="15"/>
  <c r="J55" i="15" s="1"/>
  <c r="I55" i="15"/>
  <c r="I36" i="15"/>
  <c r="H36" i="15"/>
  <c r="J36" i="15" s="1"/>
  <c r="AI109" i="9" l="1"/>
  <c r="T111" i="9"/>
  <c r="AK109" i="9"/>
  <c r="AI110" i="9"/>
  <c r="T109" i="9"/>
  <c r="T110" i="9"/>
  <c r="AS109" i="9"/>
  <c r="AS110" i="9"/>
  <c r="AS108" i="9"/>
  <c r="AS111" i="9"/>
  <c r="Q109" i="9"/>
  <c r="Q111" i="9"/>
  <c r="Q110" i="9"/>
  <c r="Q108" i="9"/>
  <c r="AJ111" i="9"/>
  <c r="AJ109" i="9"/>
  <c r="AJ108" i="9"/>
  <c r="AJ110" i="9"/>
  <c r="F111" i="9"/>
  <c r="F109" i="9"/>
  <c r="F110" i="9"/>
  <c r="F108" i="9"/>
  <c r="AC110" i="9"/>
  <c r="AC111" i="9"/>
  <c r="AC108" i="9"/>
  <c r="AC109" i="9"/>
  <c r="AK108" i="9"/>
  <c r="T108" i="9"/>
  <c r="C109" i="9"/>
  <c r="C110" i="9"/>
  <c r="C108" i="9"/>
  <c r="C111" i="9"/>
  <c r="C104" i="9"/>
  <c r="C103" i="9"/>
  <c r="S111" i="9"/>
  <c r="S109" i="9"/>
  <c r="S108" i="9"/>
  <c r="S110" i="9"/>
  <c r="AL111" i="9"/>
  <c r="AL108" i="9"/>
  <c r="AL109" i="9"/>
  <c r="AL110" i="9"/>
  <c r="AR111" i="9"/>
  <c r="AR108" i="9"/>
  <c r="AR110" i="9"/>
  <c r="AR109" i="9"/>
  <c r="AF109" i="9"/>
  <c r="AF111" i="9"/>
  <c r="AF110" i="9"/>
  <c r="AF108" i="9"/>
  <c r="Z110" i="9"/>
  <c r="Z108" i="9"/>
  <c r="Z109" i="9"/>
  <c r="Z111" i="9"/>
  <c r="X108" i="9"/>
  <c r="X110" i="9"/>
  <c r="X109" i="9"/>
  <c r="X111" i="9"/>
  <c r="AK110" i="9"/>
  <c r="AG108" i="9"/>
  <c r="AG109" i="9"/>
  <c r="AG111" i="9"/>
  <c r="AG110" i="9"/>
  <c r="AQ110" i="9"/>
  <c r="AQ111" i="9"/>
  <c r="AQ109" i="9"/>
  <c r="AQ108" i="9"/>
  <c r="AK111" i="9"/>
  <c r="P111" i="9"/>
  <c r="P110" i="9"/>
  <c r="P108" i="9"/>
  <c r="P109" i="9"/>
  <c r="AD110" i="9"/>
  <c r="AD109" i="9"/>
  <c r="AD111" i="9"/>
  <c r="AD108" i="9"/>
  <c r="G110" i="9"/>
  <c r="G109" i="9"/>
  <c r="G111" i="9"/>
  <c r="G108" i="9"/>
  <c r="J108" i="9"/>
  <c r="J109" i="9"/>
  <c r="J111" i="9"/>
  <c r="J110" i="9"/>
  <c r="U109" i="9"/>
  <c r="U110" i="9"/>
  <c r="U111" i="9"/>
  <c r="U108" i="9"/>
  <c r="D110" i="9"/>
  <c r="D108" i="9"/>
  <c r="D109" i="9"/>
  <c r="D111" i="9"/>
  <c r="N111" i="9"/>
  <c r="N110" i="9"/>
  <c r="N109" i="9"/>
  <c r="N108" i="9"/>
  <c r="M111" i="9"/>
  <c r="M110" i="9"/>
  <c r="M108" i="9"/>
  <c r="M109" i="9"/>
  <c r="W109" i="9"/>
  <c r="W110" i="9"/>
  <c r="W108" i="9"/>
  <c r="W111" i="9"/>
  <c r="AB109" i="9"/>
  <c r="AB108" i="9"/>
  <c r="AB111" i="9"/>
  <c r="AB110" i="9"/>
  <c r="AN111" i="9"/>
  <c r="AN109" i="9"/>
  <c r="AN108" i="9"/>
  <c r="AN110" i="9"/>
  <c r="I108" i="9"/>
  <c r="I111" i="9"/>
  <c r="I109" i="9"/>
  <c r="I110" i="9"/>
  <c r="AV108" i="9"/>
  <c r="AV110" i="9"/>
  <c r="AV111" i="9"/>
  <c r="AV109" i="9"/>
  <c r="AO108" i="9"/>
  <c r="AO109" i="9"/>
  <c r="AO110" i="9"/>
  <c r="AO111" i="9"/>
  <c r="AE110" i="9"/>
  <c r="AE111" i="9"/>
  <c r="AE108" i="9"/>
  <c r="AE109" i="9"/>
  <c r="L111" i="9"/>
  <c r="L110" i="9"/>
  <c r="L108" i="9"/>
  <c r="L109" i="9"/>
  <c r="O110" i="9"/>
  <c r="O111" i="9"/>
  <c r="O109" i="9"/>
  <c r="O108" i="9"/>
  <c r="D103" i="9"/>
  <c r="D104" i="9"/>
  <c r="E104" i="9"/>
  <c r="E103" i="9"/>
  <c r="AU111" i="9"/>
  <c r="AU110" i="9"/>
  <c r="AU108" i="9"/>
  <c r="AU109" i="9"/>
  <c r="AT109" i="9"/>
  <c r="AT110" i="9"/>
  <c r="AT111" i="9"/>
  <c r="AT108" i="9"/>
  <c r="AM111" i="9"/>
  <c r="AM110" i="9"/>
  <c r="AM108" i="9"/>
  <c r="AM109" i="9"/>
  <c r="AI111" i="9"/>
  <c r="K110" i="9"/>
  <c r="K109" i="9"/>
  <c r="K108" i="9"/>
  <c r="K111" i="9"/>
  <c r="AA108" i="9"/>
  <c r="AA109" i="9"/>
  <c r="AA111" i="9"/>
  <c r="AA110" i="9"/>
  <c r="AI108" i="9"/>
  <c r="AP111" i="9"/>
  <c r="AP110" i="9"/>
  <c r="AP109" i="9"/>
  <c r="AP108" i="9"/>
  <c r="R111" i="9"/>
  <c r="R110" i="9"/>
  <c r="R108" i="9"/>
  <c r="R109" i="9"/>
  <c r="E109" i="9"/>
  <c r="E111" i="9"/>
  <c r="E110" i="9"/>
  <c r="E108" i="9"/>
  <c r="Y111" i="9"/>
  <c r="Y108" i="9"/>
  <c r="Y109" i="9"/>
  <c r="Y110" i="9"/>
  <c r="AH108" i="9"/>
  <c r="AH111" i="9"/>
  <c r="AH110" i="9"/>
  <c r="AH109" i="9"/>
  <c r="H111" i="9"/>
  <c r="H110" i="9"/>
  <c r="H109" i="9"/>
  <c r="H108" i="9"/>
  <c r="V110" i="9"/>
  <c r="V108" i="9"/>
  <c r="V109" i="9"/>
  <c r="V111" i="9"/>
  <c r="L38" i="15"/>
  <c r="N38" i="15"/>
  <c r="O38" i="15" s="1"/>
  <c r="L35" i="15"/>
  <c r="N35" i="15"/>
  <c r="O35" i="15" s="1"/>
  <c r="L47" i="15"/>
  <c r="N47" i="15"/>
  <c r="O47" i="15" s="1"/>
  <c r="L32" i="15"/>
  <c r="N32" i="15"/>
  <c r="O32" i="15" s="1"/>
  <c r="L46" i="15"/>
  <c r="N46" i="15"/>
  <c r="O46" i="15" s="1"/>
  <c r="L56" i="15"/>
  <c r="N56" i="15"/>
  <c r="O56" i="15" s="1"/>
  <c r="L42" i="15"/>
  <c r="N42" i="15"/>
  <c r="O42" i="15" s="1"/>
  <c r="L58" i="15"/>
  <c r="N58" i="15"/>
  <c r="O58" i="15" s="1"/>
  <c r="L43" i="15"/>
  <c r="N43" i="15"/>
  <c r="O43" i="15" s="1"/>
  <c r="L36" i="15"/>
  <c r="N36" i="15"/>
  <c r="O36" i="15" s="1"/>
  <c r="L57" i="15"/>
  <c r="N57" i="15"/>
  <c r="O57" i="15" s="1"/>
  <c r="L52" i="15"/>
  <c r="N52" i="15"/>
  <c r="O52" i="15" s="1"/>
  <c r="L54" i="15"/>
  <c r="N54" i="15"/>
  <c r="O54" i="15" s="1"/>
  <c r="I28" i="15"/>
  <c r="H28" i="15"/>
  <c r="J28" i="15" s="1"/>
  <c r="L31" i="15"/>
  <c r="N31" i="15"/>
  <c r="O31" i="15" s="1"/>
  <c r="L41" i="15"/>
  <c r="N41" i="15"/>
  <c r="O41" i="15" s="1"/>
  <c r="L51" i="15"/>
  <c r="N51" i="15"/>
  <c r="O51" i="15" s="1"/>
  <c r="D14" i="10"/>
  <c r="L37" i="15"/>
  <c r="N37" i="15"/>
  <c r="O37" i="15" s="1"/>
  <c r="L45" i="15"/>
  <c r="N45" i="15"/>
  <c r="O45" i="15" s="1"/>
  <c r="L29" i="15"/>
  <c r="N29" i="15"/>
  <c r="O29" i="15" s="1"/>
  <c r="L55" i="15"/>
  <c r="N55" i="15"/>
  <c r="O55" i="15" s="1"/>
  <c r="D16" i="10"/>
  <c r="L50" i="15"/>
  <c r="N50" i="15"/>
  <c r="O50" i="15" s="1"/>
  <c r="L34" i="15"/>
  <c r="N34" i="15"/>
  <c r="O34" i="15" s="1"/>
  <c r="L40" i="15"/>
  <c r="N40" i="15"/>
  <c r="O40" i="15" s="1"/>
  <c r="L49" i="15"/>
  <c r="N49" i="15"/>
  <c r="O49" i="15" s="1"/>
  <c r="L53" i="15"/>
  <c r="N53" i="15"/>
  <c r="O53" i="15" s="1"/>
  <c r="L48" i="15"/>
  <c r="N48" i="15"/>
  <c r="O48" i="15" s="1"/>
  <c r="L33" i="15"/>
  <c r="N33" i="15"/>
  <c r="O33" i="15" s="1"/>
  <c r="L39" i="15"/>
  <c r="N39" i="15"/>
  <c r="O39" i="15" s="1"/>
  <c r="L30" i="15"/>
  <c r="N30" i="15"/>
  <c r="O30" i="15" s="1"/>
  <c r="L44" i="15"/>
  <c r="N44" i="15"/>
  <c r="O44" i="15" s="1"/>
  <c r="L59" i="15"/>
  <c r="N59" i="15"/>
  <c r="O59" i="15" s="1"/>
  <c r="D32" i="10" l="1"/>
  <c r="D34" i="10" s="1"/>
  <c r="D35" i="10" s="1"/>
  <c r="C9" i="20"/>
  <c r="E41" i="11"/>
  <c r="D41" i="11"/>
  <c r="C41" i="11"/>
  <c r="F41" i="11"/>
  <c r="C9" i="11"/>
  <c r="E9" i="11"/>
  <c r="D9" i="11"/>
  <c r="F9" i="11"/>
  <c r="E20" i="11"/>
  <c r="F20" i="11"/>
  <c r="C20" i="11"/>
  <c r="D20" i="11"/>
  <c r="D26" i="11"/>
  <c r="F26" i="11"/>
  <c r="E26" i="11"/>
  <c r="C26" i="11"/>
  <c r="D35" i="11"/>
  <c r="E35" i="11"/>
  <c r="C35" i="11"/>
  <c r="F35" i="11"/>
  <c r="E31" i="11"/>
  <c r="C31" i="11"/>
  <c r="D31" i="11"/>
  <c r="F31" i="11"/>
  <c r="E43" i="11"/>
  <c r="F43" i="11"/>
  <c r="D43" i="11"/>
  <c r="C43" i="11"/>
  <c r="F25" i="11"/>
  <c r="D25" i="11"/>
  <c r="E25" i="11"/>
  <c r="C25" i="11"/>
  <c r="E10" i="11"/>
  <c r="C10" i="11"/>
  <c r="F10" i="11"/>
  <c r="D10" i="11"/>
  <c r="D134" i="14"/>
  <c r="E134" i="14"/>
  <c r="C11" i="20" s="1"/>
  <c r="D118" i="11"/>
  <c r="E45" i="11"/>
  <c r="F45" i="11"/>
  <c r="D45" i="11"/>
  <c r="C45" i="11"/>
  <c r="D18" i="11"/>
  <c r="F18" i="11"/>
  <c r="C18" i="11"/>
  <c r="E18" i="11"/>
  <c r="F42" i="11"/>
  <c r="D42" i="11"/>
  <c r="C42" i="11"/>
  <c r="E42" i="11"/>
  <c r="E40" i="11"/>
  <c r="D40" i="11"/>
  <c r="F40" i="11"/>
  <c r="C40" i="11"/>
  <c r="E37" i="11"/>
  <c r="C37" i="11"/>
  <c r="D37" i="11"/>
  <c r="F37" i="11"/>
  <c r="C22" i="11"/>
  <c r="D22" i="11"/>
  <c r="F22" i="11"/>
  <c r="E22" i="11"/>
  <c r="E137" i="14"/>
  <c r="D137" i="14"/>
  <c r="E23" i="11"/>
  <c r="F23" i="11"/>
  <c r="C23" i="11"/>
  <c r="D23" i="11"/>
  <c r="D46" i="11"/>
  <c r="F46" i="11"/>
  <c r="C46" i="11"/>
  <c r="E46" i="11"/>
  <c r="D24" i="11"/>
  <c r="C24" i="11"/>
  <c r="E24" i="11"/>
  <c r="F24" i="11"/>
  <c r="D34" i="11"/>
  <c r="F34" i="11"/>
  <c r="E34" i="11"/>
  <c r="C34" i="11"/>
  <c r="E16" i="11"/>
  <c r="C16" i="11"/>
  <c r="D16" i="11"/>
  <c r="F16" i="11"/>
  <c r="E19" i="11"/>
  <c r="C19" i="11"/>
  <c r="F19" i="11"/>
  <c r="D19" i="11"/>
  <c r="F38" i="11"/>
  <c r="C38" i="11"/>
  <c r="E38" i="11"/>
  <c r="D38" i="11"/>
  <c r="E32" i="11"/>
  <c r="F32" i="11"/>
  <c r="D32" i="11"/>
  <c r="C32" i="11"/>
  <c r="E39" i="11"/>
  <c r="D39" i="11"/>
  <c r="C39" i="11"/>
  <c r="F39" i="11"/>
  <c r="E52" i="11"/>
  <c r="C52" i="11"/>
  <c r="D52" i="11"/>
  <c r="F52" i="11"/>
  <c r="E17" i="11"/>
  <c r="F17" i="11"/>
  <c r="C17" i="11"/>
  <c r="D17" i="11"/>
  <c r="C21" i="11"/>
  <c r="F21" i="11"/>
  <c r="D21" i="11"/>
  <c r="E21" i="11"/>
  <c r="F47" i="11"/>
  <c r="E47" i="11"/>
  <c r="C47" i="11"/>
  <c r="D47" i="11"/>
  <c r="E33" i="11"/>
  <c r="C33" i="11"/>
  <c r="F33" i="11"/>
  <c r="D33" i="11"/>
  <c r="E136" i="14"/>
  <c r="D136" i="14"/>
  <c r="E11" i="11"/>
  <c r="F11" i="11"/>
  <c r="C11" i="11"/>
  <c r="D11" i="11"/>
  <c r="D51" i="11"/>
  <c r="F51" i="11"/>
  <c r="C51" i="11"/>
  <c r="E51" i="11"/>
  <c r="F53" i="11"/>
  <c r="D53" i="11"/>
  <c r="E53" i="11"/>
  <c r="C53" i="11"/>
  <c r="F15" i="11"/>
  <c r="D15" i="11"/>
  <c r="C15" i="11"/>
  <c r="E15" i="11"/>
  <c r="F50" i="11"/>
  <c r="E50" i="11"/>
  <c r="C50" i="11"/>
  <c r="D50" i="11"/>
  <c r="F27" i="11"/>
  <c r="E27" i="11"/>
  <c r="D27" i="11"/>
  <c r="C27" i="11"/>
  <c r="D30" i="11"/>
  <c r="C30" i="11"/>
  <c r="F30" i="11"/>
  <c r="E30" i="11"/>
  <c r="E135" i="14"/>
  <c r="D135" i="14"/>
  <c r="F12" i="11"/>
  <c r="D12" i="11"/>
  <c r="E12" i="11"/>
  <c r="C12" i="11"/>
  <c r="E49" i="11"/>
  <c r="F49" i="11"/>
  <c r="D49" i="11"/>
  <c r="C49" i="11"/>
  <c r="C13" i="11"/>
  <c r="D13" i="11"/>
  <c r="E13" i="11"/>
  <c r="F13" i="11"/>
  <c r="D14" i="11"/>
  <c r="E14" i="11"/>
  <c r="C14" i="11"/>
  <c r="D44" i="11"/>
  <c r="F44" i="11"/>
  <c r="E44" i="11"/>
  <c r="C44" i="11"/>
  <c r="D138" i="14"/>
  <c r="E138" i="14"/>
  <c r="D36" i="11"/>
  <c r="F36" i="11"/>
  <c r="C36" i="11"/>
  <c r="E36" i="11"/>
  <c r="F14" i="11"/>
  <c r="E28" i="11"/>
  <c r="F28" i="11"/>
  <c r="D28" i="11"/>
  <c r="C28" i="11"/>
  <c r="F48" i="11"/>
  <c r="C48" i="11"/>
  <c r="E48" i="11"/>
  <c r="D48" i="11"/>
  <c r="C29" i="11"/>
  <c r="F29" i="11"/>
  <c r="E29" i="11"/>
  <c r="D29" i="11"/>
  <c r="F8" i="11"/>
  <c r="E8" i="11"/>
  <c r="D8" i="11"/>
  <c r="C8" i="11"/>
  <c r="E24" i="10"/>
  <c r="D24" i="10"/>
  <c r="D26" i="10"/>
  <c r="M52" i="15"/>
  <c r="R52" i="15"/>
  <c r="R56" i="15"/>
  <c r="M56" i="15"/>
  <c r="R33" i="15"/>
  <c r="M33" i="15"/>
  <c r="M50" i="15"/>
  <c r="R50" i="15"/>
  <c r="M51" i="15"/>
  <c r="R51" i="15"/>
  <c r="R57" i="15"/>
  <c r="M57" i="15"/>
  <c r="R46" i="15"/>
  <c r="M46" i="15"/>
  <c r="R48" i="15"/>
  <c r="M48" i="15"/>
  <c r="R41" i="15"/>
  <c r="M41" i="15"/>
  <c r="M36" i="15"/>
  <c r="R36" i="15"/>
  <c r="R32" i="15"/>
  <c r="M32" i="15"/>
  <c r="R39" i="15"/>
  <c r="M39" i="15"/>
  <c r="R31" i="15"/>
  <c r="M31" i="15"/>
  <c r="R43" i="15"/>
  <c r="M43" i="15"/>
  <c r="R47" i="15"/>
  <c r="M47" i="15"/>
  <c r="L28" i="15"/>
  <c r="N28" i="15"/>
  <c r="O28" i="15" s="1"/>
  <c r="M44" i="15"/>
  <c r="R44" i="15"/>
  <c r="M49" i="15"/>
  <c r="R49" i="15"/>
  <c r="R58" i="15"/>
  <c r="M58" i="15"/>
  <c r="M35" i="15"/>
  <c r="R35" i="15"/>
  <c r="M37" i="15"/>
  <c r="R37" i="15"/>
  <c r="M34" i="15"/>
  <c r="R34" i="15"/>
  <c r="R59" i="15"/>
  <c r="M59" i="15"/>
  <c r="R53" i="15"/>
  <c r="M53" i="15"/>
  <c r="R29" i="15"/>
  <c r="M29" i="15"/>
  <c r="R45" i="15"/>
  <c r="M45" i="15"/>
  <c r="R55" i="15"/>
  <c r="M55" i="15"/>
  <c r="M30" i="15"/>
  <c r="R30" i="15"/>
  <c r="R40" i="15"/>
  <c r="M40" i="15"/>
  <c r="R54" i="15"/>
  <c r="M54" i="15"/>
  <c r="M42" i="15"/>
  <c r="R42" i="15"/>
  <c r="M38" i="15"/>
  <c r="R38" i="15"/>
  <c r="F56" i="11" l="1"/>
  <c r="D55" i="11"/>
  <c r="C55" i="11"/>
  <c r="F55" i="11"/>
  <c r="E55" i="11"/>
  <c r="D56" i="11"/>
  <c r="D69" i="11" s="1"/>
  <c r="M28" i="15"/>
  <c r="R28" i="15"/>
  <c r="F9" i="15" l="1"/>
  <c r="F8" i="15"/>
  <c r="F6" i="15"/>
  <c r="F5" i="15"/>
  <c r="F7" i="15"/>
  <c r="C12" i="15"/>
  <c r="C8" i="15"/>
  <c r="C9" i="15"/>
  <c r="D42" i="10" s="1"/>
  <c r="F12" i="15"/>
  <c r="D50" i="10" s="1"/>
  <c r="C11" i="15"/>
  <c r="D45" i="10" s="1"/>
  <c r="C7" i="15"/>
  <c r="C10" i="15"/>
  <c r="D44" i="10" s="1"/>
  <c r="F11" i="15"/>
  <c r="D53" i="10" s="1"/>
  <c r="C6" i="15"/>
  <c r="F10" i="15"/>
  <c r="D52" i="10" s="1"/>
  <c r="C5" i="15"/>
  <c r="D85" i="11"/>
  <c r="D87" i="11" s="1"/>
  <c r="D88" i="11" s="1"/>
  <c r="D67" i="11"/>
  <c r="D79" i="11" s="1"/>
  <c r="D68" i="11"/>
  <c r="D104" i="11" s="1"/>
  <c r="D105" i="11" s="1"/>
  <c r="D106" i="11" s="1"/>
  <c r="D46" i="10"/>
  <c r="D15" i="10"/>
  <c r="D51" i="10" s="1"/>
  <c r="D47" i="10"/>
  <c r="E50" i="10"/>
  <c r="D95" i="11" l="1"/>
  <c r="D97" i="11" s="1"/>
  <c r="D99" i="11" s="1"/>
  <c r="D101" i="11" s="1"/>
  <c r="D102" i="11" s="1"/>
  <c r="D77" i="11"/>
  <c r="E77" i="11"/>
  <c r="D49" i="10"/>
  <c r="D48" i="10"/>
  <c r="C6" i="20" s="1"/>
  <c r="D98" i="11" l="1"/>
  <c r="D103" i="11"/>
  <c r="E103" i="11"/>
  <c r="C10" i="20" l="1"/>
  <c r="C13" i="20" s="1"/>
  <c r="D131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N2Dung</author>
  </authors>
  <commentList>
    <comment ref="D118" authorId="0" shapeId="0" xr:uid="{F1DBA3FD-9D81-445D-B7C7-25528DBE579E}">
      <text>
        <r>
          <rPr>
            <b/>
            <sz val="9"/>
            <color indexed="81"/>
            <rFont val="Tahoma"/>
            <charset val="1"/>
          </rPr>
          <t>Vu = Pmax cọc NGUYÊN (thiên an toàn) — bỏ qua phần phản lực nằm TRONG chu vi nguy hiểm theo 13.3.6.1.</t>
        </r>
      </text>
    </comment>
  </commentList>
</comments>
</file>

<file path=xl/sharedStrings.xml><?xml version="1.0" encoding="utf-8"?>
<sst xmlns="http://schemas.openxmlformats.org/spreadsheetml/2006/main" count="2565" uniqueCount="1048">
  <si>
    <t>BẢN TÍNH MỐ CẦU THEO TCVN 11823:2017 — FILE MẪU THAM SỐ HÓA</t>
  </si>
  <si>
    <t>QUY TRÌNH SỬ DỤNG:</t>
  </si>
  <si>
    <t>1. Nhập toàn bộ thông số ở sheet INPUT (ô nền vàng, chữ xanh). Mọi sheet khác tự tính, không sửa tay.</t>
  </si>
  <si>
    <t>2. Sheet TINH TAI → HOAT TAI → DAT-EH → GIO → DONG DAT: tính từng tải trọng tại 2 mặt cắt: ĐỈNH BỆ và ĐÁY BỆ.</t>
  </si>
  <si>
    <t>3. Sheet TO HOP: tổ hợp theo Bảng 3 &amp; 4 TCVN 11823-3:2017 (đủ γp max/min; Đặc biệt I dùng 1,0; động đất 100%+30%).</t>
  </si>
  <si>
    <t>4. Sheet TS-PILE: copy bảng "XUẤT SANG TS-PILE" (đơn vị tấn) dán vào TS-PILE → chạy → dán kết quả phản lực cọc (tấn) vào vùng "DÁN KẾT QUẢ".</t>
  </si>
  <si>
    <t>5. Sheet KT THAN dùng nội lực ĐỈNH BỆ; KT BE dùng phản lực cọc; TUONG CANH &amp; TUONG DINH kiểm cấu kiện phụ.</t>
  </si>
  <si>
    <t>6. Sheet TS-COL-CAP: bảng nội lực đầu cọc định dạng sẵn để dán vào TS-COL (kiểm mặt cắt cọc) và tổng hợp Pmax/Pmin để nhập TS-CAP (sức chịu tải đất nền).</t>
  </si>
  <si>
    <t>QUY ƯỚC:</t>
  </si>
  <si>
    <t>- Hệ trục: X = dọc cầu (+ hướng ra nhịp), Y = ngang cầu, N = lực đứng (+ nén xuống). Mx = mô men do lực NGANG cầu; My = mô men do lực DỌC cầu / lệch tâm N.</t>
  </si>
  <si>
    <t>- Mặt cắt ĐỈNH BỆ: chân tường thân (kiểm thân mố). Mặt cắt ĐÁY BỆ: đáy bệ (tính nội lực cọc bằng TS-PILE).</t>
  </si>
  <si>
    <t>- Ô nền vàng chữ xanh = NHẬP; ô trắng = công thức; ô kết luận tự đổi màu ĐẠT (xanh) / KHÔNG ĐẠT (đỏ).</t>
  </si>
  <si>
    <t>- Đơn vị: kN, kN·m, m, MPa. Riêng bảng giao tiếp TS-PILE/TS-COL: tấn, tấn·m (tự quy đổi /9,81).</t>
  </si>
  <si>
    <t>CĂN CỨ CHÍNH: TCVN 11823-1/-3/-5/-10/-11:2017. Các điều khoản ghi ngay tại từng phép tính.</t>
  </si>
  <si>
    <t>GHI CHÚ MÔ HÌNH: (1) Phản lực KCN (DC, DW) nhập trực tiếp từ bản tính KCN để dùng cho mọi loại nhịp. (2) Lực hãm đặt tại cao độ gối (truyền qua gối); phần cánh tay đòn 1,8 m trên mặt đường đã bỏ qua thiên về an toàn cho phản lực gối. (3) Tường cánh tính theo mô hình công-xon ngang (dải), thay cho ACES. (4) Gió đứng chỉ vào CĐ III (Điều 8.2).</t>
  </si>
  <si>
    <t>SỐ LIỆU ĐẦU VÀO — chỉ sửa các ô nền vàng</t>
  </si>
  <si>
    <t>Cầu / Hạng mục:</t>
  </si>
  <si>
    <t>Km19+000 / Mố A1</t>
  </si>
  <si>
    <t>1. KẾT CẤU NHỊP VÀ MẶT CẦU</t>
  </si>
  <si>
    <t>Chiều dài nhịp</t>
  </si>
  <si>
    <t>L</t>
  </si>
  <si>
    <t>m</t>
  </si>
  <si>
    <t>Khoảng cách đầu dầm đến tim gối</t>
  </si>
  <si>
    <t>a₀</t>
  </si>
  <si>
    <t>Chiều dài nhịp tính toán</t>
  </si>
  <si>
    <t>Ls</t>
  </si>
  <si>
    <t>Bề rộng toàn cầu</t>
  </si>
  <si>
    <t>W</t>
  </si>
  <si>
    <t>Bề rộng phần xe chạy</t>
  </si>
  <si>
    <t>Bxe</t>
  </si>
  <si>
    <t>Bề rộng lan can (một bên)</t>
  </si>
  <si>
    <t>blc</t>
  </si>
  <si>
    <t>Bề rộng lề người đi bộ (tổng)</t>
  </si>
  <si>
    <t>bpl</t>
  </si>
  <si>
    <t>Số làn xe thiết kế</t>
  </si>
  <si>
    <t>nl</t>
  </si>
  <si>
    <t>làn</t>
  </si>
  <si>
    <t>Điều 6.1.1.1: INT(w/3600); 6,0–7,2 m → 2 làn</t>
  </si>
  <si>
    <t>Số dầm chủ</t>
  </si>
  <si>
    <t>ng</t>
  </si>
  <si>
    <t>dầm</t>
  </si>
  <si>
    <t>Chiều cao dầm chủ</t>
  </si>
  <si>
    <t>hg</t>
  </si>
  <si>
    <t>Chiều dày bản mặt cầu</t>
  </si>
  <si>
    <t>tc</t>
  </si>
  <si>
    <t>Chiều cao lan can chắn gió</t>
  </si>
  <si>
    <t>hlc</t>
  </si>
  <si>
    <t>Chiều cao gối + đá kê gối</t>
  </si>
  <si>
    <t>hgối</t>
  </si>
  <si>
    <t>Phản lực tĩnh tải DC của KCN lên mố</t>
  </si>
  <si>
    <t>DCkcn</t>
  </si>
  <si>
    <t>kN</t>
  </si>
  <si>
    <t>Tự tính ở sheet TINH TAI mục 0 (sửa được tại đó)</t>
  </si>
  <si>
    <t>Phản lực tĩnh tải DW (lớp phủ + tiện ích)</t>
  </si>
  <si>
    <t>DWkcn</t>
  </si>
  <si>
    <t>2. KÍCH THƯỚC MỐ (ký hiệu như bản vẽ định hình)</t>
  </si>
  <si>
    <t>Chiều rộng bệ mố (dọc cầu)</t>
  </si>
  <si>
    <t>B1</t>
  </si>
  <si>
    <t>Chiều dài tường cánh (phần dưới)</t>
  </si>
  <si>
    <t>B2</t>
  </si>
  <si>
    <t>Chiều dày tường thân</t>
  </si>
  <si>
    <t>B3</t>
  </si>
  <si>
    <t>K/c tường thân đến mép bệ phía nhịp</t>
  </si>
  <si>
    <t>B4</t>
  </si>
  <si>
    <t>Chiều dài tường cánh (phần đuôi)</t>
  </si>
  <si>
    <t>B5</t>
  </si>
  <si>
    <t>Chiều dày tường đỉnh</t>
  </si>
  <si>
    <t>B7</t>
  </si>
  <si>
    <t>K/c tim gối đến mép trong tường đỉnh</t>
  </si>
  <si>
    <t>B8</t>
  </si>
  <si>
    <t>Kích thước mấu đỡ bản quá độ</t>
  </si>
  <si>
    <t>B9</t>
  </si>
  <si>
    <t>Chiều rộng ụ chống xô (dọc cầu)</t>
  </si>
  <si>
    <t>B11</t>
  </si>
  <si>
    <t>Bề rộng đất đắp trước mố</t>
  </si>
  <si>
    <t>B12</t>
  </si>
  <si>
    <t>Chiều cao bệ mố</t>
  </si>
  <si>
    <t>H1</t>
  </si>
  <si>
    <t>Chiều cao tường cánh - đoạn dưới</t>
  </si>
  <si>
    <t>H2</t>
  </si>
  <si>
    <t>Chiều cao tường cánh - đoạn giữa</t>
  </si>
  <si>
    <t>H3</t>
  </si>
  <si>
    <t>Chiều cao tường cánh - đoạn trên</t>
  </si>
  <si>
    <t>H4</t>
  </si>
  <si>
    <t>Chiều cao tường thân</t>
  </si>
  <si>
    <t>H6</t>
  </si>
  <si>
    <t>Chiều cao tường đỉnh</t>
  </si>
  <si>
    <t>H7</t>
  </si>
  <si>
    <t>Chiều cao tường tai</t>
  </si>
  <si>
    <t>H8</t>
  </si>
  <si>
    <t>Chiều cao đất đắp trước mố</t>
  </si>
  <si>
    <t>H12</t>
  </si>
  <si>
    <t>Chiều rộng bệ mố (ngang cầu)</t>
  </si>
  <si>
    <t>C1</t>
  </si>
  <si>
    <t>Chiều dày tường cánh</t>
  </si>
  <si>
    <t>C3</t>
  </si>
  <si>
    <t>Chiều dày tường tai</t>
  </si>
  <si>
    <t>C4</t>
  </si>
  <si>
    <t>Chiều rộng ụ chống xô (ngang cầu)</t>
  </si>
  <si>
    <t>C6</t>
  </si>
  <si>
    <t>Số tường cánh</t>
  </si>
  <si>
    <t>ntc</t>
  </si>
  <si>
    <t>cái</t>
  </si>
  <si>
    <t>Số tường tai</t>
  </si>
  <si>
    <t>ntt</t>
  </si>
  <si>
    <t>Góc chéo của mố so với tim cầu</t>
  </si>
  <si>
    <t>α</t>
  </si>
  <si>
    <t>độ</t>
  </si>
  <si>
    <t>90° = không chéo</t>
  </si>
  <si>
    <t>Bề rộng chịu áp lực đất (đã trừ tường cánh, xét chéo)</t>
  </si>
  <si>
    <t>Beff</t>
  </si>
  <si>
    <t>Dùng cho EH, LS, ΔEAE</t>
  </si>
  <si>
    <t>Chiều cao đất đắp tính đến ĐÁY BỆ</t>
  </si>
  <si>
    <t>Hdb</t>
  </si>
  <si>
    <t>Chiều cao đất đắp tính đến ĐỈNH BỆ</t>
  </si>
  <si>
    <t>Htb</t>
  </si>
  <si>
    <t>3. VẬT LIỆU</t>
  </si>
  <si>
    <t>Cường độ chịu nén bê tông f'c</t>
  </si>
  <si>
    <t>f'c</t>
  </si>
  <si>
    <t>MPa</t>
  </si>
  <si>
    <t>Giới hạn chảy cốt thép</t>
  </si>
  <si>
    <t>fy</t>
  </si>
  <si>
    <t>Mô đun đàn hồi thép</t>
  </si>
  <si>
    <t>Es</t>
  </si>
  <si>
    <t>Trọng lượng đơn vị BTCT</t>
  </si>
  <si>
    <t>γc</t>
  </si>
  <si>
    <t>kN/m³</t>
  </si>
  <si>
    <t>Hệ số nguồn cốt liệu K1</t>
  </si>
  <si>
    <t>K1</t>
  </si>
  <si>
    <t>-</t>
  </si>
  <si>
    <t>Mô đun đàn hồi bê tông</t>
  </si>
  <si>
    <t>Ec</t>
  </si>
  <si>
    <t>TCVN 11823-5 Điều 4.2.4</t>
  </si>
  <si>
    <t>Cường độ chịu kéo uốn</t>
  </si>
  <si>
    <t>fr</t>
  </si>
  <si>
    <t>Điều 4.2.6</t>
  </si>
  <si>
    <t>4. ĐẤT ĐẮP VÀ NƯỚC</t>
  </si>
  <si>
    <t>Trọng lượng đơn vị đất đắp</t>
  </si>
  <si>
    <t>γs</t>
  </si>
  <si>
    <t>Góc nội ma sát hữu hiệu đất đắp</t>
  </si>
  <si>
    <t>φ'</t>
  </si>
  <si>
    <t>Góc ma sát đất – tường</t>
  </si>
  <si>
    <t>δ</t>
  </si>
  <si>
    <t>δ=0 thiên về an toàn cho lực ngang</t>
  </si>
  <si>
    <t>Góc dốc mặt đất đắp</t>
  </si>
  <si>
    <t>β</t>
  </si>
  <si>
    <t>Trọng lượng đơn vị nước</t>
  </si>
  <si>
    <t>γn</t>
  </si>
  <si>
    <t>5. HOẠT TẢI</t>
  </si>
  <si>
    <t>Lực xung kích IM</t>
  </si>
  <si>
    <t>IM</t>
  </si>
  <si>
    <t>Điều 6.2: 33% cho xe, không áp cho tải làn</t>
  </si>
  <si>
    <t>Tải trọng làn</t>
  </si>
  <si>
    <t>qlan</t>
  </si>
  <si>
    <t>kN/m</t>
  </si>
  <si>
    <t>Điều 6.1.2.4</t>
  </si>
  <si>
    <t>Tải trọng người đi bộ</t>
  </si>
  <si>
    <t>pPL</t>
  </si>
  <si>
    <t>kN/m²</t>
  </si>
  <si>
    <t>Điều 6.1.6</t>
  </si>
  <si>
    <t>Vận tốc thiết kế đường</t>
  </si>
  <si>
    <t>Vtk</t>
  </si>
  <si>
    <t>km/h</t>
  </si>
  <si>
    <t>Cho lực ly tâm</t>
  </si>
  <si>
    <t>Bán kính cong bằng (0 = đường thẳng)</t>
  </si>
  <si>
    <t>R</t>
  </si>
  <si>
    <t>6. GỐI CẦU</t>
  </si>
  <si>
    <t>Loại gối trên mố (0 = di động; 1 = cố định)</t>
  </si>
  <si>
    <t>loại</t>
  </si>
  <si>
    <t>Gối cố định → truyền BR, CE</t>
  </si>
  <si>
    <t>Hệ số ma sát gối</t>
  </si>
  <si>
    <t>f</t>
  </si>
  <si>
    <t>Chiều cao ụ chống xô</t>
  </si>
  <si>
    <t>hcx</t>
  </si>
  <si>
    <t>Số ụ chống xô</t>
  </si>
  <si>
    <t>ncx</t>
  </si>
  <si>
    <t>ụ</t>
  </si>
  <si>
    <t>7. GIÓ (TCVN 11823-3 Điều 8)</t>
  </si>
  <si>
    <t>Vùng gió (I/II/III/IV)</t>
  </si>
  <si>
    <t>vùng</t>
  </si>
  <si>
    <t>II</t>
  </si>
  <si>
    <t>Tốc độ gió giật 3s chu kỳ 100 năm</t>
  </si>
  <si>
    <t>VB</t>
  </si>
  <si>
    <t>m/s</t>
  </si>
  <si>
    <t>Hệ số điều chỉnh S (địa hình + cao độ)</t>
  </si>
  <si>
    <t>S</t>
  </si>
  <si>
    <t>Tốc độ gió thiết kế V = VB·S</t>
  </si>
  <si>
    <t>V</t>
  </si>
  <si>
    <t>Hệ số cản Cd của KCN</t>
  </si>
  <si>
    <t>Cd</t>
  </si>
  <si>
    <t>Hình 1 Điều 8.1.2.1 theo b/d; nhập tay</t>
  </si>
  <si>
    <t>Hệ số cản của thân/tường mố</t>
  </si>
  <si>
    <t>Cx</t>
  </si>
  <si>
    <t>8. ĐỘNG ĐẤT (TCVN 11823-3 Điều 9; 11823-11 Điều 6.5)</t>
  </si>
  <si>
    <t>Hệ số gia tốc A</t>
  </si>
  <si>
    <t>A</t>
  </si>
  <si>
    <t>Bản đồ phân vùng</t>
  </si>
  <si>
    <t>Loại đất nền (I/II/III/IV)</t>
  </si>
  <si>
    <t>đất</t>
  </si>
  <si>
    <t>Hệ số thực địa S</t>
  </si>
  <si>
    <t>Sđđ</t>
  </si>
  <si>
    <t>Bảng 17</t>
  </si>
  <si>
    <t>Hệ số điều chỉnh đáp ứng R (KCN truyền xuống)</t>
  </si>
  <si>
    <t>Bảng 18; mố lấy 1,5 thiên an toàn</t>
  </si>
  <si>
    <t>Hệ số R cho khối lượng bản thân mố</t>
  </si>
  <si>
    <t>R1</t>
  </si>
  <si>
    <t>9. MÓNG CỌC</t>
  </si>
  <si>
    <t>Đường kính cọc</t>
  </si>
  <si>
    <t>D</t>
  </si>
  <si>
    <t>Số hàng cọc (theo phương dọc cầu, tối đa 4)</t>
  </si>
  <si>
    <t>nh</t>
  </si>
  <si>
    <t>hàng</t>
  </si>
  <si>
    <t>Hàng cọc</t>
  </si>
  <si>
    <t>Tọa độ x (m) (+ phía nhịp)</t>
  </si>
  <si>
    <t>Số cọc trong hàng</t>
  </si>
  <si>
    <t>Khoảng cách cọc (m)</t>
  </si>
  <si>
    <t>Tổng số cọc [cọc]</t>
  </si>
  <si>
    <t>Lực ngang do TU + CR + SH truyền qua gối (gối cố định/cao su):</t>
  </si>
  <si>
    <t>K_gối·(α·ΔT+ε_CRSH)·L_giãn nở; gối trượt đã xét qua FR. Hệ số: CĐ 0,5; SD 1,0 (Bảng 3 - TU)</t>
  </si>
  <si>
    <t>Ghi chú: giá trị mặc định là số liệu cầu Km19+000 để đối chiếu; thay bằng số liệu công trình mới.</t>
  </si>
  <si>
    <t>SƠ ĐỒ KÍCH THƯỚC (B, H, C):</t>
  </si>
  <si>
    <t>TĨNH TẢI: DC, DW, EV — nội lực tại ĐÁY BỆ và ĐỈNH BỆ (kN, kN·m)</t>
  </si>
  <si>
    <t>Quy ước: x đo từ TIM MẶT CẮT, dương về phía nhịp. My = N·x.</t>
  </si>
  <si>
    <t>1. Trọng lượng bản thân mố (DC2)</t>
  </si>
  <si>
    <t>Bộ phận</t>
  </si>
  <si>
    <t>Thể tích V (m³)</t>
  </si>
  <si>
    <t>G (kN)</t>
  </si>
  <si>
    <t>x đáy bệ (m)</t>
  </si>
  <si>
    <t>My đáy bệ</t>
  </si>
  <si>
    <t>x đỉnh bệ (m)</t>
  </si>
  <si>
    <t>My đỉnh bệ</t>
  </si>
  <si>
    <t>Bệ mố</t>
  </si>
  <si>
    <t>0</t>
  </si>
  <si>
    <t>Tường thân</t>
  </si>
  <si>
    <t>Tường đỉnh</t>
  </si>
  <si>
    <t>Tường cánh (trên bệ)</t>
  </si>
  <si>
    <t>Tường cánh (phần đuôi)</t>
  </si>
  <si>
    <t>Tường tai</t>
  </si>
  <si>
    <t>Mấu đỡ bản quá độ</t>
  </si>
  <si>
    <t>Ụ chống xô</t>
  </si>
  <si>
    <t>TỔNG DC2 (mố)</t>
  </si>
  <si>
    <t>TỔNG DC2 tại ĐỈNH BỆ (không kể bệ)</t>
  </si>
  <si>
    <t>2. Tĩnh tải kết cấu nhịp (DC1, DW) — đặt tại tim gối</t>
  </si>
  <si>
    <t>Độ lệch tâm tim gối so với tim đáy bệ / tim tường thân:</t>
  </si>
  <si>
    <t>(đáy bệ)</t>
  </si>
  <si>
    <t>(đỉnh bệ)</t>
  </si>
  <si>
    <t>Tải trọng</t>
  </si>
  <si>
    <t>N (kN)</t>
  </si>
  <si>
    <t>DC1 (KCN)</t>
  </si>
  <si>
    <t>DW (lớp phủ)</t>
  </si>
  <si>
    <t>3. Áp lực đất thẳng đứng EV (đất trên bệ, sau tường thân)</t>
  </si>
  <si>
    <t>Bề rộng chịu EV (giữa 2 tường cánh) [m]</t>
  </si>
  <si>
    <t>Chiều dài đất trên bệ (B1−B3−B4) [m]</t>
  </si>
  <si>
    <t>EV đất sau mố: G (kN)</t>
  </si>
  <si>
    <t>Cánh tay đòn về tim đáy bệ [m]</t>
  </si>
  <si>
    <t>EV: My đáy bệ (kN·m)</t>
  </si>
  <si>
    <t>EV đất trước mố: G (kN)</t>
  </si>
  <si>
    <t>Cánh tay đòn [m]</t>
  </si>
  <si>
    <t>TỔNG EV: N / My đáy bệ</t>
  </si>
  <si>
    <t>0. Tĩnh tải kết cấu nhịp truyền xuống mố (tính từ cấu kiện — sửa ô vàng)</t>
  </si>
  <si>
    <t>Cấu kiện</t>
  </si>
  <si>
    <t>Khối lượng/V nhập</t>
  </si>
  <si>
    <t>Đơn vị</t>
  </si>
  <si>
    <t>Diễn giải</t>
  </si>
  <si>
    <t>G lên mố (kN)</t>
  </si>
  <si>
    <t>Dầm chủ (V 1 dầm)</t>
  </si>
  <si>
    <t>m³</t>
  </si>
  <si>
    <t>V·γc·ng/2</t>
  </si>
  <si>
    <t>Bản mặt cầu</t>
  </si>
  <si>
    <t>W·tc·L·γc/2</t>
  </si>
  <si>
    <t>Dầm ngang (V thuộc 1 mố)</t>
  </si>
  <si>
    <t>V·γc</t>
  </si>
  <si>
    <t>Ván khuôn/tấm đúc sẵn (V thuộc 1 mố)</t>
  </si>
  <si>
    <t>Gờ lan can + gờ chắn (V trên 1 m dài)</t>
  </si>
  <si>
    <t>m²·2 bên</t>
  </si>
  <si>
    <t>A·2·L·γc/2</t>
  </si>
  <si>
    <t>Lan can thép (kN/m, 2 bên)</t>
  </si>
  <si>
    <t>q·2·L/2</t>
  </si>
  <si>
    <t>Thiết bị phụ trợ khác</t>
  </si>
  <si>
    <t>nhập trực tiếp</t>
  </si>
  <si>
    <t>Lớp phủ asphalt: chiều dày / γ</t>
  </si>
  <si>
    <t>Bxe·t·γ·L/2</t>
  </si>
  <si>
    <t>Tiện ích (ống, chiếu sáng…)</t>
  </si>
  <si>
    <t>TỔNG DC KCN (kN)</t>
  </si>
  <si>
    <t>TỔNG DW (kN)</t>
  </si>
  <si>
    <t>HOẠT TẢI: LL + IM, PL, BR, CE (TCVN 11823-3 Điều 6)</t>
  </si>
  <si>
    <t>1. Phản lực gối do 1 làn xe (chưa nhân hệ số làn)</t>
  </si>
  <si>
    <t>Đường ảnh hưởng phản lực gối nhịp giản đơn, đỉnh = 1 tại gối.</t>
  </si>
  <si>
    <t>Trục P (kN)</t>
  </si>
  <si>
    <t>x từ gối (m)</t>
  </si>
  <si>
    <t>y ĐAH</t>
  </si>
  <si>
    <t>P·y</t>
  </si>
  <si>
    <t>Xe 3 trục - trục 1</t>
  </si>
  <si>
    <t>Xe 3 trục - trục 2</t>
  </si>
  <si>
    <t>Xe 3 trục - trục 3</t>
  </si>
  <si>
    <t>Xe 2 trục - trục 1</t>
  </si>
  <si>
    <t>Xe 2 trục - trục 2</t>
  </si>
  <si>
    <t>R xe tải / R xe 2 trục / R làn</t>
  </si>
  <si>
    <t>R xe thiết kế = MAX(xe tải; xe 2 trục)</t>
  </si>
  <si>
    <t>2. Các trường hợp xếp k làn (Bảng 7 - hệ số làn m)</t>
  </si>
  <si>
    <t>k làn</t>
  </si>
  <si>
    <t>R làn (kN)</t>
  </si>
  <si>
    <t>R xe (kN)</t>
  </si>
  <si>
    <t>IM·Rxe</t>
  </si>
  <si>
    <t>PL (kN)</t>
  </si>
  <si>
    <t>N tổng (kN)</t>
  </si>
  <si>
    <t>Yt (m)</t>
  </si>
  <si>
    <t>Mx=N·Yt</t>
  </si>
  <si>
    <t>Yt = lệch tâm ngang khi xếp lệch 1 bên (Mx max). Tổ hợp xét thêm trường hợp XẾP ĐÚNG TÂM (Mx = 0). Hàng làn &gt; nl tự để trống.</t>
  </si>
  <si>
    <t>3. Lực hãm xe BR (Điều 6.4) — chỉ truyền xuống mố khi gối CỐ ĐỊNH</t>
  </si>
  <si>
    <t>25%·(145+145+35)·k·m</t>
  </si>
  <si>
    <t>5%·(325+9,3·Ls)·k·m</t>
  </si>
  <si>
    <t>BR_k = MAX</t>
  </si>
  <si>
    <t>BR thiết kế</t>
  </si>
  <si>
    <t>Lực đặt tại cao độ gối (xem HDSD); gối di động → BR = 0, lực ngang truyền qua ma sát gối (FR).</t>
  </si>
  <si>
    <t>My BR đáy bệ / đỉnh bệ</t>
  </si>
  <si>
    <t>4. Lực ly tâm CE (Điều 6.3)</t>
  </si>
  <si>
    <t>C = 4V²/(3gR); CE = C·325·k·m (lấy k = nl)</t>
  </si>
  <si>
    <t>CE (lực ngang cầu)</t>
  </si>
  <si>
    <t>Mx CE đáy bệ / đỉnh bệ</t>
  </si>
  <si>
    <t>ÁP LỰC ĐẤT NGANG EH, LS, VS VÀ MA SÁT GỐI FR (TCVN 11823-3 Điều 10; 11823-11)</t>
  </si>
  <si>
    <t>1. Hệ số áp lực đất chủ động Ka (Coulomb, tường lưng thẳng đứng)</t>
  </si>
  <si>
    <t>T = [1+√(sin(φ+δ)·sin(φ−β)/(sin(90−δ)·sin(90+β)))]²</t>
  </si>
  <si>
    <t>Ka = sin²(90+φ)/(T·sin²90·sin(90−δ))</t>
  </si>
  <si>
    <t>2. Áp lực đất ngang EH = ½·γs·H²·Ka·Beff (đặt tại H/3 — Điều 10.5.1)</t>
  </si>
  <si>
    <t>Mặt cắt</t>
  </si>
  <si>
    <t>H (m)</t>
  </si>
  <si>
    <t>EH (kN)</t>
  </si>
  <si>
    <t>z = H/3 (m)</t>
  </si>
  <si>
    <t>My (kN·m)</t>
  </si>
  <si>
    <t>Đáy bệ</t>
  </si>
  <si>
    <t>Đỉnh bệ</t>
  </si>
  <si>
    <t>3. Hoạt tải chất thêm LS (Bảng 22 - heq nội suy tuyến tính; đặt tại H/2)</t>
  </si>
  <si>
    <t>heq (m)</t>
  </si>
  <si>
    <t>LS ngang (kN)</t>
  </si>
  <si>
    <t>z = H/2</t>
  </si>
  <si>
    <t>4. Thành phần ĐỨNG của hoạt tải chất thêm VS (trên đuôi bệ) — hệ số tải trọng như LS</t>
  </si>
  <si>
    <t>VS = heq·γs·(B1−B3−B4)·(C1−ntc·C3)</t>
  </si>
  <si>
    <t>N; cánh tay đòn về tim đáy bệ; My</t>
  </si>
  <si>
    <t>5. Ma sát gối FR (gối di động)</t>
  </si>
  <si>
    <t>N tựa gối = DC1 + DW + LL lớn nhất (không IM)</t>
  </si>
  <si>
    <t>FR = f·N</t>
  </si>
  <si>
    <t>My FR đáy bệ / đỉnh bệ</t>
  </si>
  <si>
    <t>TẢI TRỌNG GIÓ WS, WL (TCVN 11823-3 Điều 8) — PD = 0,0006·V²·At·Cd ≥ 1,8·At</t>
  </si>
  <si>
    <t>Tính cho 2 mức gió: V thiết kế (không hoạt tải — CĐ III) và V = 25 m/s (có hoạt tải — CĐ V, SD I).</t>
  </si>
  <si>
    <t>1. Gió ngang &amp; dọc với V thiết kế (CĐ III)</t>
  </si>
  <si>
    <t>At (m²)</t>
  </si>
  <si>
    <t>PD (kN)</t>
  </si>
  <si>
    <t>z đáy bệ (m)</t>
  </si>
  <si>
    <t>M đáy bệ</t>
  </si>
  <si>
    <t>z đỉnh bệ (m)</t>
  </si>
  <si>
    <t>M đỉnh bệ</t>
  </si>
  <si>
    <t>KCN (dầm+bản+lan can)</t>
  </si>
  <si>
    <t>Mố (tường cánh + thân lộ)</t>
  </si>
  <si>
    <t>TỔNG GIÓ NGANG</t>
  </si>
  <si>
    <t>GIÓ DỌC KCN = 0,25·gió ngang KCN</t>
  </si>
  <si>
    <t>Điều 8.1.2.2: KCN mặt trước đặc — gió dọc = 0,25 gió ngang. Gió dọc lên thân mố (bị đất chắn) bỏ qua — thiên an toàn nếu thân lộ nhiều thì cộng thêm.</t>
  </si>
  <si>
    <t>2. Gió ngang &amp; dọc với V = 25 m/s (CĐ V, SD I)</t>
  </si>
  <si>
    <t>3. Gió thẳng đứng Pv = 0,00045·V²·Av (Điều 8.2 — CHỈ dùng cho CĐ III, đặt tại trọng tâm mặt cầu)</t>
  </si>
  <si>
    <t>Av = W·L/2; chiều BẤT LỢI là nâng lên (lấy dấu − trong tổ hợp).</t>
  </si>
  <si>
    <t>My đáy bệ / đỉnh bệ</t>
  </si>
  <si>
    <t>4. Gió trên hoạt tải WL (Điều 8.1.3 — đặt 1800 mm trên mặt đường)</t>
  </si>
  <si>
    <t>Ngang: 1,46 kN/m; Dọc: 0,55 kN/m (Bảng 15) — nhân L/2</t>
  </si>
  <si>
    <t>WL ngang</t>
  </si>
  <si>
    <t>z; M — đáy bệ | z; M — đỉnh bệ</t>
  </si>
  <si>
    <t>WL dọc</t>
  </si>
  <si>
    <t>ĐỘNG ĐẤT EQ (TCVN 11823-3 Điều 9) + ÁP LỰC ĐẤT ĐỘNG MONONOBE-OKABE (11823-11 Điều 6.5)</t>
  </si>
  <si>
    <t>1. Chu kỳ dao động và hệ số Csm (Điều 9.6)</t>
  </si>
  <si>
    <t>Khối lượng KCN + tường thân/đỉnh: W (kN)</t>
  </si>
  <si>
    <t>I tường thân - uốn dọc cầu (m⁴)</t>
  </si>
  <si>
    <t>I tường thân - uốn ngang cầu (m⁴)</t>
  </si>
  <si>
    <t>T dọc = 2π√(W·H³/(3g·Ec·I)) (s)</t>
  </si>
  <si>
    <t>T ngang (s)</t>
  </si>
  <si>
    <t>Csm dọc (Điều 9.6.1 &amp; 9.6.2)</t>
  </si>
  <si>
    <t>Ngoại lệ (0,8+4T)A chỉ áp dụng cho đất loại III/IV — Điều 9.6.2.</t>
  </si>
  <si>
    <t>Csm ngang (Điều 9.6.1 &amp; 9.6.2)</t>
  </si>
  <si>
    <t>2. Lực quán tính (Fh = Csm·W/R)</t>
  </si>
  <si>
    <t>Thành phần</t>
  </si>
  <si>
    <t>W (kN)</t>
  </si>
  <si>
    <t>Fh dọc (kN)</t>
  </si>
  <si>
    <t>z đỉnh bệ</t>
  </si>
  <si>
    <t>KCN (R = Rkcn)</t>
  </si>
  <si>
    <t>Tường cánh (đuôi)</t>
  </si>
  <si>
    <t>Tường tai + mấu + ụ</t>
  </si>
  <si>
    <t>TỔNG LỰC QUÁN TÍNH (dọc = ngang)</t>
  </si>
  <si>
    <t>Tại đỉnh bệ: không kể quán tính bệ (nằm dưới mặt cắt).</t>
  </si>
  <si>
    <t>Fh đỉnh bệ:</t>
  </si>
  <si>
    <t>ψ = atan(kh/(1−kv)) (độ)</t>
  </si>
  <si>
    <t>KAE = cos²(φ−ψ)/[cosψ·cos(δ+ψ)·(1+√(sin(φ+δ)sin(φ−ψ−β)/(cos(δ+ψ)cos(β))))²]</t>
  </si>
  <si>
    <t>ΔEAE = (KAE−Ka)·½γH²·Beff</t>
  </si>
  <si>
    <t>z = 0,5H</t>
  </si>
  <si>
    <t>ΔM (kN·m)</t>
  </si>
  <si>
    <t>Hợp lực ΔEAE đặt tại 0,5H (AASHTO A11); tổng áp lực đất động = EH tĩnh (hệ số 1,0) + ΔEAE trong tổ hợp Đặc biệt I.</t>
  </si>
  <si>
    <t>4. TỔNG HỢP EQ (đưa vào TO HOP)</t>
  </si>
  <si>
    <t>Phương</t>
  </si>
  <si>
    <t>H (kN) đáy bệ</t>
  </si>
  <si>
    <t>H (kN) đỉnh bệ</t>
  </si>
  <si>
    <t>EQ DỌC (quán tính + ΔEAE)</t>
  </si>
  <si>
    <t>EQ NGANG (quán tính)</t>
  </si>
  <si>
    <t>TỔ HỢP TẢI TRỌNG (TCVN 11823-3:2017 Điều 4.1, Bảng 3 &amp; Bảng 4)</t>
  </si>
  <si>
    <t>Đủ hệ số γp lớn nhất (nhánh a) và nhỏ nhất (nhánh b); Đặc biệt I dùng 1,0 cho tải thường xuyên; động đất tổ hợp 100%+30%.</t>
  </si>
  <si>
    <t>1. Bảng tải trọng tiêu chuẩn tại 2 mặt cắt (kN, kN·m)</t>
  </si>
  <si>
    <t>Hx đáy</t>
  </si>
  <si>
    <t>Hy đáy</t>
  </si>
  <si>
    <t>N đáy</t>
  </si>
  <si>
    <t>Mx đáy</t>
  </si>
  <si>
    <t>My đáy</t>
  </si>
  <si>
    <t>Hx đỉnh</t>
  </si>
  <si>
    <t>Hy đỉnh</t>
  </si>
  <si>
    <t>N đỉnh</t>
  </si>
  <si>
    <t>Mx đỉnh</t>
  </si>
  <si>
    <t>My đỉnh</t>
  </si>
  <si>
    <t>DC1 - KCN</t>
  </si>
  <si>
    <t>DW - lớp phủ</t>
  </si>
  <si>
    <t>DC2 - bản thân mố</t>
  </si>
  <si>
    <t>EV - đất trên bệ</t>
  </si>
  <si>
    <t>VS - LL chất thêm đứng</t>
  </si>
  <si>
    <t>LL+IM (1 làn, lệch tâm)</t>
  </si>
  <si>
    <t>LL+IM (2 làn, lệch tâm)</t>
  </si>
  <si>
    <t>LL+IM (3 làn, lệch tâm)</t>
  </si>
  <si>
    <t>LL+IM (4 làn, lệch tâm)</t>
  </si>
  <si>
    <t>LL+IM (5 làn, lệch tâm)</t>
  </si>
  <si>
    <t>LL+IM (6 làn, lệch tâm)</t>
  </si>
  <si>
    <t>LL+IM (1 làn, đúng tâm)</t>
  </si>
  <si>
    <t>LL+IM (2 làn, đúng tâm)</t>
  </si>
  <si>
    <t>LL+IM (3 làn, đúng tâm)</t>
  </si>
  <si>
    <t>LL+IM (4 làn, đúng tâm)</t>
  </si>
  <si>
    <t>LL+IM (5 làn, đúng tâm)</t>
  </si>
  <si>
    <t>LL+IM (6 làn, đúng tâm)</t>
  </si>
  <si>
    <t>BR - lực hãm</t>
  </si>
  <si>
    <t>CE - ly tâm</t>
  </si>
  <si>
    <t>LS - LL chất thêm ngang</t>
  </si>
  <si>
    <t>EH - áp lực đất</t>
  </si>
  <si>
    <t>FR - ma sát gối</t>
  </si>
  <si>
    <t>WS ngang (V tk)</t>
  </si>
  <si>
    <t>WS dọc (V tk)</t>
  </si>
  <si>
    <t>WS ngang (25 m/s)</t>
  </si>
  <si>
    <t>WS dọc (25 m/s)</t>
  </si>
  <si>
    <t>WS đứng (V tk)</t>
  </si>
  <si>
    <t>EQ dọc (+ΔEAE)</t>
  </si>
  <si>
    <t>EQ ngang</t>
  </si>
  <si>
    <t>TU+CR+SH (qua gối)</t>
  </si>
  <si>
    <t>LL+IM (nl làn - cho EQ)</t>
  </si>
  <si>
    <t>(Bảng phụ: tải trọng chuyển vị hàng — phục vụ SUMPRODUCT, không sửa)</t>
  </si>
  <si>
    <t>2. Ma trận hệ số tải trọng (Bảng 3 &amp; 4)</t>
  </si>
  <si>
    <t>Tổ hợp</t>
  </si>
  <si>
    <t>SD I - 1 làn lệch tâm</t>
  </si>
  <si>
    <t>SD I - 2 làn lệch tâm</t>
  </si>
  <si>
    <t>SD I - 3 làn lệch tâm</t>
  </si>
  <si>
    <t>SD I - 4 làn lệch tâm</t>
  </si>
  <si>
    <t>SD I - 5 làn lệch tâm</t>
  </si>
  <si>
    <t>SD I - 6 làn lệch tâm</t>
  </si>
  <si>
    <t>SD I - 1 làn đúng tâm</t>
  </si>
  <si>
    <t>SD I - 2 làn đúng tâm</t>
  </si>
  <si>
    <t>SD I - 3 làn đúng tâm</t>
  </si>
  <si>
    <t>SD I - 4 làn đúng tâm</t>
  </si>
  <si>
    <t>SD I - 5 làn đúng tâm</t>
  </si>
  <si>
    <t>SD I - 6 làn đúng tâm</t>
  </si>
  <si>
    <t>CĐ I(a) max - 1 làn lệch tâm</t>
  </si>
  <si>
    <t>CĐ I(a) max - 2 làn lệch tâm</t>
  </si>
  <si>
    <t>CĐ I(a) max - 3 làn lệch tâm</t>
  </si>
  <si>
    <t>CĐ I(a) max - 4 làn lệch tâm</t>
  </si>
  <si>
    <t>CĐ I(a) max - 5 làn lệch tâm</t>
  </si>
  <si>
    <t>CĐ I(a) max - 6 làn lệch tâm</t>
  </si>
  <si>
    <t>CĐ I(a) max - 1 làn đúng tâm</t>
  </si>
  <si>
    <t>CĐ I(a) max - 2 làn đúng tâm</t>
  </si>
  <si>
    <t>CĐ I(a) max - 3 làn đúng tâm</t>
  </si>
  <si>
    <t>CĐ I(a) max - 4 làn đúng tâm</t>
  </si>
  <si>
    <t>CĐ I(a) max - 5 làn đúng tâm</t>
  </si>
  <si>
    <t>CĐ I(a) max - 6 làn đúng tâm</t>
  </si>
  <si>
    <t>CĐ I(b) min - 1 làn</t>
  </si>
  <si>
    <t>CĐ I(b) min - 2 làn</t>
  </si>
  <si>
    <t>CĐ I(b) min - 3 làn</t>
  </si>
  <si>
    <t>CĐ I(b) min - 4 làn</t>
  </si>
  <si>
    <t>CĐ I(b) min - 5 làn</t>
  </si>
  <si>
    <t>CĐ I(b) min - 6 làn</t>
  </si>
  <si>
    <t>CĐ III(a) max</t>
  </si>
  <si>
    <t>CĐ III(b) min</t>
  </si>
  <si>
    <t>CĐ V(a) max - 1 làn</t>
  </si>
  <si>
    <t>CĐ V(a) max - 2 làn</t>
  </si>
  <si>
    <t>CĐ V(a) max - 3 làn</t>
  </si>
  <si>
    <t>CĐ V(a) max - 4 làn</t>
  </si>
  <si>
    <t>CĐ V(a) max - 5 làn</t>
  </si>
  <si>
    <t>CĐ V(a) max - 6 làn</t>
  </si>
  <si>
    <t>CĐ V(b) min - 1 làn</t>
  </si>
  <si>
    <t>CĐ V(b) min - 2 làn</t>
  </si>
  <si>
    <t>CĐ V(b) min - 3 làn</t>
  </si>
  <si>
    <t>CĐ V(b) min - 4 làn</t>
  </si>
  <si>
    <t>CĐ V(b) min - 5 làn</t>
  </si>
  <si>
    <t>CĐ V(b) min - 6 làn</t>
  </si>
  <si>
    <t>3. Nội lực tổ hợp tại 2 mặt cắt</t>
  </si>
  <si>
    <t>4. Bao nội lực theo trạng thái giới hạn (nhóm co giãn theo nLan)</t>
  </si>
  <si>
    <t>Nhóm / trị bao</t>
  </si>
  <si>
    <t>Sử dụng (SD I) — MAX</t>
  </si>
  <si>
    <t>Sử dụng (SD I) — MIN</t>
  </si>
  <si>
    <t>Cường độ (CĐ I, III, V) — MAX</t>
  </si>
  <si>
    <t>Cường độ (CĐ I, III, V) — MIN</t>
  </si>
  <si>
    <t>GIAO TIẾP TS-PILE — tính nội lực cọc từ tổ hợp ĐÁY BỆ (tấn, tấn·m)</t>
  </si>
  <si>
    <t>1. BẢNG XUẤT SANG TS-PILE — copy C6:I51 dán vào tab "Tổ hợp tải trọng"</t>
  </si>
  <si>
    <t>TH</t>
  </si>
  <si>
    <t>Hx</t>
  </si>
  <si>
    <t>Hy</t>
  </si>
  <si>
    <t>N</t>
  </si>
  <si>
    <t>Mx</t>
  </si>
  <si>
    <t>My</t>
  </si>
  <si>
    <t>Mz</t>
  </si>
  <si>
    <t>2. TỌA ĐỘ CỌC (tự sinh từ INPUT) — dán vào TS-PILE</t>
  </si>
  <si>
    <t>Cọc</t>
  </si>
  <si>
    <t>Hàng</t>
  </si>
  <si>
    <t>X (m)</t>
  </si>
  <si>
    <t>Y (m)</t>
  </si>
  <si>
    <t>3. DÁN KẾT QUẢ PHẢN LỰC CỌC P (tấn) — hàng = cọc, cột = TH1…TH46</t>
  </si>
  <si>
    <t>Cọc \ TH</t>
  </si>
  <si>
    <t>TH1</t>
  </si>
  <si>
    <t>TH2</t>
  </si>
  <si>
    <t>TH3</t>
  </si>
  <si>
    <t>TH4</t>
  </si>
  <si>
    <t>TH5</t>
  </si>
  <si>
    <t>TH6</t>
  </si>
  <si>
    <t>TH7</t>
  </si>
  <si>
    <t>TH8</t>
  </si>
  <si>
    <t>TH9</t>
  </si>
  <si>
    <t>TH10</t>
  </si>
  <si>
    <t>TH11</t>
  </si>
  <si>
    <t>TH12</t>
  </si>
  <si>
    <t>TH13</t>
  </si>
  <si>
    <t>TH14</t>
  </si>
  <si>
    <t>TH15</t>
  </si>
  <si>
    <t>TH16</t>
  </si>
  <si>
    <t>TH17</t>
  </si>
  <si>
    <t>TH18</t>
  </si>
  <si>
    <t>TH19</t>
  </si>
  <si>
    <t>TH20</t>
  </si>
  <si>
    <t>TH21</t>
  </si>
  <si>
    <t>TH22</t>
  </si>
  <si>
    <t>TH23</t>
  </si>
  <si>
    <t>TH24</t>
  </si>
  <si>
    <t>TH25</t>
  </si>
  <si>
    <t>TH26</t>
  </si>
  <si>
    <t>TH27</t>
  </si>
  <si>
    <t>TH28</t>
  </si>
  <si>
    <t>TH29</t>
  </si>
  <si>
    <t>TH30</t>
  </si>
  <si>
    <t>TH31</t>
  </si>
  <si>
    <t>TH32</t>
  </si>
  <si>
    <t>TH33</t>
  </si>
  <si>
    <t>TH34</t>
  </si>
  <si>
    <t>TH35</t>
  </si>
  <si>
    <t>TH36</t>
  </si>
  <si>
    <t>TH37</t>
  </si>
  <si>
    <t>TH38</t>
  </si>
  <si>
    <t>TH39</t>
  </si>
  <si>
    <t>TH40</t>
  </si>
  <si>
    <t>TH41</t>
  </si>
  <si>
    <t>TH42</t>
  </si>
  <si>
    <t>TH43</t>
  </si>
  <si>
    <t>TH44</t>
  </si>
  <si>
    <t>TH45</t>
  </si>
  <si>
    <t>TH46</t>
  </si>
  <si>
    <t>4. TỔNG HỢP (kN) — nhóm TH co giãn theo nLan: SD = TH1..2n; CĐ = 2n+1..7n+2; ĐB = 7n+3..7n+4</t>
  </si>
  <si>
    <t>Trị số</t>
  </si>
  <si>
    <t>SD</t>
  </si>
  <si>
    <t>CĐ</t>
  </si>
  <si>
    <t>ĐB</t>
  </si>
  <si>
    <t>P max 1 cọc</t>
  </si>
  <si>
    <t>P min 1 cọc (âm = nhổ)</t>
  </si>
  <si>
    <t>5. TỔNG PHẢN LỰC THEO HÀNG CỌC (kN) — dùng kiểm toán bệ</t>
  </si>
  <si>
    <t>Hàng \ TH</t>
  </si>
  <si>
    <t>Hàng 1</t>
  </si>
  <si>
    <t>Hàng 2</t>
  </si>
  <si>
    <t>Hàng 3</t>
  </si>
  <si>
    <t>Hàng 4</t>
  </si>
  <si>
    <t>KIỂM TOÁN TƯỜNG THÂN (mặt cắt ĐỈNH BỆ) — TCVN 11823-5:2017</t>
  </si>
  <si>
    <t>Nội lực tự động từ TO HOP (bao CĐ + ĐB, đỉnh bệ). Tiết diện lấy VUÔNG GÓC với mặt tường khi chéo: b = C1/sinα, h = B3·sinα (b·h = C1·B3 giữ nguyên diện tích).</t>
  </si>
  <si>
    <t>Phạm vi bố trí thép: 1 = trừ tường cánh; 0 = toàn bộ chiều dài tường</t>
  </si>
  <si>
    <t>1. Kiểm toán uốn – nứt – cắt theo phương dọc cầu</t>
  </si>
  <si>
    <t>Bề rộng tính toán b</t>
  </si>
  <si>
    <t>Chiều cao tiết diện h</t>
  </si>
  <si>
    <t>K/c trọng tâm thép chịu kéo đến mép kéo dc</t>
  </si>
  <si>
    <t>mm</t>
  </si>
  <si>
    <t>Đường kính thanh thép chủ</t>
  </si>
  <si>
    <t>Bước thép chủ</t>
  </si>
  <si>
    <t>Diện tích thép chịu kéo As</t>
  </si>
  <si>
    <t>Chiều cao có hiệu d = h − dc</t>
  </si>
  <si>
    <t>Mô men tính toán Mu</t>
  </si>
  <si>
    <t>kN·m</t>
  </si>
  <si>
    <t>Lực cắt Vu của tổ hợp khống chế theo Vu/φVn</t>
  </si>
  <si>
    <t>Mô men TTGH sử dụng Ms</t>
  </si>
  <si>
    <t>β1 (Điều 7.2.2)</t>
  </si>
  <si>
    <t>a = As·fy/(0,85·f'c·b)</t>
  </si>
  <si>
    <t>c = a/β1</t>
  </si>
  <si>
    <t>εt = 0,003·(d−c)/c</t>
  </si>
  <si>
    <t>φ theo εt (Điều 5.4.2.1)</t>
  </si>
  <si>
    <t>Mn = As·fy·(d−a/2)</t>
  </si>
  <si>
    <t>Mr = φ·Mn</t>
  </si>
  <si>
    <t>KIỂM UỐN: Mr ≥ Mu</t>
  </si>
  <si>
    <t>Mcr = γ3·γ1·fr·Ig/(h/2) = 1,07·fr·S</t>
  </si>
  <si>
    <t>Điều 7.3.3.2 (γ1=1,6; γ3=0,67)</t>
  </si>
  <si>
    <t>THÉP TỐI THIỂU: Mr ≥ min(Mcr; 1,33Mu)</t>
  </si>
  <si>
    <t>γe (cấp lộ thiên: 1,0 cấp 1; 0,75 cấp 2)</t>
  </si>
  <si>
    <t>n = Es/Ec</t>
  </si>
  <si>
    <t>ρ = As/(b·d)</t>
  </si>
  <si>
    <t>k = √(2ρn+(ρn)²)−ρn</t>
  </si>
  <si>
    <t>j = 1−k/3</t>
  </si>
  <si>
    <t>βs = 1+dc/(0,7(h−dc))</t>
  </si>
  <si>
    <t>s cho phép = 123000·γe/(βs·fss)−2dc</t>
  </si>
  <si>
    <t>Điều 7.3.4</t>
  </si>
  <si>
    <t>Số nhánh đai trên bề rộng b</t>
  </si>
  <si>
    <t>nhánh</t>
  </si>
  <si>
    <t>0 = không kể Vs</t>
  </si>
  <si>
    <t>Đường kính đai</t>
  </si>
  <si>
    <t>Bước đai (dọc)</t>
  </si>
  <si>
    <t>Av = n·π·Dv²/4</t>
  </si>
  <si>
    <t>Av,min = 0,083·√f'c·b·s/fy (Điều 8.2.5)</t>
  </si>
  <si>
    <t>dv = max(d−a/2; 0,9d; 0,72h)</t>
  </si>
  <si>
    <t>εs – PT80 theo N-M-V đồng thời</t>
  </si>
  <si>
    <t>Điều 8.3.4.2 PT 81</t>
  </si>
  <si>
    <t>Nu dương kéo, âm nén; không ghép ba bao rời</t>
  </si>
  <si>
    <t>sxe = sx·35/(16+ag), 294 ≤ sxe ≤ 2000</t>
  </si>
  <si>
    <t>β – PT77/78 theo lượng đai thực tế</t>
  </si>
  <si>
    <t>θ = 29+3500·εs</t>
  </si>
  <si>
    <t>Vc = 0,083·β·√f'c·bv·dv</t>
  </si>
  <si>
    <t>Vs từ cốt đai thực tế khai báo</t>
  </si>
  <si>
    <t>Chỉ kể Vs khi đai ≥ tối thiểu</t>
  </si>
  <si>
    <t>Vn = min(Vc+Vs; 0,25·f'c·bv·dv)</t>
  </si>
  <si>
    <t>Vr = 0,9·Vn</t>
  </si>
  <si>
    <t>KIỂM CẮT THEO TỪNG TỔ HỢP N-M-V</t>
  </si>
  <si>
    <t>vu = Vu/(0,9·bv·dv)</t>
  </si>
  <si>
    <t>s max = 0,8dv≤600 (vu&lt;0,125f'c) / 0,4dv≤300</t>
  </si>
  <si>
    <t>Điều 8.2.7</t>
  </si>
  <si>
    <t>BƯỚC ĐAI (chỉ kiểm khi có đai được kể)</t>
  </si>
  <si>
    <t>As co ngót–nhiệt độ y/c = 0,75bh/(2(b+h)fy), chặn 0,233–1,27</t>
  </si>
  <si>
    <t>Điều 10.8</t>
  </si>
  <si>
    <t>Thép cấu tạo mặt: đường kính / bước</t>
  </si>
  <si>
    <t>648</t>
  </si>
  <si>
    <t>CO NGÓT–NHIỆT ĐỘ: As cấp ≥ yêu cầu</t>
  </si>
  <si>
    <t>Cắt thân mố được kiểm theo từng tổ hợp Cường độ với N-M-V đồng thời tại sheet CAT THAN; không đưa Đặc biệt I vào bao cắt khi không có tác động đặc biệt áp dụng.</t>
  </si>
  <si>
    <t>KIỂM TOÁN BỆ MỐ theo phản lực cọc (TS-PILE) — TCVN 11823-5:2017</t>
  </si>
  <si>
    <t>1. Nội lực bệ tại mép tường thân (từ tổng phản lực hàng cọc)</t>
  </si>
  <si>
    <t>Tọa độ mép tường thân phía nhịp / phía đuôi (m):</t>
  </si>
  <si>
    <t>Mu mép phía nhịp = max_TH Σ hàng [P_h·(x_h − x_mép)] (chỉ hàng ngoài mép)</t>
  </si>
  <si>
    <t>ΣP ngoài mép nhịp (kN)</t>
  </si>
  <si>
    <t>M mép nhịp (kN·m)</t>
  </si>
  <si>
    <t>ΣP ngoài mép đuôi (kN)</t>
  </si>
  <si>
    <t>M mép đuôi (kN·m)</t>
  </si>
  <si>
    <t>BAO CĐ+ĐB (nhóm co giãn theo nLan)</t>
  </si>
  <si>
    <t>BAO SD (TH1..2·nLan)</t>
  </si>
  <si>
    <t>Thiên về an toàn: chưa trừ trọng lượng bản thân bệ + đất phủ trên phần công-xon.</t>
  </si>
  <si>
    <t>2. Kiểm toán mặt cắt bệ tại mép tường thân (phía bất lợi)</t>
  </si>
  <si>
    <t>Lực cắt tính toán Vu</t>
  </si>
  <si>
    <t>εs = (max(|Mu|;Vu·dv)/dv+Vu)/(Es·As)</t>
  </si>
  <si>
    <t>sxe = dv·35/(16+ag), ag = 20 mm</t>
  </si>
  <si>
    <t>β (PT 77/78 tùy Av ≥ Av,min)</t>
  </si>
  <si>
    <t>Vs = Av·fy·dv·cotθ/s</t>
  </si>
  <si>
    <t>KIỂM CẮT: Vr ≥ Vu</t>
  </si>
  <si>
    <t>BƯỚC ĐAI (khi kể Vs): s ≤ s max</t>
  </si>
  <si>
    <t>3. Chọc thủng cọc qua bệ (Điều 13.3.6.1) — b0 = π(D+dv), tiết diện cách mặt cọc 0,5dv</t>
  </si>
  <si>
    <t>dv bệ (mm) (lấy từ mục 2)</t>
  </si>
  <si>
    <t>b0 = π(D+dv)</t>
  </si>
  <si>
    <t>Vn = 0,33·√f'c·b0·dv (βc=1)</t>
  </si>
  <si>
    <t>Vr = 0,9·Vn (kN)</t>
  </si>
  <si>
    <t>Vu = P max 1 cọc (CĐ) (kN)</t>
  </si>
  <si>
    <t>KIỂM CHỌC THỦNG</t>
  </si>
  <si>
    <t>Cọc sát mép bệ: nếu k/c tim cọc đến mép &lt; (D+dv)/2 phải trừ phần chu vi ngoài mép (kiểm tay).</t>
  </si>
  <si>
    <t>KIỂM TOÁN TƯỜNG CÁNH — bản ngàm 2 phương, PHƯƠNG PHÁP DẢI HILLERBORG (cận dưới dẻo)</t>
  </si>
  <si>
    <t>Bản ngàm 2 cạnh kề (cạnh đứng vào thân + cạnh đáy vào bệ) là hệ SIÊU TĨNH — không tách được thành 2 công-xon 1 phương độc lập. Theo định lý cận dưới, tải được phân về 2 hệ dải với TỔNG phần tải = 100% (α + (1−α) = 1); bố trí thép theo nội lực mỗi hệ thì an toàn ULS. Phần tải ngang chọn theo tỷ lệ độ cứng công-xon α = Lz⁴/(Lx⁴+Lz⁴) (phương ngắn/cứng hút nhiều tải hơn). Hệ số tải TÁCH RIÊNG: EH ×1,5 (Bảng 4) và LS ×1,75 (Bảng 3) — KHÔNG dùng hệ số trung bình. Mô men đàn hồi &amp; độ võng khai thác nên đối chiếu FEM/ACES.</t>
  </si>
  <si>
    <t>1. Hình học (đoạn trên H4 = chữ nhật dài w1; đoạn giữa H3 = vát chéo w1→w3; đoạn dưới H2 = chữ nhật dài w3)</t>
  </si>
  <si>
    <t>Chiều cao Htc = H2+H3+H4</t>
  </si>
  <si>
    <t>Chiều dài ĐỈNH  w1 = B2 + B5</t>
  </si>
  <si>
    <t>Chiều dài ĐÁY  w3 = B2</t>
  </si>
  <si>
    <t>heq của LS (theo Htc)</t>
  </si>
  <si>
    <t>2. Bảng dải theo chiều cao (z đo từ ĐỈNH tường xuống); Lx đổi theo 3 đoạn hình học</t>
  </si>
  <si>
    <t>Dải</t>
  </si>
  <si>
    <t>z giữa (m)</t>
  </si>
  <si>
    <t>Δz (m)</t>
  </si>
  <si>
    <t>Lx (m)</t>
  </si>
  <si>
    <t>Lz=Htc−z (m)</t>
  </si>
  <si>
    <t>α=Lz⁴/(Lx⁴+Lz⁴)</t>
  </si>
  <si>
    <t>pEH (kN/m²)</t>
  </si>
  <si>
    <t>pLS (kN/m²)</t>
  </si>
  <si>
    <t>mx,u (kNm/m)</t>
  </si>
  <si>
    <t>msx (kNm/m)</t>
  </si>
  <si>
    <t>vx,u (kN/m)</t>
  </si>
  <si>
    <t>Mđáy,u góp</t>
  </si>
  <si>
    <t>Mđáy,s góp</t>
  </si>
  <si>
    <t>Vđáy,u góp</t>
  </si>
  <si>
    <t>TỔNG (Mđáy) / MAX (mx)</t>
  </si>
  <si>
    <t>mx,u/vx,u lấy GIÁ TRỊ LỚN NHẤT theo dải (thiết kế thép ngang cho dải bất lợi). Mđáy tích phân toàn chiều cao (mô men chân công-xon đứng, cánh tay đòn Htc−z).</t>
  </si>
  <si>
    <t>3. Nội lực thiết kế (trên dải rộng 1 m)</t>
  </si>
  <si>
    <t>NGÀM ĐỨNG vào thân (thép NGANG): Mu = max mx,u; Vu = max vx,u; Ms = max msx</t>
  </si>
  <si>
    <t>kNm/m</t>
  </si>
  <si>
    <t>– Vu ngàm đứng</t>
  </si>
  <si>
    <t>– Ms ngàm đứng</t>
  </si>
  <si>
    <t>NGÀM ĐÁY vào bệ (thép ĐỨNG): Mu = ΣMđáy,u; Vu = ΣVđáy,u; Ms = ΣMđáy,s</t>
  </si>
  <si>
    <t>– Vu ngàm đáy</t>
  </si>
  <si>
    <t>– Ms ngàm đáy</t>
  </si>
  <si>
    <t>4. Kiểm tiết diện NGÀM ĐỨNG — thép NGANG (b = 1000 mm cao, h = C3)</t>
  </si>
  <si>
    <t>5. Kiểm tiết diện NGÀM ĐÁY — thép ĐỨNG (b = 1000 mm rộng, h = C3)</t>
  </si>
  <si>
    <t>CẮT bản: để "Số nhánh đai" = 0 → chỉ dùng Vc (β theo sxe, Điều 8.3.4.2, bản không đai). Nếu Vc thiếu: tăng chiều dày HOẶC bố trí đai (nAv≥2, bước nhỏ) để kể Vs — mặc định nAv=2 D12@200 để thấy Vs hoạt động. Tăng thép chủ (giảm εs) cũng làm tăng β→Vc.</t>
  </si>
  <si>
    <t>Thép NGANG đặt phía đất tại mặt giáp thân; thép ĐỨNG đặt phía đất tại mặt giáp bệ. Kiểm chứng cuối nên đối chiếu FEM/ACES.</t>
  </si>
  <si>
    <t>KIỂM TOÁN TƯỜNG ĐỈNH (chắn đất sau gối) — mặt cắt chân tường đỉnh</t>
  </si>
  <si>
    <t>1. Tải trọng trên chiều cao H7, bề rộng C1</t>
  </si>
  <si>
    <t>heq tại chân tường đỉnh [m]</t>
  </si>
  <si>
    <t>EH = ½·γs·H7²·Ka·(C1/sinα) [kN]</t>
  </si>
  <si>
    <t>LS = Ka·heq·γs·H7·(C1/sinα) [kN]</t>
  </si>
  <si>
    <t>Mu = 1,5·EH·H7/3 + 1,75·LS·H7/2 [kN·m]</t>
  </si>
  <si>
    <t>Vu = 1,5·EH + 1,75·LS [kN]</t>
  </si>
  <si>
    <t>Ms = EH·H7/3 + LS·H7/2 [kN·m]</t>
  </si>
  <si>
    <t>Chưa kể lực hãm truyền qua bản quá độ (nếu có, cộng tay); tường đỉnh không chịu phản lực gối.</t>
  </si>
  <si>
    <t>2. Kiểm toán tiết diện chân tường đỉnh (b = C1/sinα, h = B7·sinα)</t>
  </si>
  <si>
    <t>GIAO TIẾP TS-COL (kiểm mặt cắt cọc) VÀ TS-CAP (sức chịu tải đất nền)</t>
  </si>
  <si>
    <t>1. DÁN nội lực đầu cọc từ TS-PILE (tấn, tấn·m) — mỗi dòng: 1 cọc / 1 tổ hợp</t>
  </si>
  <si>
    <t>P=N (t)</t>
  </si>
  <si>
    <t>Qx (t)</t>
  </si>
  <si>
    <t>Qy (t)</t>
  </si>
  <si>
    <t>Mx (t·m)</t>
  </si>
  <si>
    <t>My (t·m)</t>
  </si>
  <si>
    <t>2. BẢNG DÁN VÀO TS-COL (tự sinh từ mục 1) — copy khối B71:K130</t>
  </si>
  <si>
    <t>Item</t>
  </si>
  <si>
    <t>Pile</t>
  </si>
  <si>
    <t>Combo</t>
  </si>
  <si>
    <t>TTGH</t>
  </si>
  <si>
    <t>N (t)</t>
  </si>
  <si>
    <t>Q2 (t)</t>
  </si>
  <si>
    <t>Q3 (t)</t>
  </si>
  <si>
    <t>T (t·m)</t>
  </si>
  <si>
    <t>Mux (t·m)</t>
  </si>
  <si>
    <t>Muy (t·m)</t>
  </si>
  <si>
    <t>3. TỔNG HỢP CHO TS-CAP (sức chịu tải đất nền cọc khoan nhồi — Bảng 10, Điều 5.5.2.4 TCVN 11823-10)</t>
  </si>
  <si>
    <t>P max cọc — Cường độ (kN / tấn)</t>
  </si>
  <si>
    <t>P max cọc — Đặc biệt (kN / tấn)</t>
  </si>
  <si>
    <t>P max cọc — Sử dụng (kN / tấn)</t>
  </si>
  <si>
    <t>P min cọc — Cường độ (kN / tấn)</t>
  </si>
  <si>
    <t>P min cọc — Đặc biệt (kN / tấn)</t>
  </si>
  <si>
    <t>Điều kiện: P max ≤ φRn (TS-CAP, TTGH cường độ dùng φ Bảng 10; TTGH đặc biệt φ = 1,0; nhổ φ = 0,35/0,45).</t>
  </si>
  <si>
    <t>P min &lt; 0 → phải kiểm nhổ trong TS-CAP.</t>
  </si>
  <si>
    <t>KIỂM TOÁN CẮT THÂN MỐ THEO TỪNG TỔ HỢP N–M–V ĐỒNG THỜI</t>
  </si>
  <si>
    <t>TCVN 11823-5:2017, Điều 8.2 và 8.3.4.2. Chỉ xét các tổ hợp Cường độ đang có trong TO HOP; không đưa Đặc biệt I vào kiểm toán cắt khi không có tác động đặc biệt áp dụng.</t>
  </si>
  <si>
    <t>TỔ HỢP KHỐNG CHẾ THEO Vu/φVn</t>
  </si>
  <si>
    <t>THAM SỐ TỰ ĐỘNG</t>
  </si>
  <si>
    <t>Chỉ tiêu</t>
  </si>
  <si>
    <t>φv</t>
  </si>
  <si>
    <t>Vs từ đai khai báo (kN)</t>
  </si>
  <si>
    <t>Vp (kN)</t>
  </si>
  <si>
    <t>Nu (+ kéo; − nén) (kN)</t>
  </si>
  <si>
    <t>φVn (kN)</t>
  </si>
  <si>
    <t>ag (mm)</t>
  </si>
  <si>
    <t>Mu đồng thời (kN·m)</t>
  </si>
  <si>
    <t>Vu/φVn</t>
  </si>
  <si>
    <t>Es (MPa)</t>
  </si>
  <si>
    <t>Vu đồng thời (kN)</t>
  </si>
  <si>
    <t>Yêu cầu Av,min?</t>
  </si>
  <si>
    <t>fy (MPa)</t>
  </si>
  <si>
    <t>εs – PT80</t>
  </si>
  <si>
    <t>Cổng Av,min</t>
  </si>
  <si>
    <t>f'c (MPa)</t>
  </si>
  <si>
    <t>β – PT77/78</t>
  </si>
  <si>
    <t>smax (mm)</t>
  </si>
  <si>
    <t>bv (mm)</t>
  </si>
  <si>
    <t>θ – PT79 (độ)</t>
  </si>
  <si>
    <t>Cổng bước đai</t>
  </si>
  <si>
    <t>As dọc (mm²)</t>
  </si>
  <si>
    <t>Vc (kN)</t>
  </si>
  <si>
    <t>KẾT QUẢ</t>
  </si>
  <si>
    <t>dv (mm)</t>
  </si>
  <si>
    <t>Av thực (mm²)</t>
  </si>
  <si>
    <t>BẢNG KIỂM TRA – MỖI DÒNG DÙNG N, M, V CÙNG MỘT TỔ HỢP</t>
  </si>
  <si>
    <t>Av,min (mm²)</t>
  </si>
  <si>
    <t>STT</t>
  </si>
  <si>
    <t>Xét</t>
  </si>
  <si>
    <t>Nu
(kN)</t>
  </si>
  <si>
    <t>Mu
(kN·m)</t>
  </si>
  <si>
    <t>Vu
(kN)</t>
  </si>
  <si>
    <t>εs</t>
  </si>
  <si>
    <t>θ
(độ)</t>
  </si>
  <si>
    <t>Vc
(kN)</t>
  </si>
  <si>
    <t>Vs
(kN)</t>
  </si>
  <si>
    <t>φVn
(kN)</t>
  </si>
  <si>
    <t>Cần Av,min?</t>
  </si>
  <si>
    <t>smax
(mm)</t>
  </si>
  <si>
    <t>Cổng bước</t>
  </si>
  <si>
    <t>Kết quả</t>
  </si>
  <si>
    <t>Nguồn</t>
  </si>
  <si>
    <t>TO HOP!105</t>
  </si>
  <si>
    <t>TO HOP!106</t>
  </si>
  <si>
    <t>TO HOP!107</t>
  </si>
  <si>
    <t>TO HOP!108</t>
  </si>
  <si>
    <t>TO HOP!109</t>
  </si>
  <si>
    <t>TO HOP!110</t>
  </si>
  <si>
    <t>TO HOP!111</t>
  </si>
  <si>
    <t>TO HOP!112</t>
  </si>
  <si>
    <t>TO HOP!113</t>
  </si>
  <si>
    <t>TO HOP!114</t>
  </si>
  <si>
    <t>TO HOP!115</t>
  </si>
  <si>
    <t>TO HOP!116</t>
  </si>
  <si>
    <t>TO HOP!117</t>
  </si>
  <si>
    <t>TO HOP!118</t>
  </si>
  <si>
    <t>TO HOP!119</t>
  </si>
  <si>
    <t>TO HOP!120</t>
  </si>
  <si>
    <t>TO HOP!121</t>
  </si>
  <si>
    <t>TO HOP!122</t>
  </si>
  <si>
    <t>TO HOP!123</t>
  </si>
  <si>
    <t>TO HOP!124</t>
  </si>
  <si>
    <t>TO HOP!125</t>
  </si>
  <si>
    <t>TO HOP!126</t>
  </si>
  <si>
    <t>TO HOP!127</t>
  </si>
  <si>
    <t>TO HOP!128</t>
  </si>
  <si>
    <t>TO HOP!129</t>
  </si>
  <si>
    <t>TO HOP!130</t>
  </si>
  <si>
    <t>TO HOP!131</t>
  </si>
  <si>
    <t>TO HOP!132</t>
  </si>
  <si>
    <t>TO HOP!133</t>
  </si>
  <si>
    <t>TO HOP!134</t>
  </si>
  <si>
    <t>TO HOP!135</t>
  </si>
  <si>
    <t>TO HOP!136</t>
  </si>
  <si>
    <t>TO HOP!137</t>
  </si>
  <si>
    <t>TO HOP!138</t>
  </si>
  <si>
    <t>TO HOP!139</t>
  </si>
  <si>
    <t>TO HOP!140</t>
  </si>
  <si>
    <t>TO HOP!141</t>
  </si>
  <si>
    <t>TO HOP!142</t>
  </si>
  <si>
    <t>TO HOP!143</t>
  </si>
  <si>
    <t>TO HOP!144</t>
  </si>
  <si>
    <t>TO HOP!145</t>
  </si>
  <si>
    <t>TO HOP!146</t>
  </si>
  <si>
    <t>TO HOP!147</t>
  </si>
  <si>
    <t>TO HOP!148</t>
  </si>
  <si>
    <t>TO HOP!149</t>
  </si>
  <si>
    <t>TO HOP!150</t>
  </si>
  <si>
    <t>CÔNG THỨC VÀ PHẠM VI</t>
  </si>
  <si>
    <t>PT80</t>
  </si>
  <si>
    <t>εs = max[0; {max(|Mu|; |Vu|dv)/dv + 0,5Nu + 0,5|Vu|}/(EsAs)]. Nu dương khi kéo, âm khi nén; Vp = Aps = 0.</t>
  </si>
  <si>
    <t>Chỉ các dòng bắt đầu bằng “CĐ” được xét. Các dòng Sử dụng dùng cho nứt; Đặc biệt I chỉ xét khi có tác động đặc biệt thực sự và phải lập tổ hợp riêng đúng TCVN.</t>
  </si>
  <si>
    <t>Av,min</t>
  </si>
  <si>
    <t>Chỉ bắt buộc khi Vu &gt; 0,5φ(Vc+Vp), Điều 8.2.4. Khi bắt buộc, Av phải thỏa PT66. Vs tính từ cốt đai thực tế khai báo và chỉ được kể khi đúng hướng, neo đủ.</t>
  </si>
  <si>
    <t>TCVN 11823-5:2017: PT65, PT66, PT72–80 và Điều 8.2.7. ag = 20 mm kế thừa giả thiết đang dùng ở V11.</t>
  </si>
  <si>
    <t>TRA GIÓ TỰ ĐỘNG — TCVN 11823-3:2017, Bảng 13–14</t>
  </si>
  <si>
    <t>Cao độ mặt cầu z</t>
  </si>
  <si>
    <t>Bảng 13: I=38; II=45; III=53; IV=59 m/s.</t>
  </si>
  <si>
    <t>Loại địa hình (1/2/3)</t>
  </si>
  <si>
    <t>Tự nội suy Bảng 14; ô ghi đè chỉ dùng khi hồ sơ khí tượng/quy định dự án có giá trị riêng.</t>
  </si>
  <si>
    <t>S tự tra</t>
  </si>
  <si>
    <t>S ghi đè (0 = tự tra)</t>
  </si>
  <si>
    <t>Kết quả dùng</t>
  </si>
  <si>
    <t>Địa hình 1: lộ thiên/mặt nước; 2: rừng/nhà ≤10 m; 3: đa số nhà &gt;10 m. Cao độ ngoài 10–50 m được chặn tại biên bảng.</t>
  </si>
  <si>
    <t>Hệ số động đất ngang kh dùng cho M–O</t>
  </si>
  <si>
    <t>kh</t>
  </si>
  <si>
    <t>Mặc định A cho mố bị giữ/chuyển vị hạn chế; A/2 chỉ dùng khi chứng minh tường có thể dịch chuyển đủ.</t>
  </si>
  <si>
    <t>Chế độ kh</t>
  </si>
  <si>
    <t>mode</t>
  </si>
  <si>
    <t>A / A/2 / MANUAL</t>
  </si>
  <si>
    <t>MANUAL nhập tại J96</t>
  </si>
  <si>
    <t>kh manual</t>
  </si>
  <si>
    <t>3. Áp lực đất động Mononobe–Okabe (kh theo INPUT; kv = 0)</t>
  </si>
  <si>
    <t>A/2 không còn mặc định cứng. Chọn A/A/2/MANUAL theo khả năng chuyển vị thực của mố.</t>
  </si>
  <si>
    <t>ĐỐI CHIẾU KAE THEO HAI CHIỀU kh</t>
  </si>
  <si>
    <t>Chiều</t>
  </si>
  <si>
    <t>ψ</t>
  </si>
  <si>
    <t>KAE</t>
  </si>
  <si>
    <t>ΔEAE đáy</t>
  </si>
  <si>
    <t>ΔEAE đỉnh</t>
  </si>
  <si>
    <t>Ghi chú</t>
  </si>
  <si>
    <t>+kh</t>
  </si>
  <si>
    <t>KAE tính theo dấu kh, không lấy trị tuyệt đối.</t>
  </si>
  <si>
    <t>−kh</t>
  </si>
  <si>
    <t>ĐB I — LEGACY +100X +30Y (xem đủ 8 nhánh tại TO HOP EQ)</t>
  </si>
  <si>
    <t>ĐB I — LEGACY +100Y +30X (xem đủ 8 nhánh tại TO HOP EQ)</t>
  </si>
  <si>
    <t>ĐB I: hệ số của mọi tải đang tham gia = 1,0; EQ xét đủ 8 nhánh có dấu ở TO HOP EQ. Hai dòng trên chỉ giữ để tương thích bảng cũ.</t>
  </si>
  <si>
    <t>Bảng gốc giữ các trường hợp k=1…6 để tương thích các sheet cũ; k=7…n được tạo bằng vùng spill có vector đồng thời tại TO HOP NLAN.</t>
  </si>
  <si>
    <t>Đặc biệt I — MAX (8 nhánh ±100/±30)</t>
  </si>
  <si>
    <t>Đặc biệt I — MIN (8 nhánh ±100/±30)</t>
  </si>
  <si>
    <t>HOẠT TẢI n LÀN — VÙNG DỮ LIỆU ĐỘNG</t>
  </si>
  <si>
    <t>Vùng tên động OFFSET lấy đúng nLan; hệ số hiện diện nhiều làn theo TCVN 11823-3 Bảng 7. Không còn giới hạn nguồn 6 làn.</t>
  </si>
  <si>
    <t>BẢNG TẢI LÀN ĐỘNG</t>
  </si>
  <si>
    <t>k</t>
  </si>
  <si>
    <t>N LL</t>
  </si>
  <si>
    <t>Mx LL</t>
  </si>
  <si>
    <t>BRk</t>
  </si>
  <si>
    <t>A:H tự mở đến nLan (tối đa 40 theo INPUT); các tên vùng dùng OFFSET động.</t>
  </si>
  <si>
    <t>TỔ HỢP BỔ SUNG CHO LÀN 7…n</t>
  </si>
  <si>
    <t>Mỗi dòng giữ nguyên vector N–Mx–My đồng thời của đúng k làn. Dòng tự kích hoạt theo nLan; không nội suy/bao từng thành phần trước tổ hợp.</t>
  </si>
  <si>
    <t>Số nhóm làn nhận diện: 7</t>
  </si>
  <si>
    <t>CÁC TRƯỜNG HỢP ĐỘNG BỔ SUNG</t>
  </si>
  <si>
    <t>Nhóm</t>
  </si>
  <si>
    <t>SERVICE</t>
  </si>
  <si>
    <t>STRENGTH</t>
  </si>
  <si>
    <t>PHẢN LỰC CỌC — TỔ HỢP LÀN 7…n</t>
  </si>
  <si>
    <t>Phân phối từng vector N–Mx–My đồng thời theo giả thiết bệ cứng; kết quả được bao chung với bảng cọc gốc.</t>
  </si>
  <si>
    <t>BAO PHẢN LỰC TỪNG TỔ HỢP BỔ SUNG</t>
  </si>
  <si>
    <t>Pmax (kN)</t>
  </si>
  <si>
    <t>Pmin (kN)</t>
  </si>
  <si>
    <t>Pmax SD</t>
  </si>
  <si>
    <t>Pmin SD</t>
  </si>
  <si>
    <t>Pmax CĐ</t>
  </si>
  <si>
    <t>Pmin CĐ</t>
  </si>
  <si>
    <t>ĐẶC BIỆT I — 8 BIẾN THỂ ±100% / ±30%</t>
  </si>
  <si>
    <t>Mỗi dòng là một vector N–Mx–My đồng thời. Các tải đang tham gia ĐB I dùng hệ số 1,0; kh trong Mononobe–Okabe mang đúng dấu và biên độ thành phần X.</t>
  </si>
  <si>
    <t>TỔ HỢP ĐỘNG ĐẤT CÓ DẤU</t>
  </si>
  <si>
    <t>fX</t>
  </si>
  <si>
    <t>fY</t>
  </si>
  <si>
    <t>khX</t>
  </si>
  <si>
    <t>ψ (deg)</t>
  </si>
  <si>
    <t>+100X +30Y</t>
  </si>
  <si>
    <t>+100X −30Y</t>
  </si>
  <si>
    <t>−100X +30Y</t>
  </si>
  <si>
    <t>−100X −30Y</t>
  </si>
  <si>
    <t>+100Y +30X</t>
  </si>
  <si>
    <t>+100Y −30X</t>
  </si>
  <si>
    <t>−100Y +30X</t>
  </si>
  <si>
    <t>−100Y −30X</t>
  </si>
  <si>
    <t>Nếu mố thực sự cho phép dịch chuyển chủ động, chọn kh=A/2 ở INPUT; nếu bị cọc/gối/đất giữ, dùng A hoặc giá trị phân tích riêng. Không đổi kh bằng cách sửa công thức trong sheet này.</t>
  </si>
  <si>
    <t>6. MÔ HÌNH NỀN–CỌC TS-PILE (TỰ ĐỘNG)</t>
  </si>
  <si>
    <t>6.1 Ô NHẬP (màu xanh — sửa được; chương trình đọc)</t>
  </si>
  <si>
    <t>Thông số</t>
  </si>
  <si>
    <t>Giá trị</t>
  </si>
  <si>
    <t>USE_TSPILE (1=TS-PILE / 0=CT tắt)</t>
  </si>
  <si>
    <t>Công tắc nguồn Mục 3</t>
  </si>
  <si>
    <t>L — chiều dài cọc</t>
  </si>
  <si>
    <t>mặc định 40</t>
  </si>
  <si>
    <t>L0 — chiều dài tự do (trên MĐTN)</t>
  </si>
  <si>
    <t>mặc định 0</t>
  </si>
  <si>
    <t>f'c — cường độ BT cọc</t>
  </si>
  <si>
    <t>mặc định 30</t>
  </si>
  <si>
    <t>γc — khối lượng riêng BT</t>
  </si>
  <si>
    <t>kg/m³</t>
  </si>
  <si>
    <t>m — hệ số nền thân cọc</t>
  </si>
  <si>
    <t>T/m⁴</t>
  </si>
  <si>
    <t>m_c — hệ số nền mũi cọc</t>
  </si>
  <si>
    <t>md — hệ số nền quanh bệ</t>
  </si>
  <si>
    <t>mq — hệ số nền đáy bệ</t>
  </si>
  <si>
    <t>6.2 THÔNG SỐ DẪN XUẤT (chương trình tự tính &amp; ghi — không sửa)</t>
  </si>
  <si>
    <t>D — đường kính cọc (từ INPUT!F98)</t>
  </si>
  <si>
    <t>Loại cọc</t>
  </si>
  <si>
    <t>H = L − L0</t>
  </si>
  <si>
    <t>Diện tích tiết diện A</t>
  </si>
  <si>
    <t>m²</t>
  </si>
  <si>
    <t>Mô men quán tính J</t>
  </si>
  <si>
    <t>m⁴</t>
  </si>
  <si>
    <t>Bề rộng quy đổi Bp</t>
  </si>
  <si>
    <t>Co (hệ số nền mũi)</t>
  </si>
  <si>
    <t>Ct</t>
  </si>
  <si>
    <t>Ec — mô đun đàn hồi BT</t>
  </si>
  <si>
    <t>EA_nén = Ec</t>
  </si>
  <si>
    <t>T/m²</t>
  </si>
  <si>
    <t>EI_uốn = 0,8·Ec</t>
  </si>
  <si>
    <t>Po — sức kháng đơn vị</t>
  </si>
  <si>
    <t>T</t>
  </si>
  <si>
    <t>Kn</t>
  </si>
  <si>
    <t>α — hệ số biến dạng</t>
  </si>
  <si>
    <t>1/m</t>
  </si>
  <si>
    <t>α·H (≥4: cọc dài)</t>
  </si>
  <si>
    <t>Số cọc / Số tổ hợp</t>
  </si>
  <si>
    <t>Trạng thái chạy bridge</t>
  </si>
  <si>
    <t>6.3 PHẢN LỰC DỌC N TỪ TS-PILE (tấn) — chương trình ghi, KHÔNG sửa tay</t>
  </si>
  <si>
    <t>khoan nhồi tròn</t>
  </si>
  <si>
    <t>11 cọc / 46 TH</t>
  </si>
  <si>
    <t>P0 (nhập) — sức kháng mũi đơn vị</t>
  </si>
  <si>
    <t>tấn</t>
  </si>
  <si>
    <t>mặc định theo D: 1.0→450; 1.2→650; 1.5→900; 2.0→1500 (sửa tay được)</t>
  </si>
  <si>
    <t>Kn (nhập) — hệ số đàn hồi mũi cọc</t>
  </si>
  <si>
    <t>—</t>
  </si>
  <si>
    <t>0 nếu D≤1.0; 1 nếu D≥1.2 (sửa tay được)</t>
  </si>
  <si>
    <t>OK — 2026-08-12 18:29 (DÙNG TS-PILE)</t>
  </si>
  <si>
    <t>QA MỐ — CỔNG PHÁT HÀNH VÀ PHẠM VI ĐÃ KIỂM</t>
  </si>
  <si>
    <t>Móng cọc: kiểm thân mố, tường đỉnh, tường cánh, bệ; nội lực cọc; sức chịu tải cọc kiểm ở TS-CAP (ngoài). ĐẠT chỉ khi MỌI hạng mục áp dụng đều đạt — mục còn thiếu dữ liệu/ngoài phạm vi giữ BLOCKED.</t>
  </si>
  <si>
    <t>KẾT QUẢ RÀ SOÁT</t>
  </si>
  <si>
    <t>ID</t>
  </si>
  <si>
    <t>Hạng mục</t>
  </si>
  <si>
    <t>Trạng thái</t>
  </si>
  <si>
    <t>Phạm vi / ghi chú kỹ thuật</t>
  </si>
  <si>
    <t>Cổng</t>
  </si>
  <si>
    <t>Ảnh hưởng</t>
  </si>
  <si>
    <t>M-01</t>
  </si>
  <si>
    <t>Thân mố (uốn/thép min/nứt/cắt/co ngót)</t>
  </si>
  <si>
    <t>KT THAN + CAT THAN</t>
  </si>
  <si>
    <t>Kiểm từng tổ hợp N-M-V; cắt chi tiết ở CAT THAN</t>
  </si>
  <si>
    <t>P-M + cắt</t>
  </si>
  <si>
    <t>Thân mố</t>
  </si>
  <si>
    <t>Gồm co ngót–nhiệt (D57)</t>
  </si>
  <si>
    <t>M-02</t>
  </si>
  <si>
    <t>Tường đỉnh (uốn/thép/nứt/cắt/đai/co ngót)</t>
  </si>
  <si>
    <t>TUONG DINH</t>
  </si>
  <si>
    <t>6 hạng mục</t>
  </si>
  <si>
    <t>Uốn/cắt</t>
  </si>
  <si>
    <t>Tường đỉnh (backwall)</t>
  </si>
  <si>
    <t>M-03</t>
  </si>
  <si>
    <t>Tường cánh (2 mặt cắt: uốn/thép/nứt/cắt/đai/co ngót)</t>
  </si>
  <si>
    <t>TUONG CANH</t>
  </si>
  <si>
    <t>12 hạng mục (2 mặt cắt)</t>
  </si>
  <si>
    <t>Tường cánh (wingwall)</t>
  </si>
  <si>
    <t>M-04</t>
  </si>
  <si>
    <t>Nội lực cọc vào bệ (phản lực theo TH)</t>
  </si>
  <si>
    <t>TS-PILE → KT BE</t>
  </si>
  <si>
    <t>Phản lực cọc theo từng tổ hợp; không được toàn 0</t>
  </si>
  <si>
    <t>≠ 0</t>
  </si>
  <si>
    <t>Bệ + cọc</t>
  </si>
  <si>
    <t>N theo từng TH; đài cứng</t>
  </si>
  <si>
    <t>M-05</t>
  </si>
  <si>
    <t>Bệ mố (uốn/thép/nứt/cắt/đai/co ngót/chọc thủng)</t>
  </si>
  <si>
    <t>KT BE</t>
  </si>
  <si>
    <t>Dùng demand cọc tự động</t>
  </si>
  <si>
    <t>Uốn/nứt/cắt/chọc thủng</t>
  </si>
  <si>
    <t>Bệ móng</t>
  </si>
  <si>
    <t>7 hạng mục</t>
  </si>
  <si>
    <t>M-06</t>
  </si>
  <si>
    <t>Sức chịu tải cọc (φRn ≥ Pmax)</t>
  </si>
  <si>
    <t>TS-CAP (ngoài) + ô nhập C15</t>
  </si>
  <si>
    <t>P kiểm ở TS-CAP; dán kết luận vào ô C15 (vàng)</t>
  </si>
  <si>
    <t>Sức chịu tải nền–cọc</t>
  </si>
  <si>
    <t>Móng cọc</t>
  </si>
  <si>
    <t>Pmax tự lấy từ TS-COL-CAP</t>
  </si>
  <si>
    <t>M-07</t>
  </si>
  <si>
    <t>TỔNG THỂ — CỔNG PHÁT HÀNH</t>
  </si>
  <si>
    <t>QA MO</t>
  </si>
  <si>
    <t>Phát hành</t>
  </si>
  <si>
    <t>Toàn workbook</t>
  </si>
  <si>
    <t>ĐẠT chỉ khi mọi hạng mục áp dụng đều đạt</t>
  </si>
  <si>
    <t>NHẬP TỪ PHẦN MỀM NGOÀI (ô vàng — điền sau khi chạy TS-CAP)</t>
  </si>
  <si>
    <t>Kết luận sức chịu tải cọc TS-CAP (φRn ≥ Pmax)</t>
  </si>
  <si>
    <t>ĐẠT / KHÔNG ĐẠT</t>
  </si>
  <si>
    <t>Điền ĐẠT hoặc KHÔNG ĐẠT sau khi chạy TS-CAP; để trống = chưa kiểm → cổng M-06 giữ BLOCKED. Pmax cường độ tự lấy từ TS-COL-CAP.</t>
  </si>
  <si>
    <t>Chú giải: ĐẠT (xanh) · KHÔNG ĐẠT (đỏ) · BLOCKED = chưa đủ điều kiện/ngoài phạm vi (vàng hổ phách). Ô vàng = người dùng nhập.</t>
  </si>
  <si>
    <t>fss = Ms/(As·j·d)  [ứng suất THỰC, KHÔNG chặn]</t>
  </si>
  <si>
    <t>KIỂM NỨT: fss ≤ 0,6fy VÀ s bố trí ≤ s cho phép</t>
  </si>
  <si>
    <t>Nhiệt/co ngót/từ biến (TU/CR/SH) qua gối</t>
  </si>
  <si>
    <t>M-08</t>
  </si>
  <si>
    <t>3b. Hiệu chỉnh chu vi chọc thủng theo vị trí cọc (cọc biên/góc)</t>
  </si>
  <si>
    <t>Vị trí cọc bất lợi (TRONG/BIÊN/GÓC):</t>
  </si>
  <si>
    <t>c1 = k/c tim cọc → mép gần nhất (m):</t>
  </si>
  <si>
    <t>c2 = k/c mép phương 2 (chỉ cọc GÓC) (m):</t>
  </si>
  <si>
    <t>a = (D+dv)/2 (mm)</t>
  </si>
  <si>
    <t>b0 chu vi hiệu chỉnh (mm)</t>
  </si>
  <si>
    <t>Cờ chặn (1 = chặn/kiểm tay)</t>
  </si>
  <si>
    <t>Căn cứ khi KHÔNG áp dụng TU/CR/SH (ghi ≥15 ký tự):</t>
  </si>
  <si>
    <t>Xác nhận TU/CR/SH — chọn ÁP DỤNG / KHÔNG ÁP DỤNG ở ô C16:</t>
  </si>
  <si>
    <t>KHỐI n-LÀN: kiểm CẮT theo TỪNG tổ hợp n-làn ('TO HOP NLAN' 6:243) — chỉ tổ hợp CĐ (cổng C), giữ N/Mu/Vu ĐỒNG THỜI (rỗng khi nLan≤6)</t>
  </si>
  <si>
    <t>4. CHỌC THỦNG CỘT (THÂN MỐ) QUA BỆ §13.3.6.1 — XÉT TÍNH ÁP DỤNG</t>
  </si>
  <si>
    <t>βc = dài thân / dày thân (≈ C1/B3)</t>
  </si>
  <si>
    <t>Bề dày thân B3 (m) / bề rộng bệ ngang C1 (m)</t>
  </si>
  <si>
    <t>Kiểm CẮT 1 CHIỀU của bệ (mục 2) — cơ chế khống chế</t>
  </si>
  <si>
    <t>KẾT LUẬN (xét tính áp dụng)</t>
  </si>
  <si>
    <t>LƯU Ý: D131 phản ánh kiểm cắt 1 chiều (mục 2) — đây mới là cơ chế khống chế của bệ mố; nếu KHÔNG ĐẠT phải xử lý tại mục 2 (tăng chiều cao bệ / cấu tạo cắt), không phải bằng chọc thủng 2 chiều.</t>
  </si>
  <si>
    <t>GHI CHÚ §13.3.6.1: Chọc thủng 2 chiều quanh chu vi tới hạn chỉ khống chế với tải/gối tập trung dạng CỘT. Thân mố là TƯỜNG dài (βc&gt;&gt;2, gối dạng đường) → tải cọc truyền về thân bằng UỐN/CẮT 1 CHIỀU; không dựng chu vi chọc thủng quanh tường. Chọc thủng CỌC đơn qua bệ vẫn kiểm ở mục 3.</t>
  </si>
  <si>
    <t>INPUT!F108 + ô C16</t>
  </si>
  <si>
    <t>Trạng thái giới hạn</t>
  </si>
  <si>
    <t>Mố</t>
  </si>
  <si>
    <t>ĐẠT khi đã khai TU/CR/SH (F108) hoặc xác nhận không áp dụng (C16)</t>
  </si>
  <si>
    <t>Bao các cổng M-01…M-07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</si>
</sst>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"/>
    <numFmt numFmtId="166" formatCode="0.0000"/>
    <numFmt numFmtId="167" formatCode="0.00000"/>
    <numFmt numFmtId="168" formatCode="#,##0.000;\-#,##0.000;;"/>
    <numFmt numFmtId="169" formatCode="#,##0.000"/>
    <numFmt numFmtId="170" formatCode="#,##0.000000"/>
  </numFmts>
  <fonts count="26" x14ac:knownFonts="1">
    <font>
      <sz val="11"/>
      <color theme="1"/>
      <name val="Calibri"/>
    </font>
    <font>
      <b/>
      <sz val="13"/>
      <color rgb="FF1F3864"/>
      <name val="Times New Roman"/>
    </font>
    <font>
      <b/>
      <sz val="11"/>
      <name val="Times New Roman"/>
    </font>
    <font>
      <sz val="11"/>
      <name val="Times New Roman"/>
    </font>
    <font>
      <sz val="11"/>
      <color rgb="FF0000FF"/>
      <name val="Times New Roman"/>
    </font>
    <font>
      <b/>
      <sz val="11"/>
      <color rgb="FF2E5395"/>
      <name val="Times New Roman"/>
    </font>
    <font>
      <i/>
      <sz val="10"/>
      <color rgb="FF7F7F7F"/>
      <name val="Times New Roman"/>
    </font>
    <font>
      <b/>
      <sz val="11"/>
      <color rgb="FF006100"/>
      <name val="Times New Roman"/>
    </font>
    <font>
      <b/>
      <sz val="14"/>
      <color rgb="FFFFFFFF"/>
      <name val="Calibri"/>
    </font>
    <font>
      <i/>
      <sz val="11"/>
      <color rgb="FF333333"/>
      <name val="Calibri"/>
    </font>
    <font>
      <b/>
      <sz val="11"/>
      <color rgb="FFFFFFFF"/>
      <name val="Calibri"/>
    </font>
    <font>
      <sz val="11"/>
      <color rgb="FF0000FF"/>
      <name val="Calibri"/>
    </font>
    <font>
      <i/>
      <sz val="11"/>
      <color theme="1"/>
      <name val="Calibri"/>
    </font>
    <font>
      <b/>
      <sz val="15"/>
      <color rgb="FFFFFFFF"/>
      <name val="Calibri"/>
    </font>
    <font>
      <i/>
      <sz val="9"/>
      <color rgb="FF333333"/>
      <name val="Calibri"/>
    </font>
    <font>
      <b/>
      <sz val="11"/>
      <color theme="1"/>
      <name val="Calibri"/>
      <family val="2"/>
    </font>
    <font>
      <sz val="11"/>
      <color rgb="FF0000FF"/>
      <name val="Calibri"/>
      <family val="2"/>
    </font>
    <font>
      <sz val="11"/>
      <color rgb="FF787878"/>
      <name val="Calibri"/>
      <family val="2"/>
    </font>
    <font>
      <i/>
      <sz val="11"/>
      <color rgb="FF787878"/>
      <name val="Calibri"/>
      <family val="2"/>
    </font>
    <font>
      <i/>
      <sz val="11"/>
      <color theme="1"/>
      <name val="Calibri"/>
      <family val="2"/>
    </font>
    <font>
      <b/>
      <sz val="13"/>
      <color rgb="FFFFFFFF"/>
      <name val="Calibri"/>
      <family val="2"/>
    </font>
    <font>
      <i/>
      <sz val="9"/>
      <color theme="1"/>
      <name val="Calibri"/>
      <family val="2"/>
    </font>
    <font>
      <i/>
      <sz val="9"/>
      <color rgb="FF5A5A5A"/>
      <name val="Calibri"/>
      <family val="2"/>
    </font>
    <font>
      <b/>
      <sz val="11"/>
      <color rgb="FFFFFFFF"/>
      <name val="Calibri"/>
      <family val="2"/>
    </font>
    <font>
      <b/>
      <sz val="11"/>
      <color rgb="FF0000FF"/>
      <name val="Calibri"/>
      <family val="2"/>
    </font>
    <font>
      <b/>
      <sz val="9"/>
      <color indexed="81"/>
      <name val="Tahoma"/>
      <charset val="1"/>
    </font>
  </fonts>
  <fills count="22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D9E2F3"/>
      </patternFill>
    </fill>
    <fill>
      <patternFill patternType="solid">
        <fgColor rgb="FF17365D"/>
      </patternFill>
    </fill>
    <fill>
      <patternFill patternType="solid">
        <fgColor rgb="FFDDEBF7"/>
      </patternFill>
    </fill>
    <fill>
      <patternFill patternType="solid">
        <fgColor rgb="FF2F75B5"/>
      </patternFill>
    </fill>
    <fill>
      <patternFill patternType="solid">
        <fgColor rgb="FFE2F0D9"/>
      </patternFill>
    </fill>
    <fill>
      <patternFill patternType="solid">
        <fgColor rgb="FFF2F2F2"/>
      </patternFill>
    </fill>
    <fill>
      <patternFill patternType="solid">
        <fgColor rgb="FF2F75B5"/>
      </patternFill>
    </fill>
    <fill>
      <patternFill patternType="solid">
        <fgColor rgb="FFFFF2CC"/>
      </patternFill>
    </fill>
    <fill>
      <patternFill patternType="solid">
        <fgColor rgb="FFE2F0D9"/>
      </patternFill>
    </fill>
    <fill>
      <patternFill patternType="solid">
        <fgColor rgb="FFF2F2F2"/>
      </patternFill>
    </fill>
    <fill>
      <patternFill patternType="solid">
        <fgColor rgb="FF17365D"/>
      </patternFill>
    </fill>
    <fill>
      <patternFill patternType="solid">
        <fgColor rgb="FFDDEBF7"/>
      </patternFill>
    </fill>
    <fill>
      <patternFill patternType="solid">
        <fgColor rgb="FFDBE5F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4C7E7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/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/>
    <xf numFmtId="0" fontId="2" fillId="0" borderId="0" xfId="0" applyFont="1" applyAlignment="1">
      <alignment horizontal="center" vertical="center" wrapText="1"/>
    </xf>
    <xf numFmtId="2" fontId="4" fillId="2" borderId="1" xfId="0" applyNumberFormat="1" applyFont="1" applyFill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 wrapText="1"/>
    </xf>
    <xf numFmtId="1" fontId="3" fillId="0" borderId="1" xfId="0" applyNumberFormat="1" applyFont="1" applyBorder="1" applyAlignment="1">
      <alignment horizontal="center" vertical="center" wrapText="1"/>
    </xf>
    <xf numFmtId="0" fontId="6" fillId="0" borderId="0" xfId="0" applyFont="1"/>
    <xf numFmtId="1" fontId="4" fillId="2" borderId="1" xfId="0" applyNumberFormat="1" applyFont="1" applyFill="1" applyBorder="1" applyAlignment="1">
      <alignment horizontal="center" vertical="center" wrapText="1"/>
    </xf>
    <xf numFmtId="164" fontId="4" fillId="2" borderId="1" xfId="0" applyNumberFormat="1" applyFont="1" applyFill="1" applyBorder="1" applyAlignment="1">
      <alignment horizontal="center" vertical="center" wrapText="1"/>
    </xf>
    <xf numFmtId="165" fontId="4" fillId="2" borderId="1" xfId="0" applyNumberFormat="1" applyFont="1" applyFill="1" applyBorder="1" applyAlignment="1">
      <alignment horizontal="center" vertical="center" wrapText="1"/>
    </xf>
    <xf numFmtId="164" fontId="3" fillId="0" borderId="1" xfId="0" applyNumberFormat="1" applyFont="1" applyBorder="1" applyAlignment="1">
      <alignment horizontal="center" vertical="center" wrapText="1"/>
    </xf>
    <xf numFmtId="166" fontId="4" fillId="2" borderId="1" xfId="0" applyNumberFormat="1" applyFont="1" applyFill="1" applyBorder="1" applyAlignment="1">
      <alignment horizontal="center" vertical="center" wrapText="1"/>
    </xf>
    <xf numFmtId="165" fontId="3" fillId="0" borderId="1" xfId="0" applyNumberFormat="1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1" fontId="2" fillId="0" borderId="1" xfId="0" applyNumberFormat="1" applyFont="1" applyBorder="1" applyAlignment="1">
      <alignment horizontal="center" vertical="center" wrapText="1"/>
    </xf>
    <xf numFmtId="49" fontId="3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65" fontId="2" fillId="0" borderId="1" xfId="0" applyNumberFormat="1" applyFont="1" applyBorder="1" applyAlignment="1">
      <alignment horizontal="center" vertical="center" wrapText="1"/>
    </xf>
    <xf numFmtId="2" fontId="7" fillId="0" borderId="1" xfId="0" applyNumberFormat="1" applyFont="1" applyBorder="1" applyAlignment="1">
      <alignment horizontal="center" vertical="center" wrapText="1"/>
    </xf>
    <xf numFmtId="166" fontId="3" fillId="0" borderId="1" xfId="0" applyNumberFormat="1" applyFont="1" applyBorder="1" applyAlignment="1">
      <alignment horizontal="center" vertical="center" wrapText="1"/>
    </xf>
    <xf numFmtId="2" fontId="2" fillId="0" borderId="1" xfId="0" applyNumberFormat="1" applyFont="1" applyBorder="1" applyAlignment="1">
      <alignment horizontal="center" vertical="center" wrapText="1"/>
    </xf>
    <xf numFmtId="166" fontId="2" fillId="0" borderId="1" xfId="0" applyNumberFormat="1" applyFont="1" applyBorder="1" applyAlignment="1">
      <alignment horizontal="center" vertical="center" wrapText="1"/>
    </xf>
    <xf numFmtId="165" fontId="7" fillId="0" borderId="1" xfId="0" applyNumberFormat="1" applyFont="1" applyBorder="1" applyAlignment="1">
      <alignment horizontal="center" vertical="center" wrapText="1"/>
    </xf>
    <xf numFmtId="167" fontId="3" fillId="0" borderId="1" xfId="0" applyNumberFormat="1" applyFont="1" applyBorder="1" applyAlignment="1">
      <alignment horizontal="center" vertical="center" wrapText="1"/>
    </xf>
    <xf numFmtId="164" fontId="2" fillId="0" borderId="1" xfId="0" applyNumberFormat="1" applyFont="1" applyBorder="1" applyAlignment="1">
      <alignment horizontal="center" vertical="center" wrapText="1"/>
    </xf>
    <xf numFmtId="0" fontId="0" fillId="0" borderId="2" xfId="0" applyBorder="1" applyAlignment="1">
      <alignment vertical="center" wrapText="1"/>
    </xf>
    <xf numFmtId="164" fontId="0" fillId="7" borderId="2" xfId="0" applyNumberFormat="1" applyFill="1" applyBorder="1" applyAlignment="1">
      <alignment vertical="center" wrapText="1"/>
    </xf>
    <xf numFmtId="164" fontId="0" fillId="7" borderId="2" xfId="0" applyNumberFormat="1" applyFill="1" applyBorder="1"/>
    <xf numFmtId="0" fontId="10" fillId="4" borderId="2" xfId="0" applyFont="1" applyFill="1" applyBorder="1" applyAlignment="1">
      <alignment horizontal="center" vertical="center" wrapText="1"/>
    </xf>
    <xf numFmtId="164" fontId="10" fillId="4" borderId="2" xfId="0" applyNumberFormat="1" applyFont="1" applyFill="1" applyBorder="1" applyAlignment="1">
      <alignment horizontal="center" vertical="center" wrapText="1"/>
    </xf>
    <xf numFmtId="0" fontId="0" fillId="0" borderId="3" xfId="0" applyBorder="1" applyAlignment="1">
      <alignment vertical="center"/>
    </xf>
    <xf numFmtId="1" fontId="0" fillId="0" borderId="3" xfId="0" applyNumberFormat="1" applyBorder="1" applyAlignment="1">
      <alignment vertical="center"/>
    </xf>
    <xf numFmtId="164" fontId="0" fillId="0" borderId="3" xfId="0" applyNumberFormat="1" applyBorder="1" applyAlignment="1">
      <alignment vertical="center"/>
    </xf>
    <xf numFmtId="0" fontId="0" fillId="8" borderId="2" xfId="0" applyFill="1" applyBorder="1" applyAlignment="1">
      <alignment vertical="center" wrapText="1"/>
    </xf>
    <xf numFmtId="0" fontId="0" fillId="0" borderId="2" xfId="0" applyBorder="1" applyAlignment="1">
      <alignment wrapText="1"/>
    </xf>
    <xf numFmtId="164" fontId="11" fillId="10" borderId="2" xfId="0" applyNumberFormat="1" applyFont="1" applyFill="1" applyBorder="1" applyAlignment="1">
      <alignment wrapText="1"/>
    </xf>
    <xf numFmtId="164" fontId="0" fillId="11" borderId="2" xfId="0" applyNumberFormat="1" applyFill="1" applyBorder="1" applyAlignment="1">
      <alignment wrapText="1"/>
    </xf>
    <xf numFmtId="0" fontId="10" fillId="9" borderId="2" xfId="0" applyFont="1" applyFill="1" applyBorder="1" applyAlignment="1">
      <alignment vertical="center" wrapText="1"/>
    </xf>
    <xf numFmtId="168" fontId="0" fillId="0" borderId="2" xfId="0" applyNumberFormat="1" applyBorder="1" applyAlignment="1">
      <alignment wrapText="1"/>
    </xf>
    <xf numFmtId="168" fontId="0" fillId="0" borderId="0" xfId="0" applyNumberFormat="1"/>
    <xf numFmtId="169" fontId="0" fillId="0" borderId="2" xfId="0" applyNumberFormat="1" applyBorder="1" applyAlignment="1">
      <alignment wrapText="1"/>
    </xf>
    <xf numFmtId="0" fontId="2" fillId="0" borderId="2" xfId="0" applyFont="1" applyBorder="1" applyAlignment="1">
      <alignment horizontal="center" vertical="center" wrapText="1"/>
    </xf>
    <xf numFmtId="164" fontId="3" fillId="0" borderId="2" xfId="0" applyNumberFormat="1" applyFont="1" applyBorder="1" applyAlignment="1">
      <alignment horizontal="center" vertical="center" wrapText="1"/>
    </xf>
    <xf numFmtId="0" fontId="3" fillId="0" borderId="2" xfId="0" applyFont="1" applyBorder="1" applyAlignment="1">
      <alignment wrapText="1"/>
    </xf>
    <xf numFmtId="0" fontId="6" fillId="0" borderId="2" xfId="0" applyFont="1" applyBorder="1" applyAlignment="1">
      <alignment wrapText="1"/>
    </xf>
    <xf numFmtId="0" fontId="11" fillId="10" borderId="2" xfId="0" applyFont="1" applyFill="1" applyBorder="1" applyAlignment="1">
      <alignment wrapText="1"/>
    </xf>
    <xf numFmtId="166" fontId="11" fillId="10" borderId="2" xfId="0" applyNumberFormat="1" applyFont="1" applyFill="1" applyBorder="1" applyAlignment="1">
      <alignment wrapText="1"/>
    </xf>
    <xf numFmtId="170" fontId="0" fillId="11" borderId="2" xfId="0" applyNumberFormat="1" applyFill="1" applyBorder="1" applyAlignment="1">
      <alignment wrapText="1"/>
    </xf>
    <xf numFmtId="169" fontId="0" fillId="11" borderId="2" xfId="0" applyNumberFormat="1" applyFill="1" applyBorder="1" applyAlignment="1">
      <alignment wrapText="1"/>
    </xf>
    <xf numFmtId="0" fontId="15" fillId="0" borderId="0" xfId="0" applyFont="1"/>
    <xf numFmtId="0" fontId="15" fillId="15" borderId="0" xfId="0" applyFont="1" applyFill="1"/>
    <xf numFmtId="0" fontId="16" fillId="16" borderId="0" xfId="0" applyFont="1" applyFill="1"/>
    <xf numFmtId="0" fontId="17" fillId="0" borderId="0" xfId="0" applyFont="1"/>
    <xf numFmtId="0" fontId="18" fillId="0" borderId="0" xfId="0" applyFont="1"/>
    <xf numFmtId="0" fontId="19" fillId="0" borderId="0" xfId="0" applyFont="1"/>
    <xf numFmtId="2" fontId="0" fillId="0" borderId="0" xfId="0" applyNumberFormat="1"/>
    <xf numFmtId="49" fontId="18" fillId="0" borderId="0" xfId="0" applyNumberFormat="1" applyFont="1"/>
    <xf numFmtId="0" fontId="15" fillId="19" borderId="4" xfId="0" applyFont="1" applyFill="1" applyBorder="1" applyAlignment="1">
      <alignment horizontal="left"/>
    </xf>
    <xf numFmtId="0" fontId="24" fillId="21" borderId="5" xfId="0" applyFont="1" applyFill="1" applyBorder="1"/>
    <xf numFmtId="0" fontId="21" fillId="0" borderId="0" xfId="0" applyFont="1"/>
    <xf numFmtId="0" fontId="15" fillId="0" borderId="4" xfId="0" applyFont="1" applyBorder="1" applyAlignment="1">
      <alignment vertical="top"/>
    </xf>
    <xf numFmtId="0" fontId="0" fillId="0" borderId="4" xfId="0" applyBorder="1" applyAlignment="1">
      <alignment vertical="top" wrapText="1"/>
    </xf>
    <xf numFmtId="0" fontId="15" fillId="0" borderId="4" xfId="0" applyFont="1" applyBorder="1" applyAlignment="1">
      <alignment vertical="top" wrapText="1"/>
    </xf>
    <xf numFmtId="0" fontId="0" fillId="0" borderId="4" xfId="0" applyBorder="1" applyAlignment="1">
      <alignment vertical="top"/>
    </xf>
    <xf numFmtId="0" fontId="15" fillId="20" borderId="4" xfId="0" applyFont="1" applyFill="1" applyBorder="1" applyAlignment="1">
      <alignment vertical="top"/>
    </xf>
    <xf numFmtId="0" fontId="15" fillId="20" borderId="4" xfId="0" applyFont="1" applyFill="1" applyBorder="1" applyAlignment="1">
      <alignment vertical="top" wrapText="1"/>
    </xf>
    <xf numFmtId="0" fontId="0" fillId="21" borderId="0" xfId="0" applyFill="1"/>
    <xf numFmtId="0" fontId="0" fillId="7" borderId="2" xfId="0" applyFill="1" applyBorder="1" applyAlignment="1">
      <alignment vertical="center" wrapText="1"/>
    </xf>
    <xf numFmtId="0" fontId="0" fillId="0" borderId="0" xfId="0"/>
    <xf numFmtId="0" fontId="20" fillId="17" borderId="0" xfId="0" applyFont="1" applyFill="1"/>
    <xf numFmtId="0" fontId="22" fillId="0" borderId="0" xfId="0" applyFont="1" applyAlignment="1">
      <alignment wrapText="1"/>
    </xf>
    <xf numFmtId="0" fontId="0" fillId="0" borderId="0" xfId="0" applyAlignment="1">
      <alignment wrapText="1"/>
    </xf>
    <xf numFmtId="0" fontId="23" fillId="18" borderId="0" xfId="0" applyFont="1" applyFill="1"/>
    <xf numFmtId="0" fontId="22" fillId="0" borderId="0" xfId="0" applyFont="1"/>
    <xf numFmtId="0" fontId="0" fillId="21" borderId="0" xfId="0" applyFill="1"/>
    <xf numFmtId="0" fontId="10" fillId="9" borderId="0" xfId="0" applyFont="1" applyFill="1"/>
    <xf numFmtId="0" fontId="12" fillId="12" borderId="0" xfId="0" applyFont="1" applyFill="1" applyAlignment="1">
      <alignment wrapText="1"/>
    </xf>
    <xf numFmtId="0" fontId="0" fillId="8" borderId="2" xfId="0" applyFill="1" applyBorder="1" applyAlignment="1">
      <alignment vertical="center" wrapText="1"/>
    </xf>
    <xf numFmtId="0" fontId="10" fillId="6" borderId="0" xfId="0" applyFont="1" applyFill="1"/>
    <xf numFmtId="164" fontId="10" fillId="6" borderId="2" xfId="0" applyNumberFormat="1" applyFont="1" applyFill="1" applyBorder="1"/>
    <xf numFmtId="0" fontId="0" fillId="0" borderId="2" xfId="0" applyBorder="1" applyAlignment="1">
      <alignment vertical="center" wrapText="1"/>
    </xf>
    <xf numFmtId="0" fontId="8" fillId="4" borderId="0" xfId="0" applyFont="1" applyFill="1" applyAlignment="1">
      <alignment horizontal="center" vertical="center"/>
    </xf>
    <xf numFmtId="0" fontId="9" fillId="5" borderId="0" xfId="0" applyFont="1" applyFill="1" applyAlignment="1">
      <alignment vertical="center" wrapText="1"/>
    </xf>
    <xf numFmtId="0" fontId="10" fillId="6" borderId="2" xfId="0" applyFont="1" applyFill="1" applyBorder="1" applyAlignment="1">
      <alignment vertical="center" wrapText="1"/>
    </xf>
    <xf numFmtId="0" fontId="13" fillId="13" borderId="0" xfId="0" applyFont="1" applyFill="1" applyAlignment="1">
      <alignment vertical="center"/>
    </xf>
    <xf numFmtId="0" fontId="14" fillId="14" borderId="0" xfId="0" applyFont="1" applyFill="1" applyAlignment="1">
      <alignment vertical="center" wrapText="1"/>
    </xf>
    <xf numFmtId="0" fontId="0" fillId="12" borderId="0" xfId="0" applyFill="1" applyAlignment="1">
      <alignment wrapText="1"/>
    </xf>
  </cellXfs>
  <cellStyles count="1">
    <cellStyle name="Normal" xfId="0" builtinId="0"/>
  </cellStyles>
  <dxfs count="74">
    <dxf>
      <font>
        <color rgb="FF666666"/>
      </font>
      <fill>
        <patternFill>
          <bgColor rgb="FFF2F2F2"/>
        </patternFill>
      </fill>
    </dxf>
    <dxf>
      <font>
        <b/>
        <color rgb="FF006100"/>
      </font>
      <fill>
        <patternFill>
          <bgColor rgb="FFC6E0B4"/>
        </patternFill>
      </fill>
    </dxf>
    <dxf>
      <font>
        <b/>
        <color rgb="FF9C0006"/>
      </font>
      <fill>
        <patternFill>
          <bgColor rgb="FFF4CCCC"/>
        </patternFill>
      </fill>
    </dxf>
    <dxf>
      <font>
        <color rgb="FF666666"/>
      </font>
      <fill>
        <patternFill>
          <bgColor rgb="FFF2F2F2"/>
        </patternFill>
      </fill>
    </dxf>
    <dxf>
      <font>
        <b/>
        <color rgb="FF006100"/>
      </font>
      <fill>
        <patternFill>
          <bgColor rgb="FFC6E0B4"/>
        </patternFill>
      </fill>
    </dxf>
    <dxf>
      <font>
        <b/>
        <color rgb="FF9C0006"/>
      </font>
      <fill>
        <patternFill>
          <bgColor rgb="FFF4CCCC"/>
        </patternFill>
      </fill>
    </dxf>
    <dxf>
      <font>
        <color rgb="FF666666"/>
      </font>
      <fill>
        <patternFill>
          <bgColor rgb="FFF2F2F2"/>
        </patternFill>
      </fill>
    </dxf>
    <dxf>
      <font>
        <b/>
        <color rgb="FF006100"/>
      </font>
      <fill>
        <patternFill>
          <bgColor rgb="FFC6E0B4"/>
        </patternFill>
      </fill>
    </dxf>
    <dxf>
      <font>
        <b/>
        <color rgb="FF9C0006"/>
      </font>
      <fill>
        <patternFill>
          <bgColor rgb="FFF4CCCC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b/>
        <color rgb="FF9C0006"/>
        <name val="Times New Roman"/>
      </font>
      <fill>
        <patternFill>
          <bgColor rgb="FFFFC7CE"/>
        </patternFill>
      </fill>
    </dxf>
    <dxf>
      <font>
        <b/>
        <color rgb="FF006100"/>
        <name val="Times New Roman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110</xdr:row>
      <xdr:rowOff>0</xdr:rowOff>
    </xdr:from>
    <xdr:ext cx="15011400" cy="7572375"/>
    <xdr:pic>
      <xdr:nvPicPr>
        <xdr:cNvPr id="2" name="/xl/media/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114</xdr:row>
      <xdr:rowOff>0</xdr:rowOff>
    </xdr:from>
    <xdr:to>
      <xdr:col>8</xdr:col>
      <xdr:colOff>203200</xdr:colOff>
      <xdr:row>116</xdr:row>
      <xdr:rowOff>66040</xdr:rowOff>
    </xdr:to>
    <xdr:sp macro="ChayTSPile" textlink="">
      <xdr:nvSpPr>
        <xdr:cNvPr id="2" name="btnChayTSPile">
          <a:extLst>
            <a:ext uri="{FF2B5EF4-FFF2-40B4-BE49-F238E27FC236}">
              <a16:creationId xmlns:a16="http://schemas.microsoft.com/office/drawing/2014/main" id="{1F5BE4E9-1D2D-6FBE-1E4B-64D6704563AC}"/>
            </a:ext>
          </a:extLst>
        </xdr:cNvPr>
        <xdr:cNvSpPr/>
      </xdr:nvSpPr>
      <xdr:spPr>
        <a:xfrm>
          <a:off x="2941320" y="23576280"/>
          <a:ext cx="2794000" cy="431800"/>
        </a:xfrm>
        <a:prstGeom prst="roundRect">
          <a:avLst/>
        </a:prstGeom>
        <a:solidFill>
          <a:srgbClr val="368A30"/>
        </a:solidFill>
        <a:ln>
          <a:solidFill>
            <a:srgbClr val="1245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FFFFFF"/>
              </a:solidFill>
            </a:rPr>
            <a:t>▶ CHẠY TS-PILE — điền kết quả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C2265-AC33-4724-A8C6-D3998C052BCC}">
  <dimension ref="A1:H18"/>
  <sheetViews>
    <sheetView tabSelected="1" workbookViewId="0">
      <selection activeCell="C16" sqref="C16"/>
    </sheetView>
  </sheetViews>
  <sheetFormatPr defaultRowHeight="14.4" x14ac:dyDescent="0.3"/>
  <cols>
    <col min="1" max="1" width="8.77734375" customWidth="1"/>
    <col min="2" max="2" width="40.77734375" customWidth="1"/>
    <col min="3" max="3" width="34.77734375" customWidth="1"/>
    <col min="4" max="4" width="22.77734375" customWidth="1"/>
    <col min="5" max="5" width="40.77734375" customWidth="1"/>
    <col min="6" max="7" width="18.77734375" customWidth="1"/>
    <col min="8" max="8" width="26.77734375" customWidth="1"/>
  </cols>
  <sheetData>
    <row r="1" spans="1:8" ht="24" customHeight="1" x14ac:dyDescent="0.35">
      <c r="A1" s="75" t="s">
        <v>963</v>
      </c>
      <c r="B1" s="74"/>
      <c r="C1" s="74"/>
      <c r="D1" s="74"/>
      <c r="E1" s="74"/>
      <c r="F1" s="74"/>
      <c r="G1" s="74"/>
      <c r="H1" s="74"/>
    </row>
    <row r="2" spans="1:8" ht="28.05" customHeight="1" x14ac:dyDescent="0.3">
      <c r="A2" s="76" t="s">
        <v>964</v>
      </c>
      <c r="B2" s="77"/>
      <c r="C2" s="77"/>
      <c r="D2" s="77"/>
      <c r="E2" s="77"/>
      <c r="F2" s="77"/>
      <c r="G2" s="77"/>
      <c r="H2" s="77"/>
    </row>
    <row r="4" spans="1:8" x14ac:dyDescent="0.3">
      <c r="A4" s="78" t="s">
        <v>965</v>
      </c>
      <c r="B4" s="74"/>
      <c r="C4" s="74"/>
      <c r="D4" s="74"/>
      <c r="E4" s="74"/>
      <c r="F4" s="74"/>
      <c r="G4" s="74"/>
      <c r="H4" s="74"/>
    </row>
    <row r="5" spans="1:8" ht="16.05" customHeight="1" x14ac:dyDescent="0.3">
      <c r="A5" s="63" t="s">
        <v>966</v>
      </c>
      <c r="B5" s="63" t="s">
        <v>967</v>
      </c>
      <c r="C5" s="63" t="s">
        <v>968</v>
      </c>
      <c r="D5" s="63" t="s">
        <v>782</v>
      </c>
      <c r="E5" s="63" t="s">
        <v>969</v>
      </c>
      <c r="F5" s="63" t="s">
        <v>970</v>
      </c>
      <c r="G5" s="63" t="s">
        <v>971</v>
      </c>
      <c r="H5" s="63" t="s">
        <v>861</v>
      </c>
    </row>
    <row r="6" spans="1:8" ht="28.8" x14ac:dyDescent="0.3">
      <c r="A6" s="66" t="s">
        <v>972</v>
      </c>
      <c r="B6" s="67" t="s">
        <v>973</v>
      </c>
      <c r="C6" s="68" t="str">
        <f>IF(OR(COUNTIF('KT THAN'!$D$2:$D$60,"*KHÔNG ĐẠT*")&gt;0,'CAT THAN'!$F$12="KHÔNG ĐẠT"),"KHÔNG ĐẠT",IF(AND(COUNTIF('KT THAN'!$D$2:$D$60,"ĐẠT")&gt;=5,'CAT THAN'!$F$12="ĐẠT"),"ĐẠT","BLOCKED — THIẾU KẾT LUẬN"))</f>
        <v>KHÔNG ĐẠT</v>
      </c>
      <c r="D6" s="69" t="s">
        <v>974</v>
      </c>
      <c r="E6" s="67" t="s">
        <v>975</v>
      </c>
      <c r="F6" s="69" t="s">
        <v>976</v>
      </c>
      <c r="G6" s="69" t="s">
        <v>977</v>
      </c>
      <c r="H6" s="67" t="s">
        <v>978</v>
      </c>
    </row>
    <row r="7" spans="1:8" x14ac:dyDescent="0.3">
      <c r="A7" s="66" t="s">
        <v>979</v>
      </c>
      <c r="B7" s="67" t="s">
        <v>980</v>
      </c>
      <c r="C7" s="68" t="str">
        <f>IF(COUNTIF('TUONG DINH'!$D$2:$D$64,"*KHÔNG ĐẠT*")&gt;0,"KHÔNG ĐẠT",IF(COUNTIF('TUONG DINH'!$D$2:$D$64,"ĐẠT")&gt;=6,"ĐẠT","BLOCKED — THIẾU KẾT LUẬN"))</f>
        <v>ĐẠT</v>
      </c>
      <c r="D7" s="69" t="s">
        <v>981</v>
      </c>
      <c r="E7" s="67" t="s">
        <v>982</v>
      </c>
      <c r="F7" s="69" t="s">
        <v>983</v>
      </c>
      <c r="G7" s="69" t="s">
        <v>984</v>
      </c>
      <c r="H7" s="67" t="s">
        <v>960</v>
      </c>
    </row>
    <row r="8" spans="1:8" ht="28.8" x14ac:dyDescent="0.3">
      <c r="A8" s="66" t="s">
        <v>985</v>
      </c>
      <c r="B8" s="67" t="s">
        <v>986</v>
      </c>
      <c r="C8" s="68" t="str">
        <f>IF(COUNTIF('TUONG CANH'!$D$2:$D$143,"*KHÔNG ĐẠT*")&gt;0,"KHÔNG ĐẠT",IF(COUNTIF('TUONG CANH'!$D$2:$D$143,"ĐẠT")&gt;=12,"ĐẠT","BLOCKED — THIẾU KẾT LUẬN"))</f>
        <v>KHÔNG ĐẠT</v>
      </c>
      <c r="D8" s="69" t="s">
        <v>987</v>
      </c>
      <c r="E8" s="67" t="s">
        <v>988</v>
      </c>
      <c r="F8" s="69" t="s">
        <v>983</v>
      </c>
      <c r="G8" s="69" t="s">
        <v>989</v>
      </c>
      <c r="H8" s="67" t="s">
        <v>960</v>
      </c>
    </row>
    <row r="9" spans="1:8" ht="28.8" x14ac:dyDescent="0.3">
      <c r="A9" s="66" t="s">
        <v>990</v>
      </c>
      <c r="B9" s="67" t="s">
        <v>991</v>
      </c>
      <c r="C9" s="68" t="str">
        <f>IF(COUNTIF('TS-PILE'!$C$108:$AV$111,"&lt;&gt;0")&gt;0,"ĐẠT — CÓ NỘI LỰC CỌC","BLOCKED — CHƯA CÓ PHẢN LỰC CỌC")</f>
        <v>ĐẠT — CÓ NỘI LỰC CỌC</v>
      </c>
      <c r="D9" s="69" t="s">
        <v>992</v>
      </c>
      <c r="E9" s="67" t="s">
        <v>993</v>
      </c>
      <c r="F9" s="69" t="s">
        <v>994</v>
      </c>
      <c r="G9" s="69" t="s">
        <v>995</v>
      </c>
      <c r="H9" s="67" t="s">
        <v>996</v>
      </c>
    </row>
    <row r="10" spans="1:8" ht="28.8" x14ac:dyDescent="0.3">
      <c r="A10" s="66" t="s">
        <v>997</v>
      </c>
      <c r="B10" s="67" t="s">
        <v>998</v>
      </c>
      <c r="C10" s="68" t="str">
        <f>IF(COUNTIF('KT BE'!$D$2:$D$120,"*KHÔNG ĐẠT*")&gt;0,"KHÔNG ĐẠT",IF(COUNTIF('KT BE'!$D$2:$D$120,"ĐẠT")&gt;=7,"ĐẠT","BLOCKED — THIẾU KẾT LUẬN"))</f>
        <v>KHÔNG ĐẠT</v>
      </c>
      <c r="D10" s="69" t="s">
        <v>999</v>
      </c>
      <c r="E10" s="67" t="s">
        <v>1000</v>
      </c>
      <c r="F10" s="69" t="s">
        <v>1001</v>
      </c>
      <c r="G10" s="69" t="s">
        <v>1002</v>
      </c>
      <c r="H10" s="67" t="s">
        <v>1003</v>
      </c>
    </row>
    <row r="11" spans="1:8" ht="28.8" x14ac:dyDescent="0.3">
      <c r="A11" s="66" t="s">
        <v>1004</v>
      </c>
      <c r="B11" s="67" t="s">
        <v>1005</v>
      </c>
      <c r="C11" s="68" t="str">
        <f>IF($C$15="ĐẠT","ĐẠT — THEO TS-CAP",IF($C$15="KHÔNG ĐẠT","KHÔNG ĐẠT — THEO TS-CAP","BLOCKED — DÁN KẾT LUẬN φRn TỪ TS-CAP; Pmax CĐ="&amp;ROUND('TS-COL-CAP'!$E$134,1)&amp;" t"))</f>
        <v>BLOCKED — DÁN KẾT LUẬN φRn TỪ TS-CAP; Pmax CĐ=641.4 t</v>
      </c>
      <c r="D11" s="69" t="s">
        <v>1006</v>
      </c>
      <c r="E11" s="67" t="s">
        <v>1007</v>
      </c>
      <c r="F11" s="69" t="s">
        <v>1008</v>
      </c>
      <c r="G11" s="69" t="s">
        <v>1009</v>
      </c>
      <c r="H11" s="67" t="s">
        <v>1010</v>
      </c>
    </row>
    <row r="12" spans="1:8" ht="43.2" x14ac:dyDescent="0.3">
      <c r="A12" s="70" t="s">
        <v>1011</v>
      </c>
      <c r="B12" s="71" t="s">
        <v>1024</v>
      </c>
      <c r="C12" s="71" t="str">
        <f>IF(TU_H&lt;&gt;0,"ĐẠT — ĐÃ KHAI TU/CR/SH (INPUT!F108)",IF(AND($C$16="KHÔNG ÁP DỤNG",LEN(TRIM($C$17))&gt;=15),"ĐẠT — KHÔNG ÁP DỤNG (có căn cứ)",IF($C$16="ÁP DỤNG","BLOCKED — Đã chọn ÁP DỤNG nhưng chưa khai INPUT!F108","BLOCKED — Chọn C16: ÁP DỤNG (rồi khai INPUT!F108) hoặc KHÔNG ÁP DỤNG (ghi căn cứ ≥15 ký tự ở C17)")))</f>
        <v>BLOCKED — Chọn C16: ÁP DỤNG (rồi khai INPUT!F108) hoặc KHÔNG ÁP DỤNG (ghi căn cứ ≥15 ký tự ở C17)</v>
      </c>
      <c r="D12" s="70" t="s">
        <v>1043</v>
      </c>
      <c r="E12" s="71" t="s">
        <v>1024</v>
      </c>
      <c r="F12" s="70" t="s">
        <v>1044</v>
      </c>
      <c r="G12" s="70" t="s">
        <v>1045</v>
      </c>
      <c r="H12" s="71" t="s">
        <v>1046</v>
      </c>
    </row>
    <row r="13" spans="1:8" ht="28.8" x14ac:dyDescent="0.3">
      <c r="A13" t="s">
        <v>1025</v>
      </c>
      <c r="B13" t="s">
        <v>1012</v>
      </c>
      <c r="C13" s="71" t="str">
        <f>IF(OR(nLan&gt;40,nLan&lt;1,nLan&lt;&gt;INT(nLan)),"BLOCKED — nLan="&amp;nLan&amp;" NGOÀI [1..40] (engine chỉ có tổ hợp tới 40 làn)",IF(OR(SUMPRODUCT(--ISERROR(C6:C12))&gt;0,COUNTIF(C6:C12,"*BLOCKED*")&gt;0,COUNTIF(C6:C12,"*KHÔNG ĐẠT*")&gt;0),"BLOCKED — CHƯA ĐỦ ĐIỀU KIỆN PHÁT HÀNH","ĐẠT"))</f>
        <v>BLOCKED — CHƯA ĐỦ ĐIỀU KIỆN PHÁT HÀNH</v>
      </c>
      <c r="D13" t="s">
        <v>1013</v>
      </c>
      <c r="E13" t="s">
        <v>1047</v>
      </c>
      <c r="F13" t="s">
        <v>1014</v>
      </c>
      <c r="G13" t="s">
        <v>1015</v>
      </c>
      <c r="H13" t="s">
        <v>1016</v>
      </c>
    </row>
    <row r="14" spans="1:8" ht="15" thickBot="1" x14ac:dyDescent="0.35">
      <c r="A14" s="78" t="s">
        <v>1017</v>
      </c>
      <c r="B14" s="74"/>
      <c r="C14" s="74"/>
      <c r="D14" s="74"/>
      <c r="E14" s="74"/>
      <c r="F14" s="74"/>
      <c r="G14" s="74"/>
      <c r="H14" s="74"/>
    </row>
    <row r="15" spans="1:8" ht="28.05" customHeight="1" thickBot="1" x14ac:dyDescent="0.35">
      <c r="A15" s="77" t="s">
        <v>1018</v>
      </c>
      <c r="B15" s="77"/>
      <c r="C15" s="64"/>
      <c r="D15" s="65" t="s">
        <v>1019</v>
      </c>
      <c r="E15" s="76" t="s">
        <v>1020</v>
      </c>
      <c r="F15" s="77"/>
      <c r="G15" s="77"/>
      <c r="H15" s="77"/>
    </row>
    <row r="16" spans="1:8" ht="15" thickBot="1" x14ac:dyDescent="0.35">
      <c r="A16" t="s">
        <v>1034</v>
      </c>
      <c r="C16" s="64"/>
    </row>
    <row r="17" spans="1:8" x14ac:dyDescent="0.3">
      <c r="A17" s="79" t="s">
        <v>1033</v>
      </c>
      <c r="B17" s="79"/>
      <c r="C17" s="80"/>
      <c r="D17" s="80"/>
      <c r="E17" s="80"/>
      <c r="F17" s="80"/>
      <c r="G17" s="80"/>
      <c r="H17" s="80"/>
    </row>
    <row r="18" spans="1:8" x14ac:dyDescent="0.3">
      <c r="A18" s="74" t="s">
        <v>1021</v>
      </c>
      <c r="B18" s="74"/>
      <c r="C18" s="74"/>
      <c r="D18" s="74"/>
      <c r="E18" s="74"/>
      <c r="F18" s="74"/>
      <c r="G18" s="74"/>
      <c r="H18" s="74"/>
    </row>
  </sheetData>
  <mergeCells count="9">
    <mergeCell ref="A18:H18"/>
    <mergeCell ref="A1:H1"/>
    <mergeCell ref="A2:H2"/>
    <mergeCell ref="A4:H4"/>
    <mergeCell ref="A14:H14"/>
    <mergeCell ref="A15:B15"/>
    <mergeCell ref="E15:H15"/>
    <mergeCell ref="A17:B17"/>
    <mergeCell ref="C17:H17"/>
  </mergeCells>
  <conditionalFormatting sqref="C6:C13">
    <cfRule type="expression" dxfId="73" priority="1" stopIfTrue="1">
      <formula>ISNUMBER(SEARCH("KHÔNG ĐẠT",C6))</formula>
    </cfRule>
    <cfRule type="expression" dxfId="72" priority="2" stopIfTrue="1">
      <formula>ISNUMBER(SEARCH("BLOCKED",C6))</formula>
    </cfRule>
    <cfRule type="expression" dxfId="71" priority="3" stopIfTrue="1">
      <formula>AND(ISNUMBER(SEARCH("ĐẠT",C6)),NOT(ISNUMBER(SEARCH("KHÔNG",C6))),NOT(ISNUMBER(SEARCH("BLOCKED",C6))))</formula>
    </cfRule>
  </conditionalFormatting>
  <dataValidations count="1">
    <dataValidation type="list" allowBlank="1" showInputMessage="1" showErrorMessage="1" promptTitle="TU/CR/SH" prompt="ÁP DỤNG → khai tải TU/CR/SH tại INPUT!F108. KHÔNG ÁP DỤNG → bắt buộc ghi căn cứ kỹ thuật ≥15 ký tự ở C17." sqref="C16" xr:uid="{DD619A27-AFC0-4F89-AEA3-9CE3139CCAED}">
      <formula1>"ÁP DỤNG,KHÔNG ÁP DỤNG"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19"/>
  <sheetViews>
    <sheetView workbookViewId="0"/>
  </sheetViews>
  <sheetFormatPr defaultRowHeight="14.4" x14ac:dyDescent="0.3"/>
  <cols>
    <col min="1" max="1" width="3" customWidth="1"/>
    <col min="2" max="2" width="120" customWidth="1"/>
  </cols>
  <sheetData>
    <row r="2" spans="2:2" ht="16.8" x14ac:dyDescent="0.3">
      <c r="B2" s="1" t="s">
        <v>0</v>
      </c>
    </row>
    <row r="4" spans="2:2" x14ac:dyDescent="0.3">
      <c r="B4" s="2" t="s">
        <v>1</v>
      </c>
    </row>
    <row r="5" spans="2:2" x14ac:dyDescent="0.3">
      <c r="B5" s="3" t="s">
        <v>2</v>
      </c>
    </row>
    <row r="6" spans="2:2" x14ac:dyDescent="0.3">
      <c r="B6" s="3" t="s">
        <v>3</v>
      </c>
    </row>
    <row r="7" spans="2:2" x14ac:dyDescent="0.3">
      <c r="B7" s="3" t="s">
        <v>4</v>
      </c>
    </row>
    <row r="8" spans="2:2" ht="27.6" x14ac:dyDescent="0.3">
      <c r="B8" s="3" t="s">
        <v>5</v>
      </c>
    </row>
    <row r="9" spans="2:2" x14ac:dyDescent="0.3">
      <c r="B9" s="3" t="s">
        <v>6</v>
      </c>
    </row>
    <row r="10" spans="2:2" ht="27.6" x14ac:dyDescent="0.3">
      <c r="B10" s="3" t="s">
        <v>7</v>
      </c>
    </row>
    <row r="12" spans="2:2" x14ac:dyDescent="0.3">
      <c r="B12" s="2" t="s">
        <v>8</v>
      </c>
    </row>
    <row r="13" spans="2:2" ht="27.6" x14ac:dyDescent="0.3">
      <c r="B13" s="3" t="s">
        <v>9</v>
      </c>
    </row>
    <row r="14" spans="2:2" x14ac:dyDescent="0.3">
      <c r="B14" s="3" t="s">
        <v>10</v>
      </c>
    </row>
    <row r="15" spans="2:2" x14ac:dyDescent="0.3">
      <c r="B15" s="3" t="s">
        <v>11</v>
      </c>
    </row>
    <row r="16" spans="2:2" x14ac:dyDescent="0.3">
      <c r="B16" s="3" t="s">
        <v>12</v>
      </c>
    </row>
    <row r="18" spans="2:2" x14ac:dyDescent="0.3">
      <c r="B18" s="2" t="s">
        <v>13</v>
      </c>
    </row>
    <row r="19" spans="2:2" ht="41.4" x14ac:dyDescent="0.3">
      <c r="B19" s="3" t="s">
        <v>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O110"/>
  <sheetViews>
    <sheetView workbookViewId="0"/>
  </sheetViews>
  <sheetFormatPr defaultRowHeight="14.4" x14ac:dyDescent="0.3"/>
  <cols>
    <col min="1" max="1" width="2" customWidth="1"/>
    <col min="2" max="2" width="14" customWidth="1"/>
    <col min="3" max="3" width="22" customWidth="1"/>
    <col min="4" max="5" width="16" customWidth="1"/>
    <col min="6" max="6" width="13" customWidth="1"/>
    <col min="7" max="7" width="9" customWidth="1"/>
    <col min="8" max="8" width="60" customWidth="1"/>
    <col min="9" max="11" width="18" customWidth="1"/>
    <col min="12" max="15" width="11" customWidth="1"/>
  </cols>
  <sheetData>
    <row r="2" spans="2:8" ht="16.8" x14ac:dyDescent="0.3">
      <c r="B2" s="1" t="s">
        <v>15</v>
      </c>
    </row>
    <row r="3" spans="2:8" ht="27.6" x14ac:dyDescent="0.3">
      <c r="B3" s="4" t="s">
        <v>16</v>
      </c>
      <c r="F3" s="5" t="s">
        <v>17</v>
      </c>
    </row>
    <row r="5" spans="2:8" x14ac:dyDescent="0.3">
      <c r="B5" s="6" t="s">
        <v>18</v>
      </c>
    </row>
    <row r="6" spans="2:8" x14ac:dyDescent="0.3">
      <c r="B6" s="4" t="s">
        <v>19</v>
      </c>
      <c r="E6" s="7" t="s">
        <v>20</v>
      </c>
      <c r="F6" s="8">
        <v>38.200000000000003</v>
      </c>
      <c r="G6" s="4" t="s">
        <v>21</v>
      </c>
    </row>
    <row r="7" spans="2:8" x14ac:dyDescent="0.3">
      <c r="B7" s="4" t="s">
        <v>22</v>
      </c>
      <c r="E7" s="7" t="s">
        <v>23</v>
      </c>
      <c r="F7" s="8">
        <v>0.35</v>
      </c>
      <c r="G7" s="4" t="s">
        <v>21</v>
      </c>
    </row>
    <row r="8" spans="2:8" x14ac:dyDescent="0.3">
      <c r="B8" s="4" t="s">
        <v>24</v>
      </c>
      <c r="E8" s="7" t="s">
        <v>25</v>
      </c>
      <c r="F8" s="9">
        <f>Lnhip-2*sgoi</f>
        <v>37.5</v>
      </c>
      <c r="G8" s="4" t="s">
        <v>21</v>
      </c>
    </row>
    <row r="9" spans="2:8" x14ac:dyDescent="0.3">
      <c r="B9" s="4" t="s">
        <v>26</v>
      </c>
      <c r="E9" s="7" t="s">
        <v>27</v>
      </c>
      <c r="F9" s="8">
        <v>23.75</v>
      </c>
      <c r="G9" s="4" t="s">
        <v>21</v>
      </c>
    </row>
    <row r="10" spans="2:8" x14ac:dyDescent="0.3">
      <c r="B10" s="4" t="s">
        <v>28</v>
      </c>
      <c r="E10" s="7" t="s">
        <v>29</v>
      </c>
      <c r="F10" s="8">
        <v>22.75</v>
      </c>
      <c r="G10" s="4" t="s">
        <v>21</v>
      </c>
    </row>
    <row r="11" spans="2:8" x14ac:dyDescent="0.3">
      <c r="B11" s="4" t="s">
        <v>30</v>
      </c>
      <c r="E11" s="7" t="s">
        <v>31</v>
      </c>
      <c r="F11" s="8">
        <v>0.5</v>
      </c>
      <c r="G11" s="4" t="s">
        <v>21</v>
      </c>
    </row>
    <row r="12" spans="2:8" x14ac:dyDescent="0.3">
      <c r="B12" s="4" t="s">
        <v>32</v>
      </c>
      <c r="E12" s="7" t="s">
        <v>33</v>
      </c>
      <c r="F12" s="8">
        <v>0</v>
      </c>
      <c r="G12" s="4" t="s">
        <v>21</v>
      </c>
    </row>
    <row r="13" spans="2:8" x14ac:dyDescent="0.3">
      <c r="B13" s="4" t="s">
        <v>34</v>
      </c>
      <c r="E13" s="7" t="s">
        <v>35</v>
      </c>
      <c r="F13" s="10">
        <f>IF(AND(Bxe&gt;=6,Bxe&lt;=7.2),2,MAX(1,INT(Bxe/3.6)))</f>
        <v>6</v>
      </c>
      <c r="G13" s="4" t="s">
        <v>36</v>
      </c>
      <c r="H13" s="11" t="s">
        <v>37</v>
      </c>
    </row>
    <row r="14" spans="2:8" x14ac:dyDescent="0.3">
      <c r="B14" s="4" t="s">
        <v>38</v>
      </c>
      <c r="E14" s="7" t="s">
        <v>39</v>
      </c>
      <c r="F14" s="12">
        <v>10</v>
      </c>
      <c r="G14" s="4" t="s">
        <v>40</v>
      </c>
    </row>
    <row r="15" spans="2:8" x14ac:dyDescent="0.3">
      <c r="B15" s="4" t="s">
        <v>41</v>
      </c>
      <c r="E15" s="7" t="s">
        <v>42</v>
      </c>
      <c r="F15" s="8">
        <v>1.75</v>
      </c>
      <c r="G15" s="4" t="s">
        <v>21</v>
      </c>
    </row>
    <row r="16" spans="2:8" x14ac:dyDescent="0.3">
      <c r="B16" s="4" t="s">
        <v>43</v>
      </c>
      <c r="E16" s="7" t="s">
        <v>44</v>
      </c>
      <c r="F16" s="8">
        <v>0.2</v>
      </c>
      <c r="G16" s="4" t="s">
        <v>21</v>
      </c>
    </row>
    <row r="17" spans="2:8" x14ac:dyDescent="0.3">
      <c r="B17" s="4" t="s">
        <v>45</v>
      </c>
      <c r="E17" s="7" t="s">
        <v>46</v>
      </c>
      <c r="F17" s="8">
        <v>1.1000000000000001</v>
      </c>
      <c r="G17" s="4" t="s">
        <v>21</v>
      </c>
    </row>
    <row r="18" spans="2:8" x14ac:dyDescent="0.3">
      <c r="B18" s="4" t="s">
        <v>47</v>
      </c>
      <c r="E18" s="7" t="s">
        <v>48</v>
      </c>
      <c r="F18" s="8">
        <v>0.15</v>
      </c>
      <c r="G18" s="4" t="s">
        <v>21</v>
      </c>
    </row>
    <row r="19" spans="2:8" x14ac:dyDescent="0.3">
      <c r="B19" s="4" t="s">
        <v>49</v>
      </c>
      <c r="E19" s="7" t="s">
        <v>50</v>
      </c>
      <c r="F19" s="9">
        <f>'TINH TAI'!E58</f>
        <v>6725.6315000000004</v>
      </c>
      <c r="G19" s="4" t="s">
        <v>51</v>
      </c>
      <c r="H19" s="11" t="s">
        <v>52</v>
      </c>
    </row>
    <row r="20" spans="2:8" x14ac:dyDescent="0.3">
      <c r="B20" s="4" t="s">
        <v>53</v>
      </c>
      <c r="E20" s="7" t="s">
        <v>54</v>
      </c>
      <c r="F20" s="9">
        <f>'TINH TAI'!E59</f>
        <v>684.37687500000015</v>
      </c>
      <c r="G20" s="4" t="s">
        <v>51</v>
      </c>
    </row>
    <row r="22" spans="2:8" x14ac:dyDescent="0.3">
      <c r="B22" s="6" t="s">
        <v>55</v>
      </c>
    </row>
    <row r="23" spans="2:8" x14ac:dyDescent="0.3">
      <c r="B23" s="4" t="s">
        <v>56</v>
      </c>
      <c r="E23" s="7" t="s">
        <v>57</v>
      </c>
      <c r="F23" s="13">
        <v>6</v>
      </c>
      <c r="G23" s="4" t="s">
        <v>21</v>
      </c>
    </row>
    <row r="24" spans="2:8" x14ac:dyDescent="0.3">
      <c r="B24" s="4" t="s">
        <v>58</v>
      </c>
      <c r="E24" s="7" t="s">
        <v>59</v>
      </c>
      <c r="F24" s="13">
        <v>2.7</v>
      </c>
      <c r="G24" s="4" t="s">
        <v>21</v>
      </c>
    </row>
    <row r="25" spans="2:8" x14ac:dyDescent="0.3">
      <c r="B25" s="4" t="s">
        <v>60</v>
      </c>
      <c r="E25" s="7" t="s">
        <v>61</v>
      </c>
      <c r="F25" s="13">
        <v>1.3</v>
      </c>
      <c r="G25" s="4" t="s">
        <v>21</v>
      </c>
    </row>
    <row r="26" spans="2:8" x14ac:dyDescent="0.3">
      <c r="B26" s="4" t="s">
        <v>62</v>
      </c>
      <c r="E26" s="7" t="s">
        <v>63</v>
      </c>
      <c r="F26" s="13">
        <v>2</v>
      </c>
      <c r="G26" s="4" t="s">
        <v>21</v>
      </c>
    </row>
    <row r="27" spans="2:8" x14ac:dyDescent="0.3">
      <c r="B27" s="4" t="s">
        <v>64</v>
      </c>
      <c r="E27" s="7" t="s">
        <v>65</v>
      </c>
      <c r="F27" s="13">
        <v>2.8</v>
      </c>
      <c r="G27" s="4" t="s">
        <v>21</v>
      </c>
    </row>
    <row r="28" spans="2:8" x14ac:dyDescent="0.3">
      <c r="B28" s="4" t="s">
        <v>66</v>
      </c>
      <c r="E28" s="7" t="s">
        <v>67</v>
      </c>
      <c r="F28" s="13">
        <v>0.5</v>
      </c>
      <c r="G28" s="4" t="s">
        <v>21</v>
      </c>
    </row>
    <row r="29" spans="2:8" x14ac:dyDescent="0.3">
      <c r="B29" s="4" t="s">
        <v>68</v>
      </c>
      <c r="E29" s="7" t="s">
        <v>69</v>
      </c>
      <c r="F29" s="13">
        <v>0.45700000000000002</v>
      </c>
      <c r="G29" s="4" t="s">
        <v>21</v>
      </c>
    </row>
    <row r="30" spans="2:8" x14ac:dyDescent="0.3">
      <c r="B30" s="4" t="s">
        <v>70</v>
      </c>
      <c r="E30" s="7" t="s">
        <v>71</v>
      </c>
      <c r="F30" s="13">
        <v>0.3</v>
      </c>
      <c r="G30" s="4" t="s">
        <v>21</v>
      </c>
    </row>
    <row r="31" spans="2:8" x14ac:dyDescent="0.3">
      <c r="B31" s="4" t="s">
        <v>72</v>
      </c>
      <c r="E31" s="7" t="s">
        <v>73</v>
      </c>
      <c r="F31" s="13">
        <v>0.5</v>
      </c>
      <c r="G31" s="4" t="s">
        <v>21</v>
      </c>
    </row>
    <row r="32" spans="2:8" x14ac:dyDescent="0.3">
      <c r="B32" s="4" t="s">
        <v>74</v>
      </c>
      <c r="E32" s="7" t="s">
        <v>75</v>
      </c>
      <c r="F32" s="13">
        <v>0</v>
      </c>
      <c r="G32" s="4" t="s">
        <v>21</v>
      </c>
    </row>
    <row r="33" spans="2:8" x14ac:dyDescent="0.3">
      <c r="B33" s="4" t="s">
        <v>76</v>
      </c>
      <c r="E33" s="7" t="s">
        <v>77</v>
      </c>
      <c r="F33" s="13">
        <v>1.8</v>
      </c>
      <c r="G33" s="4" t="s">
        <v>21</v>
      </c>
    </row>
    <row r="34" spans="2:8" x14ac:dyDescent="0.3">
      <c r="B34" s="4" t="s">
        <v>78</v>
      </c>
      <c r="E34" s="7" t="s">
        <v>79</v>
      </c>
      <c r="F34" s="13">
        <v>4.2300000000000004</v>
      </c>
      <c r="G34" s="4" t="s">
        <v>21</v>
      </c>
    </row>
    <row r="35" spans="2:8" x14ac:dyDescent="0.3">
      <c r="B35" s="4" t="s">
        <v>80</v>
      </c>
      <c r="E35" s="7" t="s">
        <v>81</v>
      </c>
      <c r="F35" s="13">
        <v>2.8</v>
      </c>
      <c r="G35" s="4" t="s">
        <v>21</v>
      </c>
    </row>
    <row r="36" spans="2:8" x14ac:dyDescent="0.3">
      <c r="B36" s="4" t="s">
        <v>82</v>
      </c>
      <c r="E36" s="7" t="s">
        <v>83</v>
      </c>
      <c r="F36" s="13">
        <v>1.5</v>
      </c>
      <c r="G36" s="4" t="s">
        <v>21</v>
      </c>
    </row>
    <row r="37" spans="2:8" x14ac:dyDescent="0.3">
      <c r="B37" s="4" t="s">
        <v>84</v>
      </c>
      <c r="E37" s="7" t="s">
        <v>85</v>
      </c>
      <c r="F37" s="13">
        <v>6.3040000000000003</v>
      </c>
      <c r="G37" s="4" t="s">
        <v>21</v>
      </c>
    </row>
    <row r="38" spans="2:8" x14ac:dyDescent="0.3">
      <c r="B38" s="4" t="s">
        <v>86</v>
      </c>
      <c r="E38" s="7" t="s">
        <v>87</v>
      </c>
      <c r="F38" s="13">
        <v>1.264</v>
      </c>
      <c r="G38" s="4" t="s">
        <v>21</v>
      </c>
    </row>
    <row r="39" spans="2:8" x14ac:dyDescent="0.3">
      <c r="B39" s="4" t="s">
        <v>88</v>
      </c>
      <c r="E39" s="7" t="s">
        <v>89</v>
      </c>
      <c r="F39" s="13">
        <v>0.5</v>
      </c>
      <c r="G39" s="4" t="s">
        <v>21</v>
      </c>
    </row>
    <row r="40" spans="2:8" x14ac:dyDescent="0.3">
      <c r="B40" s="4" t="s">
        <v>90</v>
      </c>
      <c r="E40" s="7" t="s">
        <v>91</v>
      </c>
      <c r="F40" s="13">
        <v>0</v>
      </c>
      <c r="G40" s="4" t="s">
        <v>21</v>
      </c>
    </row>
    <row r="41" spans="2:8" x14ac:dyDescent="0.3">
      <c r="B41" s="4" t="s">
        <v>92</v>
      </c>
      <c r="E41" s="7" t="s">
        <v>93</v>
      </c>
      <c r="F41" s="13">
        <v>23.55</v>
      </c>
      <c r="G41" s="4" t="s">
        <v>21</v>
      </c>
    </row>
    <row r="42" spans="2:8" x14ac:dyDescent="0.3">
      <c r="B42" s="4" t="s">
        <v>94</v>
      </c>
      <c r="E42" s="7" t="s">
        <v>95</v>
      </c>
      <c r="F42" s="13">
        <v>0.5</v>
      </c>
      <c r="G42" s="4" t="s">
        <v>21</v>
      </c>
    </row>
    <row r="43" spans="2:8" x14ac:dyDescent="0.3">
      <c r="B43" s="4" t="s">
        <v>96</v>
      </c>
      <c r="E43" s="7" t="s">
        <v>97</v>
      </c>
      <c r="F43" s="13">
        <v>0.15</v>
      </c>
      <c r="G43" s="4" t="s">
        <v>21</v>
      </c>
    </row>
    <row r="44" spans="2:8" x14ac:dyDescent="0.3">
      <c r="B44" s="4" t="s">
        <v>98</v>
      </c>
      <c r="E44" s="7" t="s">
        <v>99</v>
      </c>
      <c r="F44" s="13">
        <v>0.8</v>
      </c>
      <c r="G44" s="4" t="s">
        <v>21</v>
      </c>
    </row>
    <row r="45" spans="2:8" x14ac:dyDescent="0.3">
      <c r="B45" s="4" t="s">
        <v>100</v>
      </c>
      <c r="E45" s="7" t="s">
        <v>101</v>
      </c>
      <c r="F45" s="12">
        <v>2</v>
      </c>
      <c r="G45" s="4" t="s">
        <v>102</v>
      </c>
    </row>
    <row r="46" spans="2:8" x14ac:dyDescent="0.3">
      <c r="B46" s="4" t="s">
        <v>103</v>
      </c>
      <c r="E46" s="7" t="s">
        <v>104</v>
      </c>
      <c r="F46" s="12">
        <v>2</v>
      </c>
      <c r="G46" s="4" t="s">
        <v>102</v>
      </c>
    </row>
    <row r="47" spans="2:8" x14ac:dyDescent="0.3">
      <c r="B47" s="4" t="s">
        <v>105</v>
      </c>
      <c r="E47" s="7" t="s">
        <v>106</v>
      </c>
      <c r="F47" s="14">
        <v>70</v>
      </c>
      <c r="G47" s="4" t="s">
        <v>107</v>
      </c>
      <c r="H47" s="11" t="s">
        <v>108</v>
      </c>
    </row>
    <row r="48" spans="2:8" x14ac:dyDescent="0.3">
      <c r="B48" s="4" t="s">
        <v>109</v>
      </c>
      <c r="E48" s="7" t="s">
        <v>110</v>
      </c>
      <c r="F48" s="9">
        <f>Cd1_/SIN(RADIANS(askew))-ntc*Cd3_</f>
        <v>24.061386541807732</v>
      </c>
      <c r="G48" s="4" t="s">
        <v>21</v>
      </c>
      <c r="H48" s="11" t="s">
        <v>111</v>
      </c>
    </row>
    <row r="49" spans="2:8" x14ac:dyDescent="0.3">
      <c r="B49" s="4" t="s">
        <v>112</v>
      </c>
      <c r="E49" s="7" t="s">
        <v>113</v>
      </c>
      <c r="F49" s="15">
        <f>H1_+H6_+H7_</f>
        <v>9.3680000000000003</v>
      </c>
      <c r="G49" s="4" t="s">
        <v>21</v>
      </c>
    </row>
    <row r="50" spans="2:8" x14ac:dyDescent="0.3">
      <c r="B50" s="4" t="s">
        <v>114</v>
      </c>
      <c r="E50" s="7" t="s">
        <v>115</v>
      </c>
      <c r="F50" s="15">
        <f>H6_+H7_</f>
        <v>7.5680000000000005</v>
      </c>
      <c r="G50" s="4" t="s">
        <v>21</v>
      </c>
    </row>
    <row r="52" spans="2:8" x14ac:dyDescent="0.3">
      <c r="B52" s="6" t="s">
        <v>116</v>
      </c>
    </row>
    <row r="53" spans="2:8" x14ac:dyDescent="0.3">
      <c r="B53" s="4" t="s">
        <v>117</v>
      </c>
      <c r="E53" s="7" t="s">
        <v>118</v>
      </c>
      <c r="F53" s="14">
        <v>30</v>
      </c>
      <c r="G53" s="4" t="s">
        <v>119</v>
      </c>
    </row>
    <row r="54" spans="2:8" x14ac:dyDescent="0.3">
      <c r="B54" s="4" t="s">
        <v>120</v>
      </c>
      <c r="E54" s="7" t="s">
        <v>121</v>
      </c>
      <c r="F54" s="12">
        <v>400</v>
      </c>
      <c r="G54" s="4" t="s">
        <v>119</v>
      </c>
    </row>
    <row r="55" spans="2:8" x14ac:dyDescent="0.3">
      <c r="B55" s="4" t="s">
        <v>122</v>
      </c>
      <c r="E55" s="7" t="s">
        <v>123</v>
      </c>
      <c r="F55" s="12">
        <v>200000</v>
      </c>
      <c r="G55" s="4" t="s">
        <v>119</v>
      </c>
    </row>
    <row r="56" spans="2:8" x14ac:dyDescent="0.3">
      <c r="B56" s="4" t="s">
        <v>124</v>
      </c>
      <c r="E56" s="7" t="s">
        <v>125</v>
      </c>
      <c r="F56" s="14">
        <v>24.5</v>
      </c>
      <c r="G56" s="4" t="s">
        <v>126</v>
      </c>
    </row>
    <row r="57" spans="2:8" x14ac:dyDescent="0.3">
      <c r="B57" s="4" t="s">
        <v>127</v>
      </c>
      <c r="E57" s="7" t="s">
        <v>128</v>
      </c>
      <c r="F57" s="14">
        <v>1</v>
      </c>
      <c r="G57" s="4" t="s">
        <v>129</v>
      </c>
    </row>
    <row r="58" spans="2:8" x14ac:dyDescent="0.3">
      <c r="B58" s="4" t="s">
        <v>130</v>
      </c>
      <c r="E58" s="7" t="s">
        <v>131</v>
      </c>
      <c r="F58" s="10">
        <f>0.0017*K1_*(gcbt*100)^2*fc_^0.33</f>
        <v>31349.535053009291</v>
      </c>
      <c r="G58" s="4" t="s">
        <v>119</v>
      </c>
      <c r="H58" s="11" t="s">
        <v>132</v>
      </c>
    </row>
    <row r="59" spans="2:8" x14ac:dyDescent="0.3">
      <c r="B59" s="4" t="s">
        <v>133</v>
      </c>
      <c r="E59" s="7" t="s">
        <v>134</v>
      </c>
      <c r="F59" s="15">
        <f>0.63*SQRT(fc_)</f>
        <v>3.4506521122825466</v>
      </c>
      <c r="G59" s="4" t="s">
        <v>119</v>
      </c>
      <c r="H59" s="11" t="s">
        <v>135</v>
      </c>
    </row>
    <row r="61" spans="2:8" x14ac:dyDescent="0.3">
      <c r="B61" s="6" t="s">
        <v>136</v>
      </c>
    </row>
    <row r="62" spans="2:8" x14ac:dyDescent="0.3">
      <c r="B62" s="4" t="s">
        <v>137</v>
      </c>
      <c r="E62" s="7" t="s">
        <v>138</v>
      </c>
      <c r="F62" s="8">
        <v>19.25</v>
      </c>
      <c r="G62" s="4" t="s">
        <v>126</v>
      </c>
    </row>
    <row r="63" spans="2:8" x14ac:dyDescent="0.3">
      <c r="B63" s="4" t="s">
        <v>139</v>
      </c>
      <c r="E63" s="7" t="s">
        <v>140</v>
      </c>
      <c r="F63" s="14">
        <v>30</v>
      </c>
      <c r="G63" s="4" t="s">
        <v>107</v>
      </c>
    </row>
    <row r="64" spans="2:8" x14ac:dyDescent="0.3">
      <c r="B64" s="4" t="s">
        <v>141</v>
      </c>
      <c r="E64" s="7" t="s">
        <v>142</v>
      </c>
      <c r="F64" s="14">
        <v>0</v>
      </c>
      <c r="G64" s="4" t="s">
        <v>107</v>
      </c>
      <c r="H64" s="11" t="s">
        <v>143</v>
      </c>
    </row>
    <row r="65" spans="2:8" x14ac:dyDescent="0.3">
      <c r="B65" s="4" t="s">
        <v>144</v>
      </c>
      <c r="E65" s="7" t="s">
        <v>145</v>
      </c>
      <c r="F65" s="14">
        <v>0</v>
      </c>
      <c r="G65" s="4" t="s">
        <v>107</v>
      </c>
    </row>
    <row r="66" spans="2:8" x14ac:dyDescent="0.3">
      <c r="B66" s="4" t="s">
        <v>146</v>
      </c>
      <c r="E66" s="7" t="s">
        <v>147</v>
      </c>
      <c r="F66" s="14">
        <v>10</v>
      </c>
      <c r="G66" s="4" t="s">
        <v>126</v>
      </c>
    </row>
    <row r="68" spans="2:8" x14ac:dyDescent="0.3">
      <c r="B68" s="6" t="s">
        <v>148</v>
      </c>
    </row>
    <row r="69" spans="2:8" x14ac:dyDescent="0.3">
      <c r="B69" s="4" t="s">
        <v>149</v>
      </c>
      <c r="E69" s="7" t="s">
        <v>150</v>
      </c>
      <c r="F69" s="8">
        <v>0.33</v>
      </c>
      <c r="G69" s="4" t="s">
        <v>129</v>
      </c>
      <c r="H69" s="11" t="s">
        <v>151</v>
      </c>
    </row>
    <row r="70" spans="2:8" x14ac:dyDescent="0.3">
      <c r="B70" s="4" t="s">
        <v>152</v>
      </c>
      <c r="E70" s="7" t="s">
        <v>153</v>
      </c>
      <c r="F70" s="8">
        <v>9.3000000000000007</v>
      </c>
      <c r="G70" s="4" t="s">
        <v>154</v>
      </c>
      <c r="H70" s="11" t="s">
        <v>155</v>
      </c>
    </row>
    <row r="71" spans="2:8" x14ac:dyDescent="0.3">
      <c r="B71" s="4" t="s">
        <v>156</v>
      </c>
      <c r="E71" s="7" t="s">
        <v>157</v>
      </c>
      <c r="F71" s="14">
        <v>3</v>
      </c>
      <c r="G71" s="4" t="s">
        <v>158</v>
      </c>
      <c r="H71" s="11" t="s">
        <v>159</v>
      </c>
    </row>
    <row r="72" spans="2:8" x14ac:dyDescent="0.3">
      <c r="B72" s="4" t="s">
        <v>160</v>
      </c>
      <c r="E72" s="7" t="s">
        <v>161</v>
      </c>
      <c r="F72" s="12">
        <v>80</v>
      </c>
      <c r="G72" s="4" t="s">
        <v>162</v>
      </c>
      <c r="H72" s="11" t="s">
        <v>163</v>
      </c>
    </row>
    <row r="73" spans="2:8" x14ac:dyDescent="0.3">
      <c r="B73" s="4" t="s">
        <v>164</v>
      </c>
      <c r="E73" s="7" t="s">
        <v>165</v>
      </c>
      <c r="F73" s="12">
        <v>0</v>
      </c>
      <c r="G73" s="4" t="s">
        <v>21</v>
      </c>
    </row>
    <row r="75" spans="2:8" x14ac:dyDescent="0.3">
      <c r="B75" s="6" t="s">
        <v>166</v>
      </c>
    </row>
    <row r="76" spans="2:8" x14ac:dyDescent="0.3">
      <c r="B76" s="4" t="s">
        <v>167</v>
      </c>
      <c r="E76" s="7" t="s">
        <v>168</v>
      </c>
      <c r="F76" s="12">
        <v>0</v>
      </c>
      <c r="G76" s="4" t="s">
        <v>129</v>
      </c>
      <c r="H76" s="11" t="s">
        <v>169</v>
      </c>
    </row>
    <row r="77" spans="2:8" x14ac:dyDescent="0.3">
      <c r="B77" s="4" t="s">
        <v>170</v>
      </c>
      <c r="E77" s="7" t="s">
        <v>171</v>
      </c>
      <c r="F77" s="8">
        <v>7.0000000000000007E-2</v>
      </c>
      <c r="G77" s="4" t="s">
        <v>129</v>
      </c>
    </row>
    <row r="78" spans="2:8" x14ac:dyDescent="0.3">
      <c r="B78" s="4" t="s">
        <v>172</v>
      </c>
      <c r="E78" s="7" t="s">
        <v>173</v>
      </c>
      <c r="F78" s="8">
        <v>0.38</v>
      </c>
      <c r="G78" s="4" t="s">
        <v>21</v>
      </c>
    </row>
    <row r="79" spans="2:8" x14ac:dyDescent="0.3">
      <c r="B79" s="4" t="s">
        <v>174</v>
      </c>
      <c r="E79" s="7" t="s">
        <v>175</v>
      </c>
      <c r="F79" s="12">
        <v>5</v>
      </c>
      <c r="G79" s="4" t="s">
        <v>176</v>
      </c>
    </row>
    <row r="81" spans="2:15" ht="18.45" customHeight="1" x14ac:dyDescent="0.3">
      <c r="B81" s="6" t="s">
        <v>177</v>
      </c>
      <c r="I81" s="81" t="s">
        <v>836</v>
      </c>
      <c r="J81" s="81"/>
      <c r="K81" s="81"/>
      <c r="L81" s="81"/>
      <c r="M81" s="81"/>
      <c r="N81" s="81"/>
      <c r="O81" s="81"/>
    </row>
    <row r="82" spans="2:15" x14ac:dyDescent="0.3">
      <c r="B82" s="4" t="s">
        <v>178</v>
      </c>
      <c r="E82" s="7" t="s">
        <v>179</v>
      </c>
      <c r="F82" s="5" t="s">
        <v>180</v>
      </c>
      <c r="G82" s="4" t="s">
        <v>129</v>
      </c>
      <c r="I82" s="40" t="s">
        <v>837</v>
      </c>
      <c r="J82" s="40"/>
      <c r="K82" s="41">
        <v>10</v>
      </c>
      <c r="L82" s="40"/>
      <c r="M82" s="40"/>
      <c r="N82" s="40"/>
      <c r="O82" s="40"/>
    </row>
    <row r="83" spans="2:15" x14ac:dyDescent="0.3">
      <c r="B83" s="4" t="s">
        <v>181</v>
      </c>
      <c r="E83" s="7" t="s">
        <v>182</v>
      </c>
      <c r="F83" s="10">
        <f>IF(vgzone="I",38,IF(vgzone="II",45,IF(vgzone="III",53,59)))</f>
        <v>45</v>
      </c>
      <c r="G83" s="4" t="s">
        <v>183</v>
      </c>
      <c r="H83" s="11" t="s">
        <v>838</v>
      </c>
      <c r="I83" s="40" t="s">
        <v>839</v>
      </c>
      <c r="J83" s="40"/>
      <c r="K83" s="41">
        <v>1</v>
      </c>
      <c r="L83" s="40">
        <v>10</v>
      </c>
      <c r="M83" s="40">
        <v>1.0900000000000001</v>
      </c>
      <c r="N83" s="40">
        <v>1</v>
      </c>
      <c r="O83" s="40">
        <v>0.81</v>
      </c>
    </row>
    <row r="84" spans="2:15" x14ac:dyDescent="0.3">
      <c r="B84" s="4" t="s">
        <v>184</v>
      </c>
      <c r="E84" s="7" t="s">
        <v>185</v>
      </c>
      <c r="F84" s="13">
        <f>K86</f>
        <v>1.0900000000000001</v>
      </c>
      <c r="G84" s="4" t="s">
        <v>129</v>
      </c>
      <c r="H84" s="11" t="s">
        <v>840</v>
      </c>
      <c r="I84" s="40" t="s">
        <v>841</v>
      </c>
      <c r="J84" s="40"/>
      <c r="K84" s="42">
        <f>IF(K82&lt;=10,INDEX($M$83:$O$87,1,K83),IF(K82&gt;=50,INDEX($M$83:$O$87,5,K83),INDEX($M$83:$O$87,MATCH(K82,$L$83:$L$87,1),K83)+(K82-INDEX($L$83:$L$87,MATCH(K82,$L$83:$L$87,1)))*(INDEX($M$83:$O$87,MATCH(K82,$L$83:$L$87,1)+1,K83)-INDEX($M$83:$O$87,MATCH(K82,$L$83:$L$87,1),K83))/(INDEX($L$83:$L$87,MATCH(K82,$L$83:$L$87,1)+1)-INDEX($L$83:$L$87,MATCH(K82,$L$83:$L$87,1)))))</f>
        <v>1.0900000000000001</v>
      </c>
      <c r="L84" s="40">
        <v>20</v>
      </c>
      <c r="M84" s="40">
        <v>1.1399999999999999</v>
      </c>
      <c r="N84" s="40">
        <v>1.06</v>
      </c>
      <c r="O84" s="40">
        <v>0.89</v>
      </c>
    </row>
    <row r="85" spans="2:15" x14ac:dyDescent="0.3">
      <c r="B85" s="4" t="s">
        <v>186</v>
      </c>
      <c r="E85" s="7" t="s">
        <v>187</v>
      </c>
      <c r="F85" s="9">
        <f>VB_*Sgio</f>
        <v>49.050000000000004</v>
      </c>
      <c r="G85" s="4" t="s">
        <v>183</v>
      </c>
      <c r="I85" s="40" t="s">
        <v>842</v>
      </c>
      <c r="J85" s="40"/>
      <c r="K85" s="42">
        <v>0</v>
      </c>
      <c r="L85" s="40">
        <v>30</v>
      </c>
      <c r="M85" s="40">
        <v>1.17</v>
      </c>
      <c r="N85" s="40">
        <v>1.1000000000000001</v>
      </c>
      <c r="O85" s="40">
        <v>0.94</v>
      </c>
    </row>
    <row r="86" spans="2:15" x14ac:dyDescent="0.3">
      <c r="B86" s="4" t="s">
        <v>188</v>
      </c>
      <c r="E86" s="7" t="s">
        <v>189</v>
      </c>
      <c r="F86" s="8">
        <v>1.25</v>
      </c>
      <c r="G86" s="4" t="s">
        <v>129</v>
      </c>
      <c r="H86" s="11" t="s">
        <v>190</v>
      </c>
      <c r="I86" s="40" t="s">
        <v>843</v>
      </c>
      <c r="J86" s="40"/>
      <c r="K86" s="42">
        <f>IF(K85&gt;0,K85,K84)</f>
        <v>1.0900000000000001</v>
      </c>
      <c r="L86" s="40">
        <v>40</v>
      </c>
      <c r="M86" s="40">
        <v>1.2</v>
      </c>
      <c r="N86" s="40">
        <v>1.1299999999999999</v>
      </c>
      <c r="O86" s="40">
        <v>0.98</v>
      </c>
    </row>
    <row r="87" spans="2:15" x14ac:dyDescent="0.3">
      <c r="B87" s="4" t="s">
        <v>191</v>
      </c>
      <c r="E87" s="7" t="s">
        <v>192</v>
      </c>
      <c r="F87" s="8">
        <v>1.17</v>
      </c>
      <c r="G87" s="4" t="s">
        <v>129</v>
      </c>
      <c r="L87">
        <v>50</v>
      </c>
      <c r="M87">
        <v>1.21</v>
      </c>
      <c r="N87">
        <v>1.1599999999999999</v>
      </c>
      <c r="O87">
        <v>1.01</v>
      </c>
    </row>
    <row r="88" spans="2:15" ht="24" customHeight="1" x14ac:dyDescent="0.3">
      <c r="I88" s="82" t="s">
        <v>844</v>
      </c>
      <c r="J88" s="82"/>
      <c r="K88" s="82"/>
      <c r="L88" s="82"/>
      <c r="M88" s="82"/>
      <c r="N88" s="82"/>
      <c r="O88" s="82"/>
    </row>
    <row r="89" spans="2:15" ht="24" customHeight="1" x14ac:dyDescent="0.3">
      <c r="B89" s="6" t="s">
        <v>193</v>
      </c>
      <c r="I89" s="82"/>
      <c r="J89" s="82"/>
      <c r="K89" s="82"/>
      <c r="L89" s="82"/>
      <c r="M89" s="82"/>
      <c r="N89" s="82"/>
      <c r="O89" s="82"/>
    </row>
    <row r="90" spans="2:15" x14ac:dyDescent="0.3">
      <c r="B90" s="4" t="s">
        <v>194</v>
      </c>
      <c r="E90" s="7" t="s">
        <v>195</v>
      </c>
      <c r="F90" s="16">
        <v>0.1108</v>
      </c>
      <c r="G90" s="4" t="s">
        <v>129</v>
      </c>
      <c r="H90" s="11" t="s">
        <v>196</v>
      </c>
    </row>
    <row r="91" spans="2:15" x14ac:dyDescent="0.3">
      <c r="B91" s="4" t="s">
        <v>197</v>
      </c>
      <c r="E91" s="7" t="s">
        <v>198</v>
      </c>
      <c r="F91" s="5" t="s">
        <v>180</v>
      </c>
      <c r="G91" s="4" t="s">
        <v>129</v>
      </c>
    </row>
    <row r="92" spans="2:15" x14ac:dyDescent="0.3">
      <c r="B92" s="4" t="s">
        <v>199</v>
      </c>
      <c r="E92" s="7" t="s">
        <v>200</v>
      </c>
      <c r="F92" s="17">
        <f>IF(soildd="I",1,IF(soildd="II",1.2,IF(soildd="III",1.5,2)))</f>
        <v>1.2</v>
      </c>
      <c r="G92" s="4" t="s">
        <v>129</v>
      </c>
      <c r="H92" s="11" t="s">
        <v>201</v>
      </c>
    </row>
    <row r="93" spans="2:15" x14ac:dyDescent="0.3">
      <c r="B93" s="4" t="s">
        <v>202</v>
      </c>
      <c r="E93" s="7" t="s">
        <v>165</v>
      </c>
      <c r="F93" s="14">
        <v>1.5</v>
      </c>
      <c r="G93" s="4" t="s">
        <v>129</v>
      </c>
      <c r="H93" s="11" t="s">
        <v>203</v>
      </c>
    </row>
    <row r="94" spans="2:15" x14ac:dyDescent="0.3">
      <c r="B94" s="4" t="s">
        <v>204</v>
      </c>
      <c r="E94" s="7" t="s">
        <v>205</v>
      </c>
      <c r="F94" s="14">
        <v>1</v>
      </c>
      <c r="G94" s="4" t="s">
        <v>129</v>
      </c>
    </row>
    <row r="95" spans="2:15" ht="42" x14ac:dyDescent="0.3">
      <c r="B95" s="49" t="s">
        <v>845</v>
      </c>
      <c r="C95" s="40"/>
      <c r="D95" s="40"/>
      <c r="E95" s="47" t="s">
        <v>846</v>
      </c>
      <c r="F95" s="48">
        <f>IF(F96="A/2",Add/2,IF(F96="A",Add,IF(J96&gt;0,J96,Add)))</f>
        <v>0.1108</v>
      </c>
      <c r="G95" s="49" t="s">
        <v>129</v>
      </c>
      <c r="H95" s="50" t="s">
        <v>847</v>
      </c>
      <c r="I95" s="40"/>
      <c r="J95" s="40"/>
    </row>
    <row r="96" spans="2:15" ht="28.8" x14ac:dyDescent="0.3">
      <c r="B96" s="40" t="s">
        <v>848</v>
      </c>
      <c r="C96" s="40"/>
      <c r="D96" s="40"/>
      <c r="E96" s="40" t="s">
        <v>849</v>
      </c>
      <c r="F96" s="51" t="s">
        <v>195</v>
      </c>
      <c r="G96" s="40" t="s">
        <v>850</v>
      </c>
      <c r="H96" s="40" t="s">
        <v>851</v>
      </c>
      <c r="I96" s="40" t="s">
        <v>852</v>
      </c>
      <c r="J96" s="52">
        <v>0</v>
      </c>
    </row>
    <row r="97" spans="2:8" x14ac:dyDescent="0.3">
      <c r="B97" s="6" t="s">
        <v>206</v>
      </c>
    </row>
    <row r="98" spans="2:8" x14ac:dyDescent="0.3">
      <c r="B98" s="4" t="s">
        <v>207</v>
      </c>
      <c r="E98" s="7" t="s">
        <v>208</v>
      </c>
      <c r="F98" s="8">
        <v>1.2</v>
      </c>
      <c r="G98" s="4" t="s">
        <v>21</v>
      </c>
    </row>
    <row r="99" spans="2:8" x14ac:dyDescent="0.3">
      <c r="B99" s="4" t="s">
        <v>209</v>
      </c>
      <c r="E99" s="7" t="s">
        <v>210</v>
      </c>
      <c r="F99" s="12">
        <v>2</v>
      </c>
      <c r="G99" s="4" t="s">
        <v>211</v>
      </c>
    </row>
    <row r="101" spans="2:8" ht="27.6" x14ac:dyDescent="0.3">
      <c r="B101" s="18" t="s">
        <v>212</v>
      </c>
      <c r="C101" s="18" t="s">
        <v>213</v>
      </c>
      <c r="D101" s="18" t="s">
        <v>214</v>
      </c>
      <c r="E101" s="18" t="s">
        <v>215</v>
      </c>
    </row>
    <row r="102" spans="2:8" x14ac:dyDescent="0.3">
      <c r="B102" s="19">
        <v>1</v>
      </c>
      <c r="C102" s="8">
        <v>-1.8</v>
      </c>
      <c r="D102" s="12">
        <v>5</v>
      </c>
      <c r="E102" s="8">
        <v>5.33</v>
      </c>
    </row>
    <row r="103" spans="2:8" x14ac:dyDescent="0.3">
      <c r="B103" s="19">
        <v>2</v>
      </c>
      <c r="C103" s="8">
        <v>1.8</v>
      </c>
      <c r="D103" s="12">
        <v>6</v>
      </c>
      <c r="E103" s="8">
        <v>4.2699999999999996</v>
      </c>
    </row>
    <row r="104" spans="2:8" x14ac:dyDescent="0.3">
      <c r="B104" s="19">
        <v>3</v>
      </c>
      <c r="C104" s="8">
        <v>0</v>
      </c>
      <c r="D104" s="12">
        <v>0</v>
      </c>
      <c r="E104" s="8">
        <v>0</v>
      </c>
    </row>
    <row r="105" spans="2:8" x14ac:dyDescent="0.3">
      <c r="B105" s="19">
        <v>4</v>
      </c>
      <c r="C105" s="8">
        <v>0</v>
      </c>
      <c r="D105" s="12">
        <v>0</v>
      </c>
      <c r="E105" s="8">
        <v>0</v>
      </c>
    </row>
    <row r="106" spans="2:8" x14ac:dyDescent="0.3">
      <c r="B106" s="4" t="s">
        <v>216</v>
      </c>
      <c r="C106" s="20">
        <f>SUM(D102:D105)</f>
        <v>11</v>
      </c>
    </row>
    <row r="108" spans="2:8" x14ac:dyDescent="0.3">
      <c r="B108" s="4" t="s">
        <v>217</v>
      </c>
      <c r="F108" s="14">
        <v>0</v>
      </c>
      <c r="G108" s="4" t="s">
        <v>51</v>
      </c>
      <c r="H108" s="11" t="s">
        <v>218</v>
      </c>
    </row>
    <row r="109" spans="2:8" x14ac:dyDescent="0.3">
      <c r="B109" s="11" t="s">
        <v>219</v>
      </c>
    </row>
    <row r="110" spans="2:8" x14ac:dyDescent="0.3">
      <c r="B110" s="4" t="s">
        <v>220</v>
      </c>
    </row>
  </sheetData>
  <mergeCells count="2">
    <mergeCell ref="I81:O81"/>
    <mergeCell ref="I88:O89"/>
  </mergeCells>
  <dataValidations count="4">
    <dataValidation type="list" sqref="K83" xr:uid="{00000000-0002-0000-0100-000000000000}">
      <formula1>"1,2,3"</formula1>
    </dataValidation>
    <dataValidation type="list" sqref="F82" xr:uid="{00000000-0002-0000-0100-000001000000}">
      <formula1>"I,II,III,IV"</formula1>
    </dataValidation>
    <dataValidation type="list" sqref="F96" xr:uid="{00000000-0002-0000-0100-000002000000}">
      <formula1>"A,A/2,MANUAL"</formula1>
    </dataValidation>
    <dataValidation type="whole" allowBlank="1" showDropDown="1" showInputMessage="1" showErrorMessage="1" errorTitle="nLan ngoài phạm vi" error="Số làn nLan phải là số nguyên trong [1..40]. Engine chỉ có tổ hợp bổ sung tới 40 làn." promptTitle="Số làn thiết kế (nLan)" prompt="Nhập số nguyên 1..40." sqref="F13" xr:uid="{E17C86B3-0861-4169-BB28-1E16B79DA102}">
      <formula1>1</formula1>
      <formula2>40</formula2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H59"/>
  <sheetViews>
    <sheetView workbookViewId="0"/>
  </sheetViews>
  <sheetFormatPr defaultRowHeight="14.4" x14ac:dyDescent="0.3"/>
  <cols>
    <col min="1" max="1" width="2" customWidth="1"/>
    <col min="2" max="2" width="30" customWidth="1"/>
    <col min="3" max="3" width="16" customWidth="1"/>
    <col min="4" max="5" width="13" customWidth="1"/>
    <col min="6" max="6" width="12" customWidth="1"/>
    <col min="7" max="7" width="13" customWidth="1"/>
    <col min="8" max="8" width="12" customWidth="1"/>
    <col min="9" max="9" width="13" customWidth="1"/>
  </cols>
  <sheetData>
    <row r="2" spans="2:8" ht="16.8" x14ac:dyDescent="0.3">
      <c r="B2" s="1" t="s">
        <v>221</v>
      </c>
    </row>
    <row r="3" spans="2:8" x14ac:dyDescent="0.3">
      <c r="B3" s="11" t="s">
        <v>222</v>
      </c>
    </row>
    <row r="5" spans="2:8" x14ac:dyDescent="0.3">
      <c r="B5" s="6" t="s">
        <v>223</v>
      </c>
    </row>
    <row r="6" spans="2:8" x14ac:dyDescent="0.3">
      <c r="B6" s="18" t="s">
        <v>224</v>
      </c>
      <c r="C6" s="18" t="s">
        <v>225</v>
      </c>
      <c r="D6" s="18" t="s">
        <v>226</v>
      </c>
      <c r="E6" s="18" t="s">
        <v>227</v>
      </c>
      <c r="F6" s="18" t="s">
        <v>228</v>
      </c>
      <c r="G6" s="18" t="s">
        <v>229</v>
      </c>
      <c r="H6" s="18" t="s">
        <v>230</v>
      </c>
    </row>
    <row r="7" spans="2:8" x14ac:dyDescent="0.3">
      <c r="B7" s="19" t="s">
        <v>231</v>
      </c>
      <c r="C7" s="15">
        <f>B1_*H1_*Cd1_</f>
        <v>254.34000000000003</v>
      </c>
      <c r="D7" s="17">
        <f t="shared" ref="D7:D14" si="0">C7*gcbt</f>
        <v>6231.3300000000008</v>
      </c>
      <c r="E7" s="15" t="s">
        <v>232</v>
      </c>
      <c r="F7" s="17">
        <f t="shared" ref="F7:F14" si="1">D7*E7</f>
        <v>0</v>
      </c>
      <c r="G7" s="21" t="str">
        <f>"-"</f>
        <v>-</v>
      </c>
      <c r="H7" s="17">
        <f>0</f>
        <v>0</v>
      </c>
    </row>
    <row r="8" spans="2:8" x14ac:dyDescent="0.3">
      <c r="B8" s="19" t="s">
        <v>233</v>
      </c>
      <c r="C8" s="15">
        <f>Cd1_*B3_*H6_</f>
        <v>192.99696000000003</v>
      </c>
      <c r="D8" s="17">
        <f t="shared" si="0"/>
        <v>4728.4255200000007</v>
      </c>
      <c r="E8" s="15">
        <f>B1_/2-B4_-B3_/2</f>
        <v>0.35</v>
      </c>
      <c r="F8" s="17">
        <f t="shared" si="1"/>
        <v>1654.9489320000002</v>
      </c>
      <c r="G8" s="15" t="s">
        <v>232</v>
      </c>
      <c r="H8" s="17">
        <f t="shared" ref="H8:H14" si="2">D8*G8</f>
        <v>0</v>
      </c>
    </row>
    <row r="9" spans="2:8" x14ac:dyDescent="0.3">
      <c r="B9" s="19" t="s">
        <v>234</v>
      </c>
      <c r="C9" s="15">
        <f>Cd1_*B7_*H7_</f>
        <v>14.883600000000001</v>
      </c>
      <c r="D9" s="17">
        <f t="shared" si="0"/>
        <v>364.64820000000003</v>
      </c>
      <c r="E9" s="15">
        <f>B1_/2-B4_-B3_+B7_/2</f>
        <v>-5.0000000000000044E-2</v>
      </c>
      <c r="F9" s="17">
        <f t="shared" si="1"/>
        <v>-18.232410000000019</v>
      </c>
      <c r="G9" s="15">
        <f>-(B3_/2-B7_/2)</f>
        <v>-0.4</v>
      </c>
      <c r="H9" s="17">
        <f t="shared" si="2"/>
        <v>-145.85928000000001</v>
      </c>
    </row>
    <row r="10" spans="2:8" x14ac:dyDescent="0.3">
      <c r="B10" s="19" t="s">
        <v>235</v>
      </c>
      <c r="C10" s="15">
        <f>Cd3_*B2_*(H2_+H3_+H4_)*ntc</f>
        <v>23.031000000000006</v>
      </c>
      <c r="D10" s="17">
        <f t="shared" si="0"/>
        <v>564.25950000000012</v>
      </c>
      <c r="E10" s="15">
        <f>B1_/2-B4_-B3_-B2_/2</f>
        <v>-1.6500000000000001</v>
      </c>
      <c r="F10" s="17">
        <f t="shared" si="1"/>
        <v>-931.02817500000026</v>
      </c>
      <c r="G10" s="15">
        <f>-(B3_/2+B2_/2)</f>
        <v>-2</v>
      </c>
      <c r="H10" s="17">
        <f t="shared" si="2"/>
        <v>-1128.5190000000002</v>
      </c>
    </row>
    <row r="11" spans="2:8" x14ac:dyDescent="0.3">
      <c r="B11" s="19" t="s">
        <v>236</v>
      </c>
      <c r="C11" s="15">
        <f>Cd3_*B5_*(H4_+H3_+H4_)*0.5*ntc</f>
        <v>8.1199999999999992</v>
      </c>
      <c r="D11" s="17">
        <f t="shared" si="0"/>
        <v>198.93999999999997</v>
      </c>
      <c r="E11" s="15">
        <f>B1_/2-B4_-B3_-B2_-B5_/3</f>
        <v>-3.9333333333333331</v>
      </c>
      <c r="F11" s="17">
        <f t="shared" si="1"/>
        <v>-782.49733333333313</v>
      </c>
      <c r="G11" s="15">
        <f>-(B3_/2+B2_+B5_/3)</f>
        <v>-4.2833333333333332</v>
      </c>
      <c r="H11" s="17">
        <f t="shared" si="2"/>
        <v>-852.12633333333315</v>
      </c>
    </row>
    <row r="12" spans="2:8" x14ac:dyDescent="0.3">
      <c r="B12" s="19" t="s">
        <v>237</v>
      </c>
      <c r="C12" s="15">
        <f>(B3_-B7_)*H8_*Cd4_*ntt</f>
        <v>0.12</v>
      </c>
      <c r="D12" s="17">
        <f t="shared" si="0"/>
        <v>2.94</v>
      </c>
      <c r="E12" s="15">
        <f>B1_/2-B4_-(B3_-B7_)/2</f>
        <v>0.6</v>
      </c>
      <c r="F12" s="17">
        <f t="shared" si="1"/>
        <v>1.764</v>
      </c>
      <c r="G12" s="15">
        <f>B3_/2-(B3_-B7_)/2</f>
        <v>0.25</v>
      </c>
      <c r="H12" s="17">
        <f t="shared" si="2"/>
        <v>0.73499999999999999</v>
      </c>
    </row>
    <row r="13" spans="2:8" x14ac:dyDescent="0.3">
      <c r="B13" s="19" t="s">
        <v>238</v>
      </c>
      <c r="C13" s="15">
        <f>B9_*B9_*Cd1_</f>
        <v>2.1194999999999999</v>
      </c>
      <c r="D13" s="17">
        <f t="shared" si="0"/>
        <v>51.927749999999996</v>
      </c>
      <c r="E13" s="15">
        <f>B1_/2-B4_-B3_-B9_/2</f>
        <v>-0.45000000000000007</v>
      </c>
      <c r="F13" s="17">
        <f t="shared" si="1"/>
        <v>-23.367487500000003</v>
      </c>
      <c r="G13" s="15">
        <f>-(B3_/2+B9_/2)</f>
        <v>-0.8</v>
      </c>
      <c r="H13" s="17">
        <f t="shared" si="2"/>
        <v>-41.542200000000001</v>
      </c>
    </row>
    <row r="14" spans="2:8" x14ac:dyDescent="0.3">
      <c r="B14" s="19" t="s">
        <v>239</v>
      </c>
      <c r="C14" s="15">
        <f>Cd6_*B11_*hcx*ncx</f>
        <v>0.76000000000000012</v>
      </c>
      <c r="D14" s="17">
        <f t="shared" si="0"/>
        <v>18.620000000000005</v>
      </c>
      <c r="E14" s="15">
        <f>B1_/2-B4_-B3_+B7_+B8_</f>
        <v>0.65700000000000003</v>
      </c>
      <c r="F14" s="17">
        <f t="shared" si="1"/>
        <v>12.233340000000004</v>
      </c>
      <c r="G14" s="15">
        <f>-(B3_/2-B7_-B8_)</f>
        <v>0.307</v>
      </c>
      <c r="H14" s="17">
        <f t="shared" si="2"/>
        <v>5.7163400000000015</v>
      </c>
    </row>
    <row r="15" spans="2:8" x14ac:dyDescent="0.3">
      <c r="B15" s="22" t="s">
        <v>240</v>
      </c>
      <c r="D15" s="23">
        <f>SUM(D7:D14)</f>
        <v>12161.090970000005</v>
      </c>
      <c r="F15" s="23">
        <f>SUM(F7:F14)</f>
        <v>-86.179133833333225</v>
      </c>
      <c r="H15" s="23">
        <f>SUM(H7:H14)</f>
        <v>-2161.5954733333333</v>
      </c>
    </row>
    <row r="16" spans="2:8" ht="27.6" x14ac:dyDescent="0.3">
      <c r="B16" s="22" t="s">
        <v>241</v>
      </c>
      <c r="D16" s="23">
        <f>SUM(D8:D14)</f>
        <v>5929.7609699999994</v>
      </c>
      <c r="H16" s="23">
        <f>SUM(H8:H14)</f>
        <v>-2161.5954733333333</v>
      </c>
    </row>
    <row r="18" spans="2:7" x14ac:dyDescent="0.3">
      <c r="B18" s="6" t="s">
        <v>242</v>
      </c>
    </row>
    <row r="19" spans="2:7" x14ac:dyDescent="0.3">
      <c r="B19" s="4" t="s">
        <v>243</v>
      </c>
      <c r="D19" s="15">
        <f>B1_/2-B4_-B3_+B7_+B8_</f>
        <v>0.65700000000000003</v>
      </c>
      <c r="E19" s="4" t="s">
        <v>244</v>
      </c>
      <c r="F19" s="15">
        <f>-(B3_/2-B7_-B8_)</f>
        <v>0.307</v>
      </c>
      <c r="G19" s="4" t="s">
        <v>245</v>
      </c>
    </row>
    <row r="20" spans="2:7" x14ac:dyDescent="0.3">
      <c r="B20" s="18" t="s">
        <v>246</v>
      </c>
      <c r="C20" s="18" t="s">
        <v>247</v>
      </c>
      <c r="D20" s="18" t="s">
        <v>228</v>
      </c>
      <c r="E20" s="18" t="s">
        <v>230</v>
      </c>
    </row>
    <row r="21" spans="2:7" x14ac:dyDescent="0.3">
      <c r="B21" s="19" t="s">
        <v>248</v>
      </c>
      <c r="C21" s="17">
        <f>DCkcn</f>
        <v>6725.6315000000004</v>
      </c>
      <c r="D21" s="17">
        <f>DCkcn*e_db</f>
        <v>4418.7398955000008</v>
      </c>
      <c r="E21" s="17">
        <f>DCkcn*e_tb</f>
        <v>2064.7688705</v>
      </c>
    </row>
    <row r="22" spans="2:7" x14ac:dyDescent="0.3">
      <c r="B22" s="19" t="s">
        <v>249</v>
      </c>
      <c r="C22" s="17">
        <f>DWkcn</f>
        <v>684.37687500000015</v>
      </c>
      <c r="D22" s="17">
        <f>DWkcn*e_db</f>
        <v>449.63560687500012</v>
      </c>
      <c r="E22" s="17">
        <f>DWkcn*e_tb</f>
        <v>210.10370062500004</v>
      </c>
    </row>
    <row r="24" spans="2:7" x14ac:dyDescent="0.3">
      <c r="B24" s="6" t="s">
        <v>250</v>
      </c>
    </row>
    <row r="25" spans="2:7" x14ac:dyDescent="0.3">
      <c r="B25" s="4" t="s">
        <v>251</v>
      </c>
      <c r="D25" s="9">
        <f>Cd1_-ntc*Cd3_</f>
        <v>22.55</v>
      </c>
    </row>
    <row r="26" spans="2:7" x14ac:dyDescent="0.3">
      <c r="B26" s="4" t="s">
        <v>252</v>
      </c>
      <c r="D26" s="9">
        <f>B1_-B3_-B4_</f>
        <v>2.7</v>
      </c>
    </row>
    <row r="27" spans="2:7" x14ac:dyDescent="0.3">
      <c r="B27" s="19" t="s">
        <v>253</v>
      </c>
      <c r="C27" s="17">
        <f>(Hdb-H1_)*D26*BeffEV*gs_</f>
        <v>8869.9703399999999</v>
      </c>
    </row>
    <row r="28" spans="2:7" x14ac:dyDescent="0.3">
      <c r="B28" s="4" t="s">
        <v>254</v>
      </c>
      <c r="D28" s="15">
        <f>-B1_/2+(B1_-B3_-B4_)/2</f>
        <v>-1.65</v>
      </c>
    </row>
    <row r="29" spans="2:7" x14ac:dyDescent="0.3">
      <c r="B29" s="19" t="s">
        <v>255</v>
      </c>
      <c r="C29" s="17">
        <f>C27*D28</f>
        <v>-14635.451061</v>
      </c>
    </row>
    <row r="30" spans="2:7" x14ac:dyDescent="0.3">
      <c r="B30" s="19" t="s">
        <v>256</v>
      </c>
      <c r="C30" s="17">
        <f>0.5*B12_*H12_*BeffEV*gs_</f>
        <v>0</v>
      </c>
    </row>
    <row r="31" spans="2:7" x14ac:dyDescent="0.3">
      <c r="B31" s="4" t="s">
        <v>257</v>
      </c>
      <c r="D31" s="15">
        <f>B1_/2-B4_+B12_/3</f>
        <v>1</v>
      </c>
    </row>
    <row r="32" spans="2:7" x14ac:dyDescent="0.3">
      <c r="B32" s="22" t="s">
        <v>258</v>
      </c>
      <c r="C32" s="23">
        <f>C27+C30</f>
        <v>8869.9703399999999</v>
      </c>
      <c r="D32" s="23">
        <f>C29+C30*D31</f>
        <v>-14635.451061</v>
      </c>
    </row>
    <row r="46" spans="2:6" x14ac:dyDescent="0.3">
      <c r="B46" s="6" t="s">
        <v>259</v>
      </c>
    </row>
    <row r="47" spans="2:6" ht="27.6" x14ac:dyDescent="0.3">
      <c r="B47" s="18" t="s">
        <v>260</v>
      </c>
      <c r="C47" s="18" t="s">
        <v>261</v>
      </c>
      <c r="D47" s="18" t="s">
        <v>262</v>
      </c>
      <c r="E47" s="18" t="s">
        <v>263</v>
      </c>
      <c r="F47" s="18" t="s">
        <v>264</v>
      </c>
    </row>
    <row r="48" spans="2:6" x14ac:dyDescent="0.3">
      <c r="B48" s="19" t="s">
        <v>265</v>
      </c>
      <c r="C48" s="8">
        <v>30</v>
      </c>
      <c r="D48" s="4" t="s">
        <v>266</v>
      </c>
      <c r="E48" s="11" t="s">
        <v>267</v>
      </c>
      <c r="F48" s="17">
        <f>C48*gcbt*nd/2</f>
        <v>3675</v>
      </c>
    </row>
    <row r="49" spans="2:6" x14ac:dyDescent="0.3">
      <c r="B49" s="19" t="s">
        <v>268</v>
      </c>
      <c r="C49" s="21" t="str">
        <f>"-"</f>
        <v>-</v>
      </c>
      <c r="D49" s="4" t="s">
        <v>129</v>
      </c>
      <c r="E49" s="11" t="s">
        <v>269</v>
      </c>
      <c r="F49" s="17">
        <f>Wcau*tcban*Lnhip*gcbt/2</f>
        <v>2222.7625000000003</v>
      </c>
    </row>
    <row r="50" spans="2:6" x14ac:dyDescent="0.3">
      <c r="B50" s="19" t="s">
        <v>270</v>
      </c>
      <c r="C50" s="8">
        <v>6.39</v>
      </c>
      <c r="D50" s="4" t="s">
        <v>266</v>
      </c>
      <c r="E50" s="11" t="s">
        <v>271</v>
      </c>
      <c r="F50" s="17">
        <f>C50*gcbt</f>
        <v>156.55499999999998</v>
      </c>
    </row>
    <row r="51" spans="2:6" ht="27.6" x14ac:dyDescent="0.3">
      <c r="B51" s="19" t="s">
        <v>272</v>
      </c>
      <c r="C51" s="8">
        <v>7.1</v>
      </c>
      <c r="D51" s="4" t="s">
        <v>266</v>
      </c>
      <c r="E51" s="11" t="s">
        <v>271</v>
      </c>
      <c r="F51" s="17">
        <f>C51*gcbt</f>
        <v>173.95</v>
      </c>
    </row>
    <row r="52" spans="2:6" ht="27.6" x14ac:dyDescent="0.3">
      <c r="B52" s="19" t="s">
        <v>273</v>
      </c>
      <c r="C52" s="8">
        <v>0.5</v>
      </c>
      <c r="D52" s="4" t="s">
        <v>274</v>
      </c>
      <c r="E52" s="11" t="s">
        <v>275</v>
      </c>
      <c r="F52" s="17">
        <f>C52*2*Lnhip*gcbt/2</f>
        <v>467.95000000000005</v>
      </c>
    </row>
    <row r="53" spans="2:6" x14ac:dyDescent="0.3">
      <c r="B53" s="19" t="s">
        <v>276</v>
      </c>
      <c r="C53" s="8">
        <v>0.77</v>
      </c>
      <c r="D53" s="4" t="s">
        <v>154</v>
      </c>
      <c r="E53" s="11" t="s">
        <v>277</v>
      </c>
      <c r="F53" s="17">
        <f>C53*2*Lnhip/2</f>
        <v>29.414000000000001</v>
      </c>
    </row>
    <row r="54" spans="2:6" x14ac:dyDescent="0.3">
      <c r="B54" s="19" t="s">
        <v>278</v>
      </c>
      <c r="C54" s="8">
        <v>0</v>
      </c>
      <c r="D54" s="4" t="s">
        <v>51</v>
      </c>
      <c r="E54" s="11" t="s">
        <v>279</v>
      </c>
      <c r="F54" s="17">
        <f>C54</f>
        <v>0</v>
      </c>
    </row>
    <row r="55" spans="2:6" x14ac:dyDescent="0.3">
      <c r="B55" s="22" t="s">
        <v>280</v>
      </c>
      <c r="C55" s="13">
        <v>7.0000000000000007E-2</v>
      </c>
      <c r="D55" s="14">
        <v>22.5</v>
      </c>
      <c r="E55" s="11" t="s">
        <v>281</v>
      </c>
      <c r="F55" s="17">
        <f>Bxe*C55*D55*Lnhip/2</f>
        <v>684.37687500000015</v>
      </c>
    </row>
    <row r="56" spans="2:6" x14ac:dyDescent="0.3">
      <c r="B56" s="22" t="s">
        <v>282</v>
      </c>
      <c r="C56" s="14">
        <v>0</v>
      </c>
      <c r="D56" s="4" t="s">
        <v>51</v>
      </c>
      <c r="F56" s="17">
        <f>C56</f>
        <v>0</v>
      </c>
    </row>
    <row r="58" spans="2:6" x14ac:dyDescent="0.3">
      <c r="B58" s="22" t="s">
        <v>283</v>
      </c>
      <c r="E58" s="24">
        <f>SUM(F48:F54)</f>
        <v>6725.6315000000004</v>
      </c>
    </row>
    <row r="59" spans="2:6" x14ac:dyDescent="0.3">
      <c r="B59" s="22" t="s">
        <v>284</v>
      </c>
      <c r="E59" s="24">
        <f>SUM(F55:F56)</f>
        <v>684.37687500000015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L39"/>
  <sheetViews>
    <sheetView workbookViewId="0"/>
  </sheetViews>
  <sheetFormatPr defaultRowHeight="14.4" x14ac:dyDescent="0.3"/>
  <cols>
    <col min="1" max="1" width="2" customWidth="1"/>
    <col min="2" max="2" width="10" customWidth="1"/>
    <col min="3" max="3" width="9" customWidth="1"/>
    <col min="4" max="5" width="22" customWidth="1"/>
    <col min="6" max="6" width="14" customWidth="1"/>
    <col min="7" max="7" width="10" customWidth="1"/>
    <col min="8" max="8" width="13" customWidth="1"/>
    <col min="9" max="9" width="10" customWidth="1"/>
    <col min="10" max="12" width="13" customWidth="1"/>
  </cols>
  <sheetData>
    <row r="2" spans="2:12" ht="16.8" x14ac:dyDescent="0.3">
      <c r="B2" s="1" t="s">
        <v>285</v>
      </c>
    </row>
    <row r="4" spans="2:12" x14ac:dyDescent="0.3">
      <c r="B4" s="6" t="s">
        <v>286</v>
      </c>
    </row>
    <row r="5" spans="2:12" x14ac:dyDescent="0.3">
      <c r="B5" s="11" t="s">
        <v>287</v>
      </c>
    </row>
    <row r="6" spans="2:12" ht="27.6" x14ac:dyDescent="0.3">
      <c r="B6" s="18" t="s">
        <v>246</v>
      </c>
      <c r="C6" s="18" t="s">
        <v>288</v>
      </c>
      <c r="D6" s="18" t="s">
        <v>289</v>
      </c>
      <c r="E6" s="18" t="s">
        <v>290</v>
      </c>
      <c r="F6" s="18" t="s">
        <v>291</v>
      </c>
    </row>
    <row r="7" spans="2:12" ht="27.6" x14ac:dyDescent="0.3">
      <c r="B7" s="19" t="s">
        <v>292</v>
      </c>
      <c r="C7" s="10">
        <f>145</f>
        <v>145</v>
      </c>
      <c r="D7" s="17">
        <f>0</f>
        <v>0</v>
      </c>
      <c r="E7" s="25">
        <f>MAX(0,(Lsp-D7)/Lsp)</f>
        <v>1</v>
      </c>
      <c r="F7" s="9">
        <f>C7*E7</f>
        <v>145</v>
      </c>
    </row>
    <row r="8" spans="2:12" ht="27.6" x14ac:dyDescent="0.3">
      <c r="B8" s="19" t="s">
        <v>293</v>
      </c>
      <c r="C8" s="10">
        <f>145</f>
        <v>145</v>
      </c>
      <c r="D8" s="17">
        <f>4.3</f>
        <v>4.3</v>
      </c>
      <c r="E8" s="25">
        <f>MAX(0,(Lsp-D8)/Lsp)</f>
        <v>0.88533333333333342</v>
      </c>
      <c r="F8" s="9">
        <f>C8*E8</f>
        <v>128.37333333333333</v>
      </c>
    </row>
    <row r="9" spans="2:12" ht="27.6" x14ac:dyDescent="0.3">
      <c r="B9" s="19" t="s">
        <v>294</v>
      </c>
      <c r="C9" s="10">
        <f>35</f>
        <v>35</v>
      </c>
      <c r="D9" s="17">
        <f>8.6</f>
        <v>8.6</v>
      </c>
      <c r="E9" s="25">
        <f>MAX(0,(Lsp-D9)/Lsp)</f>
        <v>0.77066666666666661</v>
      </c>
      <c r="F9" s="9">
        <f>C9*E9</f>
        <v>26.973333333333333</v>
      </c>
    </row>
    <row r="10" spans="2:12" ht="27.6" x14ac:dyDescent="0.3">
      <c r="B10" s="19" t="s">
        <v>295</v>
      </c>
      <c r="C10" s="10">
        <f>110</f>
        <v>110</v>
      </c>
      <c r="D10" s="17">
        <f>0</f>
        <v>0</v>
      </c>
      <c r="E10" s="25">
        <f>MAX(0,(Lsp-D10)/Lsp)</f>
        <v>1</v>
      </c>
      <c r="F10" s="9">
        <f>C10*E10</f>
        <v>110</v>
      </c>
    </row>
    <row r="11" spans="2:12" ht="27.6" x14ac:dyDescent="0.3">
      <c r="B11" s="19" t="s">
        <v>296</v>
      </c>
      <c r="C11" s="10">
        <f>110</f>
        <v>110</v>
      </c>
      <c r="D11" s="17">
        <f>1.2</f>
        <v>1.2</v>
      </c>
      <c r="E11" s="25">
        <f>MAX(0,(Lsp-D11)/Lsp)</f>
        <v>0.96799999999999997</v>
      </c>
      <c r="F11" s="9">
        <f>C11*E11</f>
        <v>106.47999999999999</v>
      </c>
    </row>
    <row r="12" spans="2:12" ht="55.2" x14ac:dyDescent="0.3">
      <c r="B12" s="22" t="s">
        <v>297</v>
      </c>
      <c r="C12" s="9">
        <f>SUM(F7:F9)</f>
        <v>300.34666666666669</v>
      </c>
      <c r="D12" s="9">
        <f>SUM(F10:F11)</f>
        <v>216.48</v>
      </c>
      <c r="E12" s="9">
        <f>qlan*0.5*Lsp</f>
        <v>174.375</v>
      </c>
    </row>
    <row r="13" spans="2:12" ht="69" x14ac:dyDescent="0.3">
      <c r="B13" s="22" t="s">
        <v>298</v>
      </c>
      <c r="C13" s="26">
        <f>MAX(C12,D12)</f>
        <v>300.34666666666669</v>
      </c>
    </row>
    <row r="15" spans="2:12" x14ac:dyDescent="0.3">
      <c r="B15" s="6" t="s">
        <v>299</v>
      </c>
    </row>
    <row r="16" spans="2:12" x14ac:dyDescent="0.3">
      <c r="B16" s="18" t="s">
        <v>300</v>
      </c>
      <c r="C16" s="18" t="s">
        <v>21</v>
      </c>
      <c r="D16" s="18" t="s">
        <v>301</v>
      </c>
      <c r="E16" s="18" t="s">
        <v>302</v>
      </c>
      <c r="F16" s="18" t="s">
        <v>303</v>
      </c>
      <c r="G16" s="18" t="s">
        <v>304</v>
      </c>
      <c r="H16" s="18" t="s">
        <v>305</v>
      </c>
      <c r="I16" s="18" t="s">
        <v>306</v>
      </c>
      <c r="J16" s="18" t="s">
        <v>307</v>
      </c>
      <c r="K16" s="18" t="s">
        <v>228</v>
      </c>
      <c r="L16" s="18" t="s">
        <v>230</v>
      </c>
    </row>
    <row r="17" spans="2:12" x14ac:dyDescent="0.3">
      <c r="B17" s="10">
        <f>IF(1&lt;=nLan,1,"")</f>
        <v>1</v>
      </c>
      <c r="C17" s="9">
        <f>IF(1&gt;nLan,0,IF(1=1,1.2,IF(1=2,1,IF(1=3,0.85,0.65))))</f>
        <v>1.2</v>
      </c>
      <c r="D17" s="17">
        <f>Rlan1*1*C17</f>
        <v>209.25</v>
      </c>
      <c r="E17" s="17">
        <f>Rxe1_*1*C17</f>
        <v>360.416</v>
      </c>
      <c r="F17" s="17">
        <f t="shared" ref="F17:F22" si="0">E17*IM_</f>
        <v>118.93728</v>
      </c>
      <c r="G17" s="17">
        <f>IF(1&lt;=nLan,pPL*bPL*0.5*Lsp,0)</f>
        <v>0</v>
      </c>
      <c r="H17" s="23">
        <f t="shared" ref="H17:H22" si="1">D17+E17+F17+G17</f>
        <v>688.60327999999993</v>
      </c>
      <c r="I17" s="9">
        <f>Wcau/2-blc_-bPL-1.5*1</f>
        <v>9.875</v>
      </c>
      <c r="J17" s="17">
        <f t="shared" ref="J17:J22" si="2">H17*I17</f>
        <v>6799.9573899999996</v>
      </c>
      <c r="K17" s="17">
        <f t="shared" ref="K17:K22" si="3">H17*e_db</f>
        <v>452.41235495999996</v>
      </c>
      <c r="L17" s="17">
        <f t="shared" ref="L17:L22" si="4">H17*e_tb</f>
        <v>211.40120695999997</v>
      </c>
    </row>
    <row r="18" spans="2:12" x14ac:dyDescent="0.3">
      <c r="B18" s="10">
        <f>IF(2&lt;=nLan,2,"")</f>
        <v>2</v>
      </c>
      <c r="C18" s="9">
        <f>IF(2&gt;nLan,0,IF(2=1,1.2,IF(2=2,1,IF(2=3,0.85,0.65))))</f>
        <v>1</v>
      </c>
      <c r="D18" s="17">
        <f>Rlan1*2*C18</f>
        <v>348.75</v>
      </c>
      <c r="E18" s="17">
        <f>Rxe1_*2*C18</f>
        <v>600.69333333333338</v>
      </c>
      <c r="F18" s="17">
        <f t="shared" si="0"/>
        <v>198.22880000000004</v>
      </c>
      <c r="G18" s="17">
        <f>IF(2&lt;=nLan,pPL*bPL*0.5*Lsp,0)</f>
        <v>0</v>
      </c>
      <c r="H18" s="23">
        <f t="shared" si="1"/>
        <v>1147.6721333333335</v>
      </c>
      <c r="I18" s="9">
        <f>Wcau/2-blc_-bPL-1.5*2</f>
        <v>8.375</v>
      </c>
      <c r="J18" s="17">
        <f t="shared" si="2"/>
        <v>9611.754116666667</v>
      </c>
      <c r="K18" s="17">
        <f t="shared" si="3"/>
        <v>754.0205916000001</v>
      </c>
      <c r="L18" s="17">
        <f t="shared" si="4"/>
        <v>352.33534493333337</v>
      </c>
    </row>
    <row r="19" spans="2:12" x14ac:dyDescent="0.3">
      <c r="B19" s="10">
        <f>IF(3&lt;=nLan,3,"")</f>
        <v>3</v>
      </c>
      <c r="C19" s="9">
        <f>IF(3&gt;nLan,0,IF(3=1,1.2,IF(3=2,1,IF(3=3,0.85,0.65))))</f>
        <v>0.85</v>
      </c>
      <c r="D19" s="17">
        <f>Rlan1*3*C19</f>
        <v>444.65625</v>
      </c>
      <c r="E19" s="17">
        <f>Rxe1_*3*C19</f>
        <v>765.88400000000001</v>
      </c>
      <c r="F19" s="17">
        <f t="shared" si="0"/>
        <v>252.74172000000002</v>
      </c>
      <c r="G19" s="17">
        <f>IF(3&lt;=nLan,pPL*bPL*0.5*Lsp,0)</f>
        <v>0</v>
      </c>
      <c r="H19" s="23">
        <f t="shared" si="1"/>
        <v>1463.28197</v>
      </c>
      <c r="I19" s="9">
        <f>Wcau/2-blc_-bPL-1.5*3</f>
        <v>6.875</v>
      </c>
      <c r="J19" s="17">
        <f t="shared" si="2"/>
        <v>10060.06354375</v>
      </c>
      <c r="K19" s="17">
        <f t="shared" si="3"/>
        <v>961.37625429000002</v>
      </c>
      <c r="L19" s="17">
        <f t="shared" si="4"/>
        <v>449.22756478999997</v>
      </c>
    </row>
    <row r="20" spans="2:12" x14ac:dyDescent="0.3">
      <c r="B20" s="10">
        <f>IF(4&lt;=nLan,4,"")</f>
        <v>4</v>
      </c>
      <c r="C20" s="9">
        <f>IF(4&gt;nLan,0,IF(4=1,1.2,IF(4=2,1,IF(4=3,0.85,0.65))))</f>
        <v>0.65</v>
      </c>
      <c r="D20" s="17">
        <f>Rlan1*4*C20</f>
        <v>453.375</v>
      </c>
      <c r="E20" s="17">
        <f>Rxe1_*4*C20</f>
        <v>780.90133333333347</v>
      </c>
      <c r="F20" s="17">
        <f t="shared" si="0"/>
        <v>257.69744000000003</v>
      </c>
      <c r="G20" s="17">
        <f>IF(4&lt;=nLan,pPL*bPL*0.5*Lsp,0)</f>
        <v>0</v>
      </c>
      <c r="H20" s="23">
        <f t="shared" si="1"/>
        <v>1491.9737733333336</v>
      </c>
      <c r="I20" s="9">
        <f>Wcau/2-blc_-bPL-1.5*4</f>
        <v>5.375</v>
      </c>
      <c r="J20" s="17">
        <f t="shared" si="2"/>
        <v>8019.3590316666678</v>
      </c>
      <c r="K20" s="17">
        <f t="shared" si="3"/>
        <v>980.22676908000028</v>
      </c>
      <c r="L20" s="17">
        <f t="shared" si="4"/>
        <v>458.03594841333341</v>
      </c>
    </row>
    <row r="21" spans="2:12" x14ac:dyDescent="0.3">
      <c r="B21" s="10">
        <f>IF(5&lt;=nLan,5,"")</f>
        <v>5</v>
      </c>
      <c r="C21" s="9">
        <f>IF(5&gt;nLan,0,IF(5=1,1.2,IF(5=2,1,IF(5=3,0.85,0.65))))</f>
        <v>0.65</v>
      </c>
      <c r="D21" s="17">
        <f>Rlan1*5*C21</f>
        <v>566.71875</v>
      </c>
      <c r="E21" s="17">
        <f>Rxe1_*5*C21</f>
        <v>976.12666666666689</v>
      </c>
      <c r="F21" s="17">
        <f t="shared" si="0"/>
        <v>322.12180000000006</v>
      </c>
      <c r="G21" s="17">
        <f>IF(5&lt;=nLan,pPL*bPL*0.5*Lsp,0)</f>
        <v>0</v>
      </c>
      <c r="H21" s="23">
        <f t="shared" si="1"/>
        <v>1864.9672166666671</v>
      </c>
      <c r="I21" s="9">
        <f>Wcau/2-blc_-bPL-1.5*5</f>
        <v>3.875</v>
      </c>
      <c r="J21" s="17">
        <f t="shared" si="2"/>
        <v>7226.7479645833355</v>
      </c>
      <c r="K21" s="17">
        <f t="shared" si="3"/>
        <v>1225.2834613500004</v>
      </c>
      <c r="L21" s="17">
        <f t="shared" si="4"/>
        <v>572.54493551666678</v>
      </c>
    </row>
    <row r="22" spans="2:12" x14ac:dyDescent="0.3">
      <c r="B22" s="10">
        <f>IF(6&lt;=nLan,6,"")</f>
        <v>6</v>
      </c>
      <c r="C22" s="9">
        <f>IF(6&gt;nLan,0,IF(6=1,1.2,IF(6=2,1,IF(6=3,0.85,0.65))))</f>
        <v>0.65</v>
      </c>
      <c r="D22" s="17">
        <f>Rlan1*6*C22</f>
        <v>680.0625</v>
      </c>
      <c r="E22" s="17">
        <f>Rxe1_*6*C22</f>
        <v>1171.3520000000001</v>
      </c>
      <c r="F22" s="17">
        <f t="shared" si="0"/>
        <v>386.54616000000004</v>
      </c>
      <c r="G22" s="17">
        <f>IF(6&lt;=nLan,pPL*bPL*0.5*Lsp,0)</f>
        <v>0</v>
      </c>
      <c r="H22" s="23">
        <f t="shared" si="1"/>
        <v>2237.9606600000002</v>
      </c>
      <c r="I22" s="9">
        <f>Wcau/2-blc_-bPL-1.5*6</f>
        <v>2.375</v>
      </c>
      <c r="J22" s="17">
        <f t="shared" si="2"/>
        <v>5315.1565675000002</v>
      </c>
      <c r="K22" s="17">
        <f t="shared" si="3"/>
        <v>1470.3401536200001</v>
      </c>
      <c r="L22" s="17">
        <f t="shared" si="4"/>
        <v>687.05392262000009</v>
      </c>
    </row>
    <row r="23" spans="2:12" x14ac:dyDescent="0.3">
      <c r="B23" s="11" t="s">
        <v>308</v>
      </c>
    </row>
    <row r="25" spans="2:12" x14ac:dyDescent="0.3">
      <c r="B25" s="6" t="s">
        <v>309</v>
      </c>
    </row>
    <row r="26" spans="2:12" x14ac:dyDescent="0.3">
      <c r="B26" s="18" t="s">
        <v>300</v>
      </c>
      <c r="C26" s="18" t="s">
        <v>21</v>
      </c>
      <c r="D26" s="18" t="s">
        <v>310</v>
      </c>
      <c r="E26" s="18" t="s">
        <v>311</v>
      </c>
      <c r="F26" s="18" t="s">
        <v>312</v>
      </c>
    </row>
    <row r="27" spans="2:12" x14ac:dyDescent="0.3">
      <c r="B27" s="10">
        <f>1</f>
        <v>1</v>
      </c>
      <c r="C27" s="9">
        <f>IF(1&gt;nLan,0,IF(1=1,1.2,IF(1=2,1,IF(1=3,0.85,0.65))))</f>
        <v>1.2</v>
      </c>
      <c r="D27" s="17">
        <f>0.25*325*1*C27</f>
        <v>97.5</v>
      </c>
      <c r="E27" s="17">
        <f>0.05*(325+qlan*Lsp)*1*C27</f>
        <v>40.424999999999997</v>
      </c>
      <c r="F27" s="17">
        <f t="shared" ref="F27:F32" si="5">MAX(D27:E27)</f>
        <v>97.5</v>
      </c>
    </row>
    <row r="28" spans="2:12" x14ac:dyDescent="0.3">
      <c r="B28" s="10">
        <f>2</f>
        <v>2</v>
      </c>
      <c r="C28" s="9">
        <f>IF(2&gt;nLan,0,IF(2=1,1.2,IF(2=2,1,IF(2=3,0.85,0.65))))</f>
        <v>1</v>
      </c>
      <c r="D28" s="17">
        <f>0.25*325*2*C28</f>
        <v>162.5</v>
      </c>
      <c r="E28" s="17">
        <f>0.05*(325+qlan*Lsp)*2*C28</f>
        <v>67.375</v>
      </c>
      <c r="F28" s="17">
        <f t="shared" si="5"/>
        <v>162.5</v>
      </c>
    </row>
    <row r="29" spans="2:12" x14ac:dyDescent="0.3">
      <c r="B29" s="10">
        <f>3</f>
        <v>3</v>
      </c>
      <c r="C29" s="9">
        <f>IF(3&gt;nLan,0,IF(3=1,1.2,IF(3=2,1,IF(3=3,0.85,0.65))))</f>
        <v>0.85</v>
      </c>
      <c r="D29" s="17">
        <f>0.25*325*3*C29</f>
        <v>207.1875</v>
      </c>
      <c r="E29" s="17">
        <f>0.05*(325+qlan*Lsp)*3*C29</f>
        <v>85.903125000000003</v>
      </c>
      <c r="F29" s="17">
        <f t="shared" si="5"/>
        <v>207.1875</v>
      </c>
    </row>
    <row r="30" spans="2:12" x14ac:dyDescent="0.3">
      <c r="B30" s="10">
        <f>4</f>
        <v>4</v>
      </c>
      <c r="C30" s="9">
        <f>IF(4&gt;nLan,0,IF(4=1,1.2,IF(4=2,1,IF(4=3,0.85,0.65))))</f>
        <v>0.65</v>
      </c>
      <c r="D30" s="17">
        <f>0.25*325*4*C30</f>
        <v>211.25</v>
      </c>
      <c r="E30" s="17">
        <f>0.05*(325+qlan*Lsp)*4*C30</f>
        <v>87.587500000000006</v>
      </c>
      <c r="F30" s="17">
        <f t="shared" si="5"/>
        <v>211.25</v>
      </c>
    </row>
    <row r="31" spans="2:12" x14ac:dyDescent="0.3">
      <c r="B31" s="10">
        <f>5</f>
        <v>5</v>
      </c>
      <c r="C31" s="9">
        <f>IF(5&gt;nLan,0,IF(5=1,1.2,IF(5=2,1,IF(5=3,0.85,0.65))))</f>
        <v>0.65</v>
      </c>
      <c r="D31" s="17">
        <f>0.25*325*5*C31</f>
        <v>264.0625</v>
      </c>
      <c r="E31" s="17">
        <f>0.05*(325+qlan*Lsp)*5*C31</f>
        <v>109.484375</v>
      </c>
      <c r="F31" s="17">
        <f t="shared" si="5"/>
        <v>264.0625</v>
      </c>
    </row>
    <row r="32" spans="2:12" x14ac:dyDescent="0.3">
      <c r="B32" s="10">
        <f>6</f>
        <v>6</v>
      </c>
      <c r="C32" s="9">
        <f>IF(6&gt;nLan,0,IF(6=1,1.2,IF(6=2,1,IF(6=3,0.85,0.65))))</f>
        <v>0.65</v>
      </c>
      <c r="D32" s="17">
        <f>0.25*325*6*C32</f>
        <v>316.875</v>
      </c>
      <c r="E32" s="17">
        <f>0.05*(325+qlan*Lsp)*6*C32</f>
        <v>131.38124999999999</v>
      </c>
      <c r="F32" s="17">
        <f t="shared" si="5"/>
        <v>316.875</v>
      </c>
    </row>
    <row r="33" spans="2:4" ht="27.6" x14ac:dyDescent="0.3">
      <c r="B33" s="22" t="s">
        <v>313</v>
      </c>
      <c r="C33" s="23">
        <f>IF(loaigoi=1,MAX(F27:F32),0)</f>
        <v>0</v>
      </c>
      <c r="D33" s="11" t="s">
        <v>314</v>
      </c>
    </row>
    <row r="34" spans="2:4" ht="41.4" x14ac:dyDescent="0.3">
      <c r="B34" s="22" t="s">
        <v>315</v>
      </c>
      <c r="C34" s="17">
        <f>BR_H*(H6_+H1_)</f>
        <v>0</v>
      </c>
      <c r="D34" s="17">
        <f>BR_H*H6_</f>
        <v>0</v>
      </c>
    </row>
    <row r="36" spans="2:4" x14ac:dyDescent="0.3">
      <c r="B36" s="6" t="s">
        <v>316</v>
      </c>
    </row>
    <row r="37" spans="2:4" x14ac:dyDescent="0.3">
      <c r="B37" s="4" t="s">
        <v>317</v>
      </c>
      <c r="C37" s="15">
        <f>IF(Rcong=0,0,4*(Vtk/3.6)^2/(3*9.81*Rcong))</f>
        <v>0</v>
      </c>
    </row>
    <row r="38" spans="2:4" ht="41.4" x14ac:dyDescent="0.3">
      <c r="B38" s="22" t="s">
        <v>318</v>
      </c>
      <c r="C38" s="23">
        <f>IF(Rcong=0,0,C37*325*nLan*IF(nLan=1,1.2,IF(nLan=2,1,IF(nLan=3,0.85,0.65)))*IF(loaigoi=1,1,0))</f>
        <v>0</v>
      </c>
    </row>
    <row r="39" spans="2:4" ht="41.4" x14ac:dyDescent="0.3">
      <c r="B39" s="22" t="s">
        <v>319</v>
      </c>
      <c r="C39" s="17">
        <f>CE_H*(H6_+H1_)</f>
        <v>0</v>
      </c>
      <c r="D39" s="17">
        <f>CE_H*H6_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G24"/>
  <sheetViews>
    <sheetView workbookViewId="0"/>
  </sheetViews>
  <sheetFormatPr defaultRowHeight="14.4" x14ac:dyDescent="0.3"/>
  <cols>
    <col min="1" max="1" width="2" customWidth="1"/>
    <col min="2" max="2" width="40" customWidth="1"/>
    <col min="3" max="5" width="14" customWidth="1"/>
    <col min="6" max="6" width="40" customWidth="1"/>
  </cols>
  <sheetData>
    <row r="2" spans="2:7" ht="16.8" x14ac:dyDescent="0.3">
      <c r="B2" s="1" t="s">
        <v>320</v>
      </c>
    </row>
    <row r="4" spans="2:7" x14ac:dyDescent="0.3">
      <c r="B4" s="6" t="s">
        <v>321</v>
      </c>
    </row>
    <row r="5" spans="2:7" x14ac:dyDescent="0.3">
      <c r="B5" s="4" t="s">
        <v>322</v>
      </c>
      <c r="C5" s="25">
        <f>(1+SQRT(SIN(RADIANS(phid+delw))*SIN(RADIANS(phid-betw))/(SIN(RADIANS(90-delw))*SIN(RADIANS(90+betw)))))^2</f>
        <v>2.25</v>
      </c>
    </row>
    <row r="6" spans="2:7" x14ac:dyDescent="0.3">
      <c r="B6" s="4" t="s">
        <v>323</v>
      </c>
      <c r="C6" s="27">
        <f>SIN(RADIANS(90+phid))^2/(C5*SIN(RADIANS(90))^2*SIN(RADIANS(90-delw)))</f>
        <v>0.33333333333333337</v>
      </c>
    </row>
    <row r="8" spans="2:7" x14ac:dyDescent="0.3">
      <c r="B8" s="6" t="s">
        <v>324</v>
      </c>
    </row>
    <row r="9" spans="2:7" x14ac:dyDescent="0.3">
      <c r="B9" s="18" t="s">
        <v>325</v>
      </c>
      <c r="C9" s="18" t="s">
        <v>326</v>
      </c>
      <c r="D9" s="18" t="s">
        <v>327</v>
      </c>
      <c r="E9" s="18" t="s">
        <v>328</v>
      </c>
      <c r="F9" s="18" t="s">
        <v>329</v>
      </c>
    </row>
    <row r="10" spans="2:7" x14ac:dyDescent="0.3">
      <c r="B10" s="19" t="s">
        <v>330</v>
      </c>
      <c r="C10" s="15">
        <f>Hdb</f>
        <v>9.3680000000000003</v>
      </c>
      <c r="D10" s="23">
        <f>0.5*gs_*C10^2*Ka_*BeffEH</f>
        <v>6774.7597338908636</v>
      </c>
      <c r="E10" s="15">
        <f>C10/3</f>
        <v>3.1226666666666669</v>
      </c>
      <c r="F10" s="23">
        <f>D10*E10</f>
        <v>21155.31639569654</v>
      </c>
    </row>
    <row r="11" spans="2:7" x14ac:dyDescent="0.3">
      <c r="B11" s="19" t="s">
        <v>331</v>
      </c>
      <c r="C11" s="15">
        <f>Htb</f>
        <v>7.5680000000000005</v>
      </c>
      <c r="D11" s="23">
        <f>0.5*gs_*C11^2*Ka_*BeffEH</f>
        <v>4421.4261986147403</v>
      </c>
      <c r="E11" s="15">
        <f>C11/3</f>
        <v>2.5226666666666668</v>
      </c>
      <c r="F11" s="23">
        <f>D11*E11</f>
        <v>11153.78449037212</v>
      </c>
    </row>
    <row r="13" spans="2:7" x14ac:dyDescent="0.3">
      <c r="B13" s="6" t="s">
        <v>332</v>
      </c>
    </row>
    <row r="14" spans="2:7" ht="27.6" x14ac:dyDescent="0.3">
      <c r="B14" s="18" t="s">
        <v>325</v>
      </c>
      <c r="C14" s="18" t="s">
        <v>326</v>
      </c>
      <c r="D14" s="18" t="s">
        <v>333</v>
      </c>
      <c r="E14" s="18" t="s">
        <v>334</v>
      </c>
      <c r="F14" s="18" t="s">
        <v>335</v>
      </c>
      <c r="G14" s="18" t="s">
        <v>329</v>
      </c>
    </row>
    <row r="15" spans="2:7" x14ac:dyDescent="0.3">
      <c r="B15" s="19" t="s">
        <v>330</v>
      </c>
      <c r="C15" s="15">
        <f>Hdb</f>
        <v>9.3680000000000003</v>
      </c>
      <c r="D15" s="15">
        <f>IF(C15&lt;=1.5,1.2,IF(C15&lt;=3,0.9+(3-C15)*0.3/1.5,IF(C15&lt;=6,0.6+(6-C15)*0.3/3,0.6)))</f>
        <v>0.6</v>
      </c>
      <c r="E15" s="23">
        <f>Ka_*D15*gs_*C15*BeffEH</f>
        <v>867.81721612607112</v>
      </c>
      <c r="F15" s="15">
        <f>C15/2</f>
        <v>4.6840000000000002</v>
      </c>
      <c r="G15" s="23">
        <f>E15*F15</f>
        <v>4064.8558403345173</v>
      </c>
    </row>
    <row r="16" spans="2:7" x14ac:dyDescent="0.3">
      <c r="B16" s="19" t="s">
        <v>331</v>
      </c>
      <c r="C16" s="15">
        <f>Htb</f>
        <v>7.5680000000000005</v>
      </c>
      <c r="D16" s="15">
        <f>IF(C16&lt;=1.5,1.2,IF(C16&lt;=3,0.9+(3-C16)*0.3/1.5,IF(C16&lt;=6,0.6+(6-C16)*0.3/3,0.6)))</f>
        <v>0.6</v>
      </c>
      <c r="E16" s="23">
        <f>Ka_*D16*gs_*C16*BeffEH</f>
        <v>701.07180739134355</v>
      </c>
      <c r="F16" s="15">
        <f>C16/2</f>
        <v>3.7840000000000003</v>
      </c>
      <c r="G16" s="23">
        <f>E16*F16</f>
        <v>2652.8557191688442</v>
      </c>
    </row>
    <row r="18" spans="2:6" x14ac:dyDescent="0.3">
      <c r="B18" s="6" t="s">
        <v>336</v>
      </c>
    </row>
    <row r="19" spans="2:6" x14ac:dyDescent="0.3">
      <c r="B19" s="4" t="s">
        <v>337</v>
      </c>
      <c r="C19" s="23">
        <f>D15*gs_*(B1_-B3_-B4_)*BeffEV</f>
        <v>703.22175000000004</v>
      </c>
      <c r="D19" s="15">
        <f>-B1_/2+(B1_-B3_-B4_)/2</f>
        <v>-1.65</v>
      </c>
      <c r="E19" s="23">
        <f>C19*D19</f>
        <v>-1160.3158874999999</v>
      </c>
      <c r="F19" s="11" t="s">
        <v>338</v>
      </c>
    </row>
    <row r="21" spans="2:6" x14ac:dyDescent="0.3">
      <c r="B21" s="6" t="s">
        <v>339</v>
      </c>
    </row>
    <row r="22" spans="2:6" x14ac:dyDescent="0.3">
      <c r="B22" s="4" t="s">
        <v>340</v>
      </c>
      <c r="C22" s="17">
        <f>DCkcn+DWkcn+(qlan*0.5*Lsp+Rxe1_)*nLan*IF(nLan=1,1.2,IF(nLan=2,1,IF(nLan=3,0.85,0.65)))+pPL*bPL*0.5*Lsp</f>
        <v>9261.4228750000002</v>
      </c>
    </row>
    <row r="23" spans="2:6" x14ac:dyDescent="0.3">
      <c r="B23" s="22" t="s">
        <v>341</v>
      </c>
      <c r="C23" s="23">
        <f>IF(loaigoi=0,fms*C22,0)</f>
        <v>648.29960125000002</v>
      </c>
    </row>
    <row r="24" spans="2:6" x14ac:dyDescent="0.3">
      <c r="B24" s="22" t="s">
        <v>342</v>
      </c>
      <c r="C24" s="17">
        <f>FR_H*(H6_+H1_)</f>
        <v>5253.8199685300006</v>
      </c>
      <c r="D24" s="17">
        <f>FR_H*H6_</f>
        <v>4086.8806862800002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I28"/>
  <sheetViews>
    <sheetView workbookViewId="0"/>
  </sheetViews>
  <sheetFormatPr defaultRowHeight="14.4" x14ac:dyDescent="0.3"/>
  <cols>
    <col min="1" max="1" width="2" customWidth="1"/>
    <col min="2" max="2" width="36" customWidth="1"/>
    <col min="3" max="3" width="13" customWidth="1"/>
    <col min="4" max="4" width="12" customWidth="1"/>
    <col min="5" max="9" width="13" customWidth="1"/>
  </cols>
  <sheetData>
    <row r="2" spans="2:9" ht="16.8" x14ac:dyDescent="0.3">
      <c r="B2" s="1" t="s">
        <v>343</v>
      </c>
    </row>
    <row r="3" spans="2:9" x14ac:dyDescent="0.3">
      <c r="B3" s="11" t="s">
        <v>344</v>
      </c>
    </row>
    <row r="5" spans="2:9" x14ac:dyDescent="0.3">
      <c r="B5" s="6" t="s">
        <v>345</v>
      </c>
    </row>
    <row r="6" spans="2:9" x14ac:dyDescent="0.3">
      <c r="B6" s="18" t="s">
        <v>224</v>
      </c>
      <c r="C6" s="18" t="s">
        <v>346</v>
      </c>
      <c r="D6" s="18" t="s">
        <v>189</v>
      </c>
      <c r="E6" s="18" t="s">
        <v>347</v>
      </c>
      <c r="F6" s="18" t="s">
        <v>348</v>
      </c>
      <c r="G6" s="18" t="s">
        <v>349</v>
      </c>
      <c r="H6" s="18" t="s">
        <v>350</v>
      </c>
      <c r="I6" s="18" t="s">
        <v>351</v>
      </c>
    </row>
    <row r="7" spans="2:9" x14ac:dyDescent="0.3">
      <c r="B7" s="19" t="s">
        <v>352</v>
      </c>
      <c r="C7" s="9">
        <f>(hgir+tcban+hlc)*Lnhip/2</f>
        <v>58.255000000000003</v>
      </c>
      <c r="D7" s="9">
        <f>Cdkcn</f>
        <v>1.25</v>
      </c>
      <c r="E7" s="23">
        <f>MAX(1.8*C7,0.0006*V_gio^2*C7*D7)</f>
        <v>105.11688760312502</v>
      </c>
      <c r="F7" s="15">
        <f>H1_+H6_+hgoi+(hgir+tcban+hlc)/2</f>
        <v>9.7790000000000017</v>
      </c>
      <c r="G7" s="17">
        <f>E7*F7</f>
        <v>1027.9380438709597</v>
      </c>
      <c r="H7" s="15">
        <f>H6_+hgoi+(hgir+tcban+hlc)/2</f>
        <v>7.979000000000001</v>
      </c>
      <c r="I7" s="17">
        <f>E7*H7</f>
        <v>838.72764618533461</v>
      </c>
    </row>
    <row r="8" spans="2:9" x14ac:dyDescent="0.3">
      <c r="B8" s="19" t="s">
        <v>353</v>
      </c>
      <c r="C8" s="9">
        <f>(B2_+B4_)*(H2_+H3_+H4_)</f>
        <v>40.091000000000008</v>
      </c>
      <c r="D8" s="9">
        <f>Cxmo</f>
        <v>1.17</v>
      </c>
      <c r="E8" s="23">
        <f>MAX(1.8*C8,0.0006*V_gio^2*C8*D8)</f>
        <v>72.163800000000023</v>
      </c>
      <c r="F8" s="15">
        <f>H1_+(H2_+H3_+H4_)/2</f>
        <v>6.0650000000000004</v>
      </c>
      <c r="G8" s="17">
        <f>E8*F8</f>
        <v>437.67344700000018</v>
      </c>
      <c r="H8" s="15">
        <f>(H2_+H3_+H4_)/2</f>
        <v>4.2650000000000006</v>
      </c>
      <c r="I8" s="17">
        <f>E8*H8</f>
        <v>307.77860700000014</v>
      </c>
    </row>
    <row r="9" spans="2:9" x14ac:dyDescent="0.3">
      <c r="B9" s="22" t="s">
        <v>354</v>
      </c>
      <c r="E9" s="23">
        <f>SUM(E7:E8)</f>
        <v>177.28068760312505</v>
      </c>
      <c r="G9" s="23">
        <f>SUM(G7:G8)</f>
        <v>1465.6114908709599</v>
      </c>
      <c r="I9" s="23">
        <f>SUM(I7:I8)</f>
        <v>1146.5062531853348</v>
      </c>
    </row>
    <row r="10" spans="2:9" x14ac:dyDescent="0.3">
      <c r="B10" s="22" t="s">
        <v>355</v>
      </c>
      <c r="E10" s="23">
        <f>0.25*E7</f>
        <v>26.279221900781256</v>
      </c>
      <c r="G10" s="23">
        <f>E10*F7</f>
        <v>256.98451096773994</v>
      </c>
      <c r="I10" s="23">
        <f>E10*H7</f>
        <v>209.68191154633365</v>
      </c>
    </row>
    <row r="11" spans="2:9" x14ac:dyDescent="0.3">
      <c r="B11" s="11" t="s">
        <v>356</v>
      </c>
    </row>
    <row r="13" spans="2:9" x14ac:dyDescent="0.3">
      <c r="B13" s="6" t="s">
        <v>357</v>
      </c>
    </row>
    <row r="14" spans="2:9" x14ac:dyDescent="0.3">
      <c r="B14" s="18" t="s">
        <v>224</v>
      </c>
      <c r="C14" s="18" t="s">
        <v>346</v>
      </c>
      <c r="D14" s="18" t="s">
        <v>189</v>
      </c>
      <c r="E14" s="18" t="s">
        <v>347</v>
      </c>
      <c r="F14" s="18" t="s">
        <v>348</v>
      </c>
      <c r="G14" s="18" t="s">
        <v>349</v>
      </c>
      <c r="H14" s="18" t="s">
        <v>350</v>
      </c>
      <c r="I14" s="18" t="s">
        <v>351</v>
      </c>
    </row>
    <row r="15" spans="2:9" x14ac:dyDescent="0.3">
      <c r="B15" s="19" t="s">
        <v>352</v>
      </c>
      <c r="C15" s="9">
        <f>(hgir+tcban+hlc)*Lnhip/2</f>
        <v>58.255000000000003</v>
      </c>
      <c r="D15" s="9">
        <f>Cdkcn</f>
        <v>1.25</v>
      </c>
      <c r="E15" s="23">
        <f>MAX(1.8*C15,0.0006*25^2*C15*D15)</f>
        <v>104.85900000000001</v>
      </c>
      <c r="F15" s="15">
        <f>H1_+H6_+hgoi+(hgir+tcban+hlc)/2</f>
        <v>9.7790000000000017</v>
      </c>
      <c r="G15" s="17">
        <f>E15*F15</f>
        <v>1025.4161610000003</v>
      </c>
      <c r="H15" s="15">
        <f>H6_+hgoi+(hgir+tcban+hlc)/2</f>
        <v>7.979000000000001</v>
      </c>
      <c r="I15" s="17">
        <f>E15*H15</f>
        <v>836.66996100000017</v>
      </c>
    </row>
    <row r="16" spans="2:9" x14ac:dyDescent="0.3">
      <c r="B16" s="19" t="s">
        <v>353</v>
      </c>
      <c r="C16" s="9">
        <f>(B2_+B4_)*(H2_+H3_+H4_)</f>
        <v>40.091000000000008</v>
      </c>
      <c r="D16" s="9">
        <f>Cxmo</f>
        <v>1.17</v>
      </c>
      <c r="E16" s="23">
        <f>MAX(1.8*C16,0.0006*25^2*C16*D16)</f>
        <v>72.163800000000023</v>
      </c>
      <c r="F16" s="15">
        <f>H1_+(H2_+H3_+H4_)/2</f>
        <v>6.0650000000000004</v>
      </c>
      <c r="G16" s="17">
        <f>E16*F16</f>
        <v>437.67344700000018</v>
      </c>
      <c r="H16" s="15">
        <f>(H2_+H3_+H4_)/2</f>
        <v>4.2650000000000006</v>
      </c>
      <c r="I16" s="17">
        <f>E16*H16</f>
        <v>307.77860700000014</v>
      </c>
    </row>
    <row r="17" spans="2:9" x14ac:dyDescent="0.3">
      <c r="B17" s="22" t="s">
        <v>354</v>
      </c>
      <c r="E17" s="23">
        <f>SUM(E15:E16)</f>
        <v>177.02280000000002</v>
      </c>
      <c r="G17" s="23">
        <f>SUM(G15:G16)</f>
        <v>1463.0896080000005</v>
      </c>
      <c r="I17" s="23">
        <f>SUM(I15:I16)</f>
        <v>1144.4485680000003</v>
      </c>
    </row>
    <row r="18" spans="2:9" x14ac:dyDescent="0.3">
      <c r="B18" s="22" t="s">
        <v>355</v>
      </c>
      <c r="E18" s="23">
        <f>0.25*E15</f>
        <v>26.214750000000002</v>
      </c>
      <c r="G18" s="23">
        <f>E18*F15</f>
        <v>256.35404025000008</v>
      </c>
      <c r="I18" s="23">
        <f>E18*H15</f>
        <v>209.16749025000004</v>
      </c>
    </row>
    <row r="19" spans="2:9" x14ac:dyDescent="0.3">
      <c r="B19" s="11" t="s">
        <v>356</v>
      </c>
    </row>
    <row r="21" spans="2:9" x14ac:dyDescent="0.3">
      <c r="B21" s="6" t="s">
        <v>358</v>
      </c>
    </row>
    <row r="22" spans="2:9" x14ac:dyDescent="0.3">
      <c r="B22" s="4" t="s">
        <v>359</v>
      </c>
      <c r="C22" s="23">
        <f>0.00045*V_gio^2*Wcau*Lnhip/2</f>
        <v>491.11988470312514</v>
      </c>
    </row>
    <row r="23" spans="2:9" x14ac:dyDescent="0.3">
      <c r="B23" s="22" t="s">
        <v>360</v>
      </c>
      <c r="C23" s="17">
        <f>WSv_N*e_db</f>
        <v>322.66576424995321</v>
      </c>
      <c r="D23" s="17">
        <f>WSv_N*e_tb</f>
        <v>150.77380460385942</v>
      </c>
    </row>
    <row r="25" spans="2:9" x14ac:dyDescent="0.3">
      <c r="B25" s="6" t="s">
        <v>361</v>
      </c>
    </row>
    <row r="26" spans="2:9" x14ac:dyDescent="0.3">
      <c r="B26" s="4" t="s">
        <v>362</v>
      </c>
    </row>
    <row r="27" spans="2:9" x14ac:dyDescent="0.3">
      <c r="B27" s="19" t="s">
        <v>363</v>
      </c>
      <c r="C27" s="23">
        <f>1.46*Lnhip/2</f>
        <v>27.886000000000003</v>
      </c>
      <c r="D27" s="15">
        <f>H1_+H6_+H7_+1.8</f>
        <v>11.168000000000001</v>
      </c>
      <c r="E27" s="17">
        <f>C27*D27</f>
        <v>311.43084800000008</v>
      </c>
      <c r="F27" s="15">
        <f>H6_+H7_+1.8</f>
        <v>9.3680000000000003</v>
      </c>
      <c r="G27" s="17">
        <f>C27*F27</f>
        <v>261.23604800000004</v>
      </c>
      <c r="H27" s="11" t="s">
        <v>364</v>
      </c>
    </row>
    <row r="28" spans="2:9" x14ac:dyDescent="0.3">
      <c r="B28" s="19" t="s">
        <v>365</v>
      </c>
      <c r="C28" s="23">
        <f>0.55*Lnhip/2</f>
        <v>10.505000000000001</v>
      </c>
      <c r="D28" s="15">
        <f>D27</f>
        <v>11.168000000000001</v>
      </c>
      <c r="E28" s="17">
        <f>C28*D28</f>
        <v>117.31984000000001</v>
      </c>
      <c r="F28" s="15">
        <f>F27</f>
        <v>9.3680000000000003</v>
      </c>
      <c r="G28" s="17">
        <f>C28*F28</f>
        <v>98.410840000000007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H41"/>
  <sheetViews>
    <sheetView workbookViewId="0"/>
  </sheetViews>
  <sheetFormatPr defaultRowHeight="14.4" x14ac:dyDescent="0.3"/>
  <cols>
    <col min="1" max="1" width="2" customWidth="1"/>
    <col min="2" max="2" width="44" customWidth="1"/>
    <col min="3" max="5" width="14" customWidth="1"/>
    <col min="6" max="6" width="44" customWidth="1"/>
  </cols>
  <sheetData>
    <row r="2" spans="2:8" ht="16.8" x14ac:dyDescent="0.3">
      <c r="B2" s="1" t="s">
        <v>366</v>
      </c>
    </row>
    <row r="4" spans="2:8" x14ac:dyDescent="0.3">
      <c r="B4" s="6" t="s">
        <v>367</v>
      </c>
    </row>
    <row r="5" spans="2:8" x14ac:dyDescent="0.3">
      <c r="B5" s="4" t="s">
        <v>368</v>
      </c>
      <c r="C5" s="17">
        <f>DCkcn+DWkcn</f>
        <v>7410.0083750000003</v>
      </c>
    </row>
    <row r="6" spans="2:8" x14ac:dyDescent="0.3">
      <c r="B6" s="4" t="s">
        <v>369</v>
      </c>
      <c r="C6" s="15">
        <f>Cd1_*B3_^3/12</f>
        <v>4.3116125000000016</v>
      </c>
    </row>
    <row r="7" spans="2:8" x14ac:dyDescent="0.3">
      <c r="B7" s="4" t="s">
        <v>370</v>
      </c>
      <c r="C7" s="17">
        <f>B3_*Cd1_^3/12</f>
        <v>1414.9296281250001</v>
      </c>
    </row>
    <row r="8" spans="2:8" x14ac:dyDescent="0.3">
      <c r="B8" s="4" t="s">
        <v>371</v>
      </c>
      <c r="C8" s="25">
        <f>2*PI()*SQRT(C5/9.81*Htb^3/(3*Ec_*1000*C6))</f>
        <v>0.17853787383672473</v>
      </c>
    </row>
    <row r="9" spans="2:8" x14ac:dyDescent="0.3">
      <c r="B9" s="4" t="s">
        <v>372</v>
      </c>
      <c r="C9" s="25">
        <f>2*PI()*SQRT(C5/9.81*Htb^3/(3*Ec_*1000*C7))</f>
        <v>9.8555938848298164E-3</v>
      </c>
    </row>
    <row r="10" spans="2:8" x14ac:dyDescent="0.3">
      <c r="B10" s="4" t="s">
        <v>373</v>
      </c>
      <c r="C10" s="27">
        <f>IF(AND(OR(soildd="III",soildd="IV"),C8&lt;0.3),(0.8+4*C8)*Add,IF(C8&gt;4,3*Add*Sdd/C8^(4/3),MIN(2.5*Add,1.2*Add*Sdd/C8^(2/3))))</f>
        <v>0.27699999999999997</v>
      </c>
      <c r="F10" s="11" t="s">
        <v>374</v>
      </c>
    </row>
    <row r="11" spans="2:8" x14ac:dyDescent="0.3">
      <c r="B11" s="4" t="s">
        <v>375</v>
      </c>
      <c r="C11" s="27">
        <f>IF(AND(OR(soildd="III",soildd="IV"),C9&lt;0.3),(0.8+4*C9)*Add,IF(C9&gt;4,3*Add*Sdd/C9^(4/3),MIN(2.5*Add,1.2*Add*Sdd/C9^(2/3))))</f>
        <v>0.27699999999999997</v>
      </c>
    </row>
    <row r="13" spans="2:8" x14ac:dyDescent="0.3">
      <c r="B13" s="6" t="s">
        <v>376</v>
      </c>
    </row>
    <row r="14" spans="2:8" ht="27.6" x14ac:dyDescent="0.3">
      <c r="B14" s="18" t="s">
        <v>377</v>
      </c>
      <c r="C14" s="18" t="s">
        <v>378</v>
      </c>
      <c r="D14" s="18" t="s">
        <v>379</v>
      </c>
      <c r="E14" s="18" t="s">
        <v>348</v>
      </c>
      <c r="F14" s="18" t="s">
        <v>349</v>
      </c>
      <c r="G14" s="18" t="s">
        <v>380</v>
      </c>
      <c r="H14" s="18" t="s">
        <v>351</v>
      </c>
    </row>
    <row r="15" spans="2:8" x14ac:dyDescent="0.3">
      <c r="B15" s="19" t="s">
        <v>381</v>
      </c>
      <c r="C15" s="17">
        <f>DCkcn+DWkcn</f>
        <v>7410.0083750000003</v>
      </c>
      <c r="D15" s="17">
        <f>Csm_d*C15/Rkcn</f>
        <v>1368.3815465833331</v>
      </c>
      <c r="E15" s="15">
        <f>H1_+H6_+hgoi</f>
        <v>8.2540000000000013</v>
      </c>
      <c r="F15" s="17">
        <f t="shared" ref="F15:F21" si="0">D15*E15</f>
        <v>11294.621285498833</v>
      </c>
      <c r="G15" s="15">
        <f>H6_+hgoi</f>
        <v>6.4540000000000006</v>
      </c>
      <c r="H15" s="17">
        <f>D15*G15</f>
        <v>8831.5345016488336</v>
      </c>
    </row>
    <row r="16" spans="2:8" x14ac:dyDescent="0.3">
      <c r="B16" s="19" t="s">
        <v>231</v>
      </c>
      <c r="C16" s="17">
        <f>'TINH TAI'!D7</f>
        <v>6231.3300000000008</v>
      </c>
      <c r="D16" s="17">
        <f t="shared" ref="D16:D21" si="1">Csm_d*C16/Rmo</f>
        <v>1726.0784100000001</v>
      </c>
      <c r="E16" s="15">
        <f>H1_/2</f>
        <v>0.9</v>
      </c>
      <c r="F16" s="17">
        <f t="shared" si="0"/>
        <v>1553.4705690000001</v>
      </c>
      <c r="G16" s="15">
        <f>0</f>
        <v>0</v>
      </c>
      <c r="H16" s="17">
        <f>0</f>
        <v>0</v>
      </c>
    </row>
    <row r="17" spans="2:8" x14ac:dyDescent="0.3">
      <c r="B17" s="19" t="s">
        <v>233</v>
      </c>
      <c r="C17" s="17">
        <f>'TINH TAI'!D8</f>
        <v>4728.4255200000007</v>
      </c>
      <c r="D17" s="17">
        <f t="shared" si="1"/>
        <v>1309.7738690400001</v>
      </c>
      <c r="E17" s="15">
        <f>H1_+H6_/2</f>
        <v>4.952</v>
      </c>
      <c r="F17" s="17">
        <f t="shared" si="0"/>
        <v>6486.0001994860804</v>
      </c>
      <c r="G17" s="15">
        <f>H6_/2</f>
        <v>3.1520000000000001</v>
      </c>
      <c r="H17" s="17">
        <f>D17*G17</f>
        <v>4128.4072352140802</v>
      </c>
    </row>
    <row r="18" spans="2:8" x14ac:dyDescent="0.3">
      <c r="B18" s="19" t="s">
        <v>234</v>
      </c>
      <c r="C18" s="17">
        <f>'TINH TAI'!D9</f>
        <v>364.64820000000003</v>
      </c>
      <c r="D18" s="17">
        <f t="shared" si="1"/>
        <v>101.0075514</v>
      </c>
      <c r="E18" s="15">
        <f>H1_+H6_+H7_/2</f>
        <v>8.7360000000000007</v>
      </c>
      <c r="F18" s="17">
        <f t="shared" si="0"/>
        <v>882.4019690304001</v>
      </c>
      <c r="G18" s="15">
        <f>H6_+H7_/2</f>
        <v>6.9359999999999999</v>
      </c>
      <c r="H18" s="17">
        <f>D18*G18</f>
        <v>700.58837651039994</v>
      </c>
    </row>
    <row r="19" spans="2:8" x14ac:dyDescent="0.3">
      <c r="B19" s="19" t="s">
        <v>235</v>
      </c>
      <c r="C19" s="17">
        <f>'TINH TAI'!D10</f>
        <v>564.25950000000012</v>
      </c>
      <c r="D19" s="17">
        <f t="shared" si="1"/>
        <v>156.29988150000003</v>
      </c>
      <c r="E19" s="15">
        <f>H1_+(H2_+H3_+H4_)/2</f>
        <v>6.0650000000000004</v>
      </c>
      <c r="F19" s="17">
        <f t="shared" si="0"/>
        <v>947.9587812975002</v>
      </c>
      <c r="G19" s="15">
        <f>(H2_+H3_+H4_)/2</f>
        <v>4.2650000000000006</v>
      </c>
      <c r="H19" s="17">
        <f>D19*G19</f>
        <v>666.6189945975002</v>
      </c>
    </row>
    <row r="20" spans="2:8" x14ac:dyDescent="0.3">
      <c r="B20" s="19" t="s">
        <v>382</v>
      </c>
      <c r="C20" s="17">
        <f>'TINH TAI'!D11</f>
        <v>198.93999999999997</v>
      </c>
      <c r="D20" s="17">
        <f t="shared" si="1"/>
        <v>55.106379999999987</v>
      </c>
      <c r="E20" s="15">
        <f>H1_+H2_+H3_+H4_/2</f>
        <v>9.58</v>
      </c>
      <c r="F20" s="17">
        <f t="shared" si="0"/>
        <v>527.91912039999988</v>
      </c>
      <c r="G20" s="15">
        <f>H2_+H3_+H4_/2</f>
        <v>7.78</v>
      </c>
      <c r="H20" s="17">
        <f>D20*G20</f>
        <v>428.72763639999994</v>
      </c>
    </row>
    <row r="21" spans="2:8" x14ac:dyDescent="0.3">
      <c r="B21" s="19" t="s">
        <v>383</v>
      </c>
      <c r="C21" s="17">
        <f>'TINH TAI'!D12+'TINH TAI'!D13+'TINH TAI'!D14</f>
        <v>73.487750000000005</v>
      </c>
      <c r="D21" s="17">
        <f t="shared" si="1"/>
        <v>20.356106749999999</v>
      </c>
      <c r="E21" s="15">
        <f>H1_+H6_</f>
        <v>8.104000000000001</v>
      </c>
      <c r="F21" s="17">
        <f t="shared" si="0"/>
        <v>164.96588910200001</v>
      </c>
      <c r="G21" s="15">
        <f>H6_</f>
        <v>6.3040000000000003</v>
      </c>
      <c r="H21" s="17">
        <f>D21*G21</f>
        <v>128.32489695199999</v>
      </c>
    </row>
    <row r="22" spans="2:8" x14ac:dyDescent="0.3">
      <c r="B22" s="22" t="s">
        <v>384</v>
      </c>
      <c r="D22" s="23">
        <f>SUM(D15:D21)</f>
        <v>4737.0037452733341</v>
      </c>
      <c r="F22" s="23">
        <f>SUM(F15:F21)</f>
        <v>21857.337813814818</v>
      </c>
      <c r="H22" s="23">
        <f>SUM(H16:H21)+D15*G15</f>
        <v>14884.201641322814</v>
      </c>
    </row>
    <row r="23" spans="2:8" x14ac:dyDescent="0.3">
      <c r="B23" s="11" t="s">
        <v>385</v>
      </c>
      <c r="C23" s="22" t="s">
        <v>386</v>
      </c>
      <c r="D23" s="23">
        <f>SUM(D15:D21)-D16</f>
        <v>3010.925335273334</v>
      </c>
    </row>
    <row r="25" spans="2:8" x14ac:dyDescent="0.3">
      <c r="B25" s="6" t="s">
        <v>853</v>
      </c>
      <c r="F25" t="s">
        <v>854</v>
      </c>
    </row>
    <row r="26" spans="2:8" x14ac:dyDescent="0.3">
      <c r="B26" s="4" t="s">
        <v>387</v>
      </c>
      <c r="C26" s="15">
        <f>DEGREES(ATAN(khdd))</f>
        <v>6.322583173930961</v>
      </c>
    </row>
    <row r="27" spans="2:8" x14ac:dyDescent="0.3">
      <c r="B27" s="4" t="s">
        <v>388</v>
      </c>
      <c r="C27" s="27">
        <f>COS(RADIANS(phid-C26))^2/(COS(RADIANS(C26))*COS(RADIANS(delw+C26))*(1+SQRT(SIN(RADIANS(phid+delw))*SIN(RADIANS(phid-C26-betw))/(COS(RADIANS(delw+C26))*COS(RADIANS(betw)))))^2)</f>
        <v>0.40411281848305297</v>
      </c>
    </row>
    <row r="28" spans="2:8" ht="41.4" x14ac:dyDescent="0.3">
      <c r="B28" s="18" t="s">
        <v>325</v>
      </c>
      <c r="C28" s="18" t="s">
        <v>326</v>
      </c>
      <c r="D28" s="18" t="s">
        <v>389</v>
      </c>
      <c r="E28" s="18" t="s">
        <v>390</v>
      </c>
      <c r="F28" s="18" t="s">
        <v>391</v>
      </c>
    </row>
    <row r="29" spans="2:8" x14ac:dyDescent="0.3">
      <c r="B29" s="19" t="s">
        <v>330</v>
      </c>
      <c r="C29" s="15">
        <f>Hdb</f>
        <v>9.3680000000000003</v>
      </c>
      <c r="D29" s="23">
        <f>(KAE_-Ka_)*0.5*gs_*C29^2*BeffEH</f>
        <v>1438.5420179335399</v>
      </c>
      <c r="E29" s="15">
        <f>0.5*C29</f>
        <v>4.6840000000000002</v>
      </c>
      <c r="F29" s="23">
        <f>D29*E29</f>
        <v>6738.1308120007016</v>
      </c>
    </row>
    <row r="30" spans="2:8" x14ac:dyDescent="0.3">
      <c r="B30" s="19" t="s">
        <v>331</v>
      </c>
      <c r="C30" s="15">
        <f>Htb</f>
        <v>7.5680000000000005</v>
      </c>
      <c r="D30" s="23">
        <f>(KAE_-Ka_)*0.5*gs_*C30^2*BeffEH</f>
        <v>938.83880989629961</v>
      </c>
      <c r="E30" s="15">
        <f>0.5*C30</f>
        <v>3.7840000000000003</v>
      </c>
      <c r="F30" s="23">
        <f>D30*E30</f>
        <v>3552.5660566475981</v>
      </c>
    </row>
    <row r="31" spans="2:8" x14ac:dyDescent="0.3">
      <c r="B31" s="11" t="s">
        <v>392</v>
      </c>
    </row>
    <row r="33" spans="1:8" x14ac:dyDescent="0.3">
      <c r="B33" s="6" t="s">
        <v>393</v>
      </c>
    </row>
    <row r="34" spans="1:8" ht="27.6" x14ac:dyDescent="0.3">
      <c r="B34" s="18" t="s">
        <v>394</v>
      </c>
      <c r="C34" s="18" t="s">
        <v>395</v>
      </c>
      <c r="D34" s="18" t="s">
        <v>349</v>
      </c>
      <c r="E34" s="18" t="s">
        <v>396</v>
      </c>
      <c r="F34" s="18" t="s">
        <v>351</v>
      </c>
    </row>
    <row r="35" spans="1:8" x14ac:dyDescent="0.3">
      <c r="B35" s="19" t="s">
        <v>397</v>
      </c>
      <c r="C35" s="23">
        <f>D22+D29</f>
        <v>6175.5457632068737</v>
      </c>
      <c r="D35" s="23">
        <f>F22+F29</f>
        <v>28595.46862581552</v>
      </c>
      <c r="E35" s="23">
        <f>D23+D30</f>
        <v>3949.7641451696336</v>
      </c>
      <c r="F35" s="23">
        <f>H22+F30</f>
        <v>18436.767697970412</v>
      </c>
    </row>
    <row r="36" spans="1:8" x14ac:dyDescent="0.3">
      <c r="B36" s="19" t="s">
        <v>398</v>
      </c>
      <c r="C36" s="23">
        <f>D22</f>
        <v>4737.0037452733341</v>
      </c>
      <c r="D36" s="23">
        <f>F22</f>
        <v>21857.337813814818</v>
      </c>
      <c r="E36" s="23">
        <f>D23</f>
        <v>3010.925335273334</v>
      </c>
      <c r="F36" s="23">
        <f>H22</f>
        <v>14884.201641322814</v>
      </c>
    </row>
    <row r="38" spans="1:8" ht="17.55" customHeight="1" x14ac:dyDescent="0.3">
      <c r="A38" s="81" t="s">
        <v>855</v>
      </c>
      <c r="B38" s="81"/>
      <c r="C38" s="81"/>
      <c r="D38" s="81"/>
      <c r="E38" s="81"/>
      <c r="F38" s="81"/>
      <c r="G38" s="81"/>
      <c r="H38" s="81"/>
    </row>
    <row r="39" spans="1:8" ht="28.8" x14ac:dyDescent="0.3">
      <c r="B39" s="43" t="s">
        <v>856</v>
      </c>
      <c r="C39" s="43" t="s">
        <v>846</v>
      </c>
      <c r="D39" s="43" t="s">
        <v>857</v>
      </c>
      <c r="E39" s="43" t="s">
        <v>858</v>
      </c>
      <c r="F39" s="43" t="s">
        <v>859</v>
      </c>
      <c r="G39" s="43" t="s">
        <v>860</v>
      </c>
      <c r="H39" s="43" t="s">
        <v>861</v>
      </c>
    </row>
    <row r="40" spans="1:8" ht="72" x14ac:dyDescent="0.3">
      <c r="B40" s="40" t="s">
        <v>862</v>
      </c>
      <c r="C40" s="40">
        <f>khdd</f>
        <v>0.1108</v>
      </c>
      <c r="D40" s="40">
        <f>DEGREES(ATAN(C40))</f>
        <v>6.322583173930961</v>
      </c>
      <c r="E40" s="40">
        <f>COS(RADIANS(phid-D40))^2/(COS(RADIANS(D40))*COS(RADIANS(delw+D40))*(1+SQRT(MAX(0,SIN(RADIANS(phid+delw))*SIN(RADIANS(phid-D40-betw))/(COS(RADIANS(delw+D40))*COS(RADIANS(betw))))))^2)</f>
        <v>0.40411281848305297</v>
      </c>
      <c r="F40" s="40">
        <f>(E40-Ka_)*0.5*gs_*Hdb^2*BeffEH</f>
        <v>1438.5420179335399</v>
      </c>
      <c r="G40" s="40">
        <f>(E40-Ka_)*0.5*gs_*Htb^2*BeffEH</f>
        <v>938.83880989629961</v>
      </c>
      <c r="H40" s="40" t="s">
        <v>863</v>
      </c>
    </row>
    <row r="41" spans="1:8" x14ac:dyDescent="0.3">
      <c r="B41" s="40" t="s">
        <v>864</v>
      </c>
      <c r="C41" s="40">
        <f>-khdd</f>
        <v>-0.1108</v>
      </c>
      <c r="D41" s="40">
        <f>DEGREES(ATAN(C41))</f>
        <v>-6.322583173930961</v>
      </c>
      <c r="E41" s="40">
        <f>COS(RADIANS(phid-D41))^2/(COS(RADIANS(D41))*COS(RADIANS(delw+D41))*(1+SQRT(MAX(0,SIN(RADIANS(phid+delw))*SIN(RADIANS(phid-D41-betw))/(COS(RADIANS(delw+D41))*COS(RADIANS(betw))))))^2)</f>
        <v>0.27497458235115468</v>
      </c>
      <c r="F41" s="40">
        <f>(E41-Ka_)*0.5*gs_*Hdb^2*BeffEH</f>
        <v>-1186.0995488226838</v>
      </c>
      <c r="G41" s="40">
        <f>(E41-Ka_)*0.5*gs_*Htb^2*BeffEH</f>
        <v>-774.08673153311565</v>
      </c>
      <c r="H41" s="40"/>
    </row>
  </sheetData>
  <mergeCells count="1">
    <mergeCell ref="A38:H38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2:AI159"/>
  <sheetViews>
    <sheetView workbookViewId="0"/>
  </sheetViews>
  <sheetFormatPr defaultRowHeight="14.4" x14ac:dyDescent="0.3"/>
  <cols>
    <col min="1" max="1" width="2" customWidth="1"/>
    <col min="2" max="2" width="30" customWidth="1"/>
    <col min="3" max="28" width="10.44140625" customWidth="1"/>
  </cols>
  <sheetData>
    <row r="2" spans="2:12" ht="16.8" x14ac:dyDescent="0.3">
      <c r="B2" s="1" t="s">
        <v>399</v>
      </c>
    </row>
    <row r="3" spans="2:12" x14ac:dyDescent="0.3">
      <c r="B3" s="11" t="s">
        <v>400</v>
      </c>
    </row>
    <row r="5" spans="2:12" x14ac:dyDescent="0.3">
      <c r="B5" s="6" t="s">
        <v>401</v>
      </c>
    </row>
    <row r="6" spans="2:12" x14ac:dyDescent="0.3">
      <c r="B6" s="18" t="s">
        <v>246</v>
      </c>
      <c r="C6" s="18" t="s">
        <v>402</v>
      </c>
      <c r="D6" s="18" t="s">
        <v>403</v>
      </c>
      <c r="E6" s="18" t="s">
        <v>404</v>
      </c>
      <c r="F6" s="18" t="s">
        <v>405</v>
      </c>
      <c r="G6" s="18" t="s">
        <v>406</v>
      </c>
      <c r="H6" s="18" t="s">
        <v>407</v>
      </c>
      <c r="I6" s="18" t="s">
        <v>408</v>
      </c>
      <c r="J6" s="18" t="s">
        <v>409</v>
      </c>
      <c r="K6" s="18" t="s">
        <v>410</v>
      </c>
      <c r="L6" s="18" t="s">
        <v>411</v>
      </c>
    </row>
    <row r="7" spans="2:12" x14ac:dyDescent="0.3">
      <c r="B7" s="19" t="s">
        <v>412</v>
      </c>
      <c r="C7" s="17" t="s">
        <v>232</v>
      </c>
      <c r="D7" s="17" t="s">
        <v>232</v>
      </c>
      <c r="E7" s="17">
        <f>DCkcn</f>
        <v>6725.6315000000004</v>
      </c>
      <c r="F7" s="17" t="s">
        <v>232</v>
      </c>
      <c r="G7" s="17">
        <f>'TINH TAI'!D21</f>
        <v>4418.7398955000008</v>
      </c>
      <c r="H7" s="17" t="s">
        <v>232</v>
      </c>
      <c r="I7" s="17" t="s">
        <v>232</v>
      </c>
      <c r="J7" s="17">
        <f>DCkcn</f>
        <v>6725.6315000000004</v>
      </c>
      <c r="K7" s="17" t="s">
        <v>232</v>
      </c>
      <c r="L7" s="17">
        <f>'TINH TAI'!E21</f>
        <v>2064.7688705</v>
      </c>
    </row>
    <row r="8" spans="2:12" x14ac:dyDescent="0.3">
      <c r="B8" s="19" t="s">
        <v>413</v>
      </c>
      <c r="C8" s="17" t="s">
        <v>232</v>
      </c>
      <c r="D8" s="17" t="s">
        <v>232</v>
      </c>
      <c r="E8" s="17">
        <f>DWkcn</f>
        <v>684.37687500000015</v>
      </c>
      <c r="F8" s="17" t="s">
        <v>232</v>
      </c>
      <c r="G8" s="17">
        <f>'TINH TAI'!D22</f>
        <v>449.63560687500012</v>
      </c>
      <c r="H8" s="17" t="s">
        <v>232</v>
      </c>
      <c r="I8" s="17" t="s">
        <v>232</v>
      </c>
      <c r="J8" s="17">
        <f>DWkcn</f>
        <v>684.37687500000015</v>
      </c>
      <c r="K8" s="17" t="s">
        <v>232</v>
      </c>
      <c r="L8" s="17">
        <f>'TINH TAI'!E22</f>
        <v>210.10370062500004</v>
      </c>
    </row>
    <row r="9" spans="2:12" x14ac:dyDescent="0.3">
      <c r="B9" s="19" t="s">
        <v>414</v>
      </c>
      <c r="C9" s="17" t="s">
        <v>232</v>
      </c>
      <c r="D9" s="17" t="s">
        <v>232</v>
      </c>
      <c r="E9" s="17">
        <f>DC2_G_db</f>
        <v>12161.090970000005</v>
      </c>
      <c r="F9" s="17" t="s">
        <v>232</v>
      </c>
      <c r="G9" s="17">
        <f>DC2_M_db</f>
        <v>-86.179133833333225</v>
      </c>
      <c r="H9" s="17" t="s">
        <v>232</v>
      </c>
      <c r="I9" s="17" t="s">
        <v>232</v>
      </c>
      <c r="J9" s="17">
        <f>DC2_G_tb</f>
        <v>5929.7609699999994</v>
      </c>
      <c r="K9" s="17" t="s">
        <v>232</v>
      </c>
      <c r="L9" s="17">
        <f>DC2_M_tb</f>
        <v>-2161.5954733333333</v>
      </c>
    </row>
    <row r="10" spans="2:12" x14ac:dyDescent="0.3">
      <c r="B10" s="19" t="s">
        <v>415</v>
      </c>
      <c r="C10" s="17" t="s">
        <v>232</v>
      </c>
      <c r="D10" s="17" t="s">
        <v>232</v>
      </c>
      <c r="E10" s="17">
        <f>EV_N</f>
        <v>8869.9703399999999</v>
      </c>
      <c r="F10" s="17" t="s">
        <v>232</v>
      </c>
      <c r="G10" s="17">
        <f>EV_M</f>
        <v>-14635.451061</v>
      </c>
      <c r="H10" s="17" t="s">
        <v>232</v>
      </c>
      <c r="I10" s="17" t="s">
        <v>232</v>
      </c>
      <c r="J10" s="17" t="s">
        <v>232</v>
      </c>
      <c r="K10" s="17" t="s">
        <v>232</v>
      </c>
      <c r="L10" s="17" t="s">
        <v>232</v>
      </c>
    </row>
    <row r="11" spans="2:12" x14ac:dyDescent="0.3">
      <c r="B11" s="19" t="s">
        <v>416</v>
      </c>
      <c r="C11" s="17" t="s">
        <v>232</v>
      </c>
      <c r="D11" s="17" t="s">
        <v>232</v>
      </c>
      <c r="E11" s="17">
        <f>VS_N</f>
        <v>703.22175000000004</v>
      </c>
      <c r="F11" s="17" t="s">
        <v>232</v>
      </c>
      <c r="G11" s="17">
        <f>VS_M</f>
        <v>-1160.3158874999999</v>
      </c>
      <c r="H11" s="17" t="s">
        <v>232</v>
      </c>
      <c r="I11" s="17" t="s">
        <v>232</v>
      </c>
      <c r="J11" s="17" t="s">
        <v>232</v>
      </c>
      <c r="K11" s="17" t="s">
        <v>232</v>
      </c>
      <c r="L11" s="17" t="s">
        <v>232</v>
      </c>
    </row>
    <row r="12" spans="2:12" x14ac:dyDescent="0.3">
      <c r="B12" s="19" t="s">
        <v>417</v>
      </c>
      <c r="C12" s="17" t="s">
        <v>232</v>
      </c>
      <c r="D12" s="17" t="s">
        <v>232</v>
      </c>
      <c r="E12" s="17">
        <f>INDEX(LL_N,1)</f>
        <v>688.60327999999993</v>
      </c>
      <c r="F12" s="17">
        <f>INDEX(LL_Mx,1)</f>
        <v>6799.9573899999996</v>
      </c>
      <c r="G12" s="17">
        <f>INDEX(LL_Mdb,1)</f>
        <v>452.41235495999996</v>
      </c>
      <c r="H12" s="17" t="s">
        <v>232</v>
      </c>
      <c r="I12" s="17" t="s">
        <v>232</v>
      </c>
      <c r="J12" s="17">
        <f>INDEX(LL_N,1)</f>
        <v>688.60327999999993</v>
      </c>
      <c r="K12" s="17">
        <f>INDEX(LL_Mx,1)</f>
        <v>6799.9573899999996</v>
      </c>
      <c r="L12" s="17">
        <f>INDEX(LL_Mtb,1)</f>
        <v>211.40120695999997</v>
      </c>
    </row>
    <row r="13" spans="2:12" x14ac:dyDescent="0.3">
      <c r="B13" s="19" t="s">
        <v>418</v>
      </c>
      <c r="C13" s="17" t="s">
        <v>232</v>
      </c>
      <c r="D13" s="17" t="s">
        <v>232</v>
      </c>
      <c r="E13" s="17">
        <f>INDEX(LL_N,2)</f>
        <v>1147.6721333333335</v>
      </c>
      <c r="F13" s="17">
        <f>INDEX(LL_Mx,2)</f>
        <v>9611.754116666667</v>
      </c>
      <c r="G13" s="17">
        <f>INDEX(LL_Mdb,2)</f>
        <v>754.0205916000001</v>
      </c>
      <c r="H13" s="17" t="s">
        <v>232</v>
      </c>
      <c r="I13" s="17" t="s">
        <v>232</v>
      </c>
      <c r="J13" s="17">
        <f>INDEX(LL_N,2)</f>
        <v>1147.6721333333335</v>
      </c>
      <c r="K13" s="17">
        <f>INDEX(LL_Mx,2)</f>
        <v>9611.754116666667</v>
      </c>
      <c r="L13" s="17">
        <f>INDEX(LL_Mtb,2)</f>
        <v>352.33534493333337</v>
      </c>
    </row>
    <row r="14" spans="2:12" x14ac:dyDescent="0.3">
      <c r="B14" s="19" t="s">
        <v>419</v>
      </c>
      <c r="C14" s="17" t="s">
        <v>232</v>
      </c>
      <c r="D14" s="17" t="s">
        <v>232</v>
      </c>
      <c r="E14" s="17">
        <f>INDEX(LL_N,3)</f>
        <v>1463.28197</v>
      </c>
      <c r="F14" s="17">
        <f>INDEX(LL_Mx,3)</f>
        <v>10060.06354375</v>
      </c>
      <c r="G14" s="17">
        <f>INDEX(LL_Mdb,3)</f>
        <v>961.37625429000002</v>
      </c>
      <c r="H14" s="17" t="s">
        <v>232</v>
      </c>
      <c r="I14" s="17" t="s">
        <v>232</v>
      </c>
      <c r="J14" s="17">
        <f>INDEX(LL_N,3)</f>
        <v>1463.28197</v>
      </c>
      <c r="K14" s="17">
        <f>INDEX(LL_Mx,3)</f>
        <v>10060.06354375</v>
      </c>
      <c r="L14" s="17">
        <f>INDEX(LL_Mtb,3)</f>
        <v>449.22756478999997</v>
      </c>
    </row>
    <row r="15" spans="2:12" x14ac:dyDescent="0.3">
      <c r="B15" s="19" t="s">
        <v>420</v>
      </c>
      <c r="C15" s="17" t="s">
        <v>232</v>
      </c>
      <c r="D15" s="17" t="s">
        <v>232</v>
      </c>
      <c r="E15" s="17">
        <f>INDEX(LL_N,4)</f>
        <v>1491.9737733333336</v>
      </c>
      <c r="F15" s="17">
        <f>INDEX(LL_Mx,4)</f>
        <v>8019.3590316666678</v>
      </c>
      <c r="G15" s="17">
        <f>INDEX(LL_Mdb,4)</f>
        <v>980.22676908000028</v>
      </c>
      <c r="H15" s="17" t="s">
        <v>232</v>
      </c>
      <c r="I15" s="17" t="s">
        <v>232</v>
      </c>
      <c r="J15" s="17">
        <f>INDEX(LL_N,4)</f>
        <v>1491.9737733333336</v>
      </c>
      <c r="K15" s="17">
        <f>INDEX(LL_Mx,4)</f>
        <v>8019.3590316666678</v>
      </c>
      <c r="L15" s="17">
        <f>INDEX(LL_Mtb,4)</f>
        <v>458.03594841333341</v>
      </c>
    </row>
    <row r="16" spans="2:12" x14ac:dyDescent="0.3">
      <c r="B16" s="19" t="s">
        <v>421</v>
      </c>
      <c r="C16" s="17" t="s">
        <v>232</v>
      </c>
      <c r="D16" s="17" t="s">
        <v>232</v>
      </c>
      <c r="E16" s="17">
        <f>INDEX(LL_N,5)</f>
        <v>1864.9672166666671</v>
      </c>
      <c r="F16" s="17">
        <f>INDEX(LL_Mx,5)</f>
        <v>7226.7479645833355</v>
      </c>
      <c r="G16" s="17">
        <f>INDEX(LL_Mdb,5)</f>
        <v>1225.2834613500004</v>
      </c>
      <c r="H16" s="17" t="s">
        <v>232</v>
      </c>
      <c r="I16" s="17" t="s">
        <v>232</v>
      </c>
      <c r="J16" s="17">
        <f>INDEX(LL_N,5)</f>
        <v>1864.9672166666671</v>
      </c>
      <c r="K16" s="17">
        <f>INDEX(LL_Mx,5)</f>
        <v>7226.7479645833355</v>
      </c>
      <c r="L16" s="17">
        <f>INDEX(LL_Mtb,5)</f>
        <v>572.54493551666678</v>
      </c>
    </row>
    <row r="17" spans="2:12" x14ac:dyDescent="0.3">
      <c r="B17" s="19" t="s">
        <v>422</v>
      </c>
      <c r="C17" s="17" t="s">
        <v>232</v>
      </c>
      <c r="D17" s="17" t="s">
        <v>232</v>
      </c>
      <c r="E17" s="17">
        <f>INDEX(LL_N,6)</f>
        <v>2237.9606600000002</v>
      </c>
      <c r="F17" s="17">
        <f>INDEX(LL_Mx,6)</f>
        <v>5315.1565675000002</v>
      </c>
      <c r="G17" s="17">
        <f>INDEX(LL_Mdb,6)</f>
        <v>1470.3401536200001</v>
      </c>
      <c r="H17" s="17" t="s">
        <v>232</v>
      </c>
      <c r="I17" s="17" t="s">
        <v>232</v>
      </c>
      <c r="J17" s="17">
        <f>INDEX(LL_N,6)</f>
        <v>2237.9606600000002</v>
      </c>
      <c r="K17" s="17">
        <f>INDEX(LL_Mx,6)</f>
        <v>5315.1565675000002</v>
      </c>
      <c r="L17" s="17">
        <f>INDEX(LL_Mtb,6)</f>
        <v>687.05392262000009</v>
      </c>
    </row>
    <row r="18" spans="2:12" x14ac:dyDescent="0.3">
      <c r="B18" s="19" t="s">
        <v>423</v>
      </c>
      <c r="C18" s="17" t="s">
        <v>232</v>
      </c>
      <c r="D18" s="17" t="s">
        <v>232</v>
      </c>
      <c r="E18" s="17">
        <f>INDEX(LL_N,1)</f>
        <v>688.60327999999993</v>
      </c>
      <c r="F18" s="17" t="s">
        <v>232</v>
      </c>
      <c r="G18" s="17">
        <f>INDEX(LL_Mdb,1)</f>
        <v>452.41235495999996</v>
      </c>
      <c r="H18" s="17" t="s">
        <v>232</v>
      </c>
      <c r="I18" s="17" t="s">
        <v>232</v>
      </c>
      <c r="J18" s="17">
        <f>INDEX(LL_N,1)</f>
        <v>688.60327999999993</v>
      </c>
      <c r="K18" s="17" t="s">
        <v>232</v>
      </c>
      <c r="L18" s="17">
        <f>INDEX(LL_Mtb,1)</f>
        <v>211.40120695999997</v>
      </c>
    </row>
    <row r="19" spans="2:12" x14ac:dyDescent="0.3">
      <c r="B19" s="19" t="s">
        <v>424</v>
      </c>
      <c r="C19" s="17" t="s">
        <v>232</v>
      </c>
      <c r="D19" s="17" t="s">
        <v>232</v>
      </c>
      <c r="E19" s="17">
        <f>INDEX(LL_N,2)</f>
        <v>1147.6721333333335</v>
      </c>
      <c r="F19" s="17" t="s">
        <v>232</v>
      </c>
      <c r="G19" s="17">
        <f>INDEX(LL_Mdb,2)</f>
        <v>754.0205916000001</v>
      </c>
      <c r="H19" s="17" t="s">
        <v>232</v>
      </c>
      <c r="I19" s="17" t="s">
        <v>232</v>
      </c>
      <c r="J19" s="17">
        <f>INDEX(LL_N,2)</f>
        <v>1147.6721333333335</v>
      </c>
      <c r="K19" s="17" t="s">
        <v>232</v>
      </c>
      <c r="L19" s="17">
        <f>INDEX(LL_Mtb,2)</f>
        <v>352.33534493333337</v>
      </c>
    </row>
    <row r="20" spans="2:12" x14ac:dyDescent="0.3">
      <c r="B20" s="19" t="s">
        <v>425</v>
      </c>
      <c r="C20" s="17" t="s">
        <v>232</v>
      </c>
      <c r="D20" s="17" t="s">
        <v>232</v>
      </c>
      <c r="E20" s="17">
        <f>INDEX(LL_N,3)</f>
        <v>1463.28197</v>
      </c>
      <c r="F20" s="17" t="s">
        <v>232</v>
      </c>
      <c r="G20" s="17">
        <f>INDEX(LL_Mdb,3)</f>
        <v>961.37625429000002</v>
      </c>
      <c r="H20" s="17" t="s">
        <v>232</v>
      </c>
      <c r="I20" s="17" t="s">
        <v>232</v>
      </c>
      <c r="J20" s="17">
        <f>INDEX(LL_N,3)</f>
        <v>1463.28197</v>
      </c>
      <c r="K20" s="17" t="s">
        <v>232</v>
      </c>
      <c r="L20" s="17">
        <f>INDEX(LL_Mtb,3)</f>
        <v>449.22756478999997</v>
      </c>
    </row>
    <row r="21" spans="2:12" x14ac:dyDescent="0.3">
      <c r="B21" s="19" t="s">
        <v>426</v>
      </c>
      <c r="C21" s="17" t="s">
        <v>232</v>
      </c>
      <c r="D21" s="17" t="s">
        <v>232</v>
      </c>
      <c r="E21" s="17">
        <f>INDEX(LL_N,4)</f>
        <v>1491.9737733333336</v>
      </c>
      <c r="F21" s="17" t="s">
        <v>232</v>
      </c>
      <c r="G21" s="17">
        <f>INDEX(LL_Mdb,4)</f>
        <v>980.22676908000028</v>
      </c>
      <c r="H21" s="17" t="s">
        <v>232</v>
      </c>
      <c r="I21" s="17" t="s">
        <v>232</v>
      </c>
      <c r="J21" s="17">
        <f>INDEX(LL_N,4)</f>
        <v>1491.9737733333336</v>
      </c>
      <c r="K21" s="17" t="s">
        <v>232</v>
      </c>
      <c r="L21" s="17">
        <f>INDEX(LL_Mtb,4)</f>
        <v>458.03594841333341</v>
      </c>
    </row>
    <row r="22" spans="2:12" x14ac:dyDescent="0.3">
      <c r="B22" s="19" t="s">
        <v>427</v>
      </c>
      <c r="C22" s="17" t="s">
        <v>232</v>
      </c>
      <c r="D22" s="17" t="s">
        <v>232</v>
      </c>
      <c r="E22" s="17">
        <f>INDEX(LL_N,5)</f>
        <v>1864.9672166666671</v>
      </c>
      <c r="F22" s="17" t="s">
        <v>232</v>
      </c>
      <c r="G22" s="17">
        <f>INDEX(LL_Mdb,5)</f>
        <v>1225.2834613500004</v>
      </c>
      <c r="H22" s="17" t="s">
        <v>232</v>
      </c>
      <c r="I22" s="17" t="s">
        <v>232</v>
      </c>
      <c r="J22" s="17">
        <f>INDEX(LL_N,5)</f>
        <v>1864.9672166666671</v>
      </c>
      <c r="K22" s="17" t="s">
        <v>232</v>
      </c>
      <c r="L22" s="17">
        <f>INDEX(LL_Mtb,5)</f>
        <v>572.54493551666678</v>
      </c>
    </row>
    <row r="23" spans="2:12" x14ac:dyDescent="0.3">
      <c r="B23" s="19" t="s">
        <v>428</v>
      </c>
      <c r="C23" s="17" t="s">
        <v>232</v>
      </c>
      <c r="D23" s="17" t="s">
        <v>232</v>
      </c>
      <c r="E23" s="17">
        <f>INDEX(LL_N,6)</f>
        <v>2237.9606600000002</v>
      </c>
      <c r="F23" s="17" t="s">
        <v>232</v>
      </c>
      <c r="G23" s="17">
        <f>INDEX(LL_Mdb,6)</f>
        <v>1470.3401536200001</v>
      </c>
      <c r="H23" s="17" t="s">
        <v>232</v>
      </c>
      <c r="I23" s="17" t="s">
        <v>232</v>
      </c>
      <c r="J23" s="17">
        <f>INDEX(LL_N,6)</f>
        <v>2237.9606600000002</v>
      </c>
      <c r="K23" s="17" t="s">
        <v>232</v>
      </c>
      <c r="L23" s="17">
        <f>INDEX(LL_Mtb,6)</f>
        <v>687.05392262000009</v>
      </c>
    </row>
    <row r="24" spans="2:12" x14ac:dyDescent="0.3">
      <c r="B24" s="19" t="s">
        <v>429</v>
      </c>
      <c r="C24" s="17">
        <f>BR_H</f>
        <v>0</v>
      </c>
      <c r="D24" s="17" t="s">
        <v>232</v>
      </c>
      <c r="E24" s="17" t="s">
        <v>232</v>
      </c>
      <c r="F24" s="17" t="s">
        <v>232</v>
      </c>
      <c r="G24" s="17">
        <f>BR_Mdb</f>
        <v>0</v>
      </c>
      <c r="H24" s="17">
        <f>BR_H</f>
        <v>0</v>
      </c>
      <c r="I24" s="17" t="s">
        <v>232</v>
      </c>
      <c r="J24" s="17" t="s">
        <v>232</v>
      </c>
      <c r="K24" s="17" t="s">
        <v>232</v>
      </c>
      <c r="L24" s="17">
        <f>BR_Mtb</f>
        <v>0</v>
      </c>
    </row>
    <row r="25" spans="2:12" x14ac:dyDescent="0.3">
      <c r="B25" s="19" t="s">
        <v>430</v>
      </c>
      <c r="C25" s="17" t="s">
        <v>232</v>
      </c>
      <c r="D25" s="17">
        <f>CE_H</f>
        <v>0</v>
      </c>
      <c r="E25" s="17" t="s">
        <v>232</v>
      </c>
      <c r="F25" s="17">
        <f>CE_Mdb</f>
        <v>0</v>
      </c>
      <c r="G25" s="17" t="s">
        <v>232</v>
      </c>
      <c r="H25" s="17" t="s">
        <v>232</v>
      </c>
      <c r="I25" s="17">
        <f>CE_H</f>
        <v>0</v>
      </c>
      <c r="J25" s="17" t="s">
        <v>232</v>
      </c>
      <c r="K25" s="17">
        <f>CE_Mtb</f>
        <v>0</v>
      </c>
      <c r="L25" s="17" t="s">
        <v>232</v>
      </c>
    </row>
    <row r="26" spans="2:12" x14ac:dyDescent="0.3">
      <c r="B26" s="19" t="s">
        <v>431</v>
      </c>
      <c r="C26" s="17">
        <f>LS_H_db</f>
        <v>867.81721612607112</v>
      </c>
      <c r="D26" s="17" t="s">
        <v>232</v>
      </c>
      <c r="E26" s="17" t="s">
        <v>232</v>
      </c>
      <c r="F26" s="17" t="s">
        <v>232</v>
      </c>
      <c r="G26" s="17">
        <f>LS_M_db</f>
        <v>4064.8558403345173</v>
      </c>
      <c r="H26" s="17">
        <f>LS_H_tb</f>
        <v>701.07180739134355</v>
      </c>
      <c r="I26" s="17" t="s">
        <v>232</v>
      </c>
      <c r="J26" s="17" t="s">
        <v>232</v>
      </c>
      <c r="K26" s="17" t="s">
        <v>232</v>
      </c>
      <c r="L26" s="17">
        <f>LS_M_tb</f>
        <v>2652.8557191688442</v>
      </c>
    </row>
    <row r="27" spans="2:12" x14ac:dyDescent="0.3">
      <c r="B27" s="19" t="s">
        <v>432</v>
      </c>
      <c r="C27" s="17">
        <f>EH_H_db</f>
        <v>6774.7597338908636</v>
      </c>
      <c r="D27" s="17" t="s">
        <v>232</v>
      </c>
      <c r="E27" s="17" t="s">
        <v>232</v>
      </c>
      <c r="F27" s="17" t="s">
        <v>232</v>
      </c>
      <c r="G27" s="17">
        <f>EH_M_db</f>
        <v>21155.31639569654</v>
      </c>
      <c r="H27" s="17">
        <f>EH_H_tb</f>
        <v>4421.4261986147403</v>
      </c>
      <c r="I27" s="17" t="s">
        <v>232</v>
      </c>
      <c r="J27" s="17" t="s">
        <v>232</v>
      </c>
      <c r="K27" s="17" t="s">
        <v>232</v>
      </c>
      <c r="L27" s="17">
        <f>EH_M_tb</f>
        <v>11153.78449037212</v>
      </c>
    </row>
    <row r="28" spans="2:12" x14ac:dyDescent="0.3">
      <c r="B28" s="19" t="s">
        <v>433</v>
      </c>
      <c r="C28" s="17">
        <f>FR_H</f>
        <v>648.29960125000002</v>
      </c>
      <c r="D28" s="17" t="s">
        <v>232</v>
      </c>
      <c r="E28" s="17" t="s">
        <v>232</v>
      </c>
      <c r="F28" s="17" t="s">
        <v>232</v>
      </c>
      <c r="G28" s="17">
        <f>FR_Mdb</f>
        <v>5253.8199685300006</v>
      </c>
      <c r="H28" s="17">
        <f>FR_H</f>
        <v>648.29960125000002</v>
      </c>
      <c r="I28" s="17" t="s">
        <v>232</v>
      </c>
      <c r="J28" s="17" t="s">
        <v>232</v>
      </c>
      <c r="K28" s="17" t="s">
        <v>232</v>
      </c>
      <c r="L28" s="17">
        <f>FR_Mtb</f>
        <v>4086.8806862800002</v>
      </c>
    </row>
    <row r="29" spans="2:12" x14ac:dyDescent="0.3">
      <c r="B29" s="19" t="s">
        <v>434</v>
      </c>
      <c r="C29" s="17" t="s">
        <v>232</v>
      </c>
      <c r="D29" s="17">
        <f>WSn_H_V</f>
        <v>177.28068760312505</v>
      </c>
      <c r="E29" s="17" t="s">
        <v>232</v>
      </c>
      <c r="F29" s="17">
        <f>WSn_Mdb_V</f>
        <v>1465.6114908709599</v>
      </c>
      <c r="G29" s="17" t="s">
        <v>232</v>
      </c>
      <c r="H29" s="17" t="s">
        <v>232</v>
      </c>
      <c r="I29" s="17">
        <f>WSn_H_V</f>
        <v>177.28068760312505</v>
      </c>
      <c r="J29" s="17" t="s">
        <v>232</v>
      </c>
      <c r="K29" s="17">
        <f>WSn_Mtb_V</f>
        <v>1146.5062531853348</v>
      </c>
      <c r="L29" s="17" t="s">
        <v>232</v>
      </c>
    </row>
    <row r="30" spans="2:12" x14ac:dyDescent="0.3">
      <c r="B30" s="19" t="s">
        <v>435</v>
      </c>
      <c r="C30" s="17">
        <f>WSd_H_V</f>
        <v>26.279221900781256</v>
      </c>
      <c r="D30" s="17" t="s">
        <v>232</v>
      </c>
      <c r="E30" s="17" t="s">
        <v>232</v>
      </c>
      <c r="F30" s="17" t="s">
        <v>232</v>
      </c>
      <c r="G30" s="17">
        <f>WSd_Mdb_V</f>
        <v>256.98451096773994</v>
      </c>
      <c r="H30" s="17">
        <f>WSd_H_V</f>
        <v>26.279221900781256</v>
      </c>
      <c r="I30" s="17" t="s">
        <v>232</v>
      </c>
      <c r="J30" s="17" t="s">
        <v>232</v>
      </c>
      <c r="K30" s="17" t="s">
        <v>232</v>
      </c>
      <c r="L30" s="17">
        <f>WSd_Mtb_V</f>
        <v>209.68191154633365</v>
      </c>
    </row>
    <row r="31" spans="2:12" x14ac:dyDescent="0.3">
      <c r="B31" s="19" t="s">
        <v>436</v>
      </c>
      <c r="C31" s="17" t="s">
        <v>232</v>
      </c>
      <c r="D31" s="17">
        <f>WSn_H_25</f>
        <v>177.02280000000002</v>
      </c>
      <c r="E31" s="17" t="s">
        <v>232</v>
      </c>
      <c r="F31" s="17">
        <f>WSn_Mdb_25</f>
        <v>1463.0896080000005</v>
      </c>
      <c r="G31" s="17" t="s">
        <v>232</v>
      </c>
      <c r="H31" s="17" t="s">
        <v>232</v>
      </c>
      <c r="I31" s="17">
        <f>WSn_H_25</f>
        <v>177.02280000000002</v>
      </c>
      <c r="J31" s="17" t="s">
        <v>232</v>
      </c>
      <c r="K31" s="17">
        <f>WSn_Mtb_25</f>
        <v>1144.4485680000003</v>
      </c>
      <c r="L31" s="17" t="s">
        <v>232</v>
      </c>
    </row>
    <row r="32" spans="2:12" x14ac:dyDescent="0.3">
      <c r="B32" s="19" t="s">
        <v>437</v>
      </c>
      <c r="C32" s="17">
        <f>WSd_H_25</f>
        <v>26.214750000000002</v>
      </c>
      <c r="D32" s="17" t="s">
        <v>232</v>
      </c>
      <c r="E32" s="17" t="s">
        <v>232</v>
      </c>
      <c r="F32" s="17" t="s">
        <v>232</v>
      </c>
      <c r="G32" s="17">
        <f>WSd_Mdb_25</f>
        <v>256.35404025000008</v>
      </c>
      <c r="H32" s="17">
        <f>WSd_H_25</f>
        <v>26.214750000000002</v>
      </c>
      <c r="I32" s="17" t="s">
        <v>232</v>
      </c>
      <c r="J32" s="17" t="s">
        <v>232</v>
      </c>
      <c r="K32" s="17" t="s">
        <v>232</v>
      </c>
      <c r="L32" s="17">
        <f>WSd_Mtb_25</f>
        <v>209.16749025000004</v>
      </c>
    </row>
    <row r="33" spans="2:35" x14ac:dyDescent="0.3">
      <c r="B33" s="19" t="s">
        <v>438</v>
      </c>
      <c r="C33" s="17" t="s">
        <v>232</v>
      </c>
      <c r="D33" s="17" t="s">
        <v>232</v>
      </c>
      <c r="E33" s="17">
        <f>WSv_N</f>
        <v>491.11988470312514</v>
      </c>
      <c r="F33" s="17" t="s">
        <v>232</v>
      </c>
      <c r="G33" s="17">
        <f>WSv_Mdb</f>
        <v>322.66576424995321</v>
      </c>
      <c r="H33" s="17" t="s">
        <v>232</v>
      </c>
      <c r="I33" s="17" t="s">
        <v>232</v>
      </c>
      <c r="J33" s="17">
        <f>WSv_N</f>
        <v>491.11988470312514</v>
      </c>
      <c r="K33" s="17" t="s">
        <v>232</v>
      </c>
      <c r="L33" s="17">
        <f>WSv_Mtb</f>
        <v>150.77380460385942</v>
      </c>
    </row>
    <row r="34" spans="2:35" x14ac:dyDescent="0.3">
      <c r="B34" s="19" t="s">
        <v>363</v>
      </c>
      <c r="C34" s="17" t="s">
        <v>232</v>
      </c>
      <c r="D34" s="17">
        <f>WLn_H</f>
        <v>27.886000000000003</v>
      </c>
      <c r="E34" s="17" t="s">
        <v>232</v>
      </c>
      <c r="F34" s="17">
        <f>WLn_Mdb</f>
        <v>311.43084800000008</v>
      </c>
      <c r="G34" s="17" t="s">
        <v>232</v>
      </c>
      <c r="H34" s="17" t="s">
        <v>232</v>
      </c>
      <c r="I34" s="17">
        <f>WLn_H</f>
        <v>27.886000000000003</v>
      </c>
      <c r="J34" s="17" t="s">
        <v>232</v>
      </c>
      <c r="K34" s="17">
        <f>WLn_Mtb</f>
        <v>261.23604800000004</v>
      </c>
      <c r="L34" s="17" t="s">
        <v>232</v>
      </c>
    </row>
    <row r="35" spans="2:35" x14ac:dyDescent="0.3">
      <c r="B35" s="19" t="s">
        <v>365</v>
      </c>
      <c r="C35" s="17">
        <f>WLd_H</f>
        <v>10.505000000000001</v>
      </c>
      <c r="D35" s="17" t="s">
        <v>232</v>
      </c>
      <c r="E35" s="17" t="s">
        <v>232</v>
      </c>
      <c r="F35" s="17" t="s">
        <v>232</v>
      </c>
      <c r="G35" s="17">
        <f>WLd_Mdb</f>
        <v>117.31984000000001</v>
      </c>
      <c r="H35" s="17">
        <f>WLd_H</f>
        <v>10.505000000000001</v>
      </c>
      <c r="I35" s="17" t="s">
        <v>232</v>
      </c>
      <c r="J35" s="17" t="s">
        <v>232</v>
      </c>
      <c r="K35" s="17" t="s">
        <v>232</v>
      </c>
      <c r="L35" s="17">
        <f>WLd_Mtb</f>
        <v>98.410840000000007</v>
      </c>
    </row>
    <row r="36" spans="2:35" x14ac:dyDescent="0.3">
      <c r="B36" s="19" t="s">
        <v>439</v>
      </c>
      <c r="C36" s="17">
        <f>EQd_H_db</f>
        <v>6175.5457632068737</v>
      </c>
      <c r="D36" s="17" t="s">
        <v>232</v>
      </c>
      <c r="E36" s="17" t="s">
        <v>232</v>
      </c>
      <c r="F36" s="17" t="s">
        <v>232</v>
      </c>
      <c r="G36" s="17">
        <f>EQd_M_db</f>
        <v>28595.46862581552</v>
      </c>
      <c r="H36" s="17">
        <f>EQd_H_tb</f>
        <v>3949.7641451696336</v>
      </c>
      <c r="I36" s="17" t="s">
        <v>232</v>
      </c>
      <c r="J36" s="17" t="s">
        <v>232</v>
      </c>
      <c r="K36" s="17" t="s">
        <v>232</v>
      </c>
      <c r="L36" s="17">
        <f>EQd_M_tb</f>
        <v>18436.767697970412</v>
      </c>
    </row>
    <row r="37" spans="2:35" x14ac:dyDescent="0.3">
      <c r="B37" s="19" t="s">
        <v>440</v>
      </c>
      <c r="C37" s="17" t="s">
        <v>232</v>
      </c>
      <c r="D37" s="17">
        <f>EQn_H_db</f>
        <v>4737.0037452733341</v>
      </c>
      <c r="E37" s="17" t="s">
        <v>232</v>
      </c>
      <c r="F37" s="17">
        <f>EQn_M_db</f>
        <v>21857.337813814818</v>
      </c>
      <c r="G37" s="17" t="s">
        <v>232</v>
      </c>
      <c r="H37" s="17" t="s">
        <v>232</v>
      </c>
      <c r="I37" s="17">
        <f>EQn_H_tb</f>
        <v>3010.925335273334</v>
      </c>
      <c r="J37" s="17" t="s">
        <v>232</v>
      </c>
      <c r="K37" s="17">
        <f>EQn_M_tb</f>
        <v>14884.201641322814</v>
      </c>
      <c r="L37" s="17" t="s">
        <v>232</v>
      </c>
    </row>
    <row r="38" spans="2:35" x14ac:dyDescent="0.3">
      <c r="B38" s="19" t="s">
        <v>441</v>
      </c>
      <c r="C38" s="17">
        <f>TU_H</f>
        <v>0</v>
      </c>
      <c r="D38" s="17" t="s">
        <v>232</v>
      </c>
      <c r="E38" s="17" t="s">
        <v>232</v>
      </c>
      <c r="F38" s="17" t="s">
        <v>232</v>
      </c>
      <c r="G38" s="17">
        <f>TU_H*(H6_+H1_)</f>
        <v>0</v>
      </c>
      <c r="H38" s="17">
        <f>TU_H</f>
        <v>0</v>
      </c>
      <c r="I38" s="17" t="s">
        <v>232</v>
      </c>
      <c r="J38" s="17" t="s">
        <v>232</v>
      </c>
      <c r="K38" s="17" t="s">
        <v>232</v>
      </c>
      <c r="L38" s="17">
        <f>TU_H*H6_</f>
        <v>0</v>
      </c>
    </row>
    <row r="39" spans="2:35" x14ac:dyDescent="0.3">
      <c r="B39" s="19" t="s">
        <v>442</v>
      </c>
      <c r="C39" s="17" t="s">
        <v>232</v>
      </c>
      <c r="D39" s="17" t="s">
        <v>232</v>
      </c>
      <c r="E39" s="17">
        <f>INDEX('LANE ENGINE'!$D$6:$D$45,nLan)</f>
        <v>2237.9606600000002</v>
      </c>
      <c r="F39" s="17">
        <f>INDEX('LANE ENGINE'!$E$6:$E$45,nLan)</f>
        <v>5315.1565675000002</v>
      </c>
      <c r="G39" s="17">
        <f>INDEX('LANE ENGINE'!$F$6:$F$45,nLan)</f>
        <v>1470.3401536200001</v>
      </c>
      <c r="H39" s="17" t="s">
        <v>232</v>
      </c>
      <c r="I39" s="17" t="s">
        <v>232</v>
      </c>
      <c r="J39" s="17">
        <f>INDEX('LANE ENGINE'!$D$6:$D$45,nLan)</f>
        <v>2237.9606600000002</v>
      </c>
      <c r="K39" s="17">
        <f>INDEX('LANE ENGINE'!$E$6:$E$45,nLan)</f>
        <v>5315.1565675000002</v>
      </c>
      <c r="L39" s="17">
        <f>INDEX('LANE ENGINE'!$G$6:$G$45,nLan)</f>
        <v>687.05392262000009</v>
      </c>
    </row>
    <row r="41" spans="2:35" x14ac:dyDescent="0.3">
      <c r="B41" s="11" t="s">
        <v>443</v>
      </c>
    </row>
    <row r="42" spans="2:35" x14ac:dyDescent="0.3">
      <c r="B42" s="19" t="s">
        <v>402</v>
      </c>
      <c r="C42" s="17" t="str">
        <f>C7</f>
        <v>0</v>
      </c>
      <c r="D42" s="17" t="str">
        <f>C8</f>
        <v>0</v>
      </c>
      <c r="E42" s="17" t="str">
        <f>C9</f>
        <v>0</v>
      </c>
      <c r="F42" s="17" t="str">
        <f>C10</f>
        <v>0</v>
      </c>
      <c r="G42" s="17" t="str">
        <f>C11</f>
        <v>0</v>
      </c>
      <c r="H42" s="17" t="str">
        <f>C12</f>
        <v>0</v>
      </c>
      <c r="I42" s="17" t="str">
        <f>C13</f>
        <v>0</v>
      </c>
      <c r="J42" s="17" t="str">
        <f>C14</f>
        <v>0</v>
      </c>
      <c r="K42" s="17" t="str">
        <f>C15</f>
        <v>0</v>
      </c>
      <c r="L42" s="17" t="str">
        <f>C16</f>
        <v>0</v>
      </c>
      <c r="M42" s="17" t="str">
        <f>C17</f>
        <v>0</v>
      </c>
      <c r="N42" s="17" t="str">
        <f>C18</f>
        <v>0</v>
      </c>
      <c r="O42" s="17" t="str">
        <f>C19</f>
        <v>0</v>
      </c>
      <c r="P42" s="17" t="str">
        <f>C20</f>
        <v>0</v>
      </c>
      <c r="Q42" s="17" t="str">
        <f>C21</f>
        <v>0</v>
      </c>
      <c r="R42" s="17" t="str">
        <f>C22</f>
        <v>0</v>
      </c>
      <c r="S42" s="17" t="str">
        <f>C23</f>
        <v>0</v>
      </c>
      <c r="T42" s="17">
        <f>C24</f>
        <v>0</v>
      </c>
      <c r="U42" s="17" t="str">
        <f>C25</f>
        <v>0</v>
      </c>
      <c r="V42" s="17">
        <f>C26</f>
        <v>867.81721612607112</v>
      </c>
      <c r="W42" s="17">
        <f>C27</f>
        <v>6774.7597338908636</v>
      </c>
      <c r="X42" s="17">
        <f>C28</f>
        <v>648.29960125000002</v>
      </c>
      <c r="Y42" s="17" t="str">
        <f>C29</f>
        <v>0</v>
      </c>
      <c r="Z42" s="17">
        <f>C30</f>
        <v>26.279221900781256</v>
      </c>
      <c r="AA42" s="17" t="str">
        <f>C31</f>
        <v>0</v>
      </c>
      <c r="AB42" s="17">
        <f>C32</f>
        <v>26.214750000000002</v>
      </c>
      <c r="AC42" s="17" t="str">
        <f>C33</f>
        <v>0</v>
      </c>
      <c r="AD42" s="17" t="str">
        <f>C34</f>
        <v>0</v>
      </c>
      <c r="AE42" s="17">
        <f>C35</f>
        <v>10.505000000000001</v>
      </c>
      <c r="AF42" s="17">
        <f>C36</f>
        <v>6175.5457632068737</v>
      </c>
      <c r="AG42" s="17" t="str">
        <f>C37</f>
        <v>0</v>
      </c>
      <c r="AH42" s="17">
        <f>C38</f>
        <v>0</v>
      </c>
      <c r="AI42" s="17" t="str">
        <f>C39</f>
        <v>0</v>
      </c>
    </row>
    <row r="43" spans="2:35" x14ac:dyDescent="0.3">
      <c r="B43" s="19" t="s">
        <v>403</v>
      </c>
      <c r="C43" s="17" t="str">
        <f>D7</f>
        <v>0</v>
      </c>
      <c r="D43" s="17" t="str">
        <f>D8</f>
        <v>0</v>
      </c>
      <c r="E43" s="17" t="str">
        <f>D9</f>
        <v>0</v>
      </c>
      <c r="F43" s="17" t="str">
        <f>D10</f>
        <v>0</v>
      </c>
      <c r="G43" s="17" t="str">
        <f>D11</f>
        <v>0</v>
      </c>
      <c r="H43" s="17" t="str">
        <f>D12</f>
        <v>0</v>
      </c>
      <c r="I43" s="17" t="str">
        <f>D13</f>
        <v>0</v>
      </c>
      <c r="J43" s="17" t="str">
        <f>D14</f>
        <v>0</v>
      </c>
      <c r="K43" s="17" t="str">
        <f>D15</f>
        <v>0</v>
      </c>
      <c r="L43" s="17" t="str">
        <f>D16</f>
        <v>0</v>
      </c>
      <c r="M43" s="17" t="str">
        <f>D17</f>
        <v>0</v>
      </c>
      <c r="N43" s="17" t="str">
        <f>D18</f>
        <v>0</v>
      </c>
      <c r="O43" s="17" t="str">
        <f>D19</f>
        <v>0</v>
      </c>
      <c r="P43" s="17" t="str">
        <f>D20</f>
        <v>0</v>
      </c>
      <c r="Q43" s="17" t="str">
        <f>D21</f>
        <v>0</v>
      </c>
      <c r="R43" s="17" t="str">
        <f>D22</f>
        <v>0</v>
      </c>
      <c r="S43" s="17" t="str">
        <f>D23</f>
        <v>0</v>
      </c>
      <c r="T43" s="17" t="str">
        <f>D24</f>
        <v>0</v>
      </c>
      <c r="U43" s="17">
        <f>D25</f>
        <v>0</v>
      </c>
      <c r="V43" s="17" t="str">
        <f>D26</f>
        <v>0</v>
      </c>
      <c r="W43" s="17" t="str">
        <f>D27</f>
        <v>0</v>
      </c>
      <c r="X43" s="17" t="str">
        <f>D28</f>
        <v>0</v>
      </c>
      <c r="Y43" s="17">
        <f>D29</f>
        <v>177.28068760312505</v>
      </c>
      <c r="Z43" s="17" t="str">
        <f>D30</f>
        <v>0</v>
      </c>
      <c r="AA43" s="17">
        <f>D31</f>
        <v>177.02280000000002</v>
      </c>
      <c r="AB43" s="17" t="str">
        <f>D32</f>
        <v>0</v>
      </c>
      <c r="AC43" s="17" t="str">
        <f>D33</f>
        <v>0</v>
      </c>
      <c r="AD43" s="17">
        <f>D34</f>
        <v>27.886000000000003</v>
      </c>
      <c r="AE43" s="17" t="str">
        <f>D35</f>
        <v>0</v>
      </c>
      <c r="AF43" s="17" t="str">
        <f>D36</f>
        <v>0</v>
      </c>
      <c r="AG43" s="17">
        <f>D37</f>
        <v>4737.0037452733341</v>
      </c>
      <c r="AH43" s="17" t="str">
        <f>D38</f>
        <v>0</v>
      </c>
      <c r="AI43" s="17" t="str">
        <f>D39</f>
        <v>0</v>
      </c>
    </row>
    <row r="44" spans="2:35" x14ac:dyDescent="0.3">
      <c r="B44" s="19" t="s">
        <v>404</v>
      </c>
      <c r="C44" s="17">
        <f>E7</f>
        <v>6725.6315000000004</v>
      </c>
      <c r="D44" s="17">
        <f>E8</f>
        <v>684.37687500000015</v>
      </c>
      <c r="E44" s="17">
        <f>E9</f>
        <v>12161.090970000005</v>
      </c>
      <c r="F44" s="17">
        <f>E10</f>
        <v>8869.9703399999999</v>
      </c>
      <c r="G44" s="17">
        <f>E11</f>
        <v>703.22175000000004</v>
      </c>
      <c r="H44" s="17">
        <f>E12</f>
        <v>688.60327999999993</v>
      </c>
      <c r="I44" s="17">
        <f>E13</f>
        <v>1147.6721333333335</v>
      </c>
      <c r="J44" s="17">
        <f>E14</f>
        <v>1463.28197</v>
      </c>
      <c r="K44" s="17">
        <f>E15</f>
        <v>1491.9737733333336</v>
      </c>
      <c r="L44" s="17">
        <f>E16</f>
        <v>1864.9672166666671</v>
      </c>
      <c r="M44" s="17">
        <f>E17</f>
        <v>2237.9606600000002</v>
      </c>
      <c r="N44" s="17">
        <f>E18</f>
        <v>688.60327999999993</v>
      </c>
      <c r="O44" s="17">
        <f>E19</f>
        <v>1147.6721333333335</v>
      </c>
      <c r="P44" s="17">
        <f>E20</f>
        <v>1463.28197</v>
      </c>
      <c r="Q44" s="17">
        <f>E21</f>
        <v>1491.9737733333336</v>
      </c>
      <c r="R44" s="17">
        <f>E22</f>
        <v>1864.9672166666671</v>
      </c>
      <c r="S44" s="17">
        <f>E23</f>
        <v>2237.9606600000002</v>
      </c>
      <c r="T44" s="17" t="str">
        <f>E24</f>
        <v>0</v>
      </c>
      <c r="U44" s="17" t="str">
        <f>E25</f>
        <v>0</v>
      </c>
      <c r="V44" s="17" t="str">
        <f>E26</f>
        <v>0</v>
      </c>
      <c r="W44" s="17" t="str">
        <f>E27</f>
        <v>0</v>
      </c>
      <c r="X44" s="17" t="str">
        <f>E28</f>
        <v>0</v>
      </c>
      <c r="Y44" s="17" t="str">
        <f>E29</f>
        <v>0</v>
      </c>
      <c r="Z44" s="17" t="str">
        <f>E30</f>
        <v>0</v>
      </c>
      <c r="AA44" s="17" t="str">
        <f>E31</f>
        <v>0</v>
      </c>
      <c r="AB44" s="17" t="str">
        <f>E32</f>
        <v>0</v>
      </c>
      <c r="AC44" s="17">
        <f>E33</f>
        <v>491.11988470312514</v>
      </c>
      <c r="AD44" s="17" t="str">
        <f>E34</f>
        <v>0</v>
      </c>
      <c r="AE44" s="17" t="str">
        <f>E35</f>
        <v>0</v>
      </c>
      <c r="AF44" s="17" t="str">
        <f>E36</f>
        <v>0</v>
      </c>
      <c r="AG44" s="17" t="str">
        <f>E37</f>
        <v>0</v>
      </c>
      <c r="AH44" s="17" t="str">
        <f>E38</f>
        <v>0</v>
      </c>
      <c r="AI44" s="17">
        <f>E39</f>
        <v>2237.9606600000002</v>
      </c>
    </row>
    <row r="45" spans="2:35" x14ac:dyDescent="0.3">
      <c r="B45" s="19" t="s">
        <v>405</v>
      </c>
      <c r="C45" s="17" t="str">
        <f>F7</f>
        <v>0</v>
      </c>
      <c r="D45" s="17" t="str">
        <f>F8</f>
        <v>0</v>
      </c>
      <c r="E45" s="17" t="str">
        <f>F9</f>
        <v>0</v>
      </c>
      <c r="F45" s="17" t="str">
        <f>F10</f>
        <v>0</v>
      </c>
      <c r="G45" s="17" t="str">
        <f>F11</f>
        <v>0</v>
      </c>
      <c r="H45" s="17">
        <f>F12</f>
        <v>6799.9573899999996</v>
      </c>
      <c r="I45" s="17">
        <f>F13</f>
        <v>9611.754116666667</v>
      </c>
      <c r="J45" s="17">
        <f>F14</f>
        <v>10060.06354375</v>
      </c>
      <c r="K45" s="17">
        <f>F15</f>
        <v>8019.3590316666678</v>
      </c>
      <c r="L45" s="17">
        <f>F16</f>
        <v>7226.7479645833355</v>
      </c>
      <c r="M45" s="17">
        <f>F17</f>
        <v>5315.1565675000002</v>
      </c>
      <c r="N45" s="17" t="str">
        <f>F18</f>
        <v>0</v>
      </c>
      <c r="O45" s="17" t="str">
        <f>F19</f>
        <v>0</v>
      </c>
      <c r="P45" s="17" t="str">
        <f>F20</f>
        <v>0</v>
      </c>
      <c r="Q45" s="17" t="str">
        <f>F21</f>
        <v>0</v>
      </c>
      <c r="R45" s="17" t="str">
        <f>F22</f>
        <v>0</v>
      </c>
      <c r="S45" s="17" t="str">
        <f>F23</f>
        <v>0</v>
      </c>
      <c r="T45" s="17" t="str">
        <f>F24</f>
        <v>0</v>
      </c>
      <c r="U45" s="17">
        <f>F25</f>
        <v>0</v>
      </c>
      <c r="V45" s="17" t="str">
        <f>F26</f>
        <v>0</v>
      </c>
      <c r="W45" s="17" t="str">
        <f>F27</f>
        <v>0</v>
      </c>
      <c r="X45" s="17" t="str">
        <f>F28</f>
        <v>0</v>
      </c>
      <c r="Y45" s="17">
        <f>F29</f>
        <v>1465.6114908709599</v>
      </c>
      <c r="Z45" s="17" t="str">
        <f>F30</f>
        <v>0</v>
      </c>
      <c r="AA45" s="17">
        <f>F31</f>
        <v>1463.0896080000005</v>
      </c>
      <c r="AB45" s="17" t="str">
        <f>F32</f>
        <v>0</v>
      </c>
      <c r="AC45" s="17" t="str">
        <f>F33</f>
        <v>0</v>
      </c>
      <c r="AD45" s="17">
        <f>F34</f>
        <v>311.43084800000008</v>
      </c>
      <c r="AE45" s="17" t="str">
        <f>F35</f>
        <v>0</v>
      </c>
      <c r="AF45" s="17" t="str">
        <f>F36</f>
        <v>0</v>
      </c>
      <c r="AG45" s="17">
        <f>F37</f>
        <v>21857.337813814818</v>
      </c>
      <c r="AH45" s="17" t="str">
        <f>F38</f>
        <v>0</v>
      </c>
      <c r="AI45" s="17">
        <f>F39</f>
        <v>5315.1565675000002</v>
      </c>
    </row>
    <row r="46" spans="2:35" x14ac:dyDescent="0.3">
      <c r="B46" s="19" t="s">
        <v>406</v>
      </c>
      <c r="C46" s="17">
        <f>G7</f>
        <v>4418.7398955000008</v>
      </c>
      <c r="D46" s="17">
        <f>G8</f>
        <v>449.63560687500012</v>
      </c>
      <c r="E46" s="17">
        <f>G9</f>
        <v>-86.179133833333225</v>
      </c>
      <c r="F46" s="17">
        <f>G10</f>
        <v>-14635.451061</v>
      </c>
      <c r="G46" s="17">
        <f>G11</f>
        <v>-1160.3158874999999</v>
      </c>
      <c r="H46" s="17">
        <f>G12</f>
        <v>452.41235495999996</v>
      </c>
      <c r="I46" s="17">
        <f>G13</f>
        <v>754.0205916000001</v>
      </c>
      <c r="J46" s="17">
        <f>G14</f>
        <v>961.37625429000002</v>
      </c>
      <c r="K46" s="17">
        <f>G15</f>
        <v>980.22676908000028</v>
      </c>
      <c r="L46" s="17">
        <f>G16</f>
        <v>1225.2834613500004</v>
      </c>
      <c r="M46" s="17">
        <f>G17</f>
        <v>1470.3401536200001</v>
      </c>
      <c r="N46" s="17">
        <f>G18</f>
        <v>452.41235495999996</v>
      </c>
      <c r="O46" s="17">
        <f>G19</f>
        <v>754.0205916000001</v>
      </c>
      <c r="P46" s="17">
        <f>G20</f>
        <v>961.37625429000002</v>
      </c>
      <c r="Q46" s="17">
        <f>G21</f>
        <v>980.22676908000028</v>
      </c>
      <c r="R46" s="17">
        <f>G22</f>
        <v>1225.2834613500004</v>
      </c>
      <c r="S46" s="17">
        <f>G23</f>
        <v>1470.3401536200001</v>
      </c>
      <c r="T46" s="17">
        <f>G24</f>
        <v>0</v>
      </c>
      <c r="U46" s="17" t="str">
        <f>G25</f>
        <v>0</v>
      </c>
      <c r="V46" s="17">
        <f>G26</f>
        <v>4064.8558403345173</v>
      </c>
      <c r="W46" s="17">
        <f>G27</f>
        <v>21155.31639569654</v>
      </c>
      <c r="X46" s="17">
        <f>G28</f>
        <v>5253.8199685300006</v>
      </c>
      <c r="Y46" s="17" t="str">
        <f>G29</f>
        <v>0</v>
      </c>
      <c r="Z46" s="17">
        <f>G30</f>
        <v>256.98451096773994</v>
      </c>
      <c r="AA46" s="17" t="str">
        <f>G31</f>
        <v>0</v>
      </c>
      <c r="AB46" s="17">
        <f>G32</f>
        <v>256.35404025000008</v>
      </c>
      <c r="AC46" s="17">
        <f>G33</f>
        <v>322.66576424995321</v>
      </c>
      <c r="AD46" s="17" t="str">
        <f>G34</f>
        <v>0</v>
      </c>
      <c r="AE46" s="17">
        <f>G35</f>
        <v>117.31984000000001</v>
      </c>
      <c r="AF46" s="17">
        <f>G36</f>
        <v>28595.46862581552</v>
      </c>
      <c r="AG46" s="17" t="str">
        <f>G37</f>
        <v>0</v>
      </c>
      <c r="AH46" s="17">
        <f>G38</f>
        <v>0</v>
      </c>
      <c r="AI46" s="17">
        <f>G39</f>
        <v>1470.3401536200001</v>
      </c>
    </row>
    <row r="47" spans="2:35" x14ac:dyDescent="0.3">
      <c r="B47" s="19" t="s">
        <v>407</v>
      </c>
      <c r="C47" s="17" t="str">
        <f>H7</f>
        <v>0</v>
      </c>
      <c r="D47" s="17" t="str">
        <f>H8</f>
        <v>0</v>
      </c>
      <c r="E47" s="17" t="str">
        <f>H9</f>
        <v>0</v>
      </c>
      <c r="F47" s="17" t="str">
        <f>H10</f>
        <v>0</v>
      </c>
      <c r="G47" s="17" t="str">
        <f>H11</f>
        <v>0</v>
      </c>
      <c r="H47" s="17" t="str">
        <f>H12</f>
        <v>0</v>
      </c>
      <c r="I47" s="17" t="str">
        <f>H13</f>
        <v>0</v>
      </c>
      <c r="J47" s="17" t="str">
        <f>H14</f>
        <v>0</v>
      </c>
      <c r="K47" s="17" t="str">
        <f>H15</f>
        <v>0</v>
      </c>
      <c r="L47" s="17" t="str">
        <f>H16</f>
        <v>0</v>
      </c>
      <c r="M47" s="17" t="str">
        <f>H17</f>
        <v>0</v>
      </c>
      <c r="N47" s="17" t="str">
        <f>H18</f>
        <v>0</v>
      </c>
      <c r="O47" s="17" t="str">
        <f>H19</f>
        <v>0</v>
      </c>
      <c r="P47" s="17" t="str">
        <f>H20</f>
        <v>0</v>
      </c>
      <c r="Q47" s="17" t="str">
        <f>H21</f>
        <v>0</v>
      </c>
      <c r="R47" s="17" t="str">
        <f>H22</f>
        <v>0</v>
      </c>
      <c r="S47" s="17" t="str">
        <f>H23</f>
        <v>0</v>
      </c>
      <c r="T47" s="17">
        <f>H24</f>
        <v>0</v>
      </c>
      <c r="U47" s="17" t="str">
        <f>H25</f>
        <v>0</v>
      </c>
      <c r="V47" s="17">
        <f>H26</f>
        <v>701.07180739134355</v>
      </c>
      <c r="W47" s="17">
        <f>H27</f>
        <v>4421.4261986147403</v>
      </c>
      <c r="X47" s="17">
        <f>H28</f>
        <v>648.29960125000002</v>
      </c>
      <c r="Y47" s="17" t="str">
        <f>H29</f>
        <v>0</v>
      </c>
      <c r="Z47" s="17">
        <f>H30</f>
        <v>26.279221900781256</v>
      </c>
      <c r="AA47" s="17" t="str">
        <f>H31</f>
        <v>0</v>
      </c>
      <c r="AB47" s="17">
        <f>H32</f>
        <v>26.214750000000002</v>
      </c>
      <c r="AC47" s="17" t="str">
        <f>H33</f>
        <v>0</v>
      </c>
      <c r="AD47" s="17" t="str">
        <f>H34</f>
        <v>0</v>
      </c>
      <c r="AE47" s="17">
        <f>H35</f>
        <v>10.505000000000001</v>
      </c>
      <c r="AF47" s="17">
        <f>H36</f>
        <v>3949.7641451696336</v>
      </c>
      <c r="AG47" s="17" t="str">
        <f>H37</f>
        <v>0</v>
      </c>
      <c r="AH47" s="17">
        <f>H38</f>
        <v>0</v>
      </c>
      <c r="AI47" s="17" t="str">
        <f>H39</f>
        <v>0</v>
      </c>
    </row>
    <row r="48" spans="2:35" x14ac:dyDescent="0.3">
      <c r="B48" s="19" t="s">
        <v>408</v>
      </c>
      <c r="C48" s="17" t="str">
        <f>I7</f>
        <v>0</v>
      </c>
      <c r="D48" s="17" t="str">
        <f>I8</f>
        <v>0</v>
      </c>
      <c r="E48" s="17" t="str">
        <f>I9</f>
        <v>0</v>
      </c>
      <c r="F48" s="17" t="str">
        <f>I10</f>
        <v>0</v>
      </c>
      <c r="G48" s="17" t="str">
        <f>I11</f>
        <v>0</v>
      </c>
      <c r="H48" s="17" t="str">
        <f>I12</f>
        <v>0</v>
      </c>
      <c r="I48" s="17" t="str">
        <f>I13</f>
        <v>0</v>
      </c>
      <c r="J48" s="17" t="str">
        <f>I14</f>
        <v>0</v>
      </c>
      <c r="K48" s="17" t="str">
        <f>I15</f>
        <v>0</v>
      </c>
      <c r="L48" s="17" t="str">
        <f>I16</f>
        <v>0</v>
      </c>
      <c r="M48" s="17" t="str">
        <f>I17</f>
        <v>0</v>
      </c>
      <c r="N48" s="17" t="str">
        <f>I18</f>
        <v>0</v>
      </c>
      <c r="O48" s="17" t="str">
        <f>I19</f>
        <v>0</v>
      </c>
      <c r="P48" s="17" t="str">
        <f>I20</f>
        <v>0</v>
      </c>
      <c r="Q48" s="17" t="str">
        <f>I21</f>
        <v>0</v>
      </c>
      <c r="R48" s="17" t="str">
        <f>I22</f>
        <v>0</v>
      </c>
      <c r="S48" s="17" t="str">
        <f>I23</f>
        <v>0</v>
      </c>
      <c r="T48" s="17" t="str">
        <f>I24</f>
        <v>0</v>
      </c>
      <c r="U48" s="17">
        <f>I25</f>
        <v>0</v>
      </c>
      <c r="V48" s="17" t="str">
        <f>I26</f>
        <v>0</v>
      </c>
      <c r="W48" s="17" t="str">
        <f>I27</f>
        <v>0</v>
      </c>
      <c r="X48" s="17" t="str">
        <f>I28</f>
        <v>0</v>
      </c>
      <c r="Y48" s="17">
        <f>I29</f>
        <v>177.28068760312505</v>
      </c>
      <c r="Z48" s="17" t="str">
        <f>I30</f>
        <v>0</v>
      </c>
      <c r="AA48" s="17">
        <f>I31</f>
        <v>177.02280000000002</v>
      </c>
      <c r="AB48" s="17" t="str">
        <f>I32</f>
        <v>0</v>
      </c>
      <c r="AC48" s="17" t="str">
        <f>I33</f>
        <v>0</v>
      </c>
      <c r="AD48" s="17">
        <f>I34</f>
        <v>27.886000000000003</v>
      </c>
      <c r="AE48" s="17" t="str">
        <f>I35</f>
        <v>0</v>
      </c>
      <c r="AF48" s="17" t="str">
        <f>I36</f>
        <v>0</v>
      </c>
      <c r="AG48" s="17">
        <f>I37</f>
        <v>3010.925335273334</v>
      </c>
      <c r="AH48" s="17" t="str">
        <f>I38</f>
        <v>0</v>
      </c>
      <c r="AI48" s="17" t="str">
        <f>I39</f>
        <v>0</v>
      </c>
    </row>
    <row r="49" spans="2:35" x14ac:dyDescent="0.3">
      <c r="B49" s="19" t="s">
        <v>409</v>
      </c>
      <c r="C49" s="17">
        <f>J7</f>
        <v>6725.6315000000004</v>
      </c>
      <c r="D49" s="17">
        <f>J8</f>
        <v>684.37687500000015</v>
      </c>
      <c r="E49" s="17">
        <f>J9</f>
        <v>5929.7609699999994</v>
      </c>
      <c r="F49" s="17" t="str">
        <f>J10</f>
        <v>0</v>
      </c>
      <c r="G49" s="17" t="str">
        <f>J11</f>
        <v>0</v>
      </c>
      <c r="H49" s="17">
        <f>J12</f>
        <v>688.60327999999993</v>
      </c>
      <c r="I49" s="17">
        <f>J13</f>
        <v>1147.6721333333335</v>
      </c>
      <c r="J49" s="17">
        <f>J14</f>
        <v>1463.28197</v>
      </c>
      <c r="K49" s="17">
        <f>J15</f>
        <v>1491.9737733333336</v>
      </c>
      <c r="L49" s="17">
        <f>J16</f>
        <v>1864.9672166666671</v>
      </c>
      <c r="M49" s="17">
        <f>J17</f>
        <v>2237.9606600000002</v>
      </c>
      <c r="N49" s="17">
        <f>J18</f>
        <v>688.60327999999993</v>
      </c>
      <c r="O49" s="17">
        <f>J19</f>
        <v>1147.6721333333335</v>
      </c>
      <c r="P49" s="17">
        <f>J20</f>
        <v>1463.28197</v>
      </c>
      <c r="Q49" s="17">
        <f>J21</f>
        <v>1491.9737733333336</v>
      </c>
      <c r="R49" s="17">
        <f>J22</f>
        <v>1864.9672166666671</v>
      </c>
      <c r="S49" s="17">
        <f>J23</f>
        <v>2237.9606600000002</v>
      </c>
      <c r="T49" s="17" t="str">
        <f>J24</f>
        <v>0</v>
      </c>
      <c r="U49" s="17" t="str">
        <f>J25</f>
        <v>0</v>
      </c>
      <c r="V49" s="17" t="str">
        <f>J26</f>
        <v>0</v>
      </c>
      <c r="W49" s="17" t="str">
        <f>J27</f>
        <v>0</v>
      </c>
      <c r="X49" s="17" t="str">
        <f>J28</f>
        <v>0</v>
      </c>
      <c r="Y49" s="17" t="str">
        <f>J29</f>
        <v>0</v>
      </c>
      <c r="Z49" s="17" t="str">
        <f>J30</f>
        <v>0</v>
      </c>
      <c r="AA49" s="17" t="str">
        <f>J31</f>
        <v>0</v>
      </c>
      <c r="AB49" s="17" t="str">
        <f>J32</f>
        <v>0</v>
      </c>
      <c r="AC49" s="17">
        <f>J33</f>
        <v>491.11988470312514</v>
      </c>
      <c r="AD49" s="17" t="str">
        <f>J34</f>
        <v>0</v>
      </c>
      <c r="AE49" s="17" t="str">
        <f>J35</f>
        <v>0</v>
      </c>
      <c r="AF49" s="17" t="str">
        <f>J36</f>
        <v>0</v>
      </c>
      <c r="AG49" s="17" t="str">
        <f>J37</f>
        <v>0</v>
      </c>
      <c r="AH49" s="17" t="str">
        <f>J38</f>
        <v>0</v>
      </c>
      <c r="AI49" s="17">
        <f>J39</f>
        <v>2237.9606600000002</v>
      </c>
    </row>
    <row r="50" spans="2:35" x14ac:dyDescent="0.3">
      <c r="B50" s="19" t="s">
        <v>410</v>
      </c>
      <c r="C50" s="17" t="str">
        <f>K7</f>
        <v>0</v>
      </c>
      <c r="D50" s="17" t="str">
        <f>K8</f>
        <v>0</v>
      </c>
      <c r="E50" s="17" t="str">
        <f>K9</f>
        <v>0</v>
      </c>
      <c r="F50" s="17" t="str">
        <f>K10</f>
        <v>0</v>
      </c>
      <c r="G50" s="17" t="str">
        <f>K11</f>
        <v>0</v>
      </c>
      <c r="H50" s="17">
        <f>K12</f>
        <v>6799.9573899999996</v>
      </c>
      <c r="I50" s="17">
        <f>K13</f>
        <v>9611.754116666667</v>
      </c>
      <c r="J50" s="17">
        <f>K14</f>
        <v>10060.06354375</v>
      </c>
      <c r="K50" s="17">
        <f>K15</f>
        <v>8019.3590316666678</v>
      </c>
      <c r="L50" s="17">
        <f>K16</f>
        <v>7226.7479645833355</v>
      </c>
      <c r="M50" s="17">
        <f>K17</f>
        <v>5315.1565675000002</v>
      </c>
      <c r="N50" s="17" t="str">
        <f>K18</f>
        <v>0</v>
      </c>
      <c r="O50" s="17" t="str">
        <f>K19</f>
        <v>0</v>
      </c>
      <c r="P50" s="17" t="str">
        <f>K20</f>
        <v>0</v>
      </c>
      <c r="Q50" s="17" t="str">
        <f>K21</f>
        <v>0</v>
      </c>
      <c r="R50" s="17" t="str">
        <f>K22</f>
        <v>0</v>
      </c>
      <c r="S50" s="17" t="str">
        <f>K23</f>
        <v>0</v>
      </c>
      <c r="T50" s="17" t="str">
        <f>K24</f>
        <v>0</v>
      </c>
      <c r="U50" s="17">
        <f>K25</f>
        <v>0</v>
      </c>
      <c r="V50" s="17" t="str">
        <f>K26</f>
        <v>0</v>
      </c>
      <c r="W50" s="17" t="str">
        <f>K27</f>
        <v>0</v>
      </c>
      <c r="X50" s="17" t="str">
        <f>K28</f>
        <v>0</v>
      </c>
      <c r="Y50" s="17">
        <f>K29</f>
        <v>1146.5062531853348</v>
      </c>
      <c r="Z50" s="17" t="str">
        <f>K30</f>
        <v>0</v>
      </c>
      <c r="AA50" s="17">
        <f>K31</f>
        <v>1144.4485680000003</v>
      </c>
      <c r="AB50" s="17" t="str">
        <f>K32</f>
        <v>0</v>
      </c>
      <c r="AC50" s="17" t="str">
        <f>K33</f>
        <v>0</v>
      </c>
      <c r="AD50" s="17">
        <f>K34</f>
        <v>261.23604800000004</v>
      </c>
      <c r="AE50" s="17" t="str">
        <f>K35</f>
        <v>0</v>
      </c>
      <c r="AF50" s="17" t="str">
        <f>K36</f>
        <v>0</v>
      </c>
      <c r="AG50" s="17">
        <f>K37</f>
        <v>14884.201641322814</v>
      </c>
      <c r="AH50" s="17" t="str">
        <f>K38</f>
        <v>0</v>
      </c>
      <c r="AI50" s="17">
        <f>K39</f>
        <v>5315.1565675000002</v>
      </c>
    </row>
    <row r="51" spans="2:35" x14ac:dyDescent="0.3">
      <c r="B51" s="19" t="s">
        <v>411</v>
      </c>
      <c r="C51" s="17">
        <f>L7</f>
        <v>2064.7688705</v>
      </c>
      <c r="D51" s="17">
        <f>L8</f>
        <v>210.10370062500004</v>
      </c>
      <c r="E51" s="17">
        <f>L9</f>
        <v>-2161.5954733333333</v>
      </c>
      <c r="F51" s="17" t="str">
        <f>L10</f>
        <v>0</v>
      </c>
      <c r="G51" s="17" t="str">
        <f>L11</f>
        <v>0</v>
      </c>
      <c r="H51" s="17">
        <f>L12</f>
        <v>211.40120695999997</v>
      </c>
      <c r="I51" s="17">
        <f>L13</f>
        <v>352.33534493333337</v>
      </c>
      <c r="J51" s="17">
        <f>L14</f>
        <v>449.22756478999997</v>
      </c>
      <c r="K51" s="17">
        <f>L15</f>
        <v>458.03594841333341</v>
      </c>
      <c r="L51" s="17">
        <f>L16</f>
        <v>572.54493551666678</v>
      </c>
      <c r="M51" s="17">
        <f>L17</f>
        <v>687.05392262000009</v>
      </c>
      <c r="N51" s="17">
        <f>L18</f>
        <v>211.40120695999997</v>
      </c>
      <c r="O51" s="17">
        <f>L19</f>
        <v>352.33534493333337</v>
      </c>
      <c r="P51" s="17">
        <f>L20</f>
        <v>449.22756478999997</v>
      </c>
      <c r="Q51" s="17">
        <f>L21</f>
        <v>458.03594841333341</v>
      </c>
      <c r="R51" s="17">
        <f>L22</f>
        <v>572.54493551666678</v>
      </c>
      <c r="S51" s="17">
        <f>L23</f>
        <v>687.05392262000009</v>
      </c>
      <c r="T51" s="17">
        <f>L24</f>
        <v>0</v>
      </c>
      <c r="U51" s="17" t="str">
        <f>L25</f>
        <v>0</v>
      </c>
      <c r="V51" s="17">
        <f>L26</f>
        <v>2652.8557191688442</v>
      </c>
      <c r="W51" s="17">
        <f>L27</f>
        <v>11153.78449037212</v>
      </c>
      <c r="X51" s="17">
        <f>L28</f>
        <v>4086.8806862800002</v>
      </c>
      <c r="Y51" s="17" t="str">
        <f>L29</f>
        <v>0</v>
      </c>
      <c r="Z51" s="17">
        <f>L30</f>
        <v>209.68191154633365</v>
      </c>
      <c r="AA51" s="17" t="str">
        <f>L31</f>
        <v>0</v>
      </c>
      <c r="AB51" s="17">
        <f>L32</f>
        <v>209.16749025000004</v>
      </c>
      <c r="AC51" s="17">
        <f>L33</f>
        <v>150.77380460385942</v>
      </c>
      <c r="AD51" s="17" t="str">
        <f>L34</f>
        <v>0</v>
      </c>
      <c r="AE51" s="17">
        <f>L35</f>
        <v>98.410840000000007</v>
      </c>
      <c r="AF51" s="17">
        <f>L36</f>
        <v>18436.767697970412</v>
      </c>
      <c r="AG51" s="17" t="str">
        <f>L37</f>
        <v>0</v>
      </c>
      <c r="AH51" s="17">
        <f>L38</f>
        <v>0</v>
      </c>
      <c r="AI51" s="17">
        <f>L39</f>
        <v>687.05392262000009</v>
      </c>
    </row>
    <row r="53" spans="2:35" x14ac:dyDescent="0.3">
      <c r="B53" s="6" t="s">
        <v>444</v>
      </c>
    </row>
    <row r="54" spans="2:35" ht="26.85" customHeight="1" x14ac:dyDescent="0.3">
      <c r="B54" s="18" t="s">
        <v>445</v>
      </c>
      <c r="C54" s="18" t="s">
        <v>412</v>
      </c>
      <c r="D54" s="18" t="s">
        <v>413</v>
      </c>
      <c r="E54" s="18" t="s">
        <v>414</v>
      </c>
      <c r="F54" s="18" t="s">
        <v>415</v>
      </c>
      <c r="G54" s="18" t="s">
        <v>416</v>
      </c>
      <c r="H54" s="18" t="s">
        <v>417</v>
      </c>
      <c r="I54" s="18" t="s">
        <v>418</v>
      </c>
      <c r="J54" s="18" t="s">
        <v>419</v>
      </c>
      <c r="K54" s="18" t="s">
        <v>420</v>
      </c>
      <c r="L54" s="18" t="s">
        <v>421</v>
      </c>
      <c r="M54" s="18" t="s">
        <v>422</v>
      </c>
      <c r="N54" s="18" t="s">
        <v>423</v>
      </c>
      <c r="O54" s="18" t="s">
        <v>424</v>
      </c>
      <c r="P54" s="18" t="s">
        <v>425</v>
      </c>
      <c r="Q54" s="18" t="s">
        <v>426</v>
      </c>
      <c r="R54" s="18" t="s">
        <v>427</v>
      </c>
      <c r="S54" s="18" t="s">
        <v>428</v>
      </c>
      <c r="T54" s="18" t="s">
        <v>429</v>
      </c>
      <c r="U54" s="18" t="s">
        <v>430</v>
      </c>
      <c r="V54" s="18" t="s">
        <v>431</v>
      </c>
      <c r="W54" s="18" t="s">
        <v>432</v>
      </c>
      <c r="X54" s="18" t="s">
        <v>433</v>
      </c>
      <c r="Y54" s="18" t="s">
        <v>434</v>
      </c>
      <c r="Z54" s="18" t="s">
        <v>435</v>
      </c>
      <c r="AA54" s="18" t="s">
        <v>436</v>
      </c>
      <c r="AB54" s="18" t="s">
        <v>437</v>
      </c>
      <c r="AC54" s="18" t="s">
        <v>438</v>
      </c>
      <c r="AD54" s="18" t="s">
        <v>363</v>
      </c>
      <c r="AE54" s="18" t="s">
        <v>365</v>
      </c>
      <c r="AF54" s="18" t="s">
        <v>439</v>
      </c>
      <c r="AG54" s="18" t="s">
        <v>440</v>
      </c>
      <c r="AH54" s="18" t="s">
        <v>441</v>
      </c>
      <c r="AI54" s="18" t="s">
        <v>442</v>
      </c>
    </row>
    <row r="55" spans="2:35" x14ac:dyDescent="0.3">
      <c r="B55" s="22" t="s">
        <v>446</v>
      </c>
      <c r="C55" s="9">
        <v>1</v>
      </c>
      <c r="D55" s="9">
        <v>1</v>
      </c>
      <c r="E55" s="9">
        <v>1</v>
      </c>
      <c r="F55" s="9">
        <v>1</v>
      </c>
      <c r="G55" s="9">
        <v>1</v>
      </c>
      <c r="H55" s="9">
        <v>1</v>
      </c>
      <c r="I55" s="9">
        <v>0</v>
      </c>
      <c r="J55" s="9">
        <v>0</v>
      </c>
      <c r="K55" s="9">
        <v>0</v>
      </c>
      <c r="L55" s="9">
        <v>0</v>
      </c>
      <c r="M55" s="9">
        <v>0</v>
      </c>
      <c r="N55" s="9">
        <v>0</v>
      </c>
      <c r="O55" s="9">
        <v>0</v>
      </c>
      <c r="P55" s="9">
        <v>0</v>
      </c>
      <c r="Q55" s="9">
        <v>0</v>
      </c>
      <c r="R55" s="9">
        <v>0</v>
      </c>
      <c r="S55" s="9">
        <v>0</v>
      </c>
      <c r="T55" s="9">
        <v>1</v>
      </c>
      <c r="U55" s="9">
        <v>1</v>
      </c>
      <c r="V55" s="9">
        <v>1</v>
      </c>
      <c r="W55" s="9">
        <v>1</v>
      </c>
      <c r="X55" s="9">
        <v>1</v>
      </c>
      <c r="Y55" s="9">
        <v>0</v>
      </c>
      <c r="Z55" s="9">
        <v>0</v>
      </c>
      <c r="AA55" s="9">
        <v>0.3</v>
      </c>
      <c r="AB55" s="9">
        <v>0.3</v>
      </c>
      <c r="AC55" s="9">
        <v>0</v>
      </c>
      <c r="AD55" s="9">
        <v>1</v>
      </c>
      <c r="AE55" s="9">
        <v>1</v>
      </c>
      <c r="AF55" s="9">
        <v>0</v>
      </c>
      <c r="AG55" s="9">
        <v>0</v>
      </c>
      <c r="AH55" s="9">
        <v>1</v>
      </c>
      <c r="AI55" s="9">
        <v>0</v>
      </c>
    </row>
    <row r="56" spans="2:35" x14ac:dyDescent="0.3">
      <c r="B56" s="22" t="s">
        <v>447</v>
      </c>
      <c r="C56" s="9">
        <v>1</v>
      </c>
      <c r="D56" s="9">
        <v>1</v>
      </c>
      <c r="E56" s="9">
        <v>1</v>
      </c>
      <c r="F56" s="9">
        <v>1</v>
      </c>
      <c r="G56" s="9">
        <v>1</v>
      </c>
      <c r="H56" s="9">
        <v>0</v>
      </c>
      <c r="I56" s="9">
        <v>1</v>
      </c>
      <c r="J56" s="9">
        <v>0</v>
      </c>
      <c r="K56" s="9">
        <v>0</v>
      </c>
      <c r="L56" s="9">
        <v>0</v>
      </c>
      <c r="M56" s="9">
        <v>0</v>
      </c>
      <c r="N56" s="9">
        <v>0</v>
      </c>
      <c r="O56" s="9">
        <v>0</v>
      </c>
      <c r="P56" s="9">
        <v>0</v>
      </c>
      <c r="Q56" s="9">
        <v>0</v>
      </c>
      <c r="R56" s="9">
        <v>0</v>
      </c>
      <c r="S56" s="9">
        <v>0</v>
      </c>
      <c r="T56" s="9">
        <v>1</v>
      </c>
      <c r="U56" s="9">
        <v>1</v>
      </c>
      <c r="V56" s="9">
        <v>1</v>
      </c>
      <c r="W56" s="9">
        <v>1</v>
      </c>
      <c r="X56" s="9">
        <v>1</v>
      </c>
      <c r="Y56" s="9">
        <v>0</v>
      </c>
      <c r="Z56" s="9">
        <v>0</v>
      </c>
      <c r="AA56" s="9">
        <v>0.3</v>
      </c>
      <c r="AB56" s="9">
        <v>0.3</v>
      </c>
      <c r="AC56" s="9">
        <v>0</v>
      </c>
      <c r="AD56" s="9">
        <v>1</v>
      </c>
      <c r="AE56" s="9">
        <v>1</v>
      </c>
      <c r="AF56" s="9">
        <v>0</v>
      </c>
      <c r="AG56" s="9">
        <v>0</v>
      </c>
      <c r="AH56" s="9">
        <v>1</v>
      </c>
      <c r="AI56" s="9">
        <v>0</v>
      </c>
    </row>
    <row r="57" spans="2:35" x14ac:dyDescent="0.3">
      <c r="B57" s="22" t="s">
        <v>448</v>
      </c>
      <c r="C57" s="9">
        <v>1</v>
      </c>
      <c r="D57" s="9">
        <v>1</v>
      </c>
      <c r="E57" s="9">
        <v>1</v>
      </c>
      <c r="F57" s="9">
        <v>1</v>
      </c>
      <c r="G57" s="9">
        <v>1</v>
      </c>
      <c r="H57" s="9">
        <v>0</v>
      </c>
      <c r="I57" s="9">
        <v>0</v>
      </c>
      <c r="J57" s="9">
        <v>1</v>
      </c>
      <c r="K57" s="9">
        <v>0</v>
      </c>
      <c r="L57" s="9">
        <v>0</v>
      </c>
      <c r="M57" s="9">
        <v>0</v>
      </c>
      <c r="N57" s="9">
        <v>0</v>
      </c>
      <c r="O57" s="9">
        <v>0</v>
      </c>
      <c r="P57" s="9">
        <v>0</v>
      </c>
      <c r="Q57" s="9">
        <v>0</v>
      </c>
      <c r="R57" s="9">
        <v>0</v>
      </c>
      <c r="S57" s="9">
        <v>0</v>
      </c>
      <c r="T57" s="9">
        <v>1</v>
      </c>
      <c r="U57" s="9">
        <v>1</v>
      </c>
      <c r="V57" s="9">
        <v>1</v>
      </c>
      <c r="W57" s="9">
        <v>1</v>
      </c>
      <c r="X57" s="9">
        <v>1</v>
      </c>
      <c r="Y57" s="9">
        <v>0</v>
      </c>
      <c r="Z57" s="9">
        <v>0</v>
      </c>
      <c r="AA57" s="9">
        <v>0.3</v>
      </c>
      <c r="AB57" s="9">
        <v>0.3</v>
      </c>
      <c r="AC57" s="9">
        <v>0</v>
      </c>
      <c r="AD57" s="9">
        <v>1</v>
      </c>
      <c r="AE57" s="9">
        <v>1</v>
      </c>
      <c r="AF57" s="9">
        <v>0</v>
      </c>
      <c r="AG57" s="9">
        <v>0</v>
      </c>
      <c r="AH57" s="9">
        <v>1</v>
      </c>
      <c r="AI57" s="9">
        <v>0</v>
      </c>
    </row>
    <row r="58" spans="2:35" x14ac:dyDescent="0.3">
      <c r="B58" s="22" t="s">
        <v>449</v>
      </c>
      <c r="C58" s="9">
        <v>1</v>
      </c>
      <c r="D58" s="9">
        <v>1</v>
      </c>
      <c r="E58" s="9">
        <v>1</v>
      </c>
      <c r="F58" s="9">
        <v>1</v>
      </c>
      <c r="G58" s="9">
        <v>1</v>
      </c>
      <c r="H58" s="9">
        <v>0</v>
      </c>
      <c r="I58" s="9">
        <v>0</v>
      </c>
      <c r="J58" s="9">
        <v>0</v>
      </c>
      <c r="K58" s="9">
        <v>1</v>
      </c>
      <c r="L58" s="9">
        <v>0</v>
      </c>
      <c r="M58" s="9">
        <v>0</v>
      </c>
      <c r="N58" s="9">
        <v>0</v>
      </c>
      <c r="O58" s="9">
        <v>0</v>
      </c>
      <c r="P58" s="9">
        <v>0</v>
      </c>
      <c r="Q58" s="9">
        <v>0</v>
      </c>
      <c r="R58" s="9">
        <v>0</v>
      </c>
      <c r="S58" s="9">
        <v>0</v>
      </c>
      <c r="T58" s="9">
        <v>1</v>
      </c>
      <c r="U58" s="9">
        <v>1</v>
      </c>
      <c r="V58" s="9">
        <v>1</v>
      </c>
      <c r="W58" s="9">
        <v>1</v>
      </c>
      <c r="X58" s="9">
        <v>1</v>
      </c>
      <c r="Y58" s="9">
        <v>0</v>
      </c>
      <c r="Z58" s="9">
        <v>0</v>
      </c>
      <c r="AA58" s="9">
        <v>0.3</v>
      </c>
      <c r="AB58" s="9">
        <v>0.3</v>
      </c>
      <c r="AC58" s="9">
        <v>0</v>
      </c>
      <c r="AD58" s="9">
        <v>1</v>
      </c>
      <c r="AE58" s="9">
        <v>1</v>
      </c>
      <c r="AF58" s="9">
        <v>0</v>
      </c>
      <c r="AG58" s="9">
        <v>0</v>
      </c>
      <c r="AH58" s="9">
        <v>1</v>
      </c>
      <c r="AI58" s="9">
        <v>0</v>
      </c>
    </row>
    <row r="59" spans="2:35" x14ac:dyDescent="0.3">
      <c r="B59" s="22" t="s">
        <v>450</v>
      </c>
      <c r="C59" s="9">
        <v>1</v>
      </c>
      <c r="D59" s="9">
        <v>1</v>
      </c>
      <c r="E59" s="9">
        <v>1</v>
      </c>
      <c r="F59" s="9">
        <v>1</v>
      </c>
      <c r="G59" s="9">
        <v>1</v>
      </c>
      <c r="H59" s="9">
        <v>0</v>
      </c>
      <c r="I59" s="9">
        <v>0</v>
      </c>
      <c r="J59" s="9">
        <v>0</v>
      </c>
      <c r="K59" s="9">
        <v>0</v>
      </c>
      <c r="L59" s="9">
        <v>1</v>
      </c>
      <c r="M59" s="9">
        <v>0</v>
      </c>
      <c r="N59" s="9">
        <v>0</v>
      </c>
      <c r="O59" s="9">
        <v>0</v>
      </c>
      <c r="P59" s="9">
        <v>0</v>
      </c>
      <c r="Q59" s="9">
        <v>0</v>
      </c>
      <c r="R59" s="9">
        <v>0</v>
      </c>
      <c r="S59" s="9">
        <v>0</v>
      </c>
      <c r="T59" s="9">
        <v>1</v>
      </c>
      <c r="U59" s="9">
        <v>1</v>
      </c>
      <c r="V59" s="9">
        <v>1</v>
      </c>
      <c r="W59" s="9">
        <v>1</v>
      </c>
      <c r="X59" s="9">
        <v>1</v>
      </c>
      <c r="Y59" s="9">
        <v>0</v>
      </c>
      <c r="Z59" s="9">
        <v>0</v>
      </c>
      <c r="AA59" s="9">
        <v>0.3</v>
      </c>
      <c r="AB59" s="9">
        <v>0.3</v>
      </c>
      <c r="AC59" s="9">
        <v>0</v>
      </c>
      <c r="AD59" s="9">
        <v>1</v>
      </c>
      <c r="AE59" s="9">
        <v>1</v>
      </c>
      <c r="AF59" s="9">
        <v>0</v>
      </c>
      <c r="AG59" s="9">
        <v>0</v>
      </c>
      <c r="AH59" s="9">
        <v>1</v>
      </c>
      <c r="AI59" s="9">
        <v>0</v>
      </c>
    </row>
    <row r="60" spans="2:35" x14ac:dyDescent="0.3">
      <c r="B60" s="22" t="s">
        <v>451</v>
      </c>
      <c r="C60" s="9">
        <v>1</v>
      </c>
      <c r="D60" s="9">
        <v>1</v>
      </c>
      <c r="E60" s="9">
        <v>1</v>
      </c>
      <c r="F60" s="9">
        <v>1</v>
      </c>
      <c r="G60" s="9">
        <v>1</v>
      </c>
      <c r="H60" s="9">
        <v>0</v>
      </c>
      <c r="I60" s="9">
        <v>0</v>
      </c>
      <c r="J60" s="9">
        <v>0</v>
      </c>
      <c r="K60" s="9">
        <v>0</v>
      </c>
      <c r="L60" s="9">
        <v>0</v>
      </c>
      <c r="M60" s="9">
        <v>1</v>
      </c>
      <c r="N60" s="9">
        <v>0</v>
      </c>
      <c r="O60" s="9">
        <v>0</v>
      </c>
      <c r="P60" s="9">
        <v>0</v>
      </c>
      <c r="Q60" s="9">
        <v>0</v>
      </c>
      <c r="R60" s="9">
        <v>0</v>
      </c>
      <c r="S60" s="9">
        <v>0</v>
      </c>
      <c r="T60" s="9">
        <v>1</v>
      </c>
      <c r="U60" s="9">
        <v>1</v>
      </c>
      <c r="V60" s="9">
        <v>1</v>
      </c>
      <c r="W60" s="9">
        <v>1</v>
      </c>
      <c r="X60" s="9">
        <v>1</v>
      </c>
      <c r="Y60" s="9">
        <v>0</v>
      </c>
      <c r="Z60" s="9">
        <v>0</v>
      </c>
      <c r="AA60" s="9">
        <v>0.3</v>
      </c>
      <c r="AB60" s="9">
        <v>0.3</v>
      </c>
      <c r="AC60" s="9">
        <v>0</v>
      </c>
      <c r="AD60" s="9">
        <v>1</v>
      </c>
      <c r="AE60" s="9">
        <v>1</v>
      </c>
      <c r="AF60" s="9">
        <v>0</v>
      </c>
      <c r="AG60" s="9">
        <v>0</v>
      </c>
      <c r="AH60" s="9">
        <v>1</v>
      </c>
      <c r="AI60" s="9">
        <v>0</v>
      </c>
    </row>
    <row r="61" spans="2:35" x14ac:dyDescent="0.3">
      <c r="B61" s="22" t="s">
        <v>452</v>
      </c>
      <c r="C61" s="9">
        <v>1</v>
      </c>
      <c r="D61" s="9">
        <v>1</v>
      </c>
      <c r="E61" s="9">
        <v>1</v>
      </c>
      <c r="F61" s="9">
        <v>1</v>
      </c>
      <c r="G61" s="9">
        <v>1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1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1</v>
      </c>
      <c r="U61" s="9">
        <v>1</v>
      </c>
      <c r="V61" s="9">
        <v>1</v>
      </c>
      <c r="W61" s="9">
        <v>1</v>
      </c>
      <c r="X61" s="9">
        <v>1</v>
      </c>
      <c r="Y61" s="9">
        <v>0</v>
      </c>
      <c r="Z61" s="9">
        <v>0</v>
      </c>
      <c r="AA61" s="9">
        <v>0.3</v>
      </c>
      <c r="AB61" s="9">
        <v>0.3</v>
      </c>
      <c r="AC61" s="9">
        <v>0</v>
      </c>
      <c r="AD61" s="9">
        <v>1</v>
      </c>
      <c r="AE61" s="9">
        <v>1</v>
      </c>
      <c r="AF61" s="9">
        <v>0</v>
      </c>
      <c r="AG61" s="9">
        <v>0</v>
      </c>
      <c r="AH61" s="9">
        <v>1</v>
      </c>
      <c r="AI61" s="9">
        <v>0</v>
      </c>
    </row>
    <row r="62" spans="2:35" x14ac:dyDescent="0.3">
      <c r="B62" s="22" t="s">
        <v>453</v>
      </c>
      <c r="C62" s="9">
        <v>1</v>
      </c>
      <c r="D62" s="9">
        <v>1</v>
      </c>
      <c r="E62" s="9">
        <v>1</v>
      </c>
      <c r="F62" s="9">
        <v>1</v>
      </c>
      <c r="G62" s="9">
        <v>1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1</v>
      </c>
      <c r="P62" s="9">
        <v>0</v>
      </c>
      <c r="Q62" s="9">
        <v>0</v>
      </c>
      <c r="R62" s="9">
        <v>0</v>
      </c>
      <c r="S62" s="9">
        <v>0</v>
      </c>
      <c r="T62" s="9">
        <v>1</v>
      </c>
      <c r="U62" s="9">
        <v>1</v>
      </c>
      <c r="V62" s="9">
        <v>1</v>
      </c>
      <c r="W62" s="9">
        <v>1</v>
      </c>
      <c r="X62" s="9">
        <v>1</v>
      </c>
      <c r="Y62" s="9">
        <v>0</v>
      </c>
      <c r="Z62" s="9">
        <v>0</v>
      </c>
      <c r="AA62" s="9">
        <v>0.3</v>
      </c>
      <c r="AB62" s="9">
        <v>0.3</v>
      </c>
      <c r="AC62" s="9">
        <v>0</v>
      </c>
      <c r="AD62" s="9">
        <v>1</v>
      </c>
      <c r="AE62" s="9">
        <v>1</v>
      </c>
      <c r="AF62" s="9">
        <v>0</v>
      </c>
      <c r="AG62" s="9">
        <v>0</v>
      </c>
      <c r="AH62" s="9">
        <v>1</v>
      </c>
      <c r="AI62" s="9">
        <v>0</v>
      </c>
    </row>
    <row r="63" spans="2:35" x14ac:dyDescent="0.3">
      <c r="B63" s="22" t="s">
        <v>454</v>
      </c>
      <c r="C63" s="9">
        <v>1</v>
      </c>
      <c r="D63" s="9">
        <v>1</v>
      </c>
      <c r="E63" s="9">
        <v>1</v>
      </c>
      <c r="F63" s="9">
        <v>1</v>
      </c>
      <c r="G63" s="9">
        <v>1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1</v>
      </c>
      <c r="Q63" s="9">
        <v>0</v>
      </c>
      <c r="R63" s="9">
        <v>0</v>
      </c>
      <c r="S63" s="9">
        <v>0</v>
      </c>
      <c r="T63" s="9">
        <v>1</v>
      </c>
      <c r="U63" s="9">
        <v>1</v>
      </c>
      <c r="V63" s="9">
        <v>1</v>
      </c>
      <c r="W63" s="9">
        <v>1</v>
      </c>
      <c r="X63" s="9">
        <v>1</v>
      </c>
      <c r="Y63" s="9">
        <v>0</v>
      </c>
      <c r="Z63" s="9">
        <v>0</v>
      </c>
      <c r="AA63" s="9">
        <v>0.3</v>
      </c>
      <c r="AB63" s="9">
        <v>0.3</v>
      </c>
      <c r="AC63" s="9">
        <v>0</v>
      </c>
      <c r="AD63" s="9">
        <v>1</v>
      </c>
      <c r="AE63" s="9">
        <v>1</v>
      </c>
      <c r="AF63" s="9">
        <v>0</v>
      </c>
      <c r="AG63" s="9">
        <v>0</v>
      </c>
      <c r="AH63" s="9">
        <v>1</v>
      </c>
      <c r="AI63" s="9">
        <v>0</v>
      </c>
    </row>
    <row r="64" spans="2:35" x14ac:dyDescent="0.3">
      <c r="B64" s="22" t="s">
        <v>455</v>
      </c>
      <c r="C64" s="9">
        <v>1</v>
      </c>
      <c r="D64" s="9">
        <v>1</v>
      </c>
      <c r="E64" s="9">
        <v>1</v>
      </c>
      <c r="F64" s="9">
        <v>1</v>
      </c>
      <c r="G64" s="9">
        <v>1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1</v>
      </c>
      <c r="R64" s="9">
        <v>0</v>
      </c>
      <c r="S64" s="9">
        <v>0</v>
      </c>
      <c r="T64" s="9">
        <v>1</v>
      </c>
      <c r="U64" s="9">
        <v>1</v>
      </c>
      <c r="V64" s="9">
        <v>1</v>
      </c>
      <c r="W64" s="9">
        <v>1</v>
      </c>
      <c r="X64" s="9">
        <v>1</v>
      </c>
      <c r="Y64" s="9">
        <v>0</v>
      </c>
      <c r="Z64" s="9">
        <v>0</v>
      </c>
      <c r="AA64" s="9">
        <v>0.3</v>
      </c>
      <c r="AB64" s="9">
        <v>0.3</v>
      </c>
      <c r="AC64" s="9">
        <v>0</v>
      </c>
      <c r="AD64" s="9">
        <v>1</v>
      </c>
      <c r="AE64" s="9">
        <v>1</v>
      </c>
      <c r="AF64" s="9">
        <v>0</v>
      </c>
      <c r="AG64" s="9">
        <v>0</v>
      </c>
      <c r="AH64" s="9">
        <v>1</v>
      </c>
      <c r="AI64" s="9">
        <v>0</v>
      </c>
    </row>
    <row r="65" spans="2:35" x14ac:dyDescent="0.3">
      <c r="B65" s="22" t="s">
        <v>456</v>
      </c>
      <c r="C65" s="9">
        <v>1</v>
      </c>
      <c r="D65" s="9">
        <v>1</v>
      </c>
      <c r="E65" s="9">
        <v>1</v>
      </c>
      <c r="F65" s="9">
        <v>1</v>
      </c>
      <c r="G65" s="9">
        <v>1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1</v>
      </c>
      <c r="S65" s="9">
        <v>0</v>
      </c>
      <c r="T65" s="9">
        <v>1</v>
      </c>
      <c r="U65" s="9">
        <v>1</v>
      </c>
      <c r="V65" s="9">
        <v>1</v>
      </c>
      <c r="W65" s="9">
        <v>1</v>
      </c>
      <c r="X65" s="9">
        <v>1</v>
      </c>
      <c r="Y65" s="9">
        <v>0</v>
      </c>
      <c r="Z65" s="9">
        <v>0</v>
      </c>
      <c r="AA65" s="9">
        <v>0.3</v>
      </c>
      <c r="AB65" s="9">
        <v>0.3</v>
      </c>
      <c r="AC65" s="9">
        <v>0</v>
      </c>
      <c r="AD65" s="9">
        <v>1</v>
      </c>
      <c r="AE65" s="9">
        <v>1</v>
      </c>
      <c r="AF65" s="9">
        <v>0</v>
      </c>
      <c r="AG65" s="9">
        <v>0</v>
      </c>
      <c r="AH65" s="9">
        <v>1</v>
      </c>
      <c r="AI65" s="9">
        <v>0</v>
      </c>
    </row>
    <row r="66" spans="2:35" x14ac:dyDescent="0.3">
      <c r="B66" s="22" t="s">
        <v>457</v>
      </c>
      <c r="C66" s="9">
        <v>1</v>
      </c>
      <c r="D66" s="9">
        <v>1</v>
      </c>
      <c r="E66" s="9">
        <v>1</v>
      </c>
      <c r="F66" s="9">
        <v>1</v>
      </c>
      <c r="G66" s="9">
        <v>1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1</v>
      </c>
      <c r="T66" s="9">
        <v>1</v>
      </c>
      <c r="U66" s="9">
        <v>1</v>
      </c>
      <c r="V66" s="9">
        <v>1</v>
      </c>
      <c r="W66" s="9">
        <v>1</v>
      </c>
      <c r="X66" s="9">
        <v>1</v>
      </c>
      <c r="Y66" s="9">
        <v>0</v>
      </c>
      <c r="Z66" s="9">
        <v>0</v>
      </c>
      <c r="AA66" s="9">
        <v>0.3</v>
      </c>
      <c r="AB66" s="9">
        <v>0.3</v>
      </c>
      <c r="AC66" s="9">
        <v>0</v>
      </c>
      <c r="AD66" s="9">
        <v>1</v>
      </c>
      <c r="AE66" s="9">
        <v>1</v>
      </c>
      <c r="AF66" s="9">
        <v>0</v>
      </c>
      <c r="AG66" s="9">
        <v>0</v>
      </c>
      <c r="AH66" s="9">
        <v>1</v>
      </c>
      <c r="AI66" s="9">
        <v>0</v>
      </c>
    </row>
    <row r="67" spans="2:35" x14ac:dyDescent="0.3">
      <c r="B67" s="22" t="s">
        <v>458</v>
      </c>
      <c r="C67" s="9">
        <v>1.25</v>
      </c>
      <c r="D67" s="9">
        <v>1.5</v>
      </c>
      <c r="E67" s="9">
        <v>1.25</v>
      </c>
      <c r="F67" s="9">
        <v>1.35</v>
      </c>
      <c r="G67" s="9">
        <v>1.75</v>
      </c>
      <c r="H67" s="9">
        <v>1.75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1.75</v>
      </c>
      <c r="U67" s="9">
        <v>1.75</v>
      </c>
      <c r="V67" s="9">
        <v>1.75</v>
      </c>
      <c r="W67" s="9">
        <v>1.5</v>
      </c>
      <c r="X67" s="9">
        <v>1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>
        <v>0</v>
      </c>
      <c r="AE67" s="9">
        <v>0</v>
      </c>
      <c r="AF67" s="9">
        <v>0</v>
      </c>
      <c r="AG67" s="9">
        <v>0</v>
      </c>
      <c r="AH67" s="9">
        <v>0.5</v>
      </c>
      <c r="AI67" s="9">
        <v>0</v>
      </c>
    </row>
    <row r="68" spans="2:35" x14ac:dyDescent="0.3">
      <c r="B68" s="22" t="s">
        <v>459</v>
      </c>
      <c r="C68" s="9">
        <v>1.25</v>
      </c>
      <c r="D68" s="9">
        <v>1.5</v>
      </c>
      <c r="E68" s="9">
        <v>1.25</v>
      </c>
      <c r="F68" s="9">
        <v>1.35</v>
      </c>
      <c r="G68" s="9">
        <v>1.75</v>
      </c>
      <c r="H68" s="9">
        <v>0</v>
      </c>
      <c r="I68" s="9">
        <v>1.75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1.75</v>
      </c>
      <c r="U68" s="9">
        <v>1.75</v>
      </c>
      <c r="V68" s="9">
        <v>1.75</v>
      </c>
      <c r="W68" s="9">
        <v>1.5</v>
      </c>
      <c r="X68" s="9">
        <v>1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>
        <v>0</v>
      </c>
      <c r="AE68" s="9">
        <v>0</v>
      </c>
      <c r="AF68" s="9">
        <v>0</v>
      </c>
      <c r="AG68" s="9">
        <v>0</v>
      </c>
      <c r="AH68" s="9">
        <v>0.5</v>
      </c>
      <c r="AI68" s="9">
        <v>0</v>
      </c>
    </row>
    <row r="69" spans="2:35" x14ac:dyDescent="0.3">
      <c r="B69" s="22" t="s">
        <v>460</v>
      </c>
      <c r="C69" s="9">
        <v>1.25</v>
      </c>
      <c r="D69" s="9">
        <v>1.5</v>
      </c>
      <c r="E69" s="9">
        <v>1.25</v>
      </c>
      <c r="F69" s="9">
        <v>1.35</v>
      </c>
      <c r="G69" s="9">
        <v>1.75</v>
      </c>
      <c r="H69" s="9">
        <v>0</v>
      </c>
      <c r="I69" s="9">
        <v>0</v>
      </c>
      <c r="J69" s="9">
        <v>1.75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  <c r="T69" s="9">
        <v>1.75</v>
      </c>
      <c r="U69" s="9">
        <v>1.75</v>
      </c>
      <c r="V69" s="9">
        <v>1.75</v>
      </c>
      <c r="W69" s="9">
        <v>1.5</v>
      </c>
      <c r="X69" s="9">
        <v>1</v>
      </c>
      <c r="Y69" s="9">
        <v>0</v>
      </c>
      <c r="Z69" s="9">
        <v>0</v>
      </c>
      <c r="AA69" s="9">
        <v>0</v>
      </c>
      <c r="AB69" s="9">
        <v>0</v>
      </c>
      <c r="AC69" s="9">
        <v>0</v>
      </c>
      <c r="AD69" s="9">
        <v>0</v>
      </c>
      <c r="AE69" s="9">
        <v>0</v>
      </c>
      <c r="AF69" s="9">
        <v>0</v>
      </c>
      <c r="AG69" s="9">
        <v>0</v>
      </c>
      <c r="AH69" s="9">
        <v>0.5</v>
      </c>
      <c r="AI69" s="9">
        <v>0</v>
      </c>
    </row>
    <row r="70" spans="2:35" x14ac:dyDescent="0.3">
      <c r="B70" s="22" t="s">
        <v>461</v>
      </c>
      <c r="C70" s="9">
        <v>1.25</v>
      </c>
      <c r="D70" s="9">
        <v>1.5</v>
      </c>
      <c r="E70" s="9">
        <v>1.25</v>
      </c>
      <c r="F70" s="9">
        <v>1.35</v>
      </c>
      <c r="G70" s="9">
        <v>1.75</v>
      </c>
      <c r="H70" s="9">
        <v>0</v>
      </c>
      <c r="I70" s="9">
        <v>0</v>
      </c>
      <c r="J70" s="9">
        <v>0</v>
      </c>
      <c r="K70" s="9">
        <v>1.75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1.75</v>
      </c>
      <c r="U70" s="9">
        <v>1.75</v>
      </c>
      <c r="V70" s="9">
        <v>1.75</v>
      </c>
      <c r="W70" s="9">
        <v>1.5</v>
      </c>
      <c r="X70" s="9">
        <v>1</v>
      </c>
      <c r="Y70" s="9">
        <v>0</v>
      </c>
      <c r="Z70" s="9">
        <v>0</v>
      </c>
      <c r="AA70" s="9">
        <v>0</v>
      </c>
      <c r="AB70" s="9">
        <v>0</v>
      </c>
      <c r="AC70" s="9">
        <v>0</v>
      </c>
      <c r="AD70" s="9">
        <v>0</v>
      </c>
      <c r="AE70" s="9">
        <v>0</v>
      </c>
      <c r="AF70" s="9">
        <v>0</v>
      </c>
      <c r="AG70" s="9">
        <v>0</v>
      </c>
      <c r="AH70" s="9">
        <v>0.5</v>
      </c>
      <c r="AI70" s="9">
        <v>0</v>
      </c>
    </row>
    <row r="71" spans="2:35" x14ac:dyDescent="0.3">
      <c r="B71" s="22" t="s">
        <v>462</v>
      </c>
      <c r="C71" s="9">
        <v>1.25</v>
      </c>
      <c r="D71" s="9">
        <v>1.5</v>
      </c>
      <c r="E71" s="9">
        <v>1.25</v>
      </c>
      <c r="F71" s="9">
        <v>1.35</v>
      </c>
      <c r="G71" s="9">
        <v>1.75</v>
      </c>
      <c r="H71" s="9">
        <v>0</v>
      </c>
      <c r="I71" s="9">
        <v>0</v>
      </c>
      <c r="J71" s="9">
        <v>0</v>
      </c>
      <c r="K71" s="9">
        <v>0</v>
      </c>
      <c r="L71" s="9">
        <v>1.75</v>
      </c>
      <c r="M71" s="9">
        <v>0</v>
      </c>
      <c r="N71" s="9">
        <v>0</v>
      </c>
      <c r="O71" s="9">
        <v>0</v>
      </c>
      <c r="P71" s="9">
        <v>0</v>
      </c>
      <c r="Q71" s="9">
        <v>0</v>
      </c>
      <c r="R71" s="9">
        <v>0</v>
      </c>
      <c r="S71" s="9">
        <v>0</v>
      </c>
      <c r="T71" s="9">
        <v>1.75</v>
      </c>
      <c r="U71" s="9">
        <v>1.75</v>
      </c>
      <c r="V71" s="9">
        <v>1.75</v>
      </c>
      <c r="W71" s="9">
        <v>1.5</v>
      </c>
      <c r="X71" s="9">
        <v>1</v>
      </c>
      <c r="Y71" s="9">
        <v>0</v>
      </c>
      <c r="Z71" s="9">
        <v>0</v>
      </c>
      <c r="AA71" s="9">
        <v>0</v>
      </c>
      <c r="AB71" s="9">
        <v>0</v>
      </c>
      <c r="AC71" s="9">
        <v>0</v>
      </c>
      <c r="AD71" s="9">
        <v>0</v>
      </c>
      <c r="AE71" s="9">
        <v>0</v>
      </c>
      <c r="AF71" s="9">
        <v>0</v>
      </c>
      <c r="AG71" s="9">
        <v>0</v>
      </c>
      <c r="AH71" s="9">
        <v>0.5</v>
      </c>
      <c r="AI71" s="9">
        <v>0</v>
      </c>
    </row>
    <row r="72" spans="2:35" x14ac:dyDescent="0.3">
      <c r="B72" s="22" t="s">
        <v>463</v>
      </c>
      <c r="C72" s="9">
        <v>1.25</v>
      </c>
      <c r="D72" s="9">
        <v>1.5</v>
      </c>
      <c r="E72" s="9">
        <v>1.25</v>
      </c>
      <c r="F72" s="9">
        <v>1.35</v>
      </c>
      <c r="G72" s="9">
        <v>1.75</v>
      </c>
      <c r="H72" s="9">
        <v>0</v>
      </c>
      <c r="I72" s="9">
        <v>0</v>
      </c>
      <c r="J72" s="9">
        <v>0</v>
      </c>
      <c r="K72" s="9">
        <v>0</v>
      </c>
      <c r="L72" s="9">
        <v>0</v>
      </c>
      <c r="M72" s="9">
        <v>1.75</v>
      </c>
      <c r="N72" s="9">
        <v>0</v>
      </c>
      <c r="O72" s="9">
        <v>0</v>
      </c>
      <c r="P72" s="9">
        <v>0</v>
      </c>
      <c r="Q72" s="9">
        <v>0</v>
      </c>
      <c r="R72" s="9">
        <v>0</v>
      </c>
      <c r="S72" s="9">
        <v>0</v>
      </c>
      <c r="T72" s="9">
        <v>1.75</v>
      </c>
      <c r="U72" s="9">
        <v>1.75</v>
      </c>
      <c r="V72" s="9">
        <v>1.75</v>
      </c>
      <c r="W72" s="9">
        <v>1.5</v>
      </c>
      <c r="X72" s="9">
        <v>1</v>
      </c>
      <c r="Y72" s="9">
        <v>0</v>
      </c>
      <c r="Z72" s="9">
        <v>0</v>
      </c>
      <c r="AA72" s="9">
        <v>0</v>
      </c>
      <c r="AB72" s="9">
        <v>0</v>
      </c>
      <c r="AC72" s="9">
        <v>0</v>
      </c>
      <c r="AD72" s="9">
        <v>0</v>
      </c>
      <c r="AE72" s="9">
        <v>0</v>
      </c>
      <c r="AF72" s="9">
        <v>0</v>
      </c>
      <c r="AG72" s="9">
        <v>0</v>
      </c>
      <c r="AH72" s="9">
        <v>0.5</v>
      </c>
      <c r="AI72" s="9">
        <v>0</v>
      </c>
    </row>
    <row r="73" spans="2:35" x14ac:dyDescent="0.3">
      <c r="B73" s="22" t="s">
        <v>464</v>
      </c>
      <c r="C73" s="9">
        <v>1.25</v>
      </c>
      <c r="D73" s="9">
        <v>1.5</v>
      </c>
      <c r="E73" s="9">
        <v>1.25</v>
      </c>
      <c r="F73" s="9">
        <v>1.35</v>
      </c>
      <c r="G73" s="9">
        <v>1.75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9">
        <v>0</v>
      </c>
      <c r="N73" s="9">
        <v>1.75</v>
      </c>
      <c r="O73" s="9">
        <v>0</v>
      </c>
      <c r="P73" s="9">
        <v>0</v>
      </c>
      <c r="Q73" s="9">
        <v>0</v>
      </c>
      <c r="R73" s="9">
        <v>0</v>
      </c>
      <c r="S73" s="9">
        <v>0</v>
      </c>
      <c r="T73" s="9">
        <v>1.75</v>
      </c>
      <c r="U73" s="9">
        <v>1.75</v>
      </c>
      <c r="V73" s="9">
        <v>1.75</v>
      </c>
      <c r="W73" s="9">
        <v>1.5</v>
      </c>
      <c r="X73" s="9">
        <v>1</v>
      </c>
      <c r="Y73" s="9">
        <v>0</v>
      </c>
      <c r="Z73" s="9">
        <v>0</v>
      </c>
      <c r="AA73" s="9">
        <v>0</v>
      </c>
      <c r="AB73" s="9">
        <v>0</v>
      </c>
      <c r="AC73" s="9">
        <v>0</v>
      </c>
      <c r="AD73" s="9">
        <v>0</v>
      </c>
      <c r="AE73" s="9">
        <v>0</v>
      </c>
      <c r="AF73" s="9">
        <v>0</v>
      </c>
      <c r="AG73" s="9">
        <v>0</v>
      </c>
      <c r="AH73" s="9">
        <v>0.5</v>
      </c>
      <c r="AI73" s="9">
        <v>0</v>
      </c>
    </row>
    <row r="74" spans="2:35" x14ac:dyDescent="0.3">
      <c r="B74" s="22" t="s">
        <v>465</v>
      </c>
      <c r="C74" s="9">
        <v>1.25</v>
      </c>
      <c r="D74" s="9">
        <v>1.5</v>
      </c>
      <c r="E74" s="9">
        <v>1.25</v>
      </c>
      <c r="F74" s="9">
        <v>1.35</v>
      </c>
      <c r="G74" s="9">
        <v>1.75</v>
      </c>
      <c r="H74" s="9">
        <v>0</v>
      </c>
      <c r="I74" s="9">
        <v>0</v>
      </c>
      <c r="J74" s="9">
        <v>0</v>
      </c>
      <c r="K74" s="9">
        <v>0</v>
      </c>
      <c r="L74" s="9">
        <v>0</v>
      </c>
      <c r="M74" s="9">
        <v>0</v>
      </c>
      <c r="N74" s="9">
        <v>0</v>
      </c>
      <c r="O74" s="9">
        <v>1.75</v>
      </c>
      <c r="P74" s="9">
        <v>0</v>
      </c>
      <c r="Q74" s="9">
        <v>0</v>
      </c>
      <c r="R74" s="9">
        <v>0</v>
      </c>
      <c r="S74" s="9">
        <v>0</v>
      </c>
      <c r="T74" s="9">
        <v>1.75</v>
      </c>
      <c r="U74" s="9">
        <v>1.75</v>
      </c>
      <c r="V74" s="9">
        <v>1.75</v>
      </c>
      <c r="W74" s="9">
        <v>1.5</v>
      </c>
      <c r="X74" s="9">
        <v>1</v>
      </c>
      <c r="Y74" s="9">
        <v>0</v>
      </c>
      <c r="Z74" s="9">
        <v>0</v>
      </c>
      <c r="AA74" s="9">
        <v>0</v>
      </c>
      <c r="AB74" s="9">
        <v>0</v>
      </c>
      <c r="AC74" s="9">
        <v>0</v>
      </c>
      <c r="AD74" s="9">
        <v>0</v>
      </c>
      <c r="AE74" s="9">
        <v>0</v>
      </c>
      <c r="AF74" s="9">
        <v>0</v>
      </c>
      <c r="AG74" s="9">
        <v>0</v>
      </c>
      <c r="AH74" s="9">
        <v>0.5</v>
      </c>
      <c r="AI74" s="9">
        <v>0</v>
      </c>
    </row>
    <row r="75" spans="2:35" x14ac:dyDescent="0.3">
      <c r="B75" s="22" t="s">
        <v>466</v>
      </c>
      <c r="C75" s="9">
        <v>1.25</v>
      </c>
      <c r="D75" s="9">
        <v>1.5</v>
      </c>
      <c r="E75" s="9">
        <v>1.25</v>
      </c>
      <c r="F75" s="9">
        <v>1.35</v>
      </c>
      <c r="G75" s="9">
        <v>1.75</v>
      </c>
      <c r="H75" s="9">
        <v>0</v>
      </c>
      <c r="I75" s="9">
        <v>0</v>
      </c>
      <c r="J75" s="9">
        <v>0</v>
      </c>
      <c r="K75" s="9">
        <v>0</v>
      </c>
      <c r="L75" s="9">
        <v>0</v>
      </c>
      <c r="M75" s="9">
        <v>0</v>
      </c>
      <c r="N75" s="9">
        <v>0</v>
      </c>
      <c r="O75" s="9">
        <v>0</v>
      </c>
      <c r="P75" s="9">
        <v>1.75</v>
      </c>
      <c r="Q75" s="9">
        <v>0</v>
      </c>
      <c r="R75" s="9">
        <v>0</v>
      </c>
      <c r="S75" s="9">
        <v>0</v>
      </c>
      <c r="T75" s="9">
        <v>1.75</v>
      </c>
      <c r="U75" s="9">
        <v>1.75</v>
      </c>
      <c r="V75" s="9">
        <v>1.75</v>
      </c>
      <c r="W75" s="9">
        <v>1.5</v>
      </c>
      <c r="X75" s="9">
        <v>1</v>
      </c>
      <c r="Y75" s="9">
        <v>0</v>
      </c>
      <c r="Z75" s="9">
        <v>0</v>
      </c>
      <c r="AA75" s="9">
        <v>0</v>
      </c>
      <c r="AB75" s="9">
        <v>0</v>
      </c>
      <c r="AC75" s="9">
        <v>0</v>
      </c>
      <c r="AD75" s="9">
        <v>0</v>
      </c>
      <c r="AE75" s="9">
        <v>0</v>
      </c>
      <c r="AF75" s="9">
        <v>0</v>
      </c>
      <c r="AG75" s="9">
        <v>0</v>
      </c>
      <c r="AH75" s="9">
        <v>0.5</v>
      </c>
      <c r="AI75" s="9">
        <v>0</v>
      </c>
    </row>
    <row r="76" spans="2:35" x14ac:dyDescent="0.3">
      <c r="B76" s="22" t="s">
        <v>467</v>
      </c>
      <c r="C76" s="9">
        <v>1.25</v>
      </c>
      <c r="D76" s="9">
        <v>1.5</v>
      </c>
      <c r="E76" s="9">
        <v>1.25</v>
      </c>
      <c r="F76" s="9">
        <v>1.35</v>
      </c>
      <c r="G76" s="9">
        <v>1.75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1.75</v>
      </c>
      <c r="R76" s="9">
        <v>0</v>
      </c>
      <c r="S76" s="9">
        <v>0</v>
      </c>
      <c r="T76" s="9">
        <v>1.75</v>
      </c>
      <c r="U76" s="9">
        <v>1.75</v>
      </c>
      <c r="V76" s="9">
        <v>1.75</v>
      </c>
      <c r="W76" s="9">
        <v>1.5</v>
      </c>
      <c r="X76" s="9">
        <v>1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>
        <v>0</v>
      </c>
      <c r="AE76" s="9">
        <v>0</v>
      </c>
      <c r="AF76" s="9">
        <v>0</v>
      </c>
      <c r="AG76" s="9">
        <v>0</v>
      </c>
      <c r="AH76" s="9">
        <v>0.5</v>
      </c>
      <c r="AI76" s="9">
        <v>0</v>
      </c>
    </row>
    <row r="77" spans="2:35" x14ac:dyDescent="0.3">
      <c r="B77" s="22" t="s">
        <v>468</v>
      </c>
      <c r="C77" s="9">
        <v>1.25</v>
      </c>
      <c r="D77" s="9">
        <v>1.5</v>
      </c>
      <c r="E77" s="9">
        <v>1.25</v>
      </c>
      <c r="F77" s="9">
        <v>1.35</v>
      </c>
      <c r="G77" s="9">
        <v>1.75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1.75</v>
      </c>
      <c r="S77" s="9">
        <v>0</v>
      </c>
      <c r="T77" s="9">
        <v>1.75</v>
      </c>
      <c r="U77" s="9">
        <v>1.75</v>
      </c>
      <c r="V77" s="9">
        <v>1.75</v>
      </c>
      <c r="W77" s="9">
        <v>1.5</v>
      </c>
      <c r="X77" s="9">
        <v>1</v>
      </c>
      <c r="Y77" s="9">
        <v>0</v>
      </c>
      <c r="Z77" s="9">
        <v>0</v>
      </c>
      <c r="AA77" s="9">
        <v>0</v>
      </c>
      <c r="AB77" s="9">
        <v>0</v>
      </c>
      <c r="AC77" s="9">
        <v>0</v>
      </c>
      <c r="AD77" s="9">
        <v>0</v>
      </c>
      <c r="AE77" s="9">
        <v>0</v>
      </c>
      <c r="AF77" s="9">
        <v>0</v>
      </c>
      <c r="AG77" s="9">
        <v>0</v>
      </c>
      <c r="AH77" s="9">
        <v>0.5</v>
      </c>
      <c r="AI77" s="9">
        <v>0</v>
      </c>
    </row>
    <row r="78" spans="2:35" x14ac:dyDescent="0.3">
      <c r="B78" s="22" t="s">
        <v>469</v>
      </c>
      <c r="C78" s="9">
        <v>1.25</v>
      </c>
      <c r="D78" s="9">
        <v>1.5</v>
      </c>
      <c r="E78" s="9">
        <v>1.25</v>
      </c>
      <c r="F78" s="9">
        <v>1.35</v>
      </c>
      <c r="G78" s="9">
        <v>1.75</v>
      </c>
      <c r="H78" s="9">
        <v>0</v>
      </c>
      <c r="I78" s="9">
        <v>0</v>
      </c>
      <c r="J78" s="9">
        <v>0</v>
      </c>
      <c r="K78" s="9">
        <v>0</v>
      </c>
      <c r="L78" s="9">
        <v>0</v>
      </c>
      <c r="M78" s="9">
        <v>0</v>
      </c>
      <c r="N78" s="9">
        <v>0</v>
      </c>
      <c r="O78" s="9">
        <v>0</v>
      </c>
      <c r="P78" s="9">
        <v>0</v>
      </c>
      <c r="Q78" s="9">
        <v>0</v>
      </c>
      <c r="R78" s="9">
        <v>0</v>
      </c>
      <c r="S78" s="9">
        <v>1.75</v>
      </c>
      <c r="T78" s="9">
        <v>1.75</v>
      </c>
      <c r="U78" s="9">
        <v>1.75</v>
      </c>
      <c r="V78" s="9">
        <v>1.75</v>
      </c>
      <c r="W78" s="9">
        <v>1.5</v>
      </c>
      <c r="X78" s="9">
        <v>1</v>
      </c>
      <c r="Y78" s="9">
        <v>0</v>
      </c>
      <c r="Z78" s="9">
        <v>0</v>
      </c>
      <c r="AA78" s="9">
        <v>0</v>
      </c>
      <c r="AB78" s="9">
        <v>0</v>
      </c>
      <c r="AC78" s="9">
        <v>0</v>
      </c>
      <c r="AD78" s="9">
        <v>0</v>
      </c>
      <c r="AE78" s="9">
        <v>0</v>
      </c>
      <c r="AF78" s="9">
        <v>0</v>
      </c>
      <c r="AG78" s="9">
        <v>0</v>
      </c>
      <c r="AH78" s="9">
        <v>0.5</v>
      </c>
      <c r="AI78" s="9">
        <v>0</v>
      </c>
    </row>
    <row r="79" spans="2:35" x14ac:dyDescent="0.3">
      <c r="B79" s="22" t="s">
        <v>470</v>
      </c>
      <c r="C79" s="9">
        <v>0.9</v>
      </c>
      <c r="D79" s="9">
        <v>0.65</v>
      </c>
      <c r="E79" s="9">
        <v>0.9</v>
      </c>
      <c r="F79" s="9">
        <v>1</v>
      </c>
      <c r="G79" s="9">
        <v>1.75</v>
      </c>
      <c r="H79" s="9">
        <v>1.75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  <c r="T79" s="9">
        <v>1.75</v>
      </c>
      <c r="U79" s="9">
        <v>1.75</v>
      </c>
      <c r="V79" s="9">
        <v>1.75</v>
      </c>
      <c r="W79" s="9">
        <v>0.9</v>
      </c>
      <c r="X79" s="9">
        <v>1</v>
      </c>
      <c r="Y79" s="9">
        <v>0</v>
      </c>
      <c r="Z79" s="9">
        <v>0</v>
      </c>
      <c r="AA79" s="9">
        <v>0</v>
      </c>
      <c r="AB79" s="9">
        <v>0</v>
      </c>
      <c r="AC79" s="9">
        <v>0</v>
      </c>
      <c r="AD79" s="9">
        <v>0</v>
      </c>
      <c r="AE79" s="9">
        <v>0</v>
      </c>
      <c r="AF79" s="9">
        <v>0</v>
      </c>
      <c r="AG79" s="9">
        <v>0</v>
      </c>
      <c r="AH79" s="9">
        <v>0.5</v>
      </c>
      <c r="AI79" s="9">
        <v>0</v>
      </c>
    </row>
    <row r="80" spans="2:35" x14ac:dyDescent="0.3">
      <c r="B80" s="22" t="s">
        <v>471</v>
      </c>
      <c r="C80" s="9">
        <v>0.9</v>
      </c>
      <c r="D80" s="9">
        <v>0.65</v>
      </c>
      <c r="E80" s="9">
        <v>0.9</v>
      </c>
      <c r="F80" s="9">
        <v>1</v>
      </c>
      <c r="G80" s="9">
        <v>1.75</v>
      </c>
      <c r="H80" s="9">
        <v>0</v>
      </c>
      <c r="I80" s="9">
        <v>1.75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  <c r="P80" s="9">
        <v>0</v>
      </c>
      <c r="Q80" s="9">
        <v>0</v>
      </c>
      <c r="R80" s="9">
        <v>0</v>
      </c>
      <c r="S80" s="9">
        <v>0</v>
      </c>
      <c r="T80" s="9">
        <v>1.75</v>
      </c>
      <c r="U80" s="9">
        <v>1.75</v>
      </c>
      <c r="V80" s="9">
        <v>1.75</v>
      </c>
      <c r="W80" s="9">
        <v>0.9</v>
      </c>
      <c r="X80" s="9">
        <v>1</v>
      </c>
      <c r="Y80" s="9">
        <v>0</v>
      </c>
      <c r="Z80" s="9">
        <v>0</v>
      </c>
      <c r="AA80" s="9">
        <v>0</v>
      </c>
      <c r="AB80" s="9">
        <v>0</v>
      </c>
      <c r="AC80" s="9">
        <v>0</v>
      </c>
      <c r="AD80" s="9">
        <v>0</v>
      </c>
      <c r="AE80" s="9">
        <v>0</v>
      </c>
      <c r="AF80" s="9">
        <v>0</v>
      </c>
      <c r="AG80" s="9">
        <v>0</v>
      </c>
      <c r="AH80" s="9">
        <v>0.5</v>
      </c>
      <c r="AI80" s="9">
        <v>0</v>
      </c>
    </row>
    <row r="81" spans="2:35" x14ac:dyDescent="0.3">
      <c r="B81" s="22" t="s">
        <v>472</v>
      </c>
      <c r="C81" s="9">
        <v>0.9</v>
      </c>
      <c r="D81" s="9">
        <v>0.65</v>
      </c>
      <c r="E81" s="9">
        <v>0.9</v>
      </c>
      <c r="F81" s="9">
        <v>1</v>
      </c>
      <c r="G81" s="9">
        <v>1.75</v>
      </c>
      <c r="H81" s="9">
        <v>0</v>
      </c>
      <c r="I81" s="9">
        <v>0</v>
      </c>
      <c r="J81" s="9">
        <v>1.75</v>
      </c>
      <c r="K81" s="9">
        <v>0</v>
      </c>
      <c r="L81" s="9">
        <v>0</v>
      </c>
      <c r="M81" s="9">
        <v>0</v>
      </c>
      <c r="N81" s="9">
        <v>0</v>
      </c>
      <c r="O81" s="9">
        <v>0</v>
      </c>
      <c r="P81" s="9">
        <v>0</v>
      </c>
      <c r="Q81" s="9">
        <v>0</v>
      </c>
      <c r="R81" s="9">
        <v>0</v>
      </c>
      <c r="S81" s="9">
        <v>0</v>
      </c>
      <c r="T81" s="9">
        <v>1.75</v>
      </c>
      <c r="U81" s="9">
        <v>1.75</v>
      </c>
      <c r="V81" s="9">
        <v>1.75</v>
      </c>
      <c r="W81" s="9">
        <v>0.9</v>
      </c>
      <c r="X81" s="9">
        <v>1</v>
      </c>
      <c r="Y81" s="9">
        <v>0</v>
      </c>
      <c r="Z81" s="9">
        <v>0</v>
      </c>
      <c r="AA81" s="9">
        <v>0</v>
      </c>
      <c r="AB81" s="9">
        <v>0</v>
      </c>
      <c r="AC81" s="9">
        <v>0</v>
      </c>
      <c r="AD81" s="9">
        <v>0</v>
      </c>
      <c r="AE81" s="9">
        <v>0</v>
      </c>
      <c r="AF81" s="9">
        <v>0</v>
      </c>
      <c r="AG81" s="9">
        <v>0</v>
      </c>
      <c r="AH81" s="9">
        <v>0.5</v>
      </c>
      <c r="AI81" s="9">
        <v>0</v>
      </c>
    </row>
    <row r="82" spans="2:35" x14ac:dyDescent="0.3">
      <c r="B82" s="22" t="s">
        <v>473</v>
      </c>
      <c r="C82" s="9">
        <v>0.9</v>
      </c>
      <c r="D82" s="9">
        <v>0.65</v>
      </c>
      <c r="E82" s="9">
        <v>0.9</v>
      </c>
      <c r="F82" s="9">
        <v>1</v>
      </c>
      <c r="G82" s="9">
        <v>1.75</v>
      </c>
      <c r="H82" s="9">
        <v>0</v>
      </c>
      <c r="I82" s="9">
        <v>0</v>
      </c>
      <c r="J82" s="9">
        <v>0</v>
      </c>
      <c r="K82" s="9">
        <v>1.75</v>
      </c>
      <c r="L82" s="9">
        <v>0</v>
      </c>
      <c r="M82" s="9">
        <v>0</v>
      </c>
      <c r="N82" s="9">
        <v>0</v>
      </c>
      <c r="O82" s="9">
        <v>0</v>
      </c>
      <c r="P82" s="9">
        <v>0</v>
      </c>
      <c r="Q82" s="9">
        <v>0</v>
      </c>
      <c r="R82" s="9">
        <v>0</v>
      </c>
      <c r="S82" s="9">
        <v>0</v>
      </c>
      <c r="T82" s="9">
        <v>1.75</v>
      </c>
      <c r="U82" s="9">
        <v>1.75</v>
      </c>
      <c r="V82" s="9">
        <v>1.75</v>
      </c>
      <c r="W82" s="9">
        <v>0.9</v>
      </c>
      <c r="X82" s="9">
        <v>1</v>
      </c>
      <c r="Y82" s="9">
        <v>0</v>
      </c>
      <c r="Z82" s="9">
        <v>0</v>
      </c>
      <c r="AA82" s="9">
        <v>0</v>
      </c>
      <c r="AB82" s="9">
        <v>0</v>
      </c>
      <c r="AC82" s="9">
        <v>0</v>
      </c>
      <c r="AD82" s="9">
        <v>0</v>
      </c>
      <c r="AE82" s="9">
        <v>0</v>
      </c>
      <c r="AF82" s="9">
        <v>0</v>
      </c>
      <c r="AG82" s="9">
        <v>0</v>
      </c>
      <c r="AH82" s="9">
        <v>0.5</v>
      </c>
      <c r="AI82" s="9">
        <v>0</v>
      </c>
    </row>
    <row r="83" spans="2:35" x14ac:dyDescent="0.3">
      <c r="B83" s="22" t="s">
        <v>474</v>
      </c>
      <c r="C83" s="9">
        <v>0.9</v>
      </c>
      <c r="D83" s="9">
        <v>0.65</v>
      </c>
      <c r="E83" s="9">
        <v>0.9</v>
      </c>
      <c r="F83" s="9">
        <v>1</v>
      </c>
      <c r="G83" s="9">
        <v>1.75</v>
      </c>
      <c r="H83" s="9">
        <v>0</v>
      </c>
      <c r="I83" s="9">
        <v>0</v>
      </c>
      <c r="J83" s="9">
        <v>0</v>
      </c>
      <c r="K83" s="9">
        <v>0</v>
      </c>
      <c r="L83" s="9">
        <v>1.75</v>
      </c>
      <c r="M83" s="9">
        <v>0</v>
      </c>
      <c r="N83" s="9">
        <v>0</v>
      </c>
      <c r="O83" s="9">
        <v>0</v>
      </c>
      <c r="P83" s="9">
        <v>0</v>
      </c>
      <c r="Q83" s="9">
        <v>0</v>
      </c>
      <c r="R83" s="9">
        <v>0</v>
      </c>
      <c r="S83" s="9">
        <v>0</v>
      </c>
      <c r="T83" s="9">
        <v>1.75</v>
      </c>
      <c r="U83" s="9">
        <v>1.75</v>
      </c>
      <c r="V83" s="9">
        <v>1.75</v>
      </c>
      <c r="W83" s="9">
        <v>0.9</v>
      </c>
      <c r="X83" s="9">
        <v>1</v>
      </c>
      <c r="Y83" s="9">
        <v>0</v>
      </c>
      <c r="Z83" s="9">
        <v>0</v>
      </c>
      <c r="AA83" s="9">
        <v>0</v>
      </c>
      <c r="AB83" s="9">
        <v>0</v>
      </c>
      <c r="AC83" s="9">
        <v>0</v>
      </c>
      <c r="AD83" s="9">
        <v>0</v>
      </c>
      <c r="AE83" s="9">
        <v>0</v>
      </c>
      <c r="AF83" s="9">
        <v>0</v>
      </c>
      <c r="AG83" s="9">
        <v>0</v>
      </c>
      <c r="AH83" s="9">
        <v>0.5</v>
      </c>
      <c r="AI83" s="9">
        <v>0</v>
      </c>
    </row>
    <row r="84" spans="2:35" x14ac:dyDescent="0.3">
      <c r="B84" s="22" t="s">
        <v>475</v>
      </c>
      <c r="C84" s="9">
        <v>0.9</v>
      </c>
      <c r="D84" s="9">
        <v>0.65</v>
      </c>
      <c r="E84" s="9">
        <v>0.9</v>
      </c>
      <c r="F84" s="9">
        <v>1</v>
      </c>
      <c r="G84" s="9">
        <v>1.75</v>
      </c>
      <c r="H84" s="9">
        <v>0</v>
      </c>
      <c r="I84" s="9">
        <v>0</v>
      </c>
      <c r="J84" s="9">
        <v>0</v>
      </c>
      <c r="K84" s="9">
        <v>0</v>
      </c>
      <c r="L84" s="9">
        <v>0</v>
      </c>
      <c r="M84" s="9">
        <v>1.75</v>
      </c>
      <c r="N84" s="9">
        <v>0</v>
      </c>
      <c r="O84" s="9">
        <v>0</v>
      </c>
      <c r="P84" s="9">
        <v>0</v>
      </c>
      <c r="Q84" s="9">
        <v>0</v>
      </c>
      <c r="R84" s="9">
        <v>0</v>
      </c>
      <c r="S84" s="9">
        <v>0</v>
      </c>
      <c r="T84" s="9">
        <v>1.75</v>
      </c>
      <c r="U84" s="9">
        <v>1.75</v>
      </c>
      <c r="V84" s="9">
        <v>1.75</v>
      </c>
      <c r="W84" s="9">
        <v>0.9</v>
      </c>
      <c r="X84" s="9">
        <v>1</v>
      </c>
      <c r="Y84" s="9">
        <v>0</v>
      </c>
      <c r="Z84" s="9">
        <v>0</v>
      </c>
      <c r="AA84" s="9">
        <v>0</v>
      </c>
      <c r="AB84" s="9">
        <v>0</v>
      </c>
      <c r="AC84" s="9">
        <v>0</v>
      </c>
      <c r="AD84" s="9">
        <v>0</v>
      </c>
      <c r="AE84" s="9">
        <v>0</v>
      </c>
      <c r="AF84" s="9">
        <v>0</v>
      </c>
      <c r="AG84" s="9">
        <v>0</v>
      </c>
      <c r="AH84" s="9">
        <v>0.5</v>
      </c>
      <c r="AI84" s="9">
        <v>0</v>
      </c>
    </row>
    <row r="85" spans="2:35" x14ac:dyDescent="0.3">
      <c r="B85" s="22" t="s">
        <v>476</v>
      </c>
      <c r="C85" s="9">
        <v>1.25</v>
      </c>
      <c r="D85" s="9">
        <v>1.5</v>
      </c>
      <c r="E85" s="9">
        <v>1.25</v>
      </c>
      <c r="F85" s="9">
        <v>1.35</v>
      </c>
      <c r="G85" s="9">
        <v>0</v>
      </c>
      <c r="H85" s="9">
        <v>0</v>
      </c>
      <c r="I85" s="9">
        <v>0</v>
      </c>
      <c r="J85" s="9">
        <v>0</v>
      </c>
      <c r="K85" s="9">
        <v>0</v>
      </c>
      <c r="L85" s="9">
        <v>0</v>
      </c>
      <c r="M85" s="9">
        <v>0</v>
      </c>
      <c r="N85" s="9">
        <v>0</v>
      </c>
      <c r="O85" s="9">
        <v>0</v>
      </c>
      <c r="P85" s="9">
        <v>0</v>
      </c>
      <c r="Q85" s="9">
        <v>0</v>
      </c>
      <c r="R85" s="9">
        <v>0</v>
      </c>
      <c r="S85" s="9">
        <v>0</v>
      </c>
      <c r="T85" s="9">
        <v>0</v>
      </c>
      <c r="U85" s="9">
        <v>0</v>
      </c>
      <c r="V85" s="9">
        <v>0</v>
      </c>
      <c r="W85" s="9">
        <v>1.5</v>
      </c>
      <c r="X85" s="9">
        <v>1</v>
      </c>
      <c r="Y85" s="9">
        <v>1.4</v>
      </c>
      <c r="Z85" s="9">
        <v>1.4</v>
      </c>
      <c r="AA85" s="9">
        <v>0</v>
      </c>
      <c r="AB85" s="9">
        <v>0</v>
      </c>
      <c r="AC85" s="9">
        <v>-1.4</v>
      </c>
      <c r="AD85" s="9">
        <v>0</v>
      </c>
      <c r="AE85" s="9">
        <v>0</v>
      </c>
      <c r="AF85" s="9">
        <v>0</v>
      </c>
      <c r="AG85" s="9">
        <v>0</v>
      </c>
      <c r="AH85" s="9">
        <v>0.5</v>
      </c>
      <c r="AI85" s="9">
        <v>0</v>
      </c>
    </row>
    <row r="86" spans="2:35" x14ac:dyDescent="0.3">
      <c r="B86" s="22" t="s">
        <v>477</v>
      </c>
      <c r="C86" s="9">
        <v>0.9</v>
      </c>
      <c r="D86" s="9">
        <v>0.65</v>
      </c>
      <c r="E86" s="9">
        <v>0.9</v>
      </c>
      <c r="F86" s="9">
        <v>1</v>
      </c>
      <c r="G86" s="9">
        <v>0</v>
      </c>
      <c r="H86" s="9">
        <v>0</v>
      </c>
      <c r="I86" s="9">
        <v>0</v>
      </c>
      <c r="J86" s="9">
        <v>0</v>
      </c>
      <c r="K86" s="9">
        <v>0</v>
      </c>
      <c r="L86" s="9">
        <v>0</v>
      </c>
      <c r="M86" s="9">
        <v>0</v>
      </c>
      <c r="N86" s="9">
        <v>0</v>
      </c>
      <c r="O86" s="9">
        <v>0</v>
      </c>
      <c r="P86" s="9">
        <v>0</v>
      </c>
      <c r="Q86" s="9">
        <v>0</v>
      </c>
      <c r="R86" s="9">
        <v>0</v>
      </c>
      <c r="S86" s="9">
        <v>0</v>
      </c>
      <c r="T86" s="9">
        <v>0</v>
      </c>
      <c r="U86" s="9">
        <v>0</v>
      </c>
      <c r="V86" s="9">
        <v>0</v>
      </c>
      <c r="W86" s="9">
        <v>0.9</v>
      </c>
      <c r="X86" s="9">
        <v>1</v>
      </c>
      <c r="Y86" s="9">
        <v>1.4</v>
      </c>
      <c r="Z86" s="9">
        <v>1.4</v>
      </c>
      <c r="AA86" s="9">
        <v>0</v>
      </c>
      <c r="AB86" s="9">
        <v>0</v>
      </c>
      <c r="AC86" s="9">
        <v>-1.4</v>
      </c>
      <c r="AD86" s="9">
        <v>0</v>
      </c>
      <c r="AE86" s="9">
        <v>0</v>
      </c>
      <c r="AF86" s="9">
        <v>0</v>
      </c>
      <c r="AG86" s="9">
        <v>0</v>
      </c>
      <c r="AH86" s="9">
        <v>0.5</v>
      </c>
      <c r="AI86" s="9">
        <v>0</v>
      </c>
    </row>
    <row r="87" spans="2:35" x14ac:dyDescent="0.3">
      <c r="B87" s="22" t="s">
        <v>478</v>
      </c>
      <c r="C87" s="9">
        <v>1.25</v>
      </c>
      <c r="D87" s="9">
        <v>1.5</v>
      </c>
      <c r="E87" s="9">
        <v>1.25</v>
      </c>
      <c r="F87" s="9">
        <v>1.35</v>
      </c>
      <c r="G87" s="9">
        <v>1.35</v>
      </c>
      <c r="H87" s="9">
        <v>1.35</v>
      </c>
      <c r="I87" s="9">
        <v>0</v>
      </c>
      <c r="J87" s="9">
        <v>0</v>
      </c>
      <c r="K87" s="9">
        <v>0</v>
      </c>
      <c r="L87" s="9">
        <v>0</v>
      </c>
      <c r="M87" s="9">
        <v>0</v>
      </c>
      <c r="N87" s="9">
        <v>0</v>
      </c>
      <c r="O87" s="9">
        <v>0</v>
      </c>
      <c r="P87" s="9">
        <v>0</v>
      </c>
      <c r="Q87" s="9">
        <v>0</v>
      </c>
      <c r="R87" s="9">
        <v>0</v>
      </c>
      <c r="S87" s="9">
        <v>0</v>
      </c>
      <c r="T87" s="9">
        <v>1.35</v>
      </c>
      <c r="U87" s="9">
        <v>1.35</v>
      </c>
      <c r="V87" s="9">
        <v>1.35</v>
      </c>
      <c r="W87" s="9">
        <v>1.5</v>
      </c>
      <c r="X87" s="9">
        <v>1</v>
      </c>
      <c r="Y87" s="9">
        <v>0</v>
      </c>
      <c r="Z87" s="9">
        <v>0</v>
      </c>
      <c r="AA87" s="9">
        <v>0.4</v>
      </c>
      <c r="AB87" s="9">
        <v>0.4</v>
      </c>
      <c r="AC87" s="9">
        <v>0</v>
      </c>
      <c r="AD87" s="9">
        <v>1</v>
      </c>
      <c r="AE87" s="9">
        <v>1</v>
      </c>
      <c r="AF87" s="9">
        <v>0</v>
      </c>
      <c r="AG87" s="9">
        <v>0</v>
      </c>
      <c r="AH87" s="9">
        <v>0.5</v>
      </c>
      <c r="AI87" s="9">
        <v>0</v>
      </c>
    </row>
    <row r="88" spans="2:35" x14ac:dyDescent="0.3">
      <c r="B88" s="22" t="s">
        <v>479</v>
      </c>
      <c r="C88" s="9">
        <v>1.25</v>
      </c>
      <c r="D88" s="9">
        <v>1.5</v>
      </c>
      <c r="E88" s="9">
        <v>1.25</v>
      </c>
      <c r="F88" s="9">
        <v>1.35</v>
      </c>
      <c r="G88" s="9">
        <v>1.35</v>
      </c>
      <c r="H88" s="9">
        <v>0</v>
      </c>
      <c r="I88" s="9">
        <v>1.35</v>
      </c>
      <c r="J88" s="9">
        <v>0</v>
      </c>
      <c r="K88" s="9">
        <v>0</v>
      </c>
      <c r="L88" s="9">
        <v>0</v>
      </c>
      <c r="M88" s="9">
        <v>0</v>
      </c>
      <c r="N88" s="9">
        <v>0</v>
      </c>
      <c r="O88" s="9">
        <v>0</v>
      </c>
      <c r="P88" s="9">
        <v>0</v>
      </c>
      <c r="Q88" s="9">
        <v>0</v>
      </c>
      <c r="R88" s="9">
        <v>0</v>
      </c>
      <c r="S88" s="9">
        <v>0</v>
      </c>
      <c r="T88" s="9">
        <v>1.35</v>
      </c>
      <c r="U88" s="9">
        <v>1.35</v>
      </c>
      <c r="V88" s="9">
        <v>1.35</v>
      </c>
      <c r="W88" s="9">
        <v>1.5</v>
      </c>
      <c r="X88" s="9">
        <v>1</v>
      </c>
      <c r="Y88" s="9">
        <v>0</v>
      </c>
      <c r="Z88" s="9">
        <v>0</v>
      </c>
      <c r="AA88" s="9">
        <v>0.4</v>
      </c>
      <c r="AB88" s="9">
        <v>0.4</v>
      </c>
      <c r="AC88" s="9">
        <v>0</v>
      </c>
      <c r="AD88" s="9">
        <v>1</v>
      </c>
      <c r="AE88" s="9">
        <v>1</v>
      </c>
      <c r="AF88" s="9">
        <v>0</v>
      </c>
      <c r="AG88" s="9">
        <v>0</v>
      </c>
      <c r="AH88" s="9">
        <v>0.5</v>
      </c>
      <c r="AI88" s="9">
        <v>0</v>
      </c>
    </row>
    <row r="89" spans="2:35" x14ac:dyDescent="0.3">
      <c r="B89" s="22" t="s">
        <v>480</v>
      </c>
      <c r="C89" s="9">
        <v>1.25</v>
      </c>
      <c r="D89" s="9">
        <v>1.5</v>
      </c>
      <c r="E89" s="9">
        <v>1.25</v>
      </c>
      <c r="F89" s="9">
        <v>1.35</v>
      </c>
      <c r="G89" s="9">
        <v>1.35</v>
      </c>
      <c r="H89" s="9">
        <v>0</v>
      </c>
      <c r="I89" s="9">
        <v>0</v>
      </c>
      <c r="J89" s="9">
        <v>1.35</v>
      </c>
      <c r="K89" s="9">
        <v>0</v>
      </c>
      <c r="L89" s="9">
        <v>0</v>
      </c>
      <c r="M89" s="9">
        <v>0</v>
      </c>
      <c r="N89" s="9">
        <v>0</v>
      </c>
      <c r="O89" s="9">
        <v>0</v>
      </c>
      <c r="P89" s="9">
        <v>0</v>
      </c>
      <c r="Q89" s="9">
        <v>0</v>
      </c>
      <c r="R89" s="9">
        <v>0</v>
      </c>
      <c r="S89" s="9">
        <v>0</v>
      </c>
      <c r="T89" s="9">
        <v>1.35</v>
      </c>
      <c r="U89" s="9">
        <v>1.35</v>
      </c>
      <c r="V89" s="9">
        <v>1.35</v>
      </c>
      <c r="W89" s="9">
        <v>1.5</v>
      </c>
      <c r="X89" s="9">
        <v>1</v>
      </c>
      <c r="Y89" s="9">
        <v>0</v>
      </c>
      <c r="Z89" s="9">
        <v>0</v>
      </c>
      <c r="AA89" s="9">
        <v>0.4</v>
      </c>
      <c r="AB89" s="9">
        <v>0.4</v>
      </c>
      <c r="AC89" s="9">
        <v>0</v>
      </c>
      <c r="AD89" s="9">
        <v>1</v>
      </c>
      <c r="AE89" s="9">
        <v>1</v>
      </c>
      <c r="AF89" s="9">
        <v>0</v>
      </c>
      <c r="AG89" s="9">
        <v>0</v>
      </c>
      <c r="AH89" s="9">
        <v>0.5</v>
      </c>
      <c r="AI89" s="9">
        <v>0</v>
      </c>
    </row>
    <row r="90" spans="2:35" x14ac:dyDescent="0.3">
      <c r="B90" s="22" t="s">
        <v>481</v>
      </c>
      <c r="C90" s="9">
        <v>1.25</v>
      </c>
      <c r="D90" s="9">
        <v>1.5</v>
      </c>
      <c r="E90" s="9">
        <v>1.25</v>
      </c>
      <c r="F90" s="9">
        <v>1.35</v>
      </c>
      <c r="G90" s="9">
        <v>1.35</v>
      </c>
      <c r="H90" s="9">
        <v>0</v>
      </c>
      <c r="I90" s="9">
        <v>0</v>
      </c>
      <c r="J90" s="9">
        <v>0</v>
      </c>
      <c r="K90" s="9">
        <v>1.35</v>
      </c>
      <c r="L90" s="9">
        <v>0</v>
      </c>
      <c r="M90" s="9">
        <v>0</v>
      </c>
      <c r="N90" s="9">
        <v>0</v>
      </c>
      <c r="O90" s="9">
        <v>0</v>
      </c>
      <c r="P90" s="9">
        <v>0</v>
      </c>
      <c r="Q90" s="9">
        <v>0</v>
      </c>
      <c r="R90" s="9">
        <v>0</v>
      </c>
      <c r="S90" s="9">
        <v>0</v>
      </c>
      <c r="T90" s="9">
        <v>1.35</v>
      </c>
      <c r="U90" s="9">
        <v>1.35</v>
      </c>
      <c r="V90" s="9">
        <v>1.35</v>
      </c>
      <c r="W90" s="9">
        <v>1.5</v>
      </c>
      <c r="X90" s="9">
        <v>1</v>
      </c>
      <c r="Y90" s="9">
        <v>0</v>
      </c>
      <c r="Z90" s="9">
        <v>0</v>
      </c>
      <c r="AA90" s="9">
        <v>0.4</v>
      </c>
      <c r="AB90" s="9">
        <v>0.4</v>
      </c>
      <c r="AC90" s="9">
        <v>0</v>
      </c>
      <c r="AD90" s="9">
        <v>1</v>
      </c>
      <c r="AE90" s="9">
        <v>1</v>
      </c>
      <c r="AF90" s="9">
        <v>0</v>
      </c>
      <c r="AG90" s="9">
        <v>0</v>
      </c>
      <c r="AH90" s="9">
        <v>0.5</v>
      </c>
      <c r="AI90" s="9">
        <v>0</v>
      </c>
    </row>
    <row r="91" spans="2:35" x14ac:dyDescent="0.3">
      <c r="B91" s="22" t="s">
        <v>482</v>
      </c>
      <c r="C91" s="9">
        <v>1.25</v>
      </c>
      <c r="D91" s="9">
        <v>1.5</v>
      </c>
      <c r="E91" s="9">
        <v>1.25</v>
      </c>
      <c r="F91" s="9">
        <v>1.35</v>
      </c>
      <c r="G91" s="9">
        <v>1.35</v>
      </c>
      <c r="H91" s="9">
        <v>0</v>
      </c>
      <c r="I91" s="9">
        <v>0</v>
      </c>
      <c r="J91" s="9">
        <v>0</v>
      </c>
      <c r="K91" s="9">
        <v>0</v>
      </c>
      <c r="L91" s="9">
        <v>1.35</v>
      </c>
      <c r="M91" s="9">
        <v>0</v>
      </c>
      <c r="N91" s="9">
        <v>0</v>
      </c>
      <c r="O91" s="9">
        <v>0</v>
      </c>
      <c r="P91" s="9">
        <v>0</v>
      </c>
      <c r="Q91" s="9">
        <v>0</v>
      </c>
      <c r="R91" s="9">
        <v>0</v>
      </c>
      <c r="S91" s="9">
        <v>0</v>
      </c>
      <c r="T91" s="9">
        <v>1.35</v>
      </c>
      <c r="U91" s="9">
        <v>1.35</v>
      </c>
      <c r="V91" s="9">
        <v>1.35</v>
      </c>
      <c r="W91" s="9">
        <v>1.5</v>
      </c>
      <c r="X91" s="9">
        <v>1</v>
      </c>
      <c r="Y91" s="9">
        <v>0</v>
      </c>
      <c r="Z91" s="9">
        <v>0</v>
      </c>
      <c r="AA91" s="9">
        <v>0.4</v>
      </c>
      <c r="AB91" s="9">
        <v>0.4</v>
      </c>
      <c r="AC91" s="9">
        <v>0</v>
      </c>
      <c r="AD91" s="9">
        <v>1</v>
      </c>
      <c r="AE91" s="9">
        <v>1</v>
      </c>
      <c r="AF91" s="9">
        <v>0</v>
      </c>
      <c r="AG91" s="9">
        <v>0</v>
      </c>
      <c r="AH91" s="9">
        <v>0.5</v>
      </c>
      <c r="AI91" s="9">
        <v>0</v>
      </c>
    </row>
    <row r="92" spans="2:35" x14ac:dyDescent="0.3">
      <c r="B92" s="22" t="s">
        <v>483</v>
      </c>
      <c r="C92" s="9">
        <v>1.25</v>
      </c>
      <c r="D92" s="9">
        <v>1.5</v>
      </c>
      <c r="E92" s="9">
        <v>1.25</v>
      </c>
      <c r="F92" s="9">
        <v>1.35</v>
      </c>
      <c r="G92" s="9">
        <v>1.35</v>
      </c>
      <c r="H92" s="9">
        <v>0</v>
      </c>
      <c r="I92" s="9">
        <v>0</v>
      </c>
      <c r="J92" s="9">
        <v>0</v>
      </c>
      <c r="K92" s="9">
        <v>0</v>
      </c>
      <c r="L92" s="9">
        <v>0</v>
      </c>
      <c r="M92" s="9">
        <v>1.35</v>
      </c>
      <c r="N92" s="9">
        <v>0</v>
      </c>
      <c r="O92" s="9">
        <v>0</v>
      </c>
      <c r="P92" s="9">
        <v>0</v>
      </c>
      <c r="Q92" s="9">
        <v>0</v>
      </c>
      <c r="R92" s="9">
        <v>0</v>
      </c>
      <c r="S92" s="9">
        <v>0</v>
      </c>
      <c r="T92" s="9">
        <v>1.35</v>
      </c>
      <c r="U92" s="9">
        <v>1.35</v>
      </c>
      <c r="V92" s="9">
        <v>1.35</v>
      </c>
      <c r="W92" s="9">
        <v>1.5</v>
      </c>
      <c r="X92" s="9">
        <v>1</v>
      </c>
      <c r="Y92" s="9">
        <v>0</v>
      </c>
      <c r="Z92" s="9">
        <v>0</v>
      </c>
      <c r="AA92" s="9">
        <v>0.4</v>
      </c>
      <c r="AB92" s="9">
        <v>0.4</v>
      </c>
      <c r="AC92" s="9">
        <v>0</v>
      </c>
      <c r="AD92" s="9">
        <v>1</v>
      </c>
      <c r="AE92" s="9">
        <v>1</v>
      </c>
      <c r="AF92" s="9">
        <v>0</v>
      </c>
      <c r="AG92" s="9">
        <v>0</v>
      </c>
      <c r="AH92" s="9">
        <v>0.5</v>
      </c>
      <c r="AI92" s="9">
        <v>0</v>
      </c>
    </row>
    <row r="93" spans="2:35" x14ac:dyDescent="0.3">
      <c r="B93" s="22" t="s">
        <v>484</v>
      </c>
      <c r="C93" s="9">
        <v>0.9</v>
      </c>
      <c r="D93" s="9">
        <v>0.65</v>
      </c>
      <c r="E93" s="9">
        <v>0.9</v>
      </c>
      <c r="F93" s="9">
        <v>1</v>
      </c>
      <c r="G93" s="9">
        <v>1.35</v>
      </c>
      <c r="H93" s="9">
        <v>1.35</v>
      </c>
      <c r="I93" s="9">
        <v>0</v>
      </c>
      <c r="J93" s="9">
        <v>0</v>
      </c>
      <c r="K93" s="9">
        <v>0</v>
      </c>
      <c r="L93" s="9">
        <v>0</v>
      </c>
      <c r="M93" s="9">
        <v>0</v>
      </c>
      <c r="N93" s="9">
        <v>0</v>
      </c>
      <c r="O93" s="9">
        <v>0</v>
      </c>
      <c r="P93" s="9">
        <v>0</v>
      </c>
      <c r="Q93" s="9">
        <v>0</v>
      </c>
      <c r="R93" s="9">
        <v>0</v>
      </c>
      <c r="S93" s="9">
        <v>0</v>
      </c>
      <c r="T93" s="9">
        <v>1.35</v>
      </c>
      <c r="U93" s="9">
        <v>1.35</v>
      </c>
      <c r="V93" s="9">
        <v>1.35</v>
      </c>
      <c r="W93" s="9">
        <v>0.9</v>
      </c>
      <c r="X93" s="9">
        <v>1</v>
      </c>
      <c r="Y93" s="9">
        <v>0</v>
      </c>
      <c r="Z93" s="9">
        <v>0</v>
      </c>
      <c r="AA93" s="9">
        <v>0.4</v>
      </c>
      <c r="AB93" s="9">
        <v>0.4</v>
      </c>
      <c r="AC93" s="9">
        <v>0</v>
      </c>
      <c r="AD93" s="9">
        <v>1</v>
      </c>
      <c r="AE93" s="9">
        <v>1</v>
      </c>
      <c r="AF93" s="9">
        <v>0</v>
      </c>
      <c r="AG93" s="9">
        <v>0</v>
      </c>
      <c r="AH93" s="9">
        <v>0.5</v>
      </c>
      <c r="AI93" s="9">
        <v>0</v>
      </c>
    </row>
    <row r="94" spans="2:35" x14ac:dyDescent="0.3">
      <c r="B94" s="22" t="s">
        <v>485</v>
      </c>
      <c r="C94" s="9">
        <v>0.9</v>
      </c>
      <c r="D94" s="9">
        <v>0.65</v>
      </c>
      <c r="E94" s="9">
        <v>0.9</v>
      </c>
      <c r="F94" s="9">
        <v>1</v>
      </c>
      <c r="G94" s="9">
        <v>1.35</v>
      </c>
      <c r="H94" s="9">
        <v>0</v>
      </c>
      <c r="I94" s="9">
        <v>1.35</v>
      </c>
      <c r="J94" s="9">
        <v>0</v>
      </c>
      <c r="K94" s="9">
        <v>0</v>
      </c>
      <c r="L94" s="9">
        <v>0</v>
      </c>
      <c r="M94" s="9">
        <v>0</v>
      </c>
      <c r="N94" s="9">
        <v>0</v>
      </c>
      <c r="O94" s="9">
        <v>0</v>
      </c>
      <c r="P94" s="9">
        <v>0</v>
      </c>
      <c r="Q94" s="9">
        <v>0</v>
      </c>
      <c r="R94" s="9">
        <v>0</v>
      </c>
      <c r="S94" s="9">
        <v>0</v>
      </c>
      <c r="T94" s="9">
        <v>1.35</v>
      </c>
      <c r="U94" s="9">
        <v>1.35</v>
      </c>
      <c r="V94" s="9">
        <v>1.35</v>
      </c>
      <c r="W94" s="9">
        <v>0.9</v>
      </c>
      <c r="X94" s="9">
        <v>1</v>
      </c>
      <c r="Y94" s="9">
        <v>0</v>
      </c>
      <c r="Z94" s="9">
        <v>0</v>
      </c>
      <c r="AA94" s="9">
        <v>0.4</v>
      </c>
      <c r="AB94" s="9">
        <v>0.4</v>
      </c>
      <c r="AC94" s="9">
        <v>0</v>
      </c>
      <c r="AD94" s="9">
        <v>1</v>
      </c>
      <c r="AE94" s="9">
        <v>1</v>
      </c>
      <c r="AF94" s="9">
        <v>0</v>
      </c>
      <c r="AG94" s="9">
        <v>0</v>
      </c>
      <c r="AH94" s="9">
        <v>0.5</v>
      </c>
      <c r="AI94" s="9">
        <v>0</v>
      </c>
    </row>
    <row r="95" spans="2:35" x14ac:dyDescent="0.3">
      <c r="B95" s="22" t="s">
        <v>486</v>
      </c>
      <c r="C95" s="9">
        <v>0.9</v>
      </c>
      <c r="D95" s="9">
        <v>0.65</v>
      </c>
      <c r="E95" s="9">
        <v>0.9</v>
      </c>
      <c r="F95" s="9">
        <v>1</v>
      </c>
      <c r="G95" s="9">
        <v>1.35</v>
      </c>
      <c r="H95" s="9">
        <v>0</v>
      </c>
      <c r="I95" s="9">
        <v>0</v>
      </c>
      <c r="J95" s="9">
        <v>1.35</v>
      </c>
      <c r="K95" s="9">
        <v>0</v>
      </c>
      <c r="L95" s="9">
        <v>0</v>
      </c>
      <c r="M95" s="9">
        <v>0</v>
      </c>
      <c r="N95" s="9">
        <v>0</v>
      </c>
      <c r="O95" s="9">
        <v>0</v>
      </c>
      <c r="P95" s="9">
        <v>0</v>
      </c>
      <c r="Q95" s="9">
        <v>0</v>
      </c>
      <c r="R95" s="9">
        <v>0</v>
      </c>
      <c r="S95" s="9">
        <v>0</v>
      </c>
      <c r="T95" s="9">
        <v>1.35</v>
      </c>
      <c r="U95" s="9">
        <v>1.35</v>
      </c>
      <c r="V95" s="9">
        <v>1.35</v>
      </c>
      <c r="W95" s="9">
        <v>0.9</v>
      </c>
      <c r="X95" s="9">
        <v>1</v>
      </c>
      <c r="Y95" s="9">
        <v>0</v>
      </c>
      <c r="Z95" s="9">
        <v>0</v>
      </c>
      <c r="AA95" s="9">
        <v>0.4</v>
      </c>
      <c r="AB95" s="9">
        <v>0.4</v>
      </c>
      <c r="AC95" s="9">
        <v>0</v>
      </c>
      <c r="AD95" s="9">
        <v>1</v>
      </c>
      <c r="AE95" s="9">
        <v>1</v>
      </c>
      <c r="AF95" s="9">
        <v>0</v>
      </c>
      <c r="AG95" s="9">
        <v>0</v>
      </c>
      <c r="AH95" s="9">
        <v>0.5</v>
      </c>
      <c r="AI95" s="9">
        <v>0</v>
      </c>
    </row>
    <row r="96" spans="2:35" x14ac:dyDescent="0.3">
      <c r="B96" s="22" t="s">
        <v>487</v>
      </c>
      <c r="C96" s="9">
        <v>0.9</v>
      </c>
      <c r="D96" s="9">
        <v>0.65</v>
      </c>
      <c r="E96" s="9">
        <v>0.9</v>
      </c>
      <c r="F96" s="9">
        <v>1</v>
      </c>
      <c r="G96" s="9">
        <v>1.35</v>
      </c>
      <c r="H96" s="9">
        <v>0</v>
      </c>
      <c r="I96" s="9">
        <v>0</v>
      </c>
      <c r="J96" s="9">
        <v>0</v>
      </c>
      <c r="K96" s="9">
        <v>1.35</v>
      </c>
      <c r="L96" s="9">
        <v>0</v>
      </c>
      <c r="M96" s="9">
        <v>0</v>
      </c>
      <c r="N96" s="9">
        <v>0</v>
      </c>
      <c r="O96" s="9">
        <v>0</v>
      </c>
      <c r="P96" s="9">
        <v>0</v>
      </c>
      <c r="Q96" s="9">
        <v>0</v>
      </c>
      <c r="R96" s="9">
        <v>0</v>
      </c>
      <c r="S96" s="9">
        <v>0</v>
      </c>
      <c r="T96" s="9">
        <v>1.35</v>
      </c>
      <c r="U96" s="9">
        <v>1.35</v>
      </c>
      <c r="V96" s="9">
        <v>1.35</v>
      </c>
      <c r="W96" s="9">
        <v>0.9</v>
      </c>
      <c r="X96" s="9">
        <v>1</v>
      </c>
      <c r="Y96" s="9">
        <v>0</v>
      </c>
      <c r="Z96" s="9">
        <v>0</v>
      </c>
      <c r="AA96" s="9">
        <v>0.4</v>
      </c>
      <c r="AB96" s="9">
        <v>0.4</v>
      </c>
      <c r="AC96" s="9">
        <v>0</v>
      </c>
      <c r="AD96" s="9">
        <v>1</v>
      </c>
      <c r="AE96" s="9">
        <v>1</v>
      </c>
      <c r="AF96" s="9">
        <v>0</v>
      </c>
      <c r="AG96" s="9">
        <v>0</v>
      </c>
      <c r="AH96" s="9">
        <v>0.5</v>
      </c>
      <c r="AI96" s="9">
        <v>0</v>
      </c>
    </row>
    <row r="97" spans="2:35" x14ac:dyDescent="0.3">
      <c r="B97" s="22" t="s">
        <v>488</v>
      </c>
      <c r="C97" s="9">
        <v>0.9</v>
      </c>
      <c r="D97" s="9">
        <v>0.65</v>
      </c>
      <c r="E97" s="9">
        <v>0.9</v>
      </c>
      <c r="F97" s="9">
        <v>1</v>
      </c>
      <c r="G97" s="9">
        <v>1.35</v>
      </c>
      <c r="H97" s="9">
        <v>0</v>
      </c>
      <c r="I97" s="9">
        <v>0</v>
      </c>
      <c r="J97" s="9">
        <v>0</v>
      </c>
      <c r="K97" s="9">
        <v>0</v>
      </c>
      <c r="L97" s="9">
        <v>1.35</v>
      </c>
      <c r="M97" s="9">
        <v>0</v>
      </c>
      <c r="N97" s="9">
        <v>0</v>
      </c>
      <c r="O97" s="9">
        <v>0</v>
      </c>
      <c r="P97" s="9">
        <v>0</v>
      </c>
      <c r="Q97" s="9">
        <v>0</v>
      </c>
      <c r="R97" s="9">
        <v>0</v>
      </c>
      <c r="S97" s="9">
        <v>0</v>
      </c>
      <c r="T97" s="9">
        <v>1.35</v>
      </c>
      <c r="U97" s="9">
        <v>1.35</v>
      </c>
      <c r="V97" s="9">
        <v>1.35</v>
      </c>
      <c r="W97" s="9">
        <v>0.9</v>
      </c>
      <c r="X97" s="9">
        <v>1</v>
      </c>
      <c r="Y97" s="9">
        <v>0</v>
      </c>
      <c r="Z97" s="9">
        <v>0</v>
      </c>
      <c r="AA97" s="9">
        <v>0.4</v>
      </c>
      <c r="AB97" s="9">
        <v>0.4</v>
      </c>
      <c r="AC97" s="9">
        <v>0</v>
      </c>
      <c r="AD97" s="9">
        <v>1</v>
      </c>
      <c r="AE97" s="9">
        <v>1</v>
      </c>
      <c r="AF97" s="9">
        <v>0</v>
      </c>
      <c r="AG97" s="9">
        <v>0</v>
      </c>
      <c r="AH97" s="9">
        <v>0.5</v>
      </c>
      <c r="AI97" s="9">
        <v>0</v>
      </c>
    </row>
    <row r="98" spans="2:35" x14ac:dyDescent="0.3">
      <c r="B98" s="22" t="s">
        <v>489</v>
      </c>
      <c r="C98" s="9">
        <v>0.9</v>
      </c>
      <c r="D98" s="9">
        <v>0.65</v>
      </c>
      <c r="E98" s="9">
        <v>0.9</v>
      </c>
      <c r="F98" s="9">
        <v>1</v>
      </c>
      <c r="G98" s="9">
        <v>1.35</v>
      </c>
      <c r="H98" s="9">
        <v>0</v>
      </c>
      <c r="I98" s="9">
        <v>0</v>
      </c>
      <c r="J98" s="9">
        <v>0</v>
      </c>
      <c r="K98" s="9">
        <v>0</v>
      </c>
      <c r="L98" s="9">
        <v>0</v>
      </c>
      <c r="M98" s="9">
        <v>1.35</v>
      </c>
      <c r="N98" s="9">
        <v>0</v>
      </c>
      <c r="O98" s="9">
        <v>0</v>
      </c>
      <c r="P98" s="9">
        <v>0</v>
      </c>
      <c r="Q98" s="9">
        <v>0</v>
      </c>
      <c r="R98" s="9">
        <v>0</v>
      </c>
      <c r="S98" s="9">
        <v>0</v>
      </c>
      <c r="T98" s="9">
        <v>1.35</v>
      </c>
      <c r="U98" s="9">
        <v>1.35</v>
      </c>
      <c r="V98" s="9">
        <v>1.35</v>
      </c>
      <c r="W98" s="9">
        <v>0.9</v>
      </c>
      <c r="X98" s="9">
        <v>1</v>
      </c>
      <c r="Y98" s="9">
        <v>0</v>
      </c>
      <c r="Z98" s="9">
        <v>0</v>
      </c>
      <c r="AA98" s="9">
        <v>0.4</v>
      </c>
      <c r="AB98" s="9">
        <v>0.4</v>
      </c>
      <c r="AC98" s="9">
        <v>0</v>
      </c>
      <c r="AD98" s="9">
        <v>1</v>
      </c>
      <c r="AE98" s="9">
        <v>1</v>
      </c>
      <c r="AF98" s="9">
        <v>0</v>
      </c>
      <c r="AG98" s="9">
        <v>0</v>
      </c>
      <c r="AH98" s="9">
        <v>0.5</v>
      </c>
      <c r="AI98" s="9">
        <v>0</v>
      </c>
    </row>
    <row r="99" spans="2:35" ht="41.4" x14ac:dyDescent="0.3">
      <c r="B99" s="22" t="s">
        <v>865</v>
      </c>
      <c r="C99" s="9">
        <v>1</v>
      </c>
      <c r="D99" s="9">
        <v>1</v>
      </c>
      <c r="E99" s="9">
        <v>1</v>
      </c>
      <c r="F99" s="9">
        <v>1</v>
      </c>
      <c r="G99" s="9">
        <v>1</v>
      </c>
      <c r="H99" s="9">
        <v>0</v>
      </c>
      <c r="I99" s="9">
        <v>0</v>
      </c>
      <c r="J99" s="9">
        <v>0</v>
      </c>
      <c r="K99" s="9">
        <v>0</v>
      </c>
      <c r="L99" s="9">
        <v>0</v>
      </c>
      <c r="M99" s="9">
        <v>0</v>
      </c>
      <c r="N99" s="9">
        <v>0</v>
      </c>
      <c r="O99" s="9">
        <v>0</v>
      </c>
      <c r="P99" s="9">
        <v>0</v>
      </c>
      <c r="Q99" s="9">
        <v>0</v>
      </c>
      <c r="R99" s="9">
        <v>0</v>
      </c>
      <c r="S99" s="9">
        <v>0</v>
      </c>
      <c r="T99" s="9">
        <v>1</v>
      </c>
      <c r="U99" s="9">
        <v>1</v>
      </c>
      <c r="V99" s="9">
        <v>1</v>
      </c>
      <c r="W99" s="9">
        <v>1</v>
      </c>
      <c r="X99" s="9">
        <v>1</v>
      </c>
      <c r="Y99" s="9">
        <v>0</v>
      </c>
      <c r="Z99" s="9">
        <v>0</v>
      </c>
      <c r="AA99" s="9">
        <v>0</v>
      </c>
      <c r="AB99" s="9">
        <v>0</v>
      </c>
      <c r="AC99" s="9">
        <v>0</v>
      </c>
      <c r="AD99" s="9">
        <v>0</v>
      </c>
      <c r="AE99" s="9">
        <v>0</v>
      </c>
      <c r="AF99" s="9">
        <v>1</v>
      </c>
      <c r="AG99" s="9">
        <v>0.3</v>
      </c>
      <c r="AH99" s="9">
        <v>0</v>
      </c>
      <c r="AI99" s="9">
        <v>1</v>
      </c>
    </row>
    <row r="100" spans="2:35" ht="41.4" x14ac:dyDescent="0.3">
      <c r="B100" s="22" t="s">
        <v>866</v>
      </c>
      <c r="C100" s="9">
        <v>1</v>
      </c>
      <c r="D100" s="9">
        <v>1</v>
      </c>
      <c r="E100" s="9">
        <v>1</v>
      </c>
      <c r="F100" s="9">
        <v>1</v>
      </c>
      <c r="G100" s="9">
        <v>1</v>
      </c>
      <c r="H100" s="9">
        <v>0</v>
      </c>
      <c r="I100" s="9">
        <v>0</v>
      </c>
      <c r="J100" s="9">
        <v>0</v>
      </c>
      <c r="K100" s="9">
        <v>0</v>
      </c>
      <c r="L100" s="9">
        <v>0</v>
      </c>
      <c r="M100" s="9">
        <v>0</v>
      </c>
      <c r="N100" s="9">
        <v>0</v>
      </c>
      <c r="O100" s="9">
        <v>0</v>
      </c>
      <c r="P100" s="9">
        <v>0</v>
      </c>
      <c r="Q100" s="9">
        <v>0</v>
      </c>
      <c r="R100" s="9">
        <v>0</v>
      </c>
      <c r="S100" s="9">
        <v>0</v>
      </c>
      <c r="T100" s="9">
        <v>1</v>
      </c>
      <c r="U100" s="9">
        <v>1</v>
      </c>
      <c r="V100" s="9">
        <v>1</v>
      </c>
      <c r="W100" s="9">
        <v>1</v>
      </c>
      <c r="X100" s="9">
        <v>1</v>
      </c>
      <c r="Y100" s="9">
        <v>0</v>
      </c>
      <c r="Z100" s="9">
        <v>0</v>
      </c>
      <c r="AA100" s="9">
        <v>0</v>
      </c>
      <c r="AB100" s="9">
        <v>0</v>
      </c>
      <c r="AC100" s="9">
        <v>0</v>
      </c>
      <c r="AD100" s="9">
        <v>0</v>
      </c>
      <c r="AE100" s="9">
        <v>0</v>
      </c>
      <c r="AF100" s="9">
        <v>0.3</v>
      </c>
      <c r="AG100" s="9">
        <v>1</v>
      </c>
      <c r="AH100" s="9">
        <v>0</v>
      </c>
      <c r="AI100" s="9">
        <v>1</v>
      </c>
    </row>
    <row r="101" spans="2:35" x14ac:dyDescent="0.3">
      <c r="B101" s="11" t="s">
        <v>867</v>
      </c>
    </row>
    <row r="102" spans="2:35" x14ac:dyDescent="0.3">
      <c r="B102" s="11" t="s">
        <v>868</v>
      </c>
    </row>
    <row r="103" spans="2:35" x14ac:dyDescent="0.3">
      <c r="B103" s="6" t="s">
        <v>490</v>
      </c>
    </row>
    <row r="104" spans="2:35" x14ac:dyDescent="0.3">
      <c r="B104" s="18" t="s">
        <v>445</v>
      </c>
      <c r="C104" s="18" t="s">
        <v>402</v>
      </c>
      <c r="D104" s="18" t="s">
        <v>403</v>
      </c>
      <c r="E104" s="18" t="s">
        <v>404</v>
      </c>
      <c r="F104" s="18" t="s">
        <v>405</v>
      </c>
      <c r="G104" s="18" t="s">
        <v>406</v>
      </c>
      <c r="H104" s="18" t="s">
        <v>407</v>
      </c>
      <c r="I104" s="18" t="s">
        <v>408</v>
      </c>
      <c r="J104" s="18" t="s">
        <v>409</v>
      </c>
      <c r="K104" s="18" t="s">
        <v>410</v>
      </c>
      <c r="L104" s="18" t="s">
        <v>411</v>
      </c>
    </row>
    <row r="105" spans="2:35" x14ac:dyDescent="0.3">
      <c r="B105" s="21" t="str">
        <f t="shared" ref="B105:B150" si="0">IF($N105=0,"",INDEX($B$55:$B$100,$N105))</f>
        <v>SD I - 1 làn lệch tâm</v>
      </c>
      <c r="C105" s="17">
        <f t="shared" ref="C105:C150" si="1">IF($N105=0,"",SUMPRODUCT(INDEX($C$55:$AI$100,$N105,0),$C$42:$AI$42))</f>
        <v>8309.2459762669332</v>
      </c>
      <c r="D105" s="17">
        <f t="shared" ref="D105:D150" si="2">IF($N105=0,"",SUMPRODUCT(INDEX($C$55:$AI$100,$N105,0),$C$43:$AI$43))</f>
        <v>80.992840000000001</v>
      </c>
      <c r="E105" s="17">
        <f t="shared" ref="E105:E150" si="3">IF($N105=0,"",SUMPRODUCT(INDEX($C$55:$AI$100,$N105,0),$C$44:$AI$44))</f>
        <v>29832.894715000006</v>
      </c>
      <c r="F105" s="17">
        <f t="shared" ref="F105:F150" si="4">IF($N105=0,"",SUMPRODUCT(INDEX($C$55:$AI$100,$N105,0),$C$45:$AI$45))</f>
        <v>7550.3151203999996</v>
      </c>
      <c r="G105" s="17">
        <f t="shared" ref="G105:G150" si="5">IF($N105=0,"",SUMPRODUCT(INDEX($C$55:$AI$100,$N105,0),$C$46:$AI$46))</f>
        <v>20107.060031637724</v>
      </c>
      <c r="H105" s="17">
        <f t="shared" ref="H105:H150" si="6">IF($N105=0,"",SUMPRODUCT(INDEX($C$55:$AI$100,$N105,0),$C$47:$AI$47))</f>
        <v>5789.167032256084</v>
      </c>
      <c r="I105" s="17">
        <f t="shared" ref="I105:I150" si="7">IF($N105=0,"",SUMPRODUCT(INDEX($C$55:$AI$100,$N105,0),$C$48:$AI$48))</f>
        <v>80.992840000000001</v>
      </c>
      <c r="J105" s="17">
        <f t="shared" ref="J105:J150" si="8">IF($N105=0,"",SUMPRODUCT(INDEX($C$55:$AI$100,$N105,0),$C$49:$AI$49))</f>
        <v>14028.372625</v>
      </c>
      <c r="K105" s="17">
        <f t="shared" ref="K105:K150" si="9">IF($N105=0,"",SUMPRODUCT(INDEX($C$55:$AI$100,$N105,0),$C$50:$AI$50))</f>
        <v>7404.5280083999996</v>
      </c>
      <c r="L105" s="17">
        <f t="shared" ref="L105:L150" si="10">IF($N105=0,"",SUMPRODUCT(INDEX($C$55:$AI$100,$N105,0),$C$51:$AI$51))</f>
        <v>18379.360287647633</v>
      </c>
      <c r="N105" s="10">
        <v>1</v>
      </c>
    </row>
    <row r="106" spans="2:35" x14ac:dyDescent="0.3">
      <c r="B106" s="21" t="str">
        <f t="shared" si="0"/>
        <v>SD I - 2 làn lệch tâm</v>
      </c>
      <c r="C106" s="17">
        <f t="shared" si="1"/>
        <v>8309.2459762669332</v>
      </c>
      <c r="D106" s="17">
        <f t="shared" si="2"/>
        <v>80.992840000000001</v>
      </c>
      <c r="E106" s="17">
        <f t="shared" si="3"/>
        <v>30291.96356833334</v>
      </c>
      <c r="F106" s="17">
        <f t="shared" si="4"/>
        <v>10362.111847066668</v>
      </c>
      <c r="G106" s="17">
        <f t="shared" si="5"/>
        <v>20408.668268277725</v>
      </c>
      <c r="H106" s="17">
        <f t="shared" si="6"/>
        <v>5789.167032256084</v>
      </c>
      <c r="I106" s="17">
        <f t="shared" si="7"/>
        <v>80.992840000000001</v>
      </c>
      <c r="J106" s="17">
        <f t="shared" si="8"/>
        <v>14487.441478333334</v>
      </c>
      <c r="K106" s="17">
        <f t="shared" si="9"/>
        <v>10216.324735066668</v>
      </c>
      <c r="L106" s="17">
        <f t="shared" si="10"/>
        <v>18520.294425620967</v>
      </c>
      <c r="N106" s="10">
        <v>2</v>
      </c>
    </row>
    <row r="107" spans="2:35" x14ac:dyDescent="0.3">
      <c r="B107" s="21" t="str">
        <f t="shared" si="0"/>
        <v>SD I - 3 làn lệch tâm</v>
      </c>
      <c r="C107" s="17">
        <f t="shared" si="1"/>
        <v>8309.2459762669332</v>
      </c>
      <c r="D107" s="17">
        <f t="shared" si="2"/>
        <v>80.992840000000001</v>
      </c>
      <c r="E107" s="17">
        <f t="shared" si="3"/>
        <v>30607.573405000006</v>
      </c>
      <c r="F107" s="17">
        <f t="shared" si="4"/>
        <v>10810.421274150001</v>
      </c>
      <c r="G107" s="17">
        <f t="shared" si="5"/>
        <v>20616.023930967724</v>
      </c>
      <c r="H107" s="17">
        <f t="shared" si="6"/>
        <v>5789.167032256084</v>
      </c>
      <c r="I107" s="17">
        <f t="shared" si="7"/>
        <v>80.992840000000001</v>
      </c>
      <c r="J107" s="17">
        <f t="shared" si="8"/>
        <v>14803.051315000001</v>
      </c>
      <c r="K107" s="17">
        <f t="shared" si="9"/>
        <v>10664.634162150001</v>
      </c>
      <c r="L107" s="17">
        <f t="shared" si="10"/>
        <v>18617.186645477632</v>
      </c>
      <c r="N107" s="10">
        <v>3</v>
      </c>
    </row>
    <row r="108" spans="2:35" x14ac:dyDescent="0.3">
      <c r="B108" s="21" t="str">
        <f t="shared" si="0"/>
        <v>SD I - 4 làn lệch tâm</v>
      </c>
      <c r="C108" s="17">
        <f t="shared" si="1"/>
        <v>8309.2459762669332</v>
      </c>
      <c r="D108" s="17">
        <f t="shared" si="2"/>
        <v>80.992840000000001</v>
      </c>
      <c r="E108" s="17">
        <f t="shared" si="3"/>
        <v>30636.265208333341</v>
      </c>
      <c r="F108" s="17">
        <f t="shared" si="4"/>
        <v>8769.7167620666678</v>
      </c>
      <c r="G108" s="17">
        <f t="shared" si="5"/>
        <v>20634.874445757723</v>
      </c>
      <c r="H108" s="17">
        <f t="shared" si="6"/>
        <v>5789.167032256084</v>
      </c>
      <c r="I108" s="17">
        <f t="shared" si="7"/>
        <v>80.992840000000001</v>
      </c>
      <c r="J108" s="17">
        <f t="shared" si="8"/>
        <v>14831.743118333334</v>
      </c>
      <c r="K108" s="17">
        <f t="shared" si="9"/>
        <v>8623.9296500666678</v>
      </c>
      <c r="L108" s="17">
        <f t="shared" si="10"/>
        <v>18625.995029100966</v>
      </c>
      <c r="N108" s="10">
        <v>4</v>
      </c>
    </row>
    <row r="109" spans="2:35" x14ac:dyDescent="0.3">
      <c r="B109" s="21" t="str">
        <f t="shared" si="0"/>
        <v>SD I - 5 làn lệch tâm</v>
      </c>
      <c r="C109" s="17">
        <f t="shared" si="1"/>
        <v>8309.2459762669332</v>
      </c>
      <c r="D109" s="17">
        <f t="shared" si="2"/>
        <v>80.992840000000001</v>
      </c>
      <c r="E109" s="17">
        <f t="shared" si="3"/>
        <v>31009.258651666674</v>
      </c>
      <c r="F109" s="17">
        <f t="shared" si="4"/>
        <v>7977.1056949833355</v>
      </c>
      <c r="G109" s="17">
        <f t="shared" si="5"/>
        <v>20879.931138027721</v>
      </c>
      <c r="H109" s="17">
        <f t="shared" si="6"/>
        <v>5789.167032256084</v>
      </c>
      <c r="I109" s="17">
        <f t="shared" si="7"/>
        <v>80.992840000000001</v>
      </c>
      <c r="J109" s="17">
        <f t="shared" si="8"/>
        <v>15204.736561666668</v>
      </c>
      <c r="K109" s="17">
        <f t="shared" si="9"/>
        <v>7831.3185829833355</v>
      </c>
      <c r="L109" s="17">
        <f t="shared" si="10"/>
        <v>18740.504016204301</v>
      </c>
      <c r="N109" s="10">
        <v>5</v>
      </c>
    </row>
    <row r="110" spans="2:35" x14ac:dyDescent="0.3">
      <c r="B110" s="21" t="str">
        <f t="shared" si="0"/>
        <v>SD I - 6 làn lệch tâm</v>
      </c>
      <c r="C110" s="17">
        <f t="shared" si="1"/>
        <v>8309.2459762669332</v>
      </c>
      <c r="D110" s="17">
        <f t="shared" si="2"/>
        <v>80.992840000000001</v>
      </c>
      <c r="E110" s="17">
        <f t="shared" si="3"/>
        <v>31382.252095000007</v>
      </c>
      <c r="F110" s="17">
        <f t="shared" si="4"/>
        <v>6065.5142979000002</v>
      </c>
      <c r="G110" s="17">
        <f t="shared" si="5"/>
        <v>21124.987830297723</v>
      </c>
      <c r="H110" s="17">
        <f t="shared" si="6"/>
        <v>5789.167032256084</v>
      </c>
      <c r="I110" s="17">
        <f t="shared" si="7"/>
        <v>80.992840000000001</v>
      </c>
      <c r="J110" s="17">
        <f t="shared" si="8"/>
        <v>15577.730005000001</v>
      </c>
      <c r="K110" s="17">
        <f t="shared" si="9"/>
        <v>5919.7271859000002</v>
      </c>
      <c r="L110" s="17">
        <f t="shared" si="10"/>
        <v>18855.013003307631</v>
      </c>
      <c r="N110" s="10">
        <v>6</v>
      </c>
    </row>
    <row r="111" spans="2:35" x14ac:dyDescent="0.3">
      <c r="B111" s="21" t="str">
        <f t="shared" si="0"/>
        <v>SD I - 1 làn đúng tâm</v>
      </c>
      <c r="C111" s="17">
        <f t="shared" si="1"/>
        <v>8309.2459762669332</v>
      </c>
      <c r="D111" s="17">
        <f t="shared" si="2"/>
        <v>80.992840000000001</v>
      </c>
      <c r="E111" s="17">
        <f t="shared" si="3"/>
        <v>29832.894715000006</v>
      </c>
      <c r="F111" s="17">
        <f t="shared" si="4"/>
        <v>750.35773040000026</v>
      </c>
      <c r="G111" s="17">
        <f t="shared" si="5"/>
        <v>20107.060031637724</v>
      </c>
      <c r="H111" s="17">
        <f t="shared" si="6"/>
        <v>5789.167032256084</v>
      </c>
      <c r="I111" s="17">
        <f t="shared" si="7"/>
        <v>80.992840000000001</v>
      </c>
      <c r="J111" s="17">
        <f t="shared" si="8"/>
        <v>14028.372625</v>
      </c>
      <c r="K111" s="17">
        <f t="shared" si="9"/>
        <v>604.57061840000006</v>
      </c>
      <c r="L111" s="17">
        <f t="shared" si="10"/>
        <v>18379.360287647633</v>
      </c>
      <c r="N111" s="10">
        <v>7</v>
      </c>
    </row>
    <row r="112" spans="2:35" x14ac:dyDescent="0.3">
      <c r="B112" s="21" t="str">
        <f t="shared" si="0"/>
        <v>SD I - 2 làn đúng tâm</v>
      </c>
      <c r="C112" s="17">
        <f t="shared" si="1"/>
        <v>8309.2459762669332</v>
      </c>
      <c r="D112" s="17">
        <f t="shared" si="2"/>
        <v>80.992840000000001</v>
      </c>
      <c r="E112" s="17">
        <f t="shared" si="3"/>
        <v>30291.96356833334</v>
      </c>
      <c r="F112" s="17">
        <f t="shared" si="4"/>
        <v>750.35773040000026</v>
      </c>
      <c r="G112" s="17">
        <f t="shared" si="5"/>
        <v>20408.668268277725</v>
      </c>
      <c r="H112" s="17">
        <f t="shared" si="6"/>
        <v>5789.167032256084</v>
      </c>
      <c r="I112" s="17">
        <f t="shared" si="7"/>
        <v>80.992840000000001</v>
      </c>
      <c r="J112" s="17">
        <f t="shared" si="8"/>
        <v>14487.441478333334</v>
      </c>
      <c r="K112" s="17">
        <f t="shared" si="9"/>
        <v>604.57061840000006</v>
      </c>
      <c r="L112" s="17">
        <f t="shared" si="10"/>
        <v>18520.294425620967</v>
      </c>
      <c r="N112" s="10">
        <v>8</v>
      </c>
    </row>
    <row r="113" spans="2:14" x14ac:dyDescent="0.3">
      <c r="B113" s="21" t="str">
        <f t="shared" si="0"/>
        <v>SD I - 3 làn đúng tâm</v>
      </c>
      <c r="C113" s="17">
        <f t="shared" si="1"/>
        <v>8309.2459762669332</v>
      </c>
      <c r="D113" s="17">
        <f t="shared" si="2"/>
        <v>80.992840000000001</v>
      </c>
      <c r="E113" s="17">
        <f t="shared" si="3"/>
        <v>30607.573405000006</v>
      </c>
      <c r="F113" s="17">
        <f t="shared" si="4"/>
        <v>750.35773040000026</v>
      </c>
      <c r="G113" s="17">
        <f t="shared" si="5"/>
        <v>20616.023930967724</v>
      </c>
      <c r="H113" s="17">
        <f t="shared" si="6"/>
        <v>5789.167032256084</v>
      </c>
      <c r="I113" s="17">
        <f t="shared" si="7"/>
        <v>80.992840000000001</v>
      </c>
      <c r="J113" s="17">
        <f t="shared" si="8"/>
        <v>14803.051315000001</v>
      </c>
      <c r="K113" s="17">
        <f t="shared" si="9"/>
        <v>604.57061840000006</v>
      </c>
      <c r="L113" s="17">
        <f t="shared" si="10"/>
        <v>18617.186645477632</v>
      </c>
      <c r="N113" s="10">
        <v>9</v>
      </c>
    </row>
    <row r="114" spans="2:14" x14ac:dyDescent="0.3">
      <c r="B114" s="21" t="str">
        <f t="shared" si="0"/>
        <v>SD I - 4 làn đúng tâm</v>
      </c>
      <c r="C114" s="17">
        <f t="shared" si="1"/>
        <v>8309.2459762669332</v>
      </c>
      <c r="D114" s="17">
        <f t="shared" si="2"/>
        <v>80.992840000000001</v>
      </c>
      <c r="E114" s="17">
        <f t="shared" si="3"/>
        <v>30636.265208333341</v>
      </c>
      <c r="F114" s="17">
        <f t="shared" si="4"/>
        <v>750.35773040000026</v>
      </c>
      <c r="G114" s="17">
        <f t="shared" si="5"/>
        <v>20634.874445757723</v>
      </c>
      <c r="H114" s="17">
        <f t="shared" si="6"/>
        <v>5789.167032256084</v>
      </c>
      <c r="I114" s="17">
        <f t="shared" si="7"/>
        <v>80.992840000000001</v>
      </c>
      <c r="J114" s="17">
        <f t="shared" si="8"/>
        <v>14831.743118333334</v>
      </c>
      <c r="K114" s="17">
        <f t="shared" si="9"/>
        <v>604.57061840000006</v>
      </c>
      <c r="L114" s="17">
        <f t="shared" si="10"/>
        <v>18625.995029100966</v>
      </c>
      <c r="N114" s="10">
        <v>10</v>
      </c>
    </row>
    <row r="115" spans="2:14" x14ac:dyDescent="0.3">
      <c r="B115" s="21" t="str">
        <f t="shared" si="0"/>
        <v>SD I - 5 làn đúng tâm</v>
      </c>
      <c r="C115" s="17">
        <f t="shared" si="1"/>
        <v>8309.2459762669332</v>
      </c>
      <c r="D115" s="17">
        <f t="shared" si="2"/>
        <v>80.992840000000001</v>
      </c>
      <c r="E115" s="17">
        <f t="shared" si="3"/>
        <v>31009.258651666674</v>
      </c>
      <c r="F115" s="17">
        <f t="shared" si="4"/>
        <v>750.35773040000026</v>
      </c>
      <c r="G115" s="17">
        <f t="shared" si="5"/>
        <v>20879.931138027721</v>
      </c>
      <c r="H115" s="17">
        <f t="shared" si="6"/>
        <v>5789.167032256084</v>
      </c>
      <c r="I115" s="17">
        <f t="shared" si="7"/>
        <v>80.992840000000001</v>
      </c>
      <c r="J115" s="17">
        <f t="shared" si="8"/>
        <v>15204.736561666668</v>
      </c>
      <c r="K115" s="17">
        <f t="shared" si="9"/>
        <v>604.57061840000006</v>
      </c>
      <c r="L115" s="17">
        <f t="shared" si="10"/>
        <v>18740.504016204301</v>
      </c>
      <c r="N115" s="10">
        <v>11</v>
      </c>
    </row>
    <row r="116" spans="2:14" x14ac:dyDescent="0.3">
      <c r="B116" s="21" t="str">
        <f t="shared" si="0"/>
        <v>SD I - 6 làn đúng tâm</v>
      </c>
      <c r="C116" s="17">
        <f t="shared" si="1"/>
        <v>8309.2459762669332</v>
      </c>
      <c r="D116" s="17">
        <f t="shared" si="2"/>
        <v>80.992840000000001</v>
      </c>
      <c r="E116" s="17">
        <f t="shared" si="3"/>
        <v>31382.252095000007</v>
      </c>
      <c r="F116" s="17">
        <f t="shared" si="4"/>
        <v>750.35773040000026</v>
      </c>
      <c r="G116" s="17">
        <f t="shared" si="5"/>
        <v>21124.987830297723</v>
      </c>
      <c r="H116" s="17">
        <f t="shared" si="6"/>
        <v>5789.167032256084</v>
      </c>
      <c r="I116" s="17">
        <f t="shared" si="7"/>
        <v>80.992840000000001</v>
      </c>
      <c r="J116" s="17">
        <f t="shared" si="8"/>
        <v>15577.730005000001</v>
      </c>
      <c r="K116" s="17">
        <f t="shared" si="9"/>
        <v>604.57061840000006</v>
      </c>
      <c r="L116" s="17">
        <f t="shared" si="10"/>
        <v>18855.013003307631</v>
      </c>
      <c r="N116" s="10">
        <v>12</v>
      </c>
    </row>
    <row r="117" spans="2:14" x14ac:dyDescent="0.3">
      <c r="B117" s="21" t="str">
        <f t="shared" si="0"/>
        <v>CĐ I(a) max - 1 làn lệch tâm</v>
      </c>
      <c r="C117" s="17">
        <f t="shared" si="1"/>
        <v>12329.119330306921</v>
      </c>
      <c r="D117" s="17">
        <f t="shared" si="2"/>
        <v>0</v>
      </c>
      <c r="E117" s="17">
        <f t="shared" si="3"/>
        <v>39045.12216150001</v>
      </c>
      <c r="F117" s="17">
        <f t="shared" si="4"/>
        <v>11899.9254325</v>
      </c>
      <c r="G117" s="17">
        <f t="shared" si="5"/>
        <v>29193.756530761049</v>
      </c>
      <c r="H117" s="17">
        <f t="shared" si="6"/>
        <v>8507.3145621069634</v>
      </c>
      <c r="I117" s="17">
        <f t="shared" si="7"/>
        <v>0</v>
      </c>
      <c r="J117" s="17">
        <f t="shared" si="8"/>
        <v>18050.861639999999</v>
      </c>
      <c r="K117" s="17">
        <f t="shared" si="9"/>
        <v>11899.9254325</v>
      </c>
      <c r="L117" s="17">
        <f t="shared" si="10"/>
        <v>26024.129339959491</v>
      </c>
      <c r="N117" s="10">
        <v>13</v>
      </c>
    </row>
    <row r="118" spans="2:14" x14ac:dyDescent="0.3">
      <c r="B118" s="21" t="str">
        <f t="shared" si="0"/>
        <v>CĐ I(a) max - 2 làn lệch tâm</v>
      </c>
      <c r="C118" s="17">
        <f t="shared" si="1"/>
        <v>12329.119330306921</v>
      </c>
      <c r="D118" s="17">
        <f t="shared" si="2"/>
        <v>0</v>
      </c>
      <c r="E118" s="17">
        <f t="shared" si="3"/>
        <v>39848.492654833339</v>
      </c>
      <c r="F118" s="17">
        <f t="shared" si="4"/>
        <v>16820.569704166668</v>
      </c>
      <c r="G118" s="17">
        <f t="shared" si="5"/>
        <v>29721.570944881045</v>
      </c>
      <c r="H118" s="17">
        <f t="shared" si="6"/>
        <v>8507.3145621069634</v>
      </c>
      <c r="I118" s="17">
        <f t="shared" si="7"/>
        <v>0</v>
      </c>
      <c r="J118" s="17">
        <f t="shared" si="8"/>
        <v>18854.232133333331</v>
      </c>
      <c r="K118" s="17">
        <f t="shared" si="9"/>
        <v>16820.569704166668</v>
      </c>
      <c r="L118" s="17">
        <f t="shared" si="10"/>
        <v>26270.764081412824</v>
      </c>
      <c r="N118" s="10">
        <v>14</v>
      </c>
    </row>
    <row r="119" spans="2:14" x14ac:dyDescent="0.3">
      <c r="B119" s="21" t="str">
        <f t="shared" si="0"/>
        <v>CĐ I(a) max - 3 làn lệch tâm</v>
      </c>
      <c r="C119" s="17">
        <f t="shared" si="1"/>
        <v>12329.119330306921</v>
      </c>
      <c r="D119" s="17">
        <f t="shared" si="2"/>
        <v>0</v>
      </c>
      <c r="E119" s="17">
        <f t="shared" si="3"/>
        <v>40400.809869000004</v>
      </c>
      <c r="F119" s="17">
        <f t="shared" si="4"/>
        <v>17605.1112015625</v>
      </c>
      <c r="G119" s="17">
        <f t="shared" si="5"/>
        <v>30084.443354588548</v>
      </c>
      <c r="H119" s="17">
        <f t="shared" si="6"/>
        <v>8507.3145621069634</v>
      </c>
      <c r="I119" s="17">
        <f t="shared" si="7"/>
        <v>0</v>
      </c>
      <c r="J119" s="17">
        <f t="shared" si="8"/>
        <v>19406.5493475</v>
      </c>
      <c r="K119" s="17">
        <f t="shared" si="9"/>
        <v>17605.1112015625</v>
      </c>
      <c r="L119" s="17">
        <f t="shared" si="10"/>
        <v>26440.32546616199</v>
      </c>
      <c r="N119" s="10">
        <v>15</v>
      </c>
    </row>
    <row r="120" spans="2:14" x14ac:dyDescent="0.3">
      <c r="B120" s="21" t="str">
        <f t="shared" si="0"/>
        <v>CĐ I(a) max - 4 làn lệch tâm</v>
      </c>
      <c r="C120" s="17">
        <f t="shared" si="1"/>
        <v>12329.119330306921</v>
      </c>
      <c r="D120" s="17">
        <f t="shared" si="2"/>
        <v>0</v>
      </c>
      <c r="E120" s="17">
        <f t="shared" si="3"/>
        <v>40451.020524833344</v>
      </c>
      <c r="F120" s="17">
        <f t="shared" si="4"/>
        <v>14033.878305416669</v>
      </c>
      <c r="G120" s="17">
        <f t="shared" si="5"/>
        <v>30117.431755471051</v>
      </c>
      <c r="H120" s="17">
        <f t="shared" si="6"/>
        <v>8507.3145621069634</v>
      </c>
      <c r="I120" s="17">
        <f t="shared" si="7"/>
        <v>0</v>
      </c>
      <c r="J120" s="17">
        <f t="shared" si="8"/>
        <v>19456.760003333333</v>
      </c>
      <c r="K120" s="17">
        <f t="shared" si="9"/>
        <v>14033.878305416669</v>
      </c>
      <c r="L120" s="17">
        <f t="shared" si="10"/>
        <v>26455.740137502824</v>
      </c>
      <c r="N120" s="10">
        <v>16</v>
      </c>
    </row>
    <row r="121" spans="2:14" x14ac:dyDescent="0.3">
      <c r="B121" s="21" t="str">
        <f t="shared" si="0"/>
        <v>CĐ I(a) max - 5 làn lệch tâm</v>
      </c>
      <c r="C121" s="17">
        <f t="shared" si="1"/>
        <v>12329.119330306921</v>
      </c>
      <c r="D121" s="17">
        <f t="shared" si="2"/>
        <v>0</v>
      </c>
      <c r="E121" s="17">
        <f t="shared" si="3"/>
        <v>41103.759050666675</v>
      </c>
      <c r="F121" s="17">
        <f t="shared" si="4"/>
        <v>12646.808938020837</v>
      </c>
      <c r="G121" s="17">
        <f t="shared" si="5"/>
        <v>30546.280966943552</v>
      </c>
      <c r="H121" s="17">
        <f t="shared" si="6"/>
        <v>8507.3145621069634</v>
      </c>
      <c r="I121" s="17">
        <f t="shared" si="7"/>
        <v>0</v>
      </c>
      <c r="J121" s="17">
        <f t="shared" si="8"/>
        <v>20109.498529166667</v>
      </c>
      <c r="K121" s="17">
        <f t="shared" si="9"/>
        <v>12646.808938020837</v>
      </c>
      <c r="L121" s="17">
        <f t="shared" si="10"/>
        <v>26656.130864933661</v>
      </c>
      <c r="N121" s="10">
        <v>17</v>
      </c>
    </row>
    <row r="122" spans="2:14" x14ac:dyDescent="0.3">
      <c r="B122" s="21" t="str">
        <f t="shared" si="0"/>
        <v>CĐ I(a) max - 6 làn lệch tâm</v>
      </c>
      <c r="C122" s="17">
        <f t="shared" si="1"/>
        <v>12329.119330306921</v>
      </c>
      <c r="D122" s="17">
        <f t="shared" si="2"/>
        <v>0</v>
      </c>
      <c r="E122" s="17">
        <f t="shared" si="3"/>
        <v>41756.497576500005</v>
      </c>
      <c r="F122" s="17">
        <f t="shared" si="4"/>
        <v>9301.5239931249998</v>
      </c>
      <c r="G122" s="17">
        <f t="shared" si="5"/>
        <v>30975.130178416046</v>
      </c>
      <c r="H122" s="17">
        <f t="shared" si="6"/>
        <v>8507.3145621069634</v>
      </c>
      <c r="I122" s="17">
        <f t="shared" si="7"/>
        <v>0</v>
      </c>
      <c r="J122" s="17">
        <f t="shared" si="8"/>
        <v>20762.237054999998</v>
      </c>
      <c r="K122" s="17">
        <f t="shared" si="9"/>
        <v>9301.5239931249998</v>
      </c>
      <c r="L122" s="17">
        <f t="shared" si="10"/>
        <v>26856.52159236449</v>
      </c>
      <c r="N122" s="10">
        <v>18</v>
      </c>
    </row>
    <row r="123" spans="2:14" x14ac:dyDescent="0.3">
      <c r="B123" s="21" t="str">
        <f t="shared" si="0"/>
        <v>CĐ I(a) max - 1 làn đúng tâm</v>
      </c>
      <c r="C123" s="17">
        <f t="shared" si="1"/>
        <v>12329.119330306921</v>
      </c>
      <c r="D123" s="17">
        <f t="shared" si="2"/>
        <v>0</v>
      </c>
      <c r="E123" s="17">
        <f t="shared" si="3"/>
        <v>39045.12216150001</v>
      </c>
      <c r="F123" s="17">
        <f t="shared" si="4"/>
        <v>0</v>
      </c>
      <c r="G123" s="17">
        <f t="shared" si="5"/>
        <v>29193.756530761049</v>
      </c>
      <c r="H123" s="17">
        <f t="shared" si="6"/>
        <v>8507.3145621069634</v>
      </c>
      <c r="I123" s="17">
        <f t="shared" si="7"/>
        <v>0</v>
      </c>
      <c r="J123" s="17">
        <f t="shared" si="8"/>
        <v>18050.861639999999</v>
      </c>
      <c r="K123" s="17">
        <f t="shared" si="9"/>
        <v>0</v>
      </c>
      <c r="L123" s="17">
        <f t="shared" si="10"/>
        <v>26024.129339959491</v>
      </c>
      <c r="N123" s="10">
        <v>19</v>
      </c>
    </row>
    <row r="124" spans="2:14" x14ac:dyDescent="0.3">
      <c r="B124" s="21" t="str">
        <f t="shared" si="0"/>
        <v>CĐ I(a) max - 2 làn đúng tâm</v>
      </c>
      <c r="C124" s="17">
        <f t="shared" si="1"/>
        <v>12329.119330306921</v>
      </c>
      <c r="D124" s="17">
        <f t="shared" si="2"/>
        <v>0</v>
      </c>
      <c r="E124" s="17">
        <f t="shared" si="3"/>
        <v>39848.492654833339</v>
      </c>
      <c r="F124" s="17">
        <f t="shared" si="4"/>
        <v>0</v>
      </c>
      <c r="G124" s="17">
        <f t="shared" si="5"/>
        <v>29721.570944881045</v>
      </c>
      <c r="H124" s="17">
        <f t="shared" si="6"/>
        <v>8507.3145621069634</v>
      </c>
      <c r="I124" s="17">
        <f t="shared" si="7"/>
        <v>0</v>
      </c>
      <c r="J124" s="17">
        <f t="shared" si="8"/>
        <v>18854.232133333331</v>
      </c>
      <c r="K124" s="17">
        <f t="shared" si="9"/>
        <v>0</v>
      </c>
      <c r="L124" s="17">
        <f t="shared" si="10"/>
        <v>26270.764081412824</v>
      </c>
      <c r="N124" s="10">
        <v>20</v>
      </c>
    </row>
    <row r="125" spans="2:14" x14ac:dyDescent="0.3">
      <c r="B125" s="21" t="str">
        <f t="shared" si="0"/>
        <v>CĐ I(a) max - 3 làn đúng tâm</v>
      </c>
      <c r="C125" s="17">
        <f t="shared" si="1"/>
        <v>12329.119330306921</v>
      </c>
      <c r="D125" s="17">
        <f t="shared" si="2"/>
        <v>0</v>
      </c>
      <c r="E125" s="17">
        <f t="shared" si="3"/>
        <v>40400.809869000004</v>
      </c>
      <c r="F125" s="17">
        <f t="shared" si="4"/>
        <v>0</v>
      </c>
      <c r="G125" s="17">
        <f t="shared" si="5"/>
        <v>30084.443354588548</v>
      </c>
      <c r="H125" s="17">
        <f t="shared" si="6"/>
        <v>8507.3145621069634</v>
      </c>
      <c r="I125" s="17">
        <f t="shared" si="7"/>
        <v>0</v>
      </c>
      <c r="J125" s="17">
        <f t="shared" si="8"/>
        <v>19406.5493475</v>
      </c>
      <c r="K125" s="17">
        <f t="shared" si="9"/>
        <v>0</v>
      </c>
      <c r="L125" s="17">
        <f t="shared" si="10"/>
        <v>26440.32546616199</v>
      </c>
      <c r="N125" s="10">
        <v>21</v>
      </c>
    </row>
    <row r="126" spans="2:14" x14ac:dyDescent="0.3">
      <c r="B126" s="21" t="str">
        <f t="shared" si="0"/>
        <v>CĐ I(a) max - 4 làn đúng tâm</v>
      </c>
      <c r="C126" s="17">
        <f t="shared" si="1"/>
        <v>12329.119330306921</v>
      </c>
      <c r="D126" s="17">
        <f t="shared" si="2"/>
        <v>0</v>
      </c>
      <c r="E126" s="17">
        <f t="shared" si="3"/>
        <v>40451.020524833344</v>
      </c>
      <c r="F126" s="17">
        <f t="shared" si="4"/>
        <v>0</v>
      </c>
      <c r="G126" s="17">
        <f t="shared" si="5"/>
        <v>30117.431755471051</v>
      </c>
      <c r="H126" s="17">
        <f t="shared" si="6"/>
        <v>8507.3145621069634</v>
      </c>
      <c r="I126" s="17">
        <f t="shared" si="7"/>
        <v>0</v>
      </c>
      <c r="J126" s="17">
        <f t="shared" si="8"/>
        <v>19456.760003333333</v>
      </c>
      <c r="K126" s="17">
        <f t="shared" si="9"/>
        <v>0</v>
      </c>
      <c r="L126" s="17">
        <f t="shared" si="10"/>
        <v>26455.740137502824</v>
      </c>
      <c r="N126" s="10">
        <v>22</v>
      </c>
    </row>
    <row r="127" spans="2:14" x14ac:dyDescent="0.3">
      <c r="B127" s="21" t="str">
        <f t="shared" si="0"/>
        <v>CĐ I(a) max - 5 làn đúng tâm</v>
      </c>
      <c r="C127" s="17">
        <f t="shared" si="1"/>
        <v>12329.119330306921</v>
      </c>
      <c r="D127" s="17">
        <f t="shared" si="2"/>
        <v>0</v>
      </c>
      <c r="E127" s="17">
        <f t="shared" si="3"/>
        <v>41103.759050666675</v>
      </c>
      <c r="F127" s="17">
        <f t="shared" si="4"/>
        <v>0</v>
      </c>
      <c r="G127" s="17">
        <f t="shared" si="5"/>
        <v>30546.280966943552</v>
      </c>
      <c r="H127" s="17">
        <f t="shared" si="6"/>
        <v>8507.3145621069634</v>
      </c>
      <c r="I127" s="17">
        <f t="shared" si="7"/>
        <v>0</v>
      </c>
      <c r="J127" s="17">
        <f t="shared" si="8"/>
        <v>20109.498529166667</v>
      </c>
      <c r="K127" s="17">
        <f t="shared" si="9"/>
        <v>0</v>
      </c>
      <c r="L127" s="17">
        <f t="shared" si="10"/>
        <v>26656.130864933661</v>
      </c>
      <c r="N127" s="10">
        <v>23</v>
      </c>
    </row>
    <row r="128" spans="2:14" x14ac:dyDescent="0.3">
      <c r="B128" s="21" t="str">
        <f t="shared" si="0"/>
        <v>CĐ I(a) max - 6 làn đúng tâm</v>
      </c>
      <c r="C128" s="17">
        <f t="shared" si="1"/>
        <v>12329.119330306921</v>
      </c>
      <c r="D128" s="17">
        <f t="shared" si="2"/>
        <v>0</v>
      </c>
      <c r="E128" s="17">
        <f t="shared" si="3"/>
        <v>41756.497576500005</v>
      </c>
      <c r="F128" s="17">
        <f t="shared" si="4"/>
        <v>0</v>
      </c>
      <c r="G128" s="17">
        <f t="shared" si="5"/>
        <v>30975.130178416046</v>
      </c>
      <c r="H128" s="17">
        <f t="shared" si="6"/>
        <v>8507.3145621069634</v>
      </c>
      <c r="I128" s="17">
        <f t="shared" si="7"/>
        <v>0</v>
      </c>
      <c r="J128" s="17">
        <f t="shared" si="8"/>
        <v>20762.237054999998</v>
      </c>
      <c r="K128" s="17">
        <f t="shared" si="9"/>
        <v>0</v>
      </c>
      <c r="L128" s="17">
        <f t="shared" si="10"/>
        <v>26856.52159236449</v>
      </c>
      <c r="N128" s="10">
        <v>24</v>
      </c>
    </row>
    <row r="129" spans="2:14" x14ac:dyDescent="0.3">
      <c r="B129" s="21" t="str">
        <f t="shared" si="0"/>
        <v>CĐ I(b) min - 1 làn</v>
      </c>
      <c r="C129" s="17">
        <f t="shared" si="1"/>
        <v>8264.2634899724017</v>
      </c>
      <c r="D129" s="17">
        <f t="shared" si="2"/>
        <v>0</v>
      </c>
      <c r="E129" s="17">
        <f t="shared" si="3"/>
        <v>28748.559334250003</v>
      </c>
      <c r="F129" s="17">
        <f t="shared" si="4"/>
        <v>11899.9254325</v>
      </c>
      <c r="G129" s="17">
        <f t="shared" si="5"/>
        <v>19724.388032266041</v>
      </c>
      <c r="H129" s="17">
        <f t="shared" si="6"/>
        <v>5854.4588429381174</v>
      </c>
      <c r="I129" s="17">
        <f t="shared" si="7"/>
        <v>0</v>
      </c>
      <c r="J129" s="17">
        <f t="shared" si="8"/>
        <v>13039.753931750001</v>
      </c>
      <c r="K129" s="17">
        <f t="shared" si="9"/>
        <v>11899.9254325</v>
      </c>
      <c r="L129" s="17">
        <f t="shared" si="10"/>
        <v>19187.159811196638</v>
      </c>
      <c r="N129" s="10">
        <v>25</v>
      </c>
    </row>
    <row r="130" spans="2:14" x14ac:dyDescent="0.3">
      <c r="B130" s="21" t="str">
        <f t="shared" si="0"/>
        <v>CĐ I(b) min - 2 làn</v>
      </c>
      <c r="C130" s="17">
        <f t="shared" si="1"/>
        <v>8264.2634899724017</v>
      </c>
      <c r="D130" s="17">
        <f t="shared" si="2"/>
        <v>0</v>
      </c>
      <c r="E130" s="17">
        <f t="shared" si="3"/>
        <v>29551.929827583335</v>
      </c>
      <c r="F130" s="17">
        <f t="shared" si="4"/>
        <v>16820.569704166668</v>
      </c>
      <c r="G130" s="17">
        <f t="shared" si="5"/>
        <v>20252.202446386043</v>
      </c>
      <c r="H130" s="17">
        <f t="shared" si="6"/>
        <v>5854.4588429381174</v>
      </c>
      <c r="I130" s="17">
        <f t="shared" si="7"/>
        <v>0</v>
      </c>
      <c r="J130" s="17">
        <f t="shared" si="8"/>
        <v>13843.124425083335</v>
      </c>
      <c r="K130" s="17">
        <f t="shared" si="9"/>
        <v>16820.569704166668</v>
      </c>
      <c r="L130" s="17">
        <f t="shared" si="10"/>
        <v>19433.794552649972</v>
      </c>
      <c r="N130" s="10">
        <v>26</v>
      </c>
    </row>
    <row r="131" spans="2:14" x14ac:dyDescent="0.3">
      <c r="B131" s="21" t="str">
        <f t="shared" si="0"/>
        <v>CĐ I(b) min - 3 làn</v>
      </c>
      <c r="C131" s="17">
        <f t="shared" si="1"/>
        <v>8264.2634899724017</v>
      </c>
      <c r="D131" s="17">
        <f t="shared" si="2"/>
        <v>0</v>
      </c>
      <c r="E131" s="17">
        <f t="shared" si="3"/>
        <v>30104.247041750004</v>
      </c>
      <c r="F131" s="17">
        <f t="shared" si="4"/>
        <v>17605.1112015625</v>
      </c>
      <c r="G131" s="17">
        <f t="shared" si="5"/>
        <v>20615.074856093546</v>
      </c>
      <c r="H131" s="17">
        <f t="shared" si="6"/>
        <v>5854.4588429381174</v>
      </c>
      <c r="I131" s="17">
        <f t="shared" si="7"/>
        <v>0</v>
      </c>
      <c r="J131" s="17">
        <f t="shared" si="8"/>
        <v>14395.441639250002</v>
      </c>
      <c r="K131" s="17">
        <f t="shared" si="9"/>
        <v>17605.1112015625</v>
      </c>
      <c r="L131" s="17">
        <f t="shared" si="10"/>
        <v>19603.355937399137</v>
      </c>
      <c r="N131" s="10">
        <v>27</v>
      </c>
    </row>
    <row r="132" spans="2:14" x14ac:dyDescent="0.3">
      <c r="B132" s="21" t="str">
        <f t="shared" si="0"/>
        <v>CĐ I(b) min - 4 làn</v>
      </c>
      <c r="C132" s="17">
        <f t="shared" si="1"/>
        <v>8264.2634899724017</v>
      </c>
      <c r="D132" s="17">
        <f t="shared" si="2"/>
        <v>0</v>
      </c>
      <c r="E132" s="17">
        <f t="shared" si="3"/>
        <v>30154.457697583337</v>
      </c>
      <c r="F132" s="17">
        <f t="shared" si="4"/>
        <v>14033.878305416669</v>
      </c>
      <c r="G132" s="17">
        <f t="shared" si="5"/>
        <v>20648.063256976042</v>
      </c>
      <c r="H132" s="17">
        <f t="shared" si="6"/>
        <v>5854.4588429381174</v>
      </c>
      <c r="I132" s="17">
        <f t="shared" si="7"/>
        <v>0</v>
      </c>
      <c r="J132" s="17">
        <f t="shared" si="8"/>
        <v>14445.652295083335</v>
      </c>
      <c r="K132" s="17">
        <f t="shared" si="9"/>
        <v>14033.878305416669</v>
      </c>
      <c r="L132" s="17">
        <f t="shared" si="10"/>
        <v>19618.770608739971</v>
      </c>
      <c r="N132" s="10">
        <v>28</v>
      </c>
    </row>
    <row r="133" spans="2:14" x14ac:dyDescent="0.3">
      <c r="B133" s="21" t="str">
        <f t="shared" si="0"/>
        <v>CĐ I(b) min - 5 làn</v>
      </c>
      <c r="C133" s="17">
        <f t="shared" si="1"/>
        <v>8264.2634899724017</v>
      </c>
      <c r="D133" s="17">
        <f t="shared" si="2"/>
        <v>0</v>
      </c>
      <c r="E133" s="17">
        <f t="shared" si="3"/>
        <v>30807.196223416671</v>
      </c>
      <c r="F133" s="17">
        <f t="shared" si="4"/>
        <v>12646.808938020837</v>
      </c>
      <c r="G133" s="17">
        <f t="shared" si="5"/>
        <v>21076.912468448543</v>
      </c>
      <c r="H133" s="17">
        <f t="shared" si="6"/>
        <v>5854.4588429381174</v>
      </c>
      <c r="I133" s="17">
        <f t="shared" si="7"/>
        <v>0</v>
      </c>
      <c r="J133" s="17">
        <f t="shared" si="8"/>
        <v>15098.390820916669</v>
      </c>
      <c r="K133" s="17">
        <f t="shared" si="9"/>
        <v>12646.808938020837</v>
      </c>
      <c r="L133" s="17">
        <f t="shared" si="10"/>
        <v>19819.161336170804</v>
      </c>
      <c r="N133" s="10">
        <v>29</v>
      </c>
    </row>
    <row r="134" spans="2:14" x14ac:dyDescent="0.3">
      <c r="B134" s="21" t="str">
        <f t="shared" si="0"/>
        <v>CĐ I(b) min - 6 làn</v>
      </c>
      <c r="C134" s="17">
        <f t="shared" si="1"/>
        <v>8264.2634899724017</v>
      </c>
      <c r="D134" s="17">
        <f t="shared" si="2"/>
        <v>0</v>
      </c>
      <c r="E134" s="17">
        <f t="shared" si="3"/>
        <v>31459.934749250002</v>
      </c>
      <c r="F134" s="17">
        <f t="shared" si="4"/>
        <v>9301.5239931249998</v>
      </c>
      <c r="G134" s="17">
        <f t="shared" si="5"/>
        <v>21505.761679921045</v>
      </c>
      <c r="H134" s="17">
        <f t="shared" si="6"/>
        <v>5854.4588429381174</v>
      </c>
      <c r="I134" s="17">
        <f t="shared" si="7"/>
        <v>0</v>
      </c>
      <c r="J134" s="17">
        <f t="shared" si="8"/>
        <v>15751.129346750002</v>
      </c>
      <c r="K134" s="17">
        <f t="shared" si="9"/>
        <v>9301.5239931249998</v>
      </c>
      <c r="L134" s="17">
        <f t="shared" si="10"/>
        <v>20019.552063601637</v>
      </c>
      <c r="N134" s="10">
        <v>30</v>
      </c>
    </row>
    <row r="135" spans="2:14" x14ac:dyDescent="0.3">
      <c r="B135" s="21" t="str">
        <f t="shared" si="0"/>
        <v>CĐ III(a) max</v>
      </c>
      <c r="C135" s="17">
        <f t="shared" si="1"/>
        <v>10847.230112747389</v>
      </c>
      <c r="D135" s="17">
        <f t="shared" si="2"/>
        <v>248.19296264437506</v>
      </c>
      <c r="E135" s="17">
        <f t="shared" si="3"/>
        <v>35921.860520415627</v>
      </c>
      <c r="F135" s="17">
        <f t="shared" si="4"/>
        <v>2051.8560872193439</v>
      </c>
      <c r="G135" s="17">
        <f t="shared" si="5"/>
        <v>23227.136237525545</v>
      </c>
      <c r="H135" s="17">
        <f t="shared" si="6"/>
        <v>7317.2298098332049</v>
      </c>
      <c r="I135" s="17">
        <f t="shared" si="7"/>
        <v>248.19296264437506</v>
      </c>
      <c r="J135" s="17">
        <f t="shared" si="8"/>
        <v>16158.238061415625</v>
      </c>
      <c r="K135" s="17">
        <f t="shared" si="9"/>
        <v>1605.1087544594686</v>
      </c>
      <c r="L135" s="17">
        <f t="shared" si="10"/>
        <v>21094.151068953473</v>
      </c>
      <c r="N135" s="10">
        <v>31</v>
      </c>
    </row>
    <row r="136" spans="2:14" x14ac:dyDescent="0.3">
      <c r="B136" s="21" t="str">
        <f t="shared" si="0"/>
        <v>CĐ III(b) min</v>
      </c>
      <c r="C136" s="17">
        <f t="shared" si="1"/>
        <v>6782.3742724128715</v>
      </c>
      <c r="D136" s="17">
        <f t="shared" si="2"/>
        <v>248.19296264437506</v>
      </c>
      <c r="E136" s="17">
        <f t="shared" si="3"/>
        <v>25625.29769316563</v>
      </c>
      <c r="F136" s="17">
        <f t="shared" si="4"/>
        <v>2051.8560872193439</v>
      </c>
      <c r="G136" s="17">
        <f t="shared" si="5"/>
        <v>13757.767739030538</v>
      </c>
      <c r="H136" s="17">
        <f t="shared" si="6"/>
        <v>4664.3740906643607</v>
      </c>
      <c r="I136" s="17">
        <f t="shared" si="7"/>
        <v>248.19296264437506</v>
      </c>
      <c r="J136" s="17">
        <f t="shared" si="8"/>
        <v>11147.130353165627</v>
      </c>
      <c r="K136" s="17">
        <f t="shared" si="9"/>
        <v>1605.1087544594686</v>
      </c>
      <c r="L136" s="17">
        <f t="shared" si="10"/>
        <v>14257.181540190624</v>
      </c>
      <c r="N136" s="10">
        <v>32</v>
      </c>
    </row>
    <row r="137" spans="2:14" x14ac:dyDescent="0.3">
      <c r="B137" s="21" t="str">
        <f t="shared" si="0"/>
        <v>CĐ V(a) max - 1 làn</v>
      </c>
      <c r="C137" s="17">
        <f t="shared" si="1"/>
        <v>12002.983343856491</v>
      </c>
      <c r="D137" s="17">
        <f t="shared" si="2"/>
        <v>98.695120000000003</v>
      </c>
      <c r="E137" s="17">
        <f t="shared" si="3"/>
        <v>38488.392149500003</v>
      </c>
      <c r="F137" s="17">
        <f t="shared" si="4"/>
        <v>10076.6091677</v>
      </c>
      <c r="G137" s="17">
        <f t="shared" si="5"/>
        <v>28070.837063743238</v>
      </c>
      <c r="H137" s="17">
        <f t="shared" si="6"/>
        <v>8247.8767391504243</v>
      </c>
      <c r="I137" s="17">
        <f t="shared" si="7"/>
        <v>98.695120000000003</v>
      </c>
      <c r="J137" s="17">
        <f t="shared" si="8"/>
        <v>17775.420328</v>
      </c>
      <c r="K137" s="17">
        <f t="shared" si="9"/>
        <v>9898.9579517000002</v>
      </c>
      <c r="L137" s="17">
        <f t="shared" si="10"/>
        <v>25060.504405607957</v>
      </c>
      <c r="N137" s="10">
        <v>33</v>
      </c>
    </row>
    <row r="138" spans="2:14" x14ac:dyDescent="0.3">
      <c r="B138" s="21" t="str">
        <f t="shared" si="0"/>
        <v>CĐ V(a) max - 2 làn</v>
      </c>
      <c r="C138" s="17">
        <f t="shared" si="1"/>
        <v>12002.983343856491</v>
      </c>
      <c r="D138" s="17">
        <f t="shared" si="2"/>
        <v>98.695120000000003</v>
      </c>
      <c r="E138" s="17">
        <f t="shared" si="3"/>
        <v>39108.135101500004</v>
      </c>
      <c r="F138" s="17">
        <f t="shared" si="4"/>
        <v>13872.534748700002</v>
      </c>
      <c r="G138" s="17">
        <f t="shared" si="5"/>
        <v>28478.008183207239</v>
      </c>
      <c r="H138" s="17">
        <f t="shared" si="6"/>
        <v>8247.8767391504243</v>
      </c>
      <c r="I138" s="17">
        <f t="shared" si="7"/>
        <v>98.695120000000003</v>
      </c>
      <c r="J138" s="17">
        <f t="shared" si="8"/>
        <v>18395.163280000001</v>
      </c>
      <c r="K138" s="17">
        <f t="shared" si="9"/>
        <v>13694.883532700003</v>
      </c>
      <c r="L138" s="17">
        <f t="shared" si="10"/>
        <v>25250.765491871956</v>
      </c>
      <c r="N138" s="10">
        <v>34</v>
      </c>
    </row>
    <row r="139" spans="2:14" x14ac:dyDescent="0.3">
      <c r="B139" s="21" t="str">
        <f t="shared" si="0"/>
        <v>CĐ V(a) max - 3 làn</v>
      </c>
      <c r="C139" s="17">
        <f t="shared" si="1"/>
        <v>12002.983343856491</v>
      </c>
      <c r="D139" s="17">
        <f t="shared" si="2"/>
        <v>98.695120000000003</v>
      </c>
      <c r="E139" s="17">
        <f t="shared" si="3"/>
        <v>39534.208381000004</v>
      </c>
      <c r="F139" s="17">
        <f t="shared" si="4"/>
        <v>14477.752475262501</v>
      </c>
      <c r="G139" s="17">
        <f t="shared" si="5"/>
        <v>28757.938327838739</v>
      </c>
      <c r="H139" s="17">
        <f t="shared" si="6"/>
        <v>8247.8767391504243</v>
      </c>
      <c r="I139" s="17">
        <f t="shared" si="7"/>
        <v>98.695120000000003</v>
      </c>
      <c r="J139" s="17">
        <f t="shared" si="8"/>
        <v>18821.236559500001</v>
      </c>
      <c r="K139" s="17">
        <f t="shared" si="9"/>
        <v>14300.101259262503</v>
      </c>
      <c r="L139" s="17">
        <f t="shared" si="10"/>
        <v>25381.569988678457</v>
      </c>
      <c r="N139" s="10">
        <v>35</v>
      </c>
    </row>
    <row r="140" spans="2:14" x14ac:dyDescent="0.3">
      <c r="B140" s="21" t="str">
        <f t="shared" si="0"/>
        <v>CĐ V(a) max - 4 làn</v>
      </c>
      <c r="C140" s="17">
        <f t="shared" si="1"/>
        <v>12002.983343856491</v>
      </c>
      <c r="D140" s="17">
        <f t="shared" si="2"/>
        <v>98.695120000000003</v>
      </c>
      <c r="E140" s="17">
        <f t="shared" si="3"/>
        <v>39572.942315500004</v>
      </c>
      <c r="F140" s="17">
        <f t="shared" si="4"/>
        <v>11722.801383950002</v>
      </c>
      <c r="G140" s="17">
        <f t="shared" si="5"/>
        <v>28783.386522805238</v>
      </c>
      <c r="H140" s="17">
        <f t="shared" si="6"/>
        <v>8247.8767391504243</v>
      </c>
      <c r="I140" s="17">
        <f t="shared" si="7"/>
        <v>98.695120000000003</v>
      </c>
      <c r="J140" s="17">
        <f t="shared" si="8"/>
        <v>18859.970494000001</v>
      </c>
      <c r="K140" s="17">
        <f t="shared" si="9"/>
        <v>11545.150167950002</v>
      </c>
      <c r="L140" s="17">
        <f t="shared" si="10"/>
        <v>25393.461306569956</v>
      </c>
      <c r="N140" s="10">
        <v>36</v>
      </c>
    </row>
    <row r="141" spans="2:14" x14ac:dyDescent="0.3">
      <c r="B141" s="21" t="str">
        <f t="shared" si="0"/>
        <v>CĐ V(a) max - 5 làn</v>
      </c>
      <c r="C141" s="17">
        <f t="shared" si="1"/>
        <v>12002.983343856491</v>
      </c>
      <c r="D141" s="17">
        <f t="shared" si="2"/>
        <v>98.695120000000003</v>
      </c>
      <c r="E141" s="17">
        <f t="shared" si="3"/>
        <v>40076.483464000004</v>
      </c>
      <c r="F141" s="17">
        <f t="shared" si="4"/>
        <v>10652.776443387504</v>
      </c>
      <c r="G141" s="17">
        <f t="shared" si="5"/>
        <v>29114.213057369743</v>
      </c>
      <c r="H141" s="17">
        <f t="shared" si="6"/>
        <v>8247.8767391504243</v>
      </c>
      <c r="I141" s="17">
        <f t="shared" si="7"/>
        <v>98.695120000000003</v>
      </c>
      <c r="J141" s="17">
        <f t="shared" si="8"/>
        <v>19363.511642500001</v>
      </c>
      <c r="K141" s="17">
        <f t="shared" si="9"/>
        <v>10475.125227387505</v>
      </c>
      <c r="L141" s="17">
        <f t="shared" si="10"/>
        <v>25548.048439159455</v>
      </c>
      <c r="N141" s="10">
        <v>37</v>
      </c>
    </row>
    <row r="142" spans="2:14" x14ac:dyDescent="0.3">
      <c r="B142" s="21" t="str">
        <f t="shared" si="0"/>
        <v>CĐ V(a) max - 6 làn</v>
      </c>
      <c r="C142" s="17">
        <f t="shared" si="1"/>
        <v>12002.983343856491</v>
      </c>
      <c r="D142" s="17">
        <f t="shared" si="2"/>
        <v>98.695120000000003</v>
      </c>
      <c r="E142" s="17">
        <f t="shared" si="3"/>
        <v>40580.024612500005</v>
      </c>
      <c r="F142" s="17">
        <f t="shared" si="4"/>
        <v>8072.1280573250006</v>
      </c>
      <c r="G142" s="17">
        <f t="shared" si="5"/>
        <v>29445.039591934241</v>
      </c>
      <c r="H142" s="17">
        <f t="shared" si="6"/>
        <v>8247.8767391504243</v>
      </c>
      <c r="I142" s="17">
        <f t="shared" si="7"/>
        <v>98.695120000000003</v>
      </c>
      <c r="J142" s="17">
        <f t="shared" si="8"/>
        <v>19867.052790999998</v>
      </c>
      <c r="K142" s="17">
        <f t="shared" si="9"/>
        <v>7894.4768413250004</v>
      </c>
      <c r="L142" s="17">
        <f t="shared" si="10"/>
        <v>25702.635571748957</v>
      </c>
      <c r="N142" s="10">
        <v>38</v>
      </c>
    </row>
    <row r="143" spans="2:14" x14ac:dyDescent="0.3">
      <c r="B143" s="21" t="str">
        <f t="shared" si="0"/>
        <v>CĐ V(b) min - 1 làn</v>
      </c>
      <c r="C143" s="17">
        <f t="shared" si="1"/>
        <v>7938.1275035219733</v>
      </c>
      <c r="D143" s="17">
        <f t="shared" si="2"/>
        <v>98.695120000000003</v>
      </c>
      <c r="E143" s="17">
        <f t="shared" si="3"/>
        <v>28191.829322250007</v>
      </c>
      <c r="F143" s="17">
        <f t="shared" si="4"/>
        <v>10076.6091677</v>
      </c>
      <c r="G143" s="17">
        <f t="shared" si="5"/>
        <v>18601.468565248237</v>
      </c>
      <c r="H143" s="17">
        <f t="shared" si="6"/>
        <v>5595.0210199815792</v>
      </c>
      <c r="I143" s="17">
        <f t="shared" si="7"/>
        <v>98.695120000000003</v>
      </c>
      <c r="J143" s="17">
        <f t="shared" si="8"/>
        <v>12764.312619750002</v>
      </c>
      <c r="K143" s="17">
        <f t="shared" si="9"/>
        <v>9898.9579517000002</v>
      </c>
      <c r="L143" s="17">
        <f t="shared" si="10"/>
        <v>18223.5348768451</v>
      </c>
      <c r="N143" s="10">
        <v>39</v>
      </c>
    </row>
    <row r="144" spans="2:14" x14ac:dyDescent="0.3">
      <c r="B144" s="21" t="str">
        <f t="shared" si="0"/>
        <v>CĐ V(b) min - 2 làn</v>
      </c>
      <c r="C144" s="17">
        <f t="shared" si="1"/>
        <v>7938.1275035219733</v>
      </c>
      <c r="D144" s="17">
        <f t="shared" si="2"/>
        <v>98.695120000000003</v>
      </c>
      <c r="E144" s="17">
        <f t="shared" si="3"/>
        <v>28811.572274250007</v>
      </c>
      <c r="F144" s="17">
        <f t="shared" si="4"/>
        <v>13872.534748700002</v>
      </c>
      <c r="G144" s="17">
        <f t="shared" si="5"/>
        <v>19008.639684712238</v>
      </c>
      <c r="H144" s="17">
        <f t="shared" si="6"/>
        <v>5595.0210199815792</v>
      </c>
      <c r="I144" s="17">
        <f t="shared" si="7"/>
        <v>98.695120000000003</v>
      </c>
      <c r="J144" s="17">
        <f t="shared" si="8"/>
        <v>13384.055571750003</v>
      </c>
      <c r="K144" s="17">
        <f t="shared" si="9"/>
        <v>13694.883532700003</v>
      </c>
      <c r="L144" s="17">
        <f t="shared" si="10"/>
        <v>18413.7959631091</v>
      </c>
      <c r="N144" s="10">
        <v>40</v>
      </c>
    </row>
    <row r="145" spans="2:14" x14ac:dyDescent="0.3">
      <c r="B145" s="21" t="str">
        <f t="shared" si="0"/>
        <v>CĐ V(b) min - 3 làn</v>
      </c>
      <c r="C145" s="17">
        <f t="shared" si="1"/>
        <v>7938.1275035219733</v>
      </c>
      <c r="D145" s="17">
        <f t="shared" si="2"/>
        <v>98.695120000000003</v>
      </c>
      <c r="E145" s="17">
        <f t="shared" si="3"/>
        <v>29237.645553750008</v>
      </c>
      <c r="F145" s="17">
        <f t="shared" si="4"/>
        <v>14477.752475262501</v>
      </c>
      <c r="G145" s="17">
        <f t="shared" si="5"/>
        <v>19288.569829343738</v>
      </c>
      <c r="H145" s="17">
        <f t="shared" si="6"/>
        <v>5595.0210199815792</v>
      </c>
      <c r="I145" s="17">
        <f t="shared" si="7"/>
        <v>98.695120000000003</v>
      </c>
      <c r="J145" s="17">
        <f t="shared" si="8"/>
        <v>13810.128851250001</v>
      </c>
      <c r="K145" s="17">
        <f t="shared" si="9"/>
        <v>14300.101259262503</v>
      </c>
      <c r="L145" s="17">
        <f t="shared" si="10"/>
        <v>18544.6004599156</v>
      </c>
      <c r="N145" s="10">
        <v>41</v>
      </c>
    </row>
    <row r="146" spans="2:14" x14ac:dyDescent="0.3">
      <c r="B146" s="21" t="str">
        <f t="shared" si="0"/>
        <v>CĐ V(b) min - 4 làn</v>
      </c>
      <c r="C146" s="17">
        <f t="shared" si="1"/>
        <v>7938.1275035219733</v>
      </c>
      <c r="D146" s="17">
        <f t="shared" si="2"/>
        <v>98.695120000000003</v>
      </c>
      <c r="E146" s="17">
        <f t="shared" si="3"/>
        <v>29276.379488250008</v>
      </c>
      <c r="F146" s="17">
        <f t="shared" si="4"/>
        <v>11722.801383950002</v>
      </c>
      <c r="G146" s="17">
        <f t="shared" si="5"/>
        <v>19314.018024310237</v>
      </c>
      <c r="H146" s="17">
        <f t="shared" si="6"/>
        <v>5595.0210199815792</v>
      </c>
      <c r="I146" s="17">
        <f t="shared" si="7"/>
        <v>98.695120000000003</v>
      </c>
      <c r="J146" s="17">
        <f t="shared" si="8"/>
        <v>13848.862785750001</v>
      </c>
      <c r="K146" s="17">
        <f t="shared" si="9"/>
        <v>11545.150167950002</v>
      </c>
      <c r="L146" s="17">
        <f t="shared" si="10"/>
        <v>18556.491777807099</v>
      </c>
      <c r="N146" s="10">
        <v>42</v>
      </c>
    </row>
    <row r="147" spans="2:14" x14ac:dyDescent="0.3">
      <c r="B147" s="21" t="str">
        <f t="shared" si="0"/>
        <v>CĐ V(b) min - 5 làn</v>
      </c>
      <c r="C147" s="17">
        <f t="shared" si="1"/>
        <v>7938.1275035219733</v>
      </c>
      <c r="D147" s="17">
        <f t="shared" si="2"/>
        <v>98.695120000000003</v>
      </c>
      <c r="E147" s="17">
        <f t="shared" si="3"/>
        <v>29779.920636750008</v>
      </c>
      <c r="F147" s="17">
        <f t="shared" si="4"/>
        <v>10652.776443387504</v>
      </c>
      <c r="G147" s="17">
        <f t="shared" si="5"/>
        <v>19644.844558874735</v>
      </c>
      <c r="H147" s="17">
        <f t="shared" si="6"/>
        <v>5595.0210199815792</v>
      </c>
      <c r="I147" s="17">
        <f t="shared" si="7"/>
        <v>98.695120000000003</v>
      </c>
      <c r="J147" s="17">
        <f t="shared" si="8"/>
        <v>14352.403934250002</v>
      </c>
      <c r="K147" s="17">
        <f t="shared" si="9"/>
        <v>10475.125227387505</v>
      </c>
      <c r="L147" s="17">
        <f t="shared" si="10"/>
        <v>18711.078910396602</v>
      </c>
      <c r="N147" s="10">
        <v>43</v>
      </c>
    </row>
    <row r="148" spans="2:14" x14ac:dyDescent="0.3">
      <c r="B148" s="21" t="str">
        <f t="shared" si="0"/>
        <v>CĐ V(b) min - 6 làn</v>
      </c>
      <c r="C148" s="17">
        <f t="shared" si="1"/>
        <v>7938.1275035219733</v>
      </c>
      <c r="D148" s="17">
        <f t="shared" si="2"/>
        <v>98.695120000000003</v>
      </c>
      <c r="E148" s="17">
        <f t="shared" si="3"/>
        <v>30283.461785250005</v>
      </c>
      <c r="F148" s="17">
        <f t="shared" si="4"/>
        <v>8072.1280573250006</v>
      </c>
      <c r="G148" s="17">
        <f t="shared" si="5"/>
        <v>19975.671093439239</v>
      </c>
      <c r="H148" s="17">
        <f t="shared" si="6"/>
        <v>5595.0210199815792</v>
      </c>
      <c r="I148" s="17">
        <f t="shared" si="7"/>
        <v>98.695120000000003</v>
      </c>
      <c r="J148" s="17">
        <f t="shared" si="8"/>
        <v>14855.945082750002</v>
      </c>
      <c r="K148" s="17">
        <f t="shared" si="9"/>
        <v>7894.4768413250004</v>
      </c>
      <c r="L148" s="17">
        <f t="shared" si="10"/>
        <v>18865.6660429861</v>
      </c>
      <c r="N148" s="10">
        <v>44</v>
      </c>
    </row>
    <row r="149" spans="2:14" ht="27.6" x14ac:dyDescent="0.3">
      <c r="B149" s="21" t="str">
        <f t="shared" si="0"/>
        <v>ĐB I — LEGACY +100X +30Y (xem đủ 8 nhánh tại TO HOP EQ)</v>
      </c>
      <c r="C149" s="17">
        <f t="shared" si="1"/>
        <v>14466.422314473808</v>
      </c>
      <c r="D149" s="17">
        <f t="shared" si="2"/>
        <v>1421.1011235820001</v>
      </c>
      <c r="E149" s="17">
        <f t="shared" si="3"/>
        <v>31382.252095000007</v>
      </c>
      <c r="F149" s="17">
        <f t="shared" si="4"/>
        <v>11872.357911644445</v>
      </c>
      <c r="G149" s="17">
        <f t="shared" si="5"/>
        <v>49526.230404038251</v>
      </c>
      <c r="H149" s="17">
        <f t="shared" si="6"/>
        <v>9720.5617524257177</v>
      </c>
      <c r="I149" s="17">
        <f t="shared" si="7"/>
        <v>903.27760058200022</v>
      </c>
      <c r="J149" s="17">
        <f t="shared" si="8"/>
        <v>15577.730005000001</v>
      </c>
      <c r="K149" s="17">
        <f t="shared" si="9"/>
        <v>9780.4170598968449</v>
      </c>
      <c r="L149" s="17">
        <f t="shared" si="10"/>
        <v>37130.619614203046</v>
      </c>
      <c r="N149" s="10">
        <v>45</v>
      </c>
    </row>
    <row r="150" spans="2:14" ht="27.6" x14ac:dyDescent="0.3">
      <c r="B150" s="21" t="str">
        <f t="shared" si="0"/>
        <v>ĐB I — LEGACY +100Y +30X (xem đủ 8 nhánh tại TO HOP EQ)</v>
      </c>
      <c r="C150" s="17">
        <f t="shared" si="1"/>
        <v>10143.540280228997</v>
      </c>
      <c r="D150" s="17">
        <f t="shared" si="2"/>
        <v>4737.0037452733341</v>
      </c>
      <c r="E150" s="17">
        <f t="shared" si="3"/>
        <v>31382.252095000007</v>
      </c>
      <c r="F150" s="17">
        <f t="shared" si="4"/>
        <v>27172.49438131482</v>
      </c>
      <c r="G150" s="17">
        <f t="shared" si="5"/>
        <v>29509.40236596738</v>
      </c>
      <c r="H150" s="17">
        <f t="shared" si="6"/>
        <v>6955.7268508069737</v>
      </c>
      <c r="I150" s="17">
        <f t="shared" si="7"/>
        <v>3010.925335273334</v>
      </c>
      <c r="J150" s="17">
        <f t="shared" si="8"/>
        <v>15577.730005000001</v>
      </c>
      <c r="K150" s="17">
        <f t="shared" si="9"/>
        <v>20199.358208822814</v>
      </c>
      <c r="L150" s="17">
        <f t="shared" si="10"/>
        <v>24224.882225623758</v>
      </c>
      <c r="N150" s="10">
        <v>46</v>
      </c>
    </row>
    <row r="152" spans="2:14" x14ac:dyDescent="0.3">
      <c r="B152" s="6" t="s">
        <v>491</v>
      </c>
    </row>
    <row r="153" spans="2:14" x14ac:dyDescent="0.3">
      <c r="B153" s="18" t="s">
        <v>492</v>
      </c>
      <c r="C153" s="18" t="s">
        <v>402</v>
      </c>
      <c r="D153" s="18" t="s">
        <v>403</v>
      </c>
      <c r="E153" s="18" t="s">
        <v>404</v>
      </c>
      <c r="F153" s="18" t="s">
        <v>405</v>
      </c>
      <c r="G153" s="18" t="s">
        <v>406</v>
      </c>
      <c r="H153" s="18" t="s">
        <v>407</v>
      </c>
      <c r="I153" s="18" t="s">
        <v>408</v>
      </c>
      <c r="J153" s="18" t="s">
        <v>409</v>
      </c>
      <c r="K153" s="18" t="s">
        <v>410</v>
      </c>
      <c r="L153" s="18" t="s">
        <v>411</v>
      </c>
    </row>
    <row r="154" spans="2:14" x14ac:dyDescent="0.3">
      <c r="B154" s="22" t="s">
        <v>493</v>
      </c>
      <c r="C154" s="23">
        <f>MAX(C$105:C$116,'TO HOP NLAN'!B$6:B$73)</f>
        <v>8309.2459762669332</v>
      </c>
      <c r="D154" s="23">
        <f>MAX(D$105:D$116,'TO HOP NLAN'!C$6:C$73)</f>
        <v>80.992840000000001</v>
      </c>
      <c r="E154" s="23">
        <f>MAX(E$105:E$116,'TO HOP NLAN'!D$6:D$73)</f>
        <v>31382.252095000007</v>
      </c>
      <c r="F154" s="23">
        <f>MAX(F$105:F$116,'TO HOP NLAN'!E$6:E$73)</f>
        <v>10810.421274150001</v>
      </c>
      <c r="G154" s="23">
        <f>MAX(G$105:G$116,'TO HOP NLAN'!F$6:F$73)</f>
        <v>21124.987830297723</v>
      </c>
      <c r="H154" s="23">
        <f>MAX(H$105:H$116,'TO HOP NLAN'!G$6:G$73)</f>
        <v>5789.167032256084</v>
      </c>
      <c r="I154" s="23">
        <f>MAX(I$105:I$116,'TO HOP NLAN'!H$6:H$73)</f>
        <v>80.992840000000001</v>
      </c>
      <c r="J154" s="23">
        <f>MAX(J$105:J$116,'TO HOP NLAN'!I$6:I$73)</f>
        <v>15577.730005000001</v>
      </c>
      <c r="K154" s="23">
        <f>MAX(K$105:K$116,'TO HOP NLAN'!J$6:J$73)</f>
        <v>10664.634162150001</v>
      </c>
      <c r="L154" s="23">
        <f>MAX(L$105:L$116,'TO HOP NLAN'!K$6:K$73)</f>
        <v>18855.013003307631</v>
      </c>
    </row>
    <row r="155" spans="2:14" x14ac:dyDescent="0.3">
      <c r="B155" s="22" t="s">
        <v>494</v>
      </c>
      <c r="C155" s="23">
        <f>MIN(C$105:C$116,'TO HOP NLAN'!B$6:B$73)</f>
        <v>8309.2459762669332</v>
      </c>
      <c r="D155" s="23">
        <f>MIN(D$105:D$116,'TO HOP NLAN'!C$6:C$73)</f>
        <v>80.992840000000001</v>
      </c>
      <c r="E155" s="23">
        <f>MIN(E$105:E$116,'TO HOP NLAN'!D$6:D$73)</f>
        <v>29832.894715000006</v>
      </c>
      <c r="F155" s="23">
        <f>MIN(F$105:F$116,'TO HOP NLAN'!E$6:E$73)</f>
        <v>750.35773040000026</v>
      </c>
      <c r="G155" s="23">
        <f>MIN(G$105:G$116,'TO HOP NLAN'!F$6:F$73)</f>
        <v>20107.060031637724</v>
      </c>
      <c r="H155" s="23">
        <f>MIN(H$105:H$116,'TO HOP NLAN'!G$6:G$73)</f>
        <v>5789.167032256084</v>
      </c>
      <c r="I155" s="23">
        <f>MIN(I$105:I$116,'TO HOP NLAN'!H$6:H$73)</f>
        <v>80.992840000000001</v>
      </c>
      <c r="J155" s="23">
        <f>MIN(J$105:J$116,'TO HOP NLAN'!I$6:I$73)</f>
        <v>14028.372625</v>
      </c>
      <c r="K155" s="23">
        <f>MIN(K$105:K$116,'TO HOP NLAN'!J$6:J$73)</f>
        <v>604.57061840000006</v>
      </c>
      <c r="L155" s="23">
        <f>MIN(L$105:L$116,'TO HOP NLAN'!K$6:K$73)</f>
        <v>18379.360287647633</v>
      </c>
    </row>
    <row r="156" spans="2:14" ht="27.6" x14ac:dyDescent="0.3">
      <c r="B156" s="22" t="s">
        <v>495</v>
      </c>
      <c r="C156" s="23">
        <f>MAX(C$117:C$148,'TO HOP NLAN'!B$74:B$243)</f>
        <v>12329.119330306921</v>
      </c>
      <c r="D156" s="23">
        <f>MAX(D$117:D$148,'TO HOP NLAN'!C$74:C$243)</f>
        <v>248.19296264437506</v>
      </c>
      <c r="E156" s="23">
        <f>MAX(E$117:E$148,'TO HOP NLAN'!D$74:D$243)</f>
        <v>41756.497576500005</v>
      </c>
      <c r="F156" s="23">
        <f>MAX(F$117:F$148,'TO HOP NLAN'!E$74:E$243)</f>
        <v>17605.1112015625</v>
      </c>
      <c r="G156" s="23">
        <f>MAX(G$117:G$148,'TO HOP NLAN'!F$74:F$243)</f>
        <v>30975.130178416046</v>
      </c>
      <c r="H156" s="23">
        <f>MAX(H$117:H$148,'TO HOP NLAN'!G$74:G$243)</f>
        <v>8507.3145621069634</v>
      </c>
      <c r="I156" s="23">
        <f>MAX(I$117:I$148,'TO HOP NLAN'!H$74:H$243)</f>
        <v>248.19296264437506</v>
      </c>
      <c r="J156" s="23">
        <f>MAX(J$117:J$148,'TO HOP NLAN'!I$74:I$243)</f>
        <v>20762.237054999998</v>
      </c>
      <c r="K156" s="23">
        <f>MAX(K$117:K$148,'TO HOP NLAN'!J$74:J$243)</f>
        <v>17605.1112015625</v>
      </c>
      <c r="L156" s="23">
        <f>MAX(L$117:L$148,'TO HOP NLAN'!K$74:K$243)</f>
        <v>26856.52159236449</v>
      </c>
    </row>
    <row r="157" spans="2:14" x14ac:dyDescent="0.3">
      <c r="B157" s="22" t="s">
        <v>496</v>
      </c>
      <c r="C157" s="23">
        <f>MIN(C$117:C$148,'TO HOP NLAN'!B$74:B$243)</f>
        <v>6782.3742724128715</v>
      </c>
      <c r="D157" s="23">
        <f>MIN(D$117:D$148,'TO HOP NLAN'!C$74:C$243)</f>
        <v>0</v>
      </c>
      <c r="E157" s="23">
        <f>MIN(E$117:E$148,'TO HOP NLAN'!D$74:D$243)</f>
        <v>25625.29769316563</v>
      </c>
      <c r="F157" s="23">
        <f>MIN(F$117:F$148,'TO HOP NLAN'!E$74:E$243)</f>
        <v>0</v>
      </c>
      <c r="G157" s="23">
        <f>MIN(G$117:G$148,'TO HOP NLAN'!F$74:F$243)</f>
        <v>13757.767739030538</v>
      </c>
      <c r="H157" s="23">
        <f>MIN(H$117:H$148,'TO HOP NLAN'!G$74:G$243)</f>
        <v>4664.3740906643607</v>
      </c>
      <c r="I157" s="23">
        <f>MIN(I$117:I$148,'TO HOP NLAN'!H$74:H$243)</f>
        <v>0</v>
      </c>
      <c r="J157" s="23">
        <f>MIN(J$117:J$148,'TO HOP NLAN'!I$74:I$243)</f>
        <v>11147.130353165627</v>
      </c>
      <c r="K157" s="23">
        <f>MIN(K$117:K$148,'TO HOP NLAN'!J$74:J$243)</f>
        <v>0</v>
      </c>
      <c r="L157" s="23">
        <f>MIN(L$117:L$148,'TO HOP NLAN'!K$74:K$243)</f>
        <v>14257.181540190624</v>
      </c>
    </row>
    <row r="158" spans="2:14" ht="27.6" x14ac:dyDescent="0.3">
      <c r="B158" s="22" t="s">
        <v>869</v>
      </c>
      <c r="C158" s="23">
        <f>MAX('TO HOP EQ'!B6:B13)</f>
        <v>14466.422314473808</v>
      </c>
      <c r="D158" s="23">
        <f>MAX('TO HOP EQ'!C6:C13)</f>
        <v>4737.0037452733341</v>
      </c>
      <c r="E158" s="23">
        <f>MAX('TO HOP EQ'!D6:D13)</f>
        <v>31382.252095000007</v>
      </c>
      <c r="F158" s="23">
        <f>MAX('TO HOP EQ'!E6:E13)</f>
        <v>27172.49438131482</v>
      </c>
      <c r="G158" s="23">
        <f>MAX('TO HOP EQ'!F6:F13)</f>
        <v>49526.230404038251</v>
      </c>
      <c r="H158" s="23">
        <f>MAX('TO HOP EQ'!G6:G13)</f>
        <v>9720.5617524257177</v>
      </c>
      <c r="I158" s="23">
        <f>MAX('TO HOP EQ'!H6:H13)</f>
        <v>3010.925335273334</v>
      </c>
      <c r="J158" s="23">
        <f>MAX('TO HOP EQ'!I6:I13)</f>
        <v>15577.730005000001</v>
      </c>
      <c r="K158" s="23">
        <f>MAX('TO HOP EQ'!J6:J13)</f>
        <v>20199.358208822814</v>
      </c>
      <c r="L158" s="23">
        <f>MAX('TO HOP EQ'!K6:K13)</f>
        <v>37130.619614203046</v>
      </c>
    </row>
    <row r="159" spans="2:14" ht="27.6" x14ac:dyDescent="0.3">
      <c r="B159" s="22" t="s">
        <v>870</v>
      </c>
      <c r="C159" s="23">
        <f>MIN('TO HOP EQ'!B6:B13)</f>
        <v>2367.7732571709166</v>
      </c>
      <c r="D159" s="23">
        <f>MIN('TO HOP EQ'!C6:C13)</f>
        <v>-4737.0037452733341</v>
      </c>
      <c r="E159" s="23">
        <f>MIN('TO HOP EQ'!D6:D13)</f>
        <v>31382.252095000007</v>
      </c>
      <c r="F159" s="23">
        <f>MIN('TO HOP EQ'!E6:E13)</f>
        <v>-16542.181246314816</v>
      </c>
      <c r="G159" s="23">
        <f>MIN('TO HOP EQ'!F6:F13)</f>
        <v>-6482.2663222775373</v>
      </c>
      <c r="H159" s="23">
        <f>MIN('TO HOP EQ'!G6:G13)</f>
        <v>1985.7855404496345</v>
      </c>
      <c r="I159" s="23">
        <f>MIN('TO HOP EQ'!H6:H13)</f>
        <v>-3010.925335273334</v>
      </c>
      <c r="J159" s="23">
        <f>MIN('TO HOP EQ'!I6:I13)</f>
        <v>15577.730005000001</v>
      </c>
      <c r="K159" s="23">
        <f>MIN('TO HOP EQ'!J6:J13)</f>
        <v>-9569.0450738228137</v>
      </c>
      <c r="L159" s="23">
        <f>MIN('TO HOP EQ'!K6:K13)</f>
        <v>880.50608278850996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2:AV172"/>
  <sheetViews>
    <sheetView topLeftCell="A104" workbookViewId="0">
      <selection activeCell="B125" sqref="B125:E126"/>
    </sheetView>
  </sheetViews>
  <sheetFormatPr defaultRowHeight="14.4" x14ac:dyDescent="0.3"/>
  <cols>
    <col min="1" max="1" width="2" customWidth="1"/>
    <col min="2" max="2" width="22" customWidth="1"/>
    <col min="3" max="50" width="9.44140625" customWidth="1"/>
  </cols>
  <sheetData>
    <row r="2" spans="2:9" ht="16.8" x14ac:dyDescent="0.3">
      <c r="B2" s="1" t="s">
        <v>497</v>
      </c>
    </row>
    <row r="4" spans="2:9" x14ac:dyDescent="0.3">
      <c r="B4" s="6" t="s">
        <v>498</v>
      </c>
    </row>
    <row r="5" spans="2:9" x14ac:dyDescent="0.3">
      <c r="C5" s="18" t="s">
        <v>499</v>
      </c>
      <c r="D5" s="18" t="s">
        <v>500</v>
      </c>
      <c r="E5" s="18" t="s">
        <v>501</v>
      </c>
      <c r="F5" s="18" t="s">
        <v>502</v>
      </c>
      <c r="G5" s="18" t="s">
        <v>503</v>
      </c>
      <c r="H5" s="18" t="s">
        <v>504</v>
      </c>
      <c r="I5" s="18" t="s">
        <v>505</v>
      </c>
    </row>
    <row r="6" spans="2:9" x14ac:dyDescent="0.3">
      <c r="B6" s="21" t="str">
        <f>'TO HOP'!B105</f>
        <v>SD I - 1 làn lệch tâm</v>
      </c>
      <c r="C6" s="10">
        <f>IF(B6="","",1)</f>
        <v>1</v>
      </c>
      <c r="D6" s="9">
        <f>IF('TO HOP'!C105="","",'TO HOP'!C105/9.81)</f>
        <v>847.01793845738359</v>
      </c>
      <c r="E6" s="9">
        <f>IF('TO HOP'!D105="","",'TO HOP'!D105/9.81)</f>
        <v>8.2561508664627929</v>
      </c>
      <c r="F6" s="9">
        <f>IF('TO HOP'!E105="","",'TO HOP'!E105/9.81)</f>
        <v>3041.0697976554538</v>
      </c>
      <c r="G6" s="9">
        <f>IF('TO HOP'!F105="","",'TO HOP'!F105/9.81)</f>
        <v>769.65495620795105</v>
      </c>
      <c r="H6" s="9">
        <f>IF('TO HOP'!G105="","",'TO HOP'!G105/9.81)</f>
        <v>2049.6493406358536</v>
      </c>
      <c r="I6" s="9">
        <f t="shared" ref="I6:I51" si="0">IF(B6="","",0)</f>
        <v>0</v>
      </c>
    </row>
    <row r="7" spans="2:9" x14ac:dyDescent="0.3">
      <c r="B7" s="21" t="str">
        <f>'TO HOP'!B106</f>
        <v>SD I - 2 làn lệch tâm</v>
      </c>
      <c r="C7" s="10">
        <f>IF(B7="","",2)</f>
        <v>2</v>
      </c>
      <c r="D7" s="9">
        <f>IF('TO HOP'!C106="","",'TO HOP'!C106/9.81)</f>
        <v>847.01793845738359</v>
      </c>
      <c r="E7" s="9">
        <f>IF('TO HOP'!D106="","",'TO HOP'!D106/9.81)</f>
        <v>8.2561508664627929</v>
      </c>
      <c r="F7" s="9">
        <f>IF('TO HOP'!E106="","",'TO HOP'!E106/9.81)</f>
        <v>3087.8658071695554</v>
      </c>
      <c r="G7" s="9">
        <f>IF('TO HOP'!F106="","",'TO HOP'!F106/9.81)</f>
        <v>1056.2805144818215</v>
      </c>
      <c r="H7" s="9">
        <f>IF('TO HOP'!G106="","",'TO HOP'!G106/9.81)</f>
        <v>2080.3943188866183</v>
      </c>
      <c r="I7" s="9">
        <f t="shared" si="0"/>
        <v>0</v>
      </c>
    </row>
    <row r="8" spans="2:9" x14ac:dyDescent="0.3">
      <c r="B8" s="21" t="str">
        <f>'TO HOP'!B107</f>
        <v>SD I - 3 làn lệch tâm</v>
      </c>
      <c r="C8" s="10">
        <f>IF(B8="","",3)</f>
        <v>3</v>
      </c>
      <c r="D8" s="9">
        <f>IF('TO HOP'!C107="","",'TO HOP'!C107/9.81)</f>
        <v>847.01793845738359</v>
      </c>
      <c r="E8" s="9">
        <f>IF('TO HOP'!D107="","",'TO HOP'!D107/9.81)</f>
        <v>8.2561508664627929</v>
      </c>
      <c r="F8" s="9">
        <f>IF('TO HOP'!E107="","",'TO HOP'!E107/9.81)</f>
        <v>3120.0380637105</v>
      </c>
      <c r="G8" s="9">
        <f>IF('TO HOP'!F107="","",'TO HOP'!F107/9.81)</f>
        <v>1101.9797425229358</v>
      </c>
      <c r="H8" s="9">
        <f>IF('TO HOP'!G107="","",'TO HOP'!G107/9.81)</f>
        <v>2101.5314914340188</v>
      </c>
      <c r="I8" s="9">
        <f t="shared" si="0"/>
        <v>0</v>
      </c>
    </row>
    <row r="9" spans="2:9" x14ac:dyDescent="0.3">
      <c r="B9" s="21" t="str">
        <f>'TO HOP'!B108</f>
        <v>SD I - 4 làn lệch tâm</v>
      </c>
      <c r="C9" s="10">
        <f>IF(B9="","",4)</f>
        <v>4</v>
      </c>
      <c r="D9" s="9">
        <f>IF('TO HOP'!C108="","",'TO HOP'!C108/9.81)</f>
        <v>847.01793845738359</v>
      </c>
      <c r="E9" s="9">
        <f>IF('TO HOP'!D108="","",'TO HOP'!D108/9.81)</f>
        <v>8.2561508664627929</v>
      </c>
      <c r="F9" s="9">
        <f>IF('TO HOP'!E108="","",'TO HOP'!E108/9.81)</f>
        <v>3122.9628143051314</v>
      </c>
      <c r="G9" s="9">
        <f>IF('TO HOP'!F108="","",'TO HOP'!F108/9.81)</f>
        <v>893.95685647978257</v>
      </c>
      <c r="H9" s="9">
        <f>IF('TO HOP'!G108="","",'TO HOP'!G108/9.81)</f>
        <v>2103.4530525746914</v>
      </c>
      <c r="I9" s="9">
        <f t="shared" si="0"/>
        <v>0</v>
      </c>
    </row>
    <row r="10" spans="2:9" x14ac:dyDescent="0.3">
      <c r="B10" s="21" t="str">
        <f>'TO HOP'!B109</f>
        <v>SD I - 5 làn lệch tâm</v>
      </c>
      <c r="C10" s="10">
        <f>IF(B10="","",5)</f>
        <v>5</v>
      </c>
      <c r="D10" s="9">
        <f>IF('TO HOP'!C109="","",'TO HOP'!C109/9.81)</f>
        <v>847.01793845738359</v>
      </c>
      <c r="E10" s="9">
        <f>IF('TO HOP'!D109="","",'TO HOP'!D109/9.81)</f>
        <v>8.2561508664627929</v>
      </c>
      <c r="F10" s="9">
        <f>IF('TO HOP'!E109="","",'TO HOP'!E109/9.81)</f>
        <v>3160.9845720353387</v>
      </c>
      <c r="G10" s="9">
        <f>IF('TO HOP'!F109="","",'TO HOP'!F109/9.81)</f>
        <v>813.16062130309228</v>
      </c>
      <c r="H10" s="9">
        <f>IF('TO HOP'!G109="","",'TO HOP'!G109/9.81)</f>
        <v>2128.4333474034374</v>
      </c>
      <c r="I10" s="9">
        <f t="shared" si="0"/>
        <v>0</v>
      </c>
    </row>
    <row r="11" spans="2:9" x14ac:dyDescent="0.3">
      <c r="B11" s="21" t="str">
        <f>'TO HOP'!B110</f>
        <v>SD I - 6 làn lệch tâm</v>
      </c>
      <c r="C11" s="10">
        <f>IF(B11="","",6)</f>
        <v>6</v>
      </c>
      <c r="D11" s="9">
        <f>IF('TO HOP'!C110="","",'TO HOP'!C110/9.81)</f>
        <v>847.01793845738359</v>
      </c>
      <c r="E11" s="9">
        <f>IF('TO HOP'!D110="","",'TO HOP'!D110/9.81)</f>
        <v>8.2561508664627929</v>
      </c>
      <c r="F11" s="9">
        <f>IF('TO HOP'!E110="","",'TO HOP'!E110/9.81)</f>
        <v>3199.0063297655461</v>
      </c>
      <c r="G11" s="9">
        <f>IF('TO HOP'!F110="","",'TO HOP'!F110/9.81)</f>
        <v>618.29911293577982</v>
      </c>
      <c r="H11" s="9">
        <f>IF('TO HOP'!G110="","",'TO HOP'!G110/9.81)</f>
        <v>2153.4136422321835</v>
      </c>
      <c r="I11" s="9">
        <f t="shared" si="0"/>
        <v>0</v>
      </c>
    </row>
    <row r="12" spans="2:9" x14ac:dyDescent="0.3">
      <c r="B12" s="21" t="str">
        <f>'TO HOP'!B111</f>
        <v>SD I - 1 làn đúng tâm</v>
      </c>
      <c r="C12" s="10">
        <f>IF(B12="","",7)</f>
        <v>7</v>
      </c>
      <c r="D12" s="9">
        <f>IF('TO HOP'!C111="","",'TO HOP'!C111/9.81)</f>
        <v>847.01793845738359</v>
      </c>
      <c r="E12" s="9">
        <f>IF('TO HOP'!D111="","",'TO HOP'!D111/9.81)</f>
        <v>8.2561508664627929</v>
      </c>
      <c r="F12" s="9">
        <f>IF('TO HOP'!E111="","",'TO HOP'!E111/9.81)</f>
        <v>3041.0697976554538</v>
      </c>
      <c r="G12" s="9">
        <f>IF('TO HOP'!F111="","",'TO HOP'!F111/9.81)</f>
        <v>76.489065280326216</v>
      </c>
      <c r="H12" s="9">
        <f>IF('TO HOP'!G111="","",'TO HOP'!G111/9.81)</f>
        <v>2049.6493406358536</v>
      </c>
      <c r="I12" s="9">
        <f t="shared" si="0"/>
        <v>0</v>
      </c>
    </row>
    <row r="13" spans="2:9" x14ac:dyDescent="0.3">
      <c r="B13" s="21" t="str">
        <f>'TO HOP'!B112</f>
        <v>SD I - 2 làn đúng tâm</v>
      </c>
      <c r="C13" s="10">
        <f>IF(B13="","",8)</f>
        <v>8</v>
      </c>
      <c r="D13" s="9">
        <f>IF('TO HOP'!C112="","",'TO HOP'!C112/9.81)</f>
        <v>847.01793845738359</v>
      </c>
      <c r="E13" s="9">
        <f>IF('TO HOP'!D112="","",'TO HOP'!D112/9.81)</f>
        <v>8.2561508664627929</v>
      </c>
      <c r="F13" s="9">
        <f>IF('TO HOP'!E112="","",'TO HOP'!E112/9.81)</f>
        <v>3087.8658071695554</v>
      </c>
      <c r="G13" s="9">
        <f>IF('TO HOP'!F112="","",'TO HOP'!F112/9.81)</f>
        <v>76.489065280326216</v>
      </c>
      <c r="H13" s="9">
        <f>IF('TO HOP'!G112="","",'TO HOP'!G112/9.81)</f>
        <v>2080.3943188866183</v>
      </c>
      <c r="I13" s="9">
        <f t="shared" si="0"/>
        <v>0</v>
      </c>
    </row>
    <row r="14" spans="2:9" x14ac:dyDescent="0.3">
      <c r="B14" s="21" t="str">
        <f>'TO HOP'!B113</f>
        <v>SD I - 3 làn đúng tâm</v>
      </c>
      <c r="C14" s="10">
        <f>IF(B14="","",9)</f>
        <v>9</v>
      </c>
      <c r="D14" s="9">
        <f>IF('TO HOP'!C113="","",'TO HOP'!C113/9.81)</f>
        <v>847.01793845738359</v>
      </c>
      <c r="E14" s="9">
        <f>IF('TO HOP'!D113="","",'TO HOP'!D113/9.81)</f>
        <v>8.2561508664627929</v>
      </c>
      <c r="F14" s="9">
        <f>IF('TO HOP'!E113="","",'TO HOP'!E113/9.81)</f>
        <v>3120.0380637105</v>
      </c>
      <c r="G14" s="9">
        <f>IF('TO HOP'!F113="","",'TO HOP'!F113/9.81)</f>
        <v>76.489065280326216</v>
      </c>
      <c r="H14" s="9">
        <f>IF('TO HOP'!G113="","",'TO HOP'!G113/9.81)</f>
        <v>2101.5314914340188</v>
      </c>
      <c r="I14" s="9">
        <f t="shared" si="0"/>
        <v>0</v>
      </c>
    </row>
    <row r="15" spans="2:9" x14ac:dyDescent="0.3">
      <c r="B15" s="21" t="str">
        <f>'TO HOP'!B114</f>
        <v>SD I - 4 làn đúng tâm</v>
      </c>
      <c r="C15" s="10">
        <f>IF(B15="","",10)</f>
        <v>10</v>
      </c>
      <c r="D15" s="9">
        <f>IF('TO HOP'!C114="","",'TO HOP'!C114/9.81)</f>
        <v>847.01793845738359</v>
      </c>
      <c r="E15" s="9">
        <f>IF('TO HOP'!D114="","",'TO HOP'!D114/9.81)</f>
        <v>8.2561508664627929</v>
      </c>
      <c r="F15" s="9">
        <f>IF('TO HOP'!E114="","",'TO HOP'!E114/9.81)</f>
        <v>3122.9628143051314</v>
      </c>
      <c r="G15" s="9">
        <f>IF('TO HOP'!F114="","",'TO HOP'!F114/9.81)</f>
        <v>76.489065280326216</v>
      </c>
      <c r="H15" s="9">
        <f>IF('TO HOP'!G114="","",'TO HOP'!G114/9.81)</f>
        <v>2103.4530525746914</v>
      </c>
      <c r="I15" s="9">
        <f t="shared" si="0"/>
        <v>0</v>
      </c>
    </row>
    <row r="16" spans="2:9" x14ac:dyDescent="0.3">
      <c r="B16" s="21" t="str">
        <f>'TO HOP'!B115</f>
        <v>SD I - 5 làn đúng tâm</v>
      </c>
      <c r="C16" s="10">
        <f>IF(B16="","",11)</f>
        <v>11</v>
      </c>
      <c r="D16" s="9">
        <f>IF('TO HOP'!C115="","",'TO HOP'!C115/9.81)</f>
        <v>847.01793845738359</v>
      </c>
      <c r="E16" s="9">
        <f>IF('TO HOP'!D115="","",'TO HOP'!D115/9.81)</f>
        <v>8.2561508664627929</v>
      </c>
      <c r="F16" s="9">
        <f>IF('TO HOP'!E115="","",'TO HOP'!E115/9.81)</f>
        <v>3160.9845720353387</v>
      </c>
      <c r="G16" s="9">
        <f>IF('TO HOP'!F115="","",'TO HOP'!F115/9.81)</f>
        <v>76.489065280326216</v>
      </c>
      <c r="H16" s="9">
        <f>IF('TO HOP'!G115="","",'TO HOP'!G115/9.81)</f>
        <v>2128.4333474034374</v>
      </c>
      <c r="I16" s="9">
        <f t="shared" si="0"/>
        <v>0</v>
      </c>
    </row>
    <row r="17" spans="2:9" x14ac:dyDescent="0.3">
      <c r="B17" s="21" t="str">
        <f>'TO HOP'!B116</f>
        <v>SD I - 6 làn đúng tâm</v>
      </c>
      <c r="C17" s="10">
        <f>IF(B17="","",12)</f>
        <v>12</v>
      </c>
      <c r="D17" s="9">
        <f>IF('TO HOP'!C116="","",'TO HOP'!C116/9.81)</f>
        <v>847.01793845738359</v>
      </c>
      <c r="E17" s="9">
        <f>IF('TO HOP'!D116="","",'TO HOP'!D116/9.81)</f>
        <v>8.2561508664627929</v>
      </c>
      <c r="F17" s="9">
        <f>IF('TO HOP'!E116="","",'TO HOP'!E116/9.81)</f>
        <v>3199.0063297655461</v>
      </c>
      <c r="G17" s="9">
        <f>IF('TO HOP'!F116="","",'TO HOP'!F116/9.81)</f>
        <v>76.489065280326216</v>
      </c>
      <c r="H17" s="9">
        <f>IF('TO HOP'!G116="","",'TO HOP'!G116/9.81)</f>
        <v>2153.4136422321835</v>
      </c>
      <c r="I17" s="9">
        <f t="shared" si="0"/>
        <v>0</v>
      </c>
    </row>
    <row r="18" spans="2:9" ht="27.6" x14ac:dyDescent="0.3">
      <c r="B18" s="21" t="str">
        <f>'TO HOP'!B117</f>
        <v>CĐ I(a) max - 1 làn lệch tâm</v>
      </c>
      <c r="C18" s="10">
        <f>IF(B18="","",13)</f>
        <v>13</v>
      </c>
      <c r="D18" s="9">
        <f>IF('TO HOP'!C117="","",'TO HOP'!C117/9.81)</f>
        <v>1256.7909612953028</v>
      </c>
      <c r="E18" s="9">
        <f>IF('TO HOP'!D117="","",'TO HOP'!D117/9.81)</f>
        <v>0</v>
      </c>
      <c r="F18" s="9">
        <f>IF('TO HOP'!E117="","",'TO HOP'!E117/9.81)</f>
        <v>3980.1347769113158</v>
      </c>
      <c r="G18" s="9">
        <f>IF('TO HOP'!F117="","",'TO HOP'!F117/9.81)</f>
        <v>1213.0403091233434</v>
      </c>
      <c r="H18" s="9">
        <f>IF('TO HOP'!G117="","",'TO HOP'!G117/9.81)</f>
        <v>2975.9180969175382</v>
      </c>
      <c r="I18" s="9">
        <f t="shared" si="0"/>
        <v>0</v>
      </c>
    </row>
    <row r="19" spans="2:9" ht="27.6" x14ac:dyDescent="0.3">
      <c r="B19" s="21" t="str">
        <f>'TO HOP'!B118</f>
        <v>CĐ I(a) max - 2 làn lệch tâm</v>
      </c>
      <c r="C19" s="10">
        <f>IF(B19="","",14)</f>
        <v>14</v>
      </c>
      <c r="D19" s="9">
        <f>IF('TO HOP'!C118="","",'TO HOP'!C118/9.81)</f>
        <v>1256.7909612953028</v>
      </c>
      <c r="E19" s="9">
        <f>IF('TO HOP'!D118="","",'TO HOP'!D118/9.81)</f>
        <v>0</v>
      </c>
      <c r="F19" s="9">
        <f>IF('TO HOP'!E118="","",'TO HOP'!E118/9.81)</f>
        <v>4062.0277935609924</v>
      </c>
      <c r="G19" s="9">
        <f>IF('TO HOP'!F118="","",'TO HOP'!F118/9.81)</f>
        <v>1714.6350361026164</v>
      </c>
      <c r="H19" s="9">
        <f>IF('TO HOP'!G118="","",'TO HOP'!G118/9.81)</f>
        <v>3029.7218088563754</v>
      </c>
      <c r="I19" s="9">
        <f t="shared" si="0"/>
        <v>0</v>
      </c>
    </row>
    <row r="20" spans="2:9" ht="27.6" x14ac:dyDescent="0.3">
      <c r="B20" s="21" t="str">
        <f>'TO HOP'!B119</f>
        <v>CĐ I(a) max - 3 làn lệch tâm</v>
      </c>
      <c r="C20" s="10">
        <f>IF(B20="","",15)</f>
        <v>15</v>
      </c>
      <c r="D20" s="9">
        <f>IF('TO HOP'!C119="","",'TO HOP'!C119/9.81)</f>
        <v>1256.7909612953028</v>
      </c>
      <c r="E20" s="9">
        <f>IF('TO HOP'!D119="","",'TO HOP'!D119/9.81)</f>
        <v>0</v>
      </c>
      <c r="F20" s="9">
        <f>IF('TO HOP'!E119="","",'TO HOP'!E119/9.81)</f>
        <v>4118.3292425076452</v>
      </c>
      <c r="G20" s="9">
        <f>IF('TO HOP'!F119="","",'TO HOP'!F119/9.81)</f>
        <v>1794.6086851745667</v>
      </c>
      <c r="H20" s="9">
        <f>IF('TO HOP'!G119="","",'TO HOP'!G119/9.81)</f>
        <v>3066.7118608143269</v>
      </c>
      <c r="I20" s="9">
        <f t="shared" si="0"/>
        <v>0</v>
      </c>
    </row>
    <row r="21" spans="2:9" ht="27.6" x14ac:dyDescent="0.3">
      <c r="B21" s="21" t="str">
        <f>'TO HOP'!B120</f>
        <v>CĐ I(a) max - 4 làn lệch tâm</v>
      </c>
      <c r="C21" s="10">
        <f>IF(B21="","",16)</f>
        <v>16</v>
      </c>
      <c r="D21" s="9">
        <f>IF('TO HOP'!C120="","",'TO HOP'!C120/9.81)</f>
        <v>1256.7909612953028</v>
      </c>
      <c r="E21" s="9">
        <f>IF('TO HOP'!D120="","",'TO HOP'!D120/9.81)</f>
        <v>0</v>
      </c>
      <c r="F21" s="9">
        <f>IF('TO HOP'!E120="","",'TO HOP'!E120/9.81)</f>
        <v>4123.4475560482506</v>
      </c>
      <c r="G21" s="9">
        <f>IF('TO HOP'!F120="","",'TO HOP'!F120/9.81)</f>
        <v>1430.5686345990487</v>
      </c>
      <c r="H21" s="9">
        <f>IF('TO HOP'!G120="","",'TO HOP'!G120/9.81)</f>
        <v>3070.0745928105043</v>
      </c>
      <c r="I21" s="9">
        <f t="shared" si="0"/>
        <v>0</v>
      </c>
    </row>
    <row r="22" spans="2:9" ht="27.6" x14ac:dyDescent="0.3">
      <c r="B22" s="21" t="str">
        <f>'TO HOP'!B121</f>
        <v>CĐ I(a) max - 5 làn lệch tâm</v>
      </c>
      <c r="C22" s="10">
        <f>IF(B22="","",17)</f>
        <v>17</v>
      </c>
      <c r="D22" s="9">
        <f>IF('TO HOP'!C121="","",'TO HOP'!C121/9.81)</f>
        <v>1256.7909612953028</v>
      </c>
      <c r="E22" s="9">
        <f>IF('TO HOP'!D121="","",'TO HOP'!D121/9.81)</f>
        <v>0</v>
      </c>
      <c r="F22" s="9">
        <f>IF('TO HOP'!E121="","",'TO HOP'!E121/9.81)</f>
        <v>4189.9856320761137</v>
      </c>
      <c r="G22" s="9">
        <f>IF('TO HOP'!F121="","",'TO HOP'!F121/9.81)</f>
        <v>1289.1752230398406</v>
      </c>
      <c r="H22" s="9">
        <f>IF('TO HOP'!G121="","",'TO HOP'!G121/9.81)</f>
        <v>3113.7901087608107</v>
      </c>
      <c r="I22" s="9">
        <f t="shared" si="0"/>
        <v>0</v>
      </c>
    </row>
    <row r="23" spans="2:9" ht="27.6" x14ac:dyDescent="0.3">
      <c r="B23" s="21" t="str">
        <f>'TO HOP'!B122</f>
        <v>CĐ I(a) max - 6 làn lệch tâm</v>
      </c>
      <c r="C23" s="10">
        <f>IF(B23="","",18)</f>
        <v>18</v>
      </c>
      <c r="D23" s="9">
        <f>IF('TO HOP'!C122="","",'TO HOP'!C122/9.81)</f>
        <v>1256.7909612953028</v>
      </c>
      <c r="E23" s="9">
        <f>IF('TO HOP'!D122="","",'TO HOP'!D122/9.81)</f>
        <v>0</v>
      </c>
      <c r="F23" s="9">
        <f>IF('TO HOP'!E122="","",'TO HOP'!E122/9.81)</f>
        <v>4256.5237081039759</v>
      </c>
      <c r="G23" s="9">
        <f>IF('TO HOP'!F122="","",'TO HOP'!F122/9.81)</f>
        <v>948.16758339704381</v>
      </c>
      <c r="H23" s="9">
        <f>IF('TO HOP'!G122="","",'TO HOP'!G122/9.81)</f>
        <v>3157.5056247111156</v>
      </c>
      <c r="I23" s="9">
        <f t="shared" si="0"/>
        <v>0</v>
      </c>
    </row>
    <row r="24" spans="2:9" ht="27.6" x14ac:dyDescent="0.3">
      <c r="B24" s="21" t="str">
        <f>'TO HOP'!B123</f>
        <v>CĐ I(a) max - 1 làn đúng tâm</v>
      </c>
      <c r="C24" s="10">
        <f>IF(B24="","",19)</f>
        <v>19</v>
      </c>
      <c r="D24" s="9">
        <f>IF('TO HOP'!C123="","",'TO HOP'!C123/9.81)</f>
        <v>1256.7909612953028</v>
      </c>
      <c r="E24" s="9">
        <f>IF('TO HOP'!D123="","",'TO HOP'!D123/9.81)</f>
        <v>0</v>
      </c>
      <c r="F24" s="9">
        <f>IF('TO HOP'!E123="","",'TO HOP'!E123/9.81)</f>
        <v>3980.1347769113158</v>
      </c>
      <c r="G24" s="9">
        <f>IF('TO HOP'!F123="","",'TO HOP'!F123/9.81)</f>
        <v>0</v>
      </c>
      <c r="H24" s="9">
        <f>IF('TO HOP'!G123="","",'TO HOP'!G123/9.81)</f>
        <v>2975.9180969175382</v>
      </c>
      <c r="I24" s="9">
        <f t="shared" si="0"/>
        <v>0</v>
      </c>
    </row>
    <row r="25" spans="2:9" ht="27.6" x14ac:dyDescent="0.3">
      <c r="B25" s="21" t="str">
        <f>'TO HOP'!B124</f>
        <v>CĐ I(a) max - 2 làn đúng tâm</v>
      </c>
      <c r="C25" s="10">
        <f>IF(B25="","",20)</f>
        <v>20</v>
      </c>
      <c r="D25" s="9">
        <f>IF('TO HOP'!C124="","",'TO HOP'!C124/9.81)</f>
        <v>1256.7909612953028</v>
      </c>
      <c r="E25" s="9">
        <f>IF('TO HOP'!D124="","",'TO HOP'!D124/9.81)</f>
        <v>0</v>
      </c>
      <c r="F25" s="9">
        <f>IF('TO HOP'!E124="","",'TO HOP'!E124/9.81)</f>
        <v>4062.0277935609924</v>
      </c>
      <c r="G25" s="9">
        <f>IF('TO HOP'!F124="","",'TO HOP'!F124/9.81)</f>
        <v>0</v>
      </c>
      <c r="H25" s="9">
        <f>IF('TO HOP'!G124="","",'TO HOP'!G124/9.81)</f>
        <v>3029.7218088563754</v>
      </c>
      <c r="I25" s="9">
        <f t="shared" si="0"/>
        <v>0</v>
      </c>
    </row>
    <row r="26" spans="2:9" ht="27.6" x14ac:dyDescent="0.3">
      <c r="B26" s="21" t="str">
        <f>'TO HOP'!B125</f>
        <v>CĐ I(a) max - 3 làn đúng tâm</v>
      </c>
      <c r="C26" s="10">
        <f>IF(B26="","",21)</f>
        <v>21</v>
      </c>
      <c r="D26" s="9">
        <f>IF('TO HOP'!C125="","",'TO HOP'!C125/9.81)</f>
        <v>1256.7909612953028</v>
      </c>
      <c r="E26" s="9">
        <f>IF('TO HOP'!D125="","",'TO HOP'!D125/9.81)</f>
        <v>0</v>
      </c>
      <c r="F26" s="9">
        <f>IF('TO HOP'!E125="","",'TO HOP'!E125/9.81)</f>
        <v>4118.3292425076452</v>
      </c>
      <c r="G26" s="9">
        <f>IF('TO HOP'!F125="","",'TO HOP'!F125/9.81)</f>
        <v>0</v>
      </c>
      <c r="H26" s="9">
        <f>IF('TO HOP'!G125="","",'TO HOP'!G125/9.81)</f>
        <v>3066.7118608143269</v>
      </c>
      <c r="I26" s="9">
        <f t="shared" si="0"/>
        <v>0</v>
      </c>
    </row>
    <row r="27" spans="2:9" ht="27.6" x14ac:dyDescent="0.3">
      <c r="B27" s="21" t="str">
        <f>'TO HOP'!B126</f>
        <v>CĐ I(a) max - 4 làn đúng tâm</v>
      </c>
      <c r="C27" s="10">
        <f>IF(B27="","",22)</f>
        <v>22</v>
      </c>
      <c r="D27" s="9">
        <f>IF('TO HOP'!C126="","",'TO HOP'!C126/9.81)</f>
        <v>1256.7909612953028</v>
      </c>
      <c r="E27" s="9">
        <f>IF('TO HOP'!D126="","",'TO HOP'!D126/9.81)</f>
        <v>0</v>
      </c>
      <c r="F27" s="9">
        <f>IF('TO HOP'!E126="","",'TO HOP'!E126/9.81)</f>
        <v>4123.4475560482506</v>
      </c>
      <c r="G27" s="9">
        <f>IF('TO HOP'!F126="","",'TO HOP'!F126/9.81)</f>
        <v>0</v>
      </c>
      <c r="H27" s="9">
        <f>IF('TO HOP'!G126="","",'TO HOP'!G126/9.81)</f>
        <v>3070.0745928105043</v>
      </c>
      <c r="I27" s="9">
        <f t="shared" si="0"/>
        <v>0</v>
      </c>
    </row>
    <row r="28" spans="2:9" ht="27.6" x14ac:dyDescent="0.3">
      <c r="B28" s="21" t="str">
        <f>'TO HOP'!B127</f>
        <v>CĐ I(a) max - 5 làn đúng tâm</v>
      </c>
      <c r="C28" s="10">
        <f>IF(B28="","",23)</f>
        <v>23</v>
      </c>
      <c r="D28" s="9">
        <f>IF('TO HOP'!C127="","",'TO HOP'!C127/9.81)</f>
        <v>1256.7909612953028</v>
      </c>
      <c r="E28" s="9">
        <f>IF('TO HOP'!D127="","",'TO HOP'!D127/9.81)</f>
        <v>0</v>
      </c>
      <c r="F28" s="9">
        <f>IF('TO HOP'!E127="","",'TO HOP'!E127/9.81)</f>
        <v>4189.9856320761137</v>
      </c>
      <c r="G28" s="9">
        <f>IF('TO HOP'!F127="","",'TO HOP'!F127/9.81)</f>
        <v>0</v>
      </c>
      <c r="H28" s="9">
        <f>IF('TO HOP'!G127="","",'TO HOP'!G127/9.81)</f>
        <v>3113.7901087608107</v>
      </c>
      <c r="I28" s="9">
        <f t="shared" si="0"/>
        <v>0</v>
      </c>
    </row>
    <row r="29" spans="2:9" ht="27.6" x14ac:dyDescent="0.3">
      <c r="B29" s="21" t="str">
        <f>'TO HOP'!B128</f>
        <v>CĐ I(a) max - 6 làn đúng tâm</v>
      </c>
      <c r="C29" s="10">
        <f>IF(B29="","",24)</f>
        <v>24</v>
      </c>
      <c r="D29" s="9">
        <f>IF('TO HOP'!C128="","",'TO HOP'!C128/9.81)</f>
        <v>1256.7909612953028</v>
      </c>
      <c r="E29" s="9">
        <f>IF('TO HOP'!D128="","",'TO HOP'!D128/9.81)</f>
        <v>0</v>
      </c>
      <c r="F29" s="9">
        <f>IF('TO HOP'!E128="","",'TO HOP'!E128/9.81)</f>
        <v>4256.5237081039759</v>
      </c>
      <c r="G29" s="9">
        <f>IF('TO HOP'!F128="","",'TO HOP'!F128/9.81)</f>
        <v>0</v>
      </c>
      <c r="H29" s="9">
        <f>IF('TO HOP'!G128="","",'TO HOP'!G128/9.81)</f>
        <v>3157.5056247111156</v>
      </c>
      <c r="I29" s="9">
        <f t="shared" si="0"/>
        <v>0</v>
      </c>
    </row>
    <row r="30" spans="2:9" x14ac:dyDescent="0.3">
      <c r="B30" s="21" t="str">
        <f>'TO HOP'!B129</f>
        <v>CĐ I(b) min - 1 làn</v>
      </c>
      <c r="C30" s="10">
        <f>IF(B30="","",25)</f>
        <v>25</v>
      </c>
      <c r="D30" s="9">
        <f>IF('TO HOP'!C129="","",'TO HOP'!C129/9.81)</f>
        <v>842.43256778515808</v>
      </c>
      <c r="E30" s="9">
        <f>IF('TO HOP'!D129="","",'TO HOP'!D129/9.81)</f>
        <v>0</v>
      </c>
      <c r="F30" s="9">
        <f>IF('TO HOP'!E129="","",'TO HOP'!E129/9.81)</f>
        <v>2930.5361196992867</v>
      </c>
      <c r="G30" s="9">
        <f>IF('TO HOP'!F129="","",'TO HOP'!F129/9.81)</f>
        <v>1213.0403091233434</v>
      </c>
      <c r="H30" s="9">
        <f>IF('TO HOP'!G129="","",'TO HOP'!G129/9.81)</f>
        <v>2010.640981882369</v>
      </c>
      <c r="I30" s="9">
        <f t="shared" si="0"/>
        <v>0</v>
      </c>
    </row>
    <row r="31" spans="2:9" x14ac:dyDescent="0.3">
      <c r="B31" s="21" t="str">
        <f>'TO HOP'!B130</f>
        <v>CĐ I(b) min - 2 làn</v>
      </c>
      <c r="C31" s="10">
        <f>IF(B31="","",26)</f>
        <v>26</v>
      </c>
      <c r="D31" s="9">
        <f>IF('TO HOP'!C130="","",'TO HOP'!C130/9.81)</f>
        <v>842.43256778515808</v>
      </c>
      <c r="E31" s="9">
        <f>IF('TO HOP'!D130="","",'TO HOP'!D130/9.81)</f>
        <v>0</v>
      </c>
      <c r="F31" s="9">
        <f>IF('TO HOP'!E130="","",'TO HOP'!E130/9.81)</f>
        <v>3012.4291363489638</v>
      </c>
      <c r="G31" s="9">
        <f>IF('TO HOP'!F130="","",'TO HOP'!F130/9.81)</f>
        <v>1714.6350361026164</v>
      </c>
      <c r="H31" s="9">
        <f>IF('TO HOP'!G130="","",'TO HOP'!G130/9.81)</f>
        <v>2064.4446938212072</v>
      </c>
      <c r="I31" s="9">
        <f t="shared" si="0"/>
        <v>0</v>
      </c>
    </row>
    <row r="32" spans="2:9" x14ac:dyDescent="0.3">
      <c r="B32" s="21" t="str">
        <f>'TO HOP'!B131</f>
        <v>CĐ I(b) min - 3 làn</v>
      </c>
      <c r="C32" s="10">
        <f>IF(B32="","",27)</f>
        <v>27</v>
      </c>
      <c r="D32" s="9">
        <f>IF('TO HOP'!C131="","",'TO HOP'!C131/9.81)</f>
        <v>842.43256778515808</v>
      </c>
      <c r="E32" s="9">
        <f>IF('TO HOP'!D131="","",'TO HOP'!D131/9.81)</f>
        <v>0</v>
      </c>
      <c r="F32" s="9">
        <f>IF('TO HOP'!E131="","",'TO HOP'!E131/9.81)</f>
        <v>3068.7305852956169</v>
      </c>
      <c r="G32" s="9">
        <f>IF('TO HOP'!F131="","",'TO HOP'!F131/9.81)</f>
        <v>1794.6086851745667</v>
      </c>
      <c r="H32" s="9">
        <f>IF('TO HOP'!G131="","",'TO HOP'!G131/9.81)</f>
        <v>2101.4347457791587</v>
      </c>
      <c r="I32" s="9">
        <f t="shared" si="0"/>
        <v>0</v>
      </c>
    </row>
    <row r="33" spans="2:9" x14ac:dyDescent="0.3">
      <c r="B33" s="21" t="str">
        <f>'TO HOP'!B132</f>
        <v>CĐ I(b) min - 4 làn</v>
      </c>
      <c r="C33" s="10">
        <f>IF(B33="","",28)</f>
        <v>28</v>
      </c>
      <c r="D33" s="9">
        <f>IF('TO HOP'!C132="","",'TO HOP'!C132/9.81)</f>
        <v>842.43256778515808</v>
      </c>
      <c r="E33" s="9">
        <f>IF('TO HOP'!D132="","",'TO HOP'!D132/9.81)</f>
        <v>0</v>
      </c>
      <c r="F33" s="9">
        <f>IF('TO HOP'!E132="","",'TO HOP'!E132/9.81)</f>
        <v>3073.8488988362219</v>
      </c>
      <c r="G33" s="9">
        <f>IF('TO HOP'!F132="","",'TO HOP'!F132/9.81)</f>
        <v>1430.5686345990487</v>
      </c>
      <c r="H33" s="9">
        <f>IF('TO HOP'!G132="","",'TO HOP'!G132/9.81)</f>
        <v>2104.7974777753357</v>
      </c>
      <c r="I33" s="9">
        <f t="shared" si="0"/>
        <v>0</v>
      </c>
    </row>
    <row r="34" spans="2:9" x14ac:dyDescent="0.3">
      <c r="B34" s="21" t="str">
        <f>'TO HOP'!B133</f>
        <v>CĐ I(b) min - 5 làn</v>
      </c>
      <c r="C34" s="10">
        <f>IF(B34="","",29)</f>
        <v>29</v>
      </c>
      <c r="D34" s="9">
        <f>IF('TO HOP'!C133="","",'TO HOP'!C133/9.81)</f>
        <v>842.43256778515808</v>
      </c>
      <c r="E34" s="9">
        <f>IF('TO HOP'!D133="","",'TO HOP'!D133/9.81)</f>
        <v>0</v>
      </c>
      <c r="F34" s="9">
        <f>IF('TO HOP'!E133="","",'TO HOP'!E133/9.81)</f>
        <v>3140.3869748640846</v>
      </c>
      <c r="G34" s="9">
        <f>IF('TO HOP'!F133="","",'TO HOP'!F133/9.81)</f>
        <v>1289.1752230398406</v>
      </c>
      <c r="H34" s="9">
        <f>IF('TO HOP'!G133="","",'TO HOP'!G133/9.81)</f>
        <v>2148.5129937256415</v>
      </c>
      <c r="I34" s="9">
        <f t="shared" si="0"/>
        <v>0</v>
      </c>
    </row>
    <row r="35" spans="2:9" x14ac:dyDescent="0.3">
      <c r="B35" s="21" t="str">
        <f>'TO HOP'!B134</f>
        <v>CĐ I(b) min - 6 làn</v>
      </c>
      <c r="C35" s="10">
        <f>IF(B35="","",30)</f>
        <v>30</v>
      </c>
      <c r="D35" s="9">
        <f>IF('TO HOP'!C134="","",'TO HOP'!C134/9.81)</f>
        <v>842.43256778515808</v>
      </c>
      <c r="E35" s="9">
        <f>IF('TO HOP'!D134="","",'TO HOP'!D134/9.81)</f>
        <v>0</v>
      </c>
      <c r="F35" s="9">
        <f>IF('TO HOP'!E134="","",'TO HOP'!E134/9.81)</f>
        <v>3206.9250508919472</v>
      </c>
      <c r="G35" s="9">
        <f>IF('TO HOP'!F134="","",'TO HOP'!F134/9.81)</f>
        <v>948.16758339704381</v>
      </c>
      <c r="H35" s="9">
        <f>IF('TO HOP'!G134="","",'TO HOP'!G134/9.81)</f>
        <v>2192.2285096759474</v>
      </c>
      <c r="I35" s="9">
        <f t="shared" si="0"/>
        <v>0</v>
      </c>
    </row>
    <row r="36" spans="2:9" x14ac:dyDescent="0.3">
      <c r="B36" s="21" t="str">
        <f>'TO HOP'!B135</f>
        <v>CĐ III(a) max</v>
      </c>
      <c r="C36" s="10">
        <f>IF(B36="","",31)</f>
        <v>31</v>
      </c>
      <c r="D36" s="9">
        <f>IF('TO HOP'!C135="","",'TO HOP'!C135/9.81)</f>
        <v>1105.7319177112527</v>
      </c>
      <c r="E36" s="9">
        <f>IF('TO HOP'!D135="","",'TO HOP'!D135/9.81)</f>
        <v>25.299996192087161</v>
      </c>
      <c r="F36" s="9">
        <f>IF('TO HOP'!E135="","",'TO HOP'!E135/9.81)</f>
        <v>3661.7594822034275</v>
      </c>
      <c r="G36" s="9">
        <f>IF('TO HOP'!F135="","",'TO HOP'!F135/9.81)</f>
        <v>209.15964191838367</v>
      </c>
      <c r="H36" s="9">
        <f>IF('TO HOP'!G135="","",'TO HOP'!G135/9.81)</f>
        <v>2367.6999222757945</v>
      </c>
      <c r="I36" s="9">
        <f t="shared" si="0"/>
        <v>0</v>
      </c>
    </row>
    <row r="37" spans="2:9" x14ac:dyDescent="0.3">
      <c r="B37" s="21" t="str">
        <f>'TO HOP'!B136</f>
        <v>CĐ III(b) min</v>
      </c>
      <c r="C37" s="10">
        <f>IF(B37="","",32)</f>
        <v>32</v>
      </c>
      <c r="D37" s="9">
        <f>IF('TO HOP'!C136="","",'TO HOP'!C136/9.81)</f>
        <v>691.37352420110813</v>
      </c>
      <c r="E37" s="9">
        <f>IF('TO HOP'!D136="","",'TO HOP'!D136/9.81)</f>
        <v>25.299996192087161</v>
      </c>
      <c r="F37" s="9">
        <f>IF('TO HOP'!E136="","",'TO HOP'!E136/9.81)</f>
        <v>2612.1608249913993</v>
      </c>
      <c r="G37" s="9">
        <f>IF('TO HOP'!F136="","",'TO HOP'!F136/9.81)</f>
        <v>209.15964191838367</v>
      </c>
      <c r="H37" s="9">
        <f>IF('TO HOP'!G136="","",'TO HOP'!G136/9.81)</f>
        <v>1402.4228072406256</v>
      </c>
      <c r="I37" s="9">
        <f t="shared" si="0"/>
        <v>0</v>
      </c>
    </row>
    <row r="38" spans="2:9" x14ac:dyDescent="0.3">
      <c r="B38" s="21" t="str">
        <f>'TO HOP'!B137</f>
        <v>CĐ V(a) max - 1 làn</v>
      </c>
      <c r="C38" s="10">
        <f>IF(B38="","",33)</f>
        <v>33</v>
      </c>
      <c r="D38" s="9">
        <f>IF('TO HOP'!C137="","",'TO HOP'!C137/9.81)</f>
        <v>1223.5457027376647</v>
      </c>
      <c r="E38" s="9">
        <f>IF('TO HOP'!D137="","",'TO HOP'!D137/9.81)</f>
        <v>10.060664627930683</v>
      </c>
      <c r="F38" s="9">
        <f>IF('TO HOP'!E137="","",'TO HOP'!E137/9.81)</f>
        <v>3923.3835014780839</v>
      </c>
      <c r="G38" s="9">
        <f>IF('TO HOP'!F137="","",'TO HOP'!F137/9.81)</f>
        <v>1027.177285188583</v>
      </c>
      <c r="H38" s="9">
        <f>IF('TO HOP'!G137="","",'TO HOP'!G137/9.81)</f>
        <v>2861.4512807077713</v>
      </c>
      <c r="I38" s="9">
        <f t="shared" si="0"/>
        <v>0</v>
      </c>
    </row>
    <row r="39" spans="2:9" x14ac:dyDescent="0.3">
      <c r="B39" s="21" t="str">
        <f>'TO HOP'!B138</f>
        <v>CĐ V(a) max - 2 làn</v>
      </c>
      <c r="C39" s="10">
        <f>IF(B39="","",34)</f>
        <v>34</v>
      </c>
      <c r="D39" s="9">
        <f>IF('TO HOP'!C138="","",'TO HOP'!C138/9.81)</f>
        <v>1223.5457027376647</v>
      </c>
      <c r="E39" s="9">
        <f>IF('TO HOP'!D138="","",'TO HOP'!D138/9.81)</f>
        <v>10.060664627930683</v>
      </c>
      <c r="F39" s="9">
        <f>IF('TO HOP'!E138="","",'TO HOP'!E138/9.81)</f>
        <v>3986.5581143221207</v>
      </c>
      <c r="G39" s="9">
        <f>IF('TO HOP'!F138="","",'TO HOP'!F138/9.81)</f>
        <v>1414.121788858308</v>
      </c>
      <c r="H39" s="9">
        <f>IF('TO HOP'!G138="","",'TO HOP'!G138/9.81)</f>
        <v>2902.9570013463035</v>
      </c>
      <c r="I39" s="9">
        <f t="shared" si="0"/>
        <v>0</v>
      </c>
    </row>
    <row r="40" spans="2:9" x14ac:dyDescent="0.3">
      <c r="B40" s="21" t="str">
        <f>'TO HOP'!B139</f>
        <v>CĐ V(a) max - 3 làn</v>
      </c>
      <c r="C40" s="10">
        <f>IF(B40="","",35)</f>
        <v>35</v>
      </c>
      <c r="D40" s="9">
        <f>IF('TO HOP'!C139="","",'TO HOP'!C139/9.81)</f>
        <v>1223.5457027376647</v>
      </c>
      <c r="E40" s="9">
        <f>IF('TO HOP'!D139="","",'TO HOP'!D139/9.81)</f>
        <v>10.060664627930683</v>
      </c>
      <c r="F40" s="9">
        <f>IF('TO HOP'!E139="","",'TO HOP'!E139/9.81)</f>
        <v>4029.9906606523959</v>
      </c>
      <c r="G40" s="9">
        <f>IF('TO HOP'!F139="","",'TO HOP'!F139/9.81)</f>
        <v>1475.8157467138126</v>
      </c>
      <c r="H40" s="9">
        <f>IF('TO HOP'!G139="","",'TO HOP'!G139/9.81)</f>
        <v>2931.4921842852946</v>
      </c>
      <c r="I40" s="9">
        <f t="shared" si="0"/>
        <v>0</v>
      </c>
    </row>
    <row r="41" spans="2:9" x14ac:dyDescent="0.3">
      <c r="B41" s="21" t="str">
        <f>'TO HOP'!B140</f>
        <v>CĐ V(a) max - 4 làn</v>
      </c>
      <c r="C41" s="10">
        <f>IF(B41="","",36)</f>
        <v>36</v>
      </c>
      <c r="D41" s="9">
        <f>IF('TO HOP'!C140="","",'TO HOP'!C140/9.81)</f>
        <v>1223.5457027376647</v>
      </c>
      <c r="E41" s="9">
        <f>IF('TO HOP'!D140="","",'TO HOP'!D140/9.81)</f>
        <v>10.060664627930683</v>
      </c>
      <c r="F41" s="9">
        <f>IF('TO HOP'!E140="","",'TO HOP'!E140/9.81)</f>
        <v>4033.9390739551482</v>
      </c>
      <c r="G41" s="9">
        <f>IF('TO HOP'!F140="","",'TO HOP'!F140/9.81)</f>
        <v>1194.9848505555556</v>
      </c>
      <c r="H41" s="9">
        <f>IF('TO HOP'!G140="","",'TO HOP'!G140/9.81)</f>
        <v>2934.0862918252024</v>
      </c>
      <c r="I41" s="9">
        <f t="shared" si="0"/>
        <v>0</v>
      </c>
    </row>
    <row r="42" spans="2:9" x14ac:dyDescent="0.3">
      <c r="B42" s="21" t="str">
        <f>'TO HOP'!B141</f>
        <v>CĐ V(a) max - 5 làn</v>
      </c>
      <c r="C42" s="10">
        <f>IF(B42="","",37)</f>
        <v>37</v>
      </c>
      <c r="D42" s="9">
        <f>IF('TO HOP'!C141="","",'TO HOP'!C141/9.81)</f>
        <v>1223.5457027376647</v>
      </c>
      <c r="E42" s="9">
        <f>IF('TO HOP'!D141="","",'TO HOP'!D141/9.81)</f>
        <v>10.060664627930683</v>
      </c>
      <c r="F42" s="9">
        <f>IF('TO HOP'!E141="","",'TO HOP'!E141/9.81)</f>
        <v>4085.2684468909279</v>
      </c>
      <c r="G42" s="9">
        <f>IF('TO HOP'!F141="","",'TO HOP'!F141/9.81)</f>
        <v>1085.9099330670238</v>
      </c>
      <c r="H42" s="9">
        <f>IF('TO HOP'!G141="","",'TO HOP'!G141/9.81)</f>
        <v>2967.8096898440103</v>
      </c>
      <c r="I42" s="9">
        <f t="shared" si="0"/>
        <v>0</v>
      </c>
    </row>
    <row r="43" spans="2:9" x14ac:dyDescent="0.3">
      <c r="B43" s="21" t="str">
        <f>'TO HOP'!B142</f>
        <v>CĐ V(a) max - 6 làn</v>
      </c>
      <c r="C43" s="10">
        <f>IF(B43="","",38)</f>
        <v>38</v>
      </c>
      <c r="D43" s="9">
        <f>IF('TO HOP'!C142="","",'TO HOP'!C142/9.81)</f>
        <v>1223.5457027376647</v>
      </c>
      <c r="E43" s="9">
        <f>IF('TO HOP'!D142="","",'TO HOP'!D142/9.81)</f>
        <v>10.060664627930683</v>
      </c>
      <c r="F43" s="9">
        <f>IF('TO HOP'!E142="","",'TO HOP'!E142/9.81)</f>
        <v>4136.5978198267076</v>
      </c>
      <c r="G43" s="9">
        <f>IF('TO HOP'!F142="","",'TO HOP'!F142/9.81)</f>
        <v>822.84689677115193</v>
      </c>
      <c r="H43" s="9">
        <f>IF('TO HOP'!G142="","",'TO HOP'!G142/9.81)</f>
        <v>3001.5330878628174</v>
      </c>
      <c r="I43" s="9">
        <f t="shared" si="0"/>
        <v>0</v>
      </c>
    </row>
    <row r="44" spans="2:9" x14ac:dyDescent="0.3">
      <c r="B44" s="21" t="str">
        <f>'TO HOP'!B143</f>
        <v>CĐ V(b) min - 1 làn</v>
      </c>
      <c r="C44" s="10">
        <f>IF(B44="","",39)</f>
        <v>39</v>
      </c>
      <c r="D44" s="9">
        <f>IF('TO HOP'!C143="","",'TO HOP'!C143/9.81)</f>
        <v>809.18730922752013</v>
      </c>
      <c r="E44" s="9">
        <f>IF('TO HOP'!D143="","",'TO HOP'!D143/9.81)</f>
        <v>10.060664627930683</v>
      </c>
      <c r="F44" s="9">
        <f>IF('TO HOP'!E143="","",'TO HOP'!E143/9.81)</f>
        <v>2873.7848442660556</v>
      </c>
      <c r="G44" s="9">
        <f>IF('TO HOP'!F143="","",'TO HOP'!F143/9.81)</f>
        <v>1027.177285188583</v>
      </c>
      <c r="H44" s="9">
        <f>IF('TO HOP'!G143="","",'TO HOP'!G143/9.81)</f>
        <v>1896.1741656726031</v>
      </c>
      <c r="I44" s="9">
        <f t="shared" si="0"/>
        <v>0</v>
      </c>
    </row>
    <row r="45" spans="2:9" x14ac:dyDescent="0.3">
      <c r="B45" s="21" t="str">
        <f>'TO HOP'!B144</f>
        <v>CĐ V(b) min - 2 làn</v>
      </c>
      <c r="C45" s="10">
        <f>IF(B45="","",40)</f>
        <v>40</v>
      </c>
      <c r="D45" s="9">
        <f>IF('TO HOP'!C144="","",'TO HOP'!C144/9.81)</f>
        <v>809.18730922752013</v>
      </c>
      <c r="E45" s="9">
        <f>IF('TO HOP'!D144="","",'TO HOP'!D144/9.81)</f>
        <v>10.060664627930683</v>
      </c>
      <c r="F45" s="9">
        <f>IF('TO HOP'!E144="","",'TO HOP'!E144/9.81)</f>
        <v>2936.9594571100924</v>
      </c>
      <c r="G45" s="9">
        <f>IF('TO HOP'!F144="","",'TO HOP'!F144/9.81)</f>
        <v>1414.121788858308</v>
      </c>
      <c r="H45" s="9">
        <f>IF('TO HOP'!G144="","",'TO HOP'!G144/9.81)</f>
        <v>1937.6798863111353</v>
      </c>
      <c r="I45" s="9">
        <f t="shared" si="0"/>
        <v>0</v>
      </c>
    </row>
    <row r="46" spans="2:9" x14ac:dyDescent="0.3">
      <c r="B46" s="21" t="str">
        <f>'TO HOP'!B145</f>
        <v>CĐ V(b) min - 3 làn</v>
      </c>
      <c r="C46" s="10">
        <f>IF(B46="","",41)</f>
        <v>41</v>
      </c>
      <c r="D46" s="9">
        <f>IF('TO HOP'!C145="","",'TO HOP'!C145/9.81)</f>
        <v>809.18730922752013</v>
      </c>
      <c r="E46" s="9">
        <f>IF('TO HOP'!D145="","",'TO HOP'!D145/9.81)</f>
        <v>10.060664627930683</v>
      </c>
      <c r="F46" s="9">
        <f>IF('TO HOP'!E145="","",'TO HOP'!E145/9.81)</f>
        <v>2980.3920034403677</v>
      </c>
      <c r="G46" s="9">
        <f>IF('TO HOP'!F145="","",'TO HOP'!F145/9.81)</f>
        <v>1475.8157467138126</v>
      </c>
      <c r="H46" s="9">
        <f>IF('TO HOP'!G145="","",'TO HOP'!G145/9.81)</f>
        <v>1966.2150692501261</v>
      </c>
      <c r="I46" s="9">
        <f t="shared" si="0"/>
        <v>0</v>
      </c>
    </row>
    <row r="47" spans="2:9" x14ac:dyDescent="0.3">
      <c r="B47" s="21" t="str">
        <f>'TO HOP'!B146</f>
        <v>CĐ V(b) min - 4 làn</v>
      </c>
      <c r="C47" s="10">
        <f>IF(B47="","",42)</f>
        <v>42</v>
      </c>
      <c r="D47" s="9">
        <f>IF('TO HOP'!C146="","",'TO HOP'!C146/9.81)</f>
        <v>809.18730922752013</v>
      </c>
      <c r="E47" s="9">
        <f>IF('TO HOP'!D146="","",'TO HOP'!D146/9.81)</f>
        <v>10.060664627930683</v>
      </c>
      <c r="F47" s="9">
        <f>IF('TO HOP'!E146="","",'TO HOP'!E146/9.81)</f>
        <v>2984.3404167431199</v>
      </c>
      <c r="G47" s="9">
        <f>IF('TO HOP'!F146="","",'TO HOP'!F146/9.81)</f>
        <v>1194.9848505555556</v>
      </c>
      <c r="H47" s="9">
        <f>IF('TO HOP'!G146="","",'TO HOP'!G146/9.81)</f>
        <v>1968.8091767900341</v>
      </c>
      <c r="I47" s="9">
        <f t="shared" si="0"/>
        <v>0</v>
      </c>
    </row>
    <row r="48" spans="2:9" x14ac:dyDescent="0.3">
      <c r="B48" s="21" t="str">
        <f>'TO HOP'!B147</f>
        <v>CĐ V(b) min - 5 làn</v>
      </c>
      <c r="C48" s="10">
        <f>IF(B48="","",43)</f>
        <v>43</v>
      </c>
      <c r="D48" s="9">
        <f>IF('TO HOP'!C147="","",'TO HOP'!C147/9.81)</f>
        <v>809.18730922752013</v>
      </c>
      <c r="E48" s="9">
        <f>IF('TO HOP'!D147="","",'TO HOP'!D147/9.81)</f>
        <v>10.060664627930683</v>
      </c>
      <c r="F48" s="9">
        <f>IF('TO HOP'!E147="","",'TO HOP'!E147/9.81)</f>
        <v>3035.6697896788996</v>
      </c>
      <c r="G48" s="9">
        <f>IF('TO HOP'!F147="","",'TO HOP'!F147/9.81)</f>
        <v>1085.9099330670238</v>
      </c>
      <c r="H48" s="9">
        <f>IF('TO HOP'!G147="","",'TO HOP'!G147/9.81)</f>
        <v>2002.5325748088414</v>
      </c>
      <c r="I48" s="9">
        <f t="shared" si="0"/>
        <v>0</v>
      </c>
    </row>
    <row r="49" spans="2:9" x14ac:dyDescent="0.3">
      <c r="B49" s="21" t="str">
        <f>'TO HOP'!B148</f>
        <v>CĐ V(b) min - 6 làn</v>
      </c>
      <c r="C49" s="10">
        <f>IF(B49="","",44)</f>
        <v>44</v>
      </c>
      <c r="D49" s="9">
        <f>IF('TO HOP'!C148="","",'TO HOP'!C148/9.81)</f>
        <v>809.18730922752013</v>
      </c>
      <c r="E49" s="9">
        <f>IF('TO HOP'!D148="","",'TO HOP'!D148/9.81)</f>
        <v>10.060664627930683</v>
      </c>
      <c r="F49" s="9">
        <f>IF('TO HOP'!E148="","",'TO HOP'!E148/9.81)</f>
        <v>3086.9991626146793</v>
      </c>
      <c r="G49" s="9">
        <f>IF('TO HOP'!F148="","",'TO HOP'!F148/9.81)</f>
        <v>822.84689677115193</v>
      </c>
      <c r="H49" s="9">
        <f>IF('TO HOP'!G148="","",'TO HOP'!G148/9.81)</f>
        <v>2036.2559728276492</v>
      </c>
      <c r="I49" s="9">
        <f t="shared" si="0"/>
        <v>0</v>
      </c>
    </row>
    <row r="50" spans="2:9" ht="41.4" x14ac:dyDescent="0.3">
      <c r="B50" s="21" t="str">
        <f>'TO HOP'!B149</f>
        <v>ĐB I — LEGACY +100X +30Y (xem đủ 8 nhánh tại TO HOP EQ)</v>
      </c>
      <c r="C50" s="10">
        <f>IF(B50="","",45)</f>
        <v>45</v>
      </c>
      <c r="D50" s="9">
        <f>IF('TO HOP'!C149="","",'TO HOP'!C149/9.81)</f>
        <v>1474.6607863887673</v>
      </c>
      <c r="E50" s="9">
        <f>IF('TO HOP'!D149="","",'TO HOP'!D149/9.81)</f>
        <v>144.86249985545362</v>
      </c>
      <c r="F50" s="9">
        <f>IF('TO HOP'!E149="","",'TO HOP'!E149/9.81)</f>
        <v>3199.0063297655461</v>
      </c>
      <c r="G50" s="9">
        <f>IF('TO HOP'!F149="","",'TO HOP'!F149/9.81)</f>
        <v>1210.2301642858761</v>
      </c>
      <c r="H50" s="9">
        <f>IF('TO HOP'!G149="","",'TO HOP'!G149/9.81)</f>
        <v>5048.5454030620031</v>
      </c>
      <c r="I50" s="9">
        <f t="shared" si="0"/>
        <v>0</v>
      </c>
    </row>
    <row r="51" spans="2:9" ht="41.4" x14ac:dyDescent="0.3">
      <c r="B51" s="21" t="str">
        <f>'TO HOP'!B150</f>
        <v>ĐB I — LEGACY +100Y +30X (xem đủ 8 nhánh tại TO HOP EQ)</v>
      </c>
      <c r="C51" s="10">
        <f>IF(B51="","",46)</f>
        <v>46</v>
      </c>
      <c r="D51" s="9">
        <f>IF('TO HOP'!C150="","",'TO HOP'!C150/9.81)</f>
        <v>1034.000028565647</v>
      </c>
      <c r="E51" s="9">
        <f>IF('TO HOP'!D150="","",'TO HOP'!D150/9.81)</f>
        <v>482.87499951817875</v>
      </c>
      <c r="F51" s="9">
        <f>IF('TO HOP'!E150="","",'TO HOP'!E150/9.81)</f>
        <v>3199.0063297655461</v>
      </c>
      <c r="G51" s="9">
        <f>IF('TO HOP'!F150="","",'TO HOP'!F150/9.81)</f>
        <v>2769.8771030901958</v>
      </c>
      <c r="H51" s="9">
        <f>IF('TO HOP'!G150="","",'TO HOP'!G150/9.81)</f>
        <v>3008.0940230343913</v>
      </c>
      <c r="I51" s="9">
        <f t="shared" si="0"/>
        <v>0</v>
      </c>
    </row>
    <row r="54" spans="2:9" x14ac:dyDescent="0.3">
      <c r="B54" s="6" t="s">
        <v>506</v>
      </c>
    </row>
    <row r="55" spans="2:9" x14ac:dyDescent="0.3">
      <c r="B55" s="18" t="s">
        <v>507</v>
      </c>
      <c r="C55" s="18" t="s">
        <v>508</v>
      </c>
      <c r="D55" s="18" t="s">
        <v>509</v>
      </c>
      <c r="E55" s="18" t="s">
        <v>510</v>
      </c>
    </row>
    <row r="56" spans="2:9" x14ac:dyDescent="0.3">
      <c r="B56" s="10">
        <f>IF(1&lt;=ncoc,1,"")</f>
        <v>1</v>
      </c>
      <c r="C56" s="10">
        <f>IF(1&lt;=nch1_,1,IF(1&lt;=nch1_+nch2_,2,IF(1&lt;=nch1_+nch2_+nch3_,3,IF(1&lt;=ncoc,4,""))))</f>
        <v>1</v>
      </c>
      <c r="D56" s="9">
        <f>IF(B56="","",INDEX(INPUT!$C$102:$C$105,C56))</f>
        <v>-1.8</v>
      </c>
      <c r="E56" s="9">
        <f>IF(B56="","",(1-IF(C56=1,0,IF(C56=2,nch1_,IF(C56=3,nch1_+nch2_,nch1_+nch2_+nch3_)))-(INDEX(INPUT!$D$102:$D$105,C56)+1)/2)*INDEX(INPUT!$E$102:$E$105,C56))</f>
        <v>-10.66</v>
      </c>
    </row>
    <row r="57" spans="2:9" x14ac:dyDescent="0.3">
      <c r="B57" s="10">
        <f>IF(2&lt;=ncoc,2,"")</f>
        <v>2</v>
      </c>
      <c r="C57" s="10">
        <f>IF(2&lt;=nch1_,1,IF(2&lt;=nch1_+nch2_,2,IF(2&lt;=nch1_+nch2_+nch3_,3,IF(2&lt;=ncoc,4,""))))</f>
        <v>1</v>
      </c>
      <c r="D57" s="9">
        <f>IF(B57="","",INDEX(INPUT!$C$102:$C$105,C57))</f>
        <v>-1.8</v>
      </c>
      <c r="E57" s="9">
        <f>IF(B57="","",(2-IF(C57=1,0,IF(C57=2,nch1_,IF(C57=3,nch1_+nch2_,nch1_+nch2_+nch3_)))-(INDEX(INPUT!$D$102:$D$105,C57)+1)/2)*INDEX(INPUT!$E$102:$E$105,C57))</f>
        <v>-5.33</v>
      </c>
    </row>
    <row r="58" spans="2:9" x14ac:dyDescent="0.3">
      <c r="B58" s="10">
        <f>IF(3&lt;=ncoc,3,"")</f>
        <v>3</v>
      </c>
      <c r="C58" s="10">
        <f>IF(3&lt;=nch1_,1,IF(3&lt;=nch1_+nch2_,2,IF(3&lt;=nch1_+nch2_+nch3_,3,IF(3&lt;=ncoc,4,""))))</f>
        <v>1</v>
      </c>
      <c r="D58" s="9">
        <f>IF(B58="","",INDEX(INPUT!$C$102:$C$105,C58))</f>
        <v>-1.8</v>
      </c>
      <c r="E58" s="9">
        <f>IF(B58="","",(3-IF(C58=1,0,IF(C58=2,nch1_,IF(C58=3,nch1_+nch2_,nch1_+nch2_+nch3_)))-(INDEX(INPUT!$D$102:$D$105,C58)+1)/2)*INDEX(INPUT!$E$102:$E$105,C58))</f>
        <v>0</v>
      </c>
    </row>
    <row r="59" spans="2:9" x14ac:dyDescent="0.3">
      <c r="B59" s="10">
        <f>IF(4&lt;=ncoc,4,"")</f>
        <v>4</v>
      </c>
      <c r="C59" s="10">
        <f>IF(4&lt;=nch1_,1,IF(4&lt;=nch1_+nch2_,2,IF(4&lt;=nch1_+nch2_+nch3_,3,IF(4&lt;=ncoc,4,""))))</f>
        <v>1</v>
      </c>
      <c r="D59" s="9">
        <f>IF(B59="","",INDEX(INPUT!$C$102:$C$105,C59))</f>
        <v>-1.8</v>
      </c>
      <c r="E59" s="9">
        <f>IF(B59="","",(4-IF(C59=1,0,IF(C59=2,nch1_,IF(C59=3,nch1_+nch2_,nch1_+nch2_+nch3_)))-(INDEX(INPUT!$D$102:$D$105,C59)+1)/2)*INDEX(INPUT!$E$102:$E$105,C59))</f>
        <v>5.33</v>
      </c>
    </row>
    <row r="60" spans="2:9" x14ac:dyDescent="0.3">
      <c r="B60" s="10">
        <f>IF(5&lt;=ncoc,5,"")</f>
        <v>5</v>
      </c>
      <c r="C60" s="10">
        <f>IF(5&lt;=nch1_,1,IF(5&lt;=nch1_+nch2_,2,IF(5&lt;=nch1_+nch2_+nch3_,3,IF(5&lt;=ncoc,4,""))))</f>
        <v>1</v>
      </c>
      <c r="D60" s="9">
        <f>IF(B60="","",INDEX(INPUT!$C$102:$C$105,C60))</f>
        <v>-1.8</v>
      </c>
      <c r="E60" s="9">
        <f>IF(B60="","",(5-IF(C60=1,0,IF(C60=2,nch1_,IF(C60=3,nch1_+nch2_,nch1_+nch2_+nch3_)))-(INDEX(INPUT!$D$102:$D$105,C60)+1)/2)*INDEX(INPUT!$E$102:$E$105,C60))</f>
        <v>10.66</v>
      </c>
    </row>
    <row r="61" spans="2:9" x14ac:dyDescent="0.3">
      <c r="B61" s="10">
        <f>IF(6&lt;=ncoc,6,"")</f>
        <v>6</v>
      </c>
      <c r="C61" s="10">
        <f>IF(6&lt;=nch1_,1,IF(6&lt;=nch1_+nch2_,2,IF(6&lt;=nch1_+nch2_+nch3_,3,IF(6&lt;=ncoc,4,""))))</f>
        <v>2</v>
      </c>
      <c r="D61" s="9">
        <f>IF(B61="","",INDEX(INPUT!$C$102:$C$105,C61))</f>
        <v>1.8</v>
      </c>
      <c r="E61" s="9">
        <f>IF(B61="","",(6-IF(C61=1,0,IF(C61=2,nch1_,IF(C61=3,nch1_+nch2_,nch1_+nch2_+nch3_)))-(INDEX(INPUT!$D$102:$D$105,C61)+1)/2)*INDEX(INPUT!$E$102:$E$105,C61))</f>
        <v>-10.674999999999999</v>
      </c>
    </row>
    <row r="62" spans="2:9" x14ac:dyDescent="0.3">
      <c r="B62" s="10">
        <f>IF(7&lt;=ncoc,7,"")</f>
        <v>7</v>
      </c>
      <c r="C62" s="10">
        <f>IF(7&lt;=nch1_,1,IF(7&lt;=nch1_+nch2_,2,IF(7&lt;=nch1_+nch2_+nch3_,3,IF(7&lt;=ncoc,4,""))))</f>
        <v>2</v>
      </c>
      <c r="D62" s="9">
        <f>IF(B62="","",INDEX(INPUT!$C$102:$C$105,C62))</f>
        <v>1.8</v>
      </c>
      <c r="E62" s="9">
        <f>IF(B62="","",(7-IF(C62=1,0,IF(C62=2,nch1_,IF(C62=3,nch1_+nch2_,nch1_+nch2_+nch3_)))-(INDEX(INPUT!$D$102:$D$105,C62)+1)/2)*INDEX(INPUT!$E$102:$E$105,C62))</f>
        <v>-6.4049999999999994</v>
      </c>
    </row>
    <row r="63" spans="2:9" x14ac:dyDescent="0.3">
      <c r="B63" s="10">
        <f>IF(8&lt;=ncoc,8,"")</f>
        <v>8</v>
      </c>
      <c r="C63" s="10">
        <f>IF(8&lt;=nch1_,1,IF(8&lt;=nch1_+nch2_,2,IF(8&lt;=nch1_+nch2_+nch3_,3,IF(8&lt;=ncoc,4,""))))</f>
        <v>2</v>
      </c>
      <c r="D63" s="9">
        <f>IF(B63="","",INDEX(INPUT!$C$102:$C$105,C63))</f>
        <v>1.8</v>
      </c>
      <c r="E63" s="9">
        <f>IF(B63="","",(8-IF(C63=1,0,IF(C63=2,nch1_,IF(C63=3,nch1_+nch2_,nch1_+nch2_+nch3_)))-(INDEX(INPUT!$D$102:$D$105,C63)+1)/2)*INDEX(INPUT!$E$102:$E$105,C63))</f>
        <v>-2.1349999999999998</v>
      </c>
    </row>
    <row r="64" spans="2:9" x14ac:dyDescent="0.3">
      <c r="B64" s="10">
        <f>IF(9&lt;=ncoc,9,"")</f>
        <v>9</v>
      </c>
      <c r="C64" s="10">
        <f>IF(9&lt;=nch1_,1,IF(9&lt;=nch1_+nch2_,2,IF(9&lt;=nch1_+nch2_+nch3_,3,IF(9&lt;=ncoc,4,""))))</f>
        <v>2</v>
      </c>
      <c r="D64" s="9">
        <f>IF(B64="","",INDEX(INPUT!$C$102:$C$105,C64))</f>
        <v>1.8</v>
      </c>
      <c r="E64" s="9">
        <f>IF(B64="","",(9-IF(C64=1,0,IF(C64=2,nch1_,IF(C64=3,nch1_+nch2_,nch1_+nch2_+nch3_)))-(INDEX(INPUT!$D$102:$D$105,C64)+1)/2)*INDEX(INPUT!$E$102:$E$105,C64))</f>
        <v>2.1349999999999998</v>
      </c>
    </row>
    <row r="65" spans="2:48" x14ac:dyDescent="0.3">
      <c r="B65" s="10">
        <f>IF(10&lt;=ncoc,10,"")</f>
        <v>10</v>
      </c>
      <c r="C65" s="10">
        <f>IF(10&lt;=nch1_,1,IF(10&lt;=nch1_+nch2_,2,IF(10&lt;=nch1_+nch2_+nch3_,3,IF(10&lt;=ncoc,4,""))))</f>
        <v>2</v>
      </c>
      <c r="D65" s="9">
        <f>IF(B65="","",INDEX(INPUT!$C$102:$C$105,C65))</f>
        <v>1.8</v>
      </c>
      <c r="E65" s="9">
        <f>IF(B65="","",(10-IF(C65=1,0,IF(C65=2,nch1_,IF(C65=3,nch1_+nch2_,nch1_+nch2_+nch3_)))-(INDEX(INPUT!$D$102:$D$105,C65)+1)/2)*INDEX(INPUT!$E$102:$E$105,C65))</f>
        <v>6.4049999999999994</v>
      </c>
    </row>
    <row r="66" spans="2:48" x14ac:dyDescent="0.3">
      <c r="B66" s="10">
        <f>IF(11&lt;=ncoc,11,"")</f>
        <v>11</v>
      </c>
      <c r="C66" s="10">
        <f>IF(11&lt;=nch1_,1,IF(11&lt;=nch1_+nch2_,2,IF(11&lt;=nch1_+nch2_+nch3_,3,IF(11&lt;=ncoc,4,""))))</f>
        <v>2</v>
      </c>
      <c r="D66" s="9">
        <f>IF(B66="","",INDEX(INPUT!$C$102:$C$105,C66))</f>
        <v>1.8</v>
      </c>
      <c r="E66" s="9">
        <f>IF(B66="","",(11-IF(C66=1,0,IF(C66=2,nch1_,IF(C66=3,nch1_+nch2_,nch1_+nch2_+nch3_)))-(INDEX(INPUT!$D$102:$D$105,C66)+1)/2)*INDEX(INPUT!$E$102:$E$105,C66))</f>
        <v>10.674999999999999</v>
      </c>
    </row>
    <row r="67" spans="2:48" x14ac:dyDescent="0.3">
      <c r="B67" s="10" t="str">
        <f>IF(12&lt;=ncoc,12,"")</f>
        <v/>
      </c>
      <c r="C67" s="10" t="str">
        <f>IF(12&lt;=nch1_,1,IF(12&lt;=nch1_+nch2_,2,IF(12&lt;=nch1_+nch2_+nch3_,3,IF(12&lt;=ncoc,4,""))))</f>
        <v/>
      </c>
      <c r="D67" s="9" t="str">
        <f>IF(B67="","",INDEX(INPUT!$C$102:$C$105,C67))</f>
        <v/>
      </c>
      <c r="E67" s="9" t="str">
        <f>IF(B67="","",(12-IF(C67=1,0,IF(C67=2,nch1_,IF(C67=3,nch1_+nch2_,nch1_+nch2_+nch3_)))-(INDEX(INPUT!$D$102:$D$105,C67)+1)/2)*INDEX(INPUT!$E$102:$E$105,C67))</f>
        <v/>
      </c>
    </row>
    <row r="68" spans="2:48" x14ac:dyDescent="0.3">
      <c r="B68" s="10" t="str">
        <f>IF(13&lt;=ncoc,13,"")</f>
        <v/>
      </c>
      <c r="C68" s="10" t="str">
        <f>IF(13&lt;=nch1_,1,IF(13&lt;=nch1_+nch2_,2,IF(13&lt;=nch1_+nch2_+nch3_,3,IF(13&lt;=ncoc,4,""))))</f>
        <v/>
      </c>
      <c r="D68" s="9" t="str">
        <f>IF(B68="","",INDEX(INPUT!$C$102:$C$105,C68))</f>
        <v/>
      </c>
      <c r="E68" s="9" t="str">
        <f>IF(B68="","",(13-IF(C68=1,0,IF(C68=2,nch1_,IF(C68=3,nch1_+nch2_,nch1_+nch2_+nch3_)))-(INDEX(INPUT!$D$102:$D$105,C68)+1)/2)*INDEX(INPUT!$E$102:$E$105,C68))</f>
        <v/>
      </c>
    </row>
    <row r="69" spans="2:48" x14ac:dyDescent="0.3">
      <c r="B69" s="10" t="str">
        <f>IF(14&lt;=ncoc,14,"")</f>
        <v/>
      </c>
      <c r="C69" s="10" t="str">
        <f>IF(14&lt;=nch1_,1,IF(14&lt;=nch1_+nch2_,2,IF(14&lt;=nch1_+nch2_+nch3_,3,IF(14&lt;=ncoc,4,""))))</f>
        <v/>
      </c>
      <c r="D69" s="9" t="str">
        <f>IF(B69="","",INDEX(INPUT!$C$102:$C$105,C69))</f>
        <v/>
      </c>
      <c r="E69" s="9" t="str">
        <f>IF(B69="","",(14-IF(C69=1,0,IF(C69=2,nch1_,IF(C69=3,nch1_+nch2_,nch1_+nch2_+nch3_)))-(INDEX(INPUT!$D$102:$D$105,C69)+1)/2)*INDEX(INPUT!$E$102:$E$105,C69))</f>
        <v/>
      </c>
    </row>
    <row r="70" spans="2:48" x14ac:dyDescent="0.3">
      <c r="B70" s="10" t="str">
        <f>IF(15&lt;=ncoc,15,"")</f>
        <v/>
      </c>
      <c r="C70" s="10" t="str">
        <f>IF(15&lt;=nch1_,1,IF(15&lt;=nch1_+nch2_,2,IF(15&lt;=nch1_+nch2_+nch3_,3,IF(15&lt;=ncoc,4,""))))</f>
        <v/>
      </c>
      <c r="D70" s="9" t="str">
        <f>IF(B70="","",INDEX(INPUT!$C$102:$C$105,C70))</f>
        <v/>
      </c>
      <c r="E70" s="9" t="str">
        <f>IF(B70="","",(15-IF(C70=1,0,IF(C70=2,nch1_,IF(C70=3,nch1_+nch2_,nch1_+nch2_+nch3_)))-(INDEX(INPUT!$D$102:$D$105,C70)+1)/2)*INDEX(INPUT!$E$102:$E$105,C70))</f>
        <v/>
      </c>
    </row>
    <row r="71" spans="2:48" x14ac:dyDescent="0.3">
      <c r="B71" s="10" t="str">
        <f>IF(16&lt;=ncoc,16,"")</f>
        <v/>
      </c>
      <c r="C71" s="10" t="str">
        <f>IF(16&lt;=nch1_,1,IF(16&lt;=nch1_+nch2_,2,IF(16&lt;=nch1_+nch2_+nch3_,3,IF(16&lt;=ncoc,4,""))))</f>
        <v/>
      </c>
      <c r="D71" s="9" t="str">
        <f>IF(B71="","",INDEX(INPUT!$C$102:$C$105,C71))</f>
        <v/>
      </c>
      <c r="E71" s="9" t="str">
        <f>IF(B71="","",(16-IF(C71=1,0,IF(C71=2,nch1_,IF(C71=3,nch1_+nch2_,nch1_+nch2_+nch3_)))-(INDEX(INPUT!$D$102:$D$105,C71)+1)/2)*INDEX(INPUT!$E$102:$E$105,C71))</f>
        <v/>
      </c>
    </row>
    <row r="72" spans="2:48" x14ac:dyDescent="0.3">
      <c r="B72" s="10" t="str">
        <f>IF(17&lt;=ncoc,17,"")</f>
        <v/>
      </c>
      <c r="C72" s="10" t="str">
        <f>IF(17&lt;=nch1_,1,IF(17&lt;=nch1_+nch2_,2,IF(17&lt;=nch1_+nch2_+nch3_,3,IF(17&lt;=ncoc,4,""))))</f>
        <v/>
      </c>
      <c r="D72" s="9" t="str">
        <f>IF(B72="","",INDEX(INPUT!$C$102:$C$105,C72))</f>
        <v/>
      </c>
      <c r="E72" s="9" t="str">
        <f>IF(B72="","",(17-IF(C72=1,0,IF(C72=2,nch1_,IF(C72=3,nch1_+nch2_,nch1_+nch2_+nch3_)))-(INDEX(INPUT!$D$102:$D$105,C72)+1)/2)*INDEX(INPUT!$E$102:$E$105,C72))</f>
        <v/>
      </c>
    </row>
    <row r="73" spans="2:48" x14ac:dyDescent="0.3">
      <c r="B73" s="10" t="str">
        <f>IF(18&lt;=ncoc,18,"")</f>
        <v/>
      </c>
      <c r="C73" s="10" t="str">
        <f>IF(18&lt;=nch1_,1,IF(18&lt;=nch1_+nch2_,2,IF(18&lt;=nch1_+nch2_+nch3_,3,IF(18&lt;=ncoc,4,""))))</f>
        <v/>
      </c>
      <c r="D73" s="9" t="str">
        <f>IF(B73="","",INDEX(INPUT!$C$102:$C$105,C73))</f>
        <v/>
      </c>
      <c r="E73" s="9" t="str">
        <f>IF(B73="","",(18-IF(C73=1,0,IF(C73=2,nch1_,IF(C73=3,nch1_+nch2_,nch1_+nch2_+nch3_)))-(INDEX(INPUT!$D$102:$D$105,C73)+1)/2)*INDEX(INPUT!$E$102:$E$105,C73))</f>
        <v/>
      </c>
    </row>
    <row r="74" spans="2:48" x14ac:dyDescent="0.3">
      <c r="B74" s="10" t="str">
        <f>IF(19&lt;=ncoc,19,"")</f>
        <v/>
      </c>
      <c r="C74" s="10" t="str">
        <f>IF(19&lt;=nch1_,1,IF(19&lt;=nch1_+nch2_,2,IF(19&lt;=nch1_+nch2_+nch3_,3,IF(19&lt;=ncoc,4,""))))</f>
        <v/>
      </c>
      <c r="D74" s="9" t="str">
        <f>IF(B74="","",INDEX(INPUT!$C$102:$C$105,C74))</f>
        <v/>
      </c>
      <c r="E74" s="9" t="str">
        <f>IF(B74="","",(19-IF(C74=1,0,IF(C74=2,nch1_,IF(C74=3,nch1_+nch2_,nch1_+nch2_+nch3_)))-(INDEX(INPUT!$D$102:$D$105,C74)+1)/2)*INDEX(INPUT!$E$102:$E$105,C74))</f>
        <v/>
      </c>
    </row>
    <row r="75" spans="2:48" x14ac:dyDescent="0.3">
      <c r="B75" s="10" t="str">
        <f>IF(20&lt;=ncoc,20,"")</f>
        <v/>
      </c>
      <c r="C75" s="10" t="str">
        <f>IF(20&lt;=nch1_,1,IF(20&lt;=nch1_+nch2_,2,IF(20&lt;=nch1_+nch2_+nch3_,3,IF(20&lt;=ncoc,4,""))))</f>
        <v/>
      </c>
      <c r="D75" s="9" t="str">
        <f>IF(B75="","",INDEX(INPUT!$C$102:$C$105,C75))</f>
        <v/>
      </c>
      <c r="E75" s="9" t="str">
        <f>IF(B75="","",(20-IF(C75=1,0,IF(C75=2,nch1_,IF(C75=3,nch1_+nch2_,nch1_+nch2_+nch3_)))-(INDEX(INPUT!$D$102:$D$105,C75)+1)/2)*INDEX(INPUT!$E$102:$E$105,C75))</f>
        <v/>
      </c>
    </row>
    <row r="78" spans="2:48" x14ac:dyDescent="0.3">
      <c r="B78" s="6" t="s">
        <v>511</v>
      </c>
    </row>
    <row r="79" spans="2:48" x14ac:dyDescent="0.3">
      <c r="B79" s="18" t="s">
        <v>512</v>
      </c>
      <c r="C79" s="18" t="s">
        <v>513</v>
      </c>
      <c r="D79" s="18" t="s">
        <v>514</v>
      </c>
      <c r="E79" s="18" t="s">
        <v>515</v>
      </c>
      <c r="F79" s="18" t="s">
        <v>516</v>
      </c>
      <c r="G79" s="18" t="s">
        <v>517</v>
      </c>
      <c r="H79" s="18" t="s">
        <v>518</v>
      </c>
      <c r="I79" s="18" t="s">
        <v>519</v>
      </c>
      <c r="J79" s="18" t="s">
        <v>520</v>
      </c>
      <c r="K79" s="18" t="s">
        <v>521</v>
      </c>
      <c r="L79" s="18" t="s">
        <v>522</v>
      </c>
      <c r="M79" s="18" t="s">
        <v>523</v>
      </c>
      <c r="N79" s="18" t="s">
        <v>524</v>
      </c>
      <c r="O79" s="18" t="s">
        <v>525</v>
      </c>
      <c r="P79" s="18" t="s">
        <v>526</v>
      </c>
      <c r="Q79" s="18" t="s">
        <v>527</v>
      </c>
      <c r="R79" s="18" t="s">
        <v>528</v>
      </c>
      <c r="S79" s="18" t="s">
        <v>529</v>
      </c>
      <c r="T79" s="18" t="s">
        <v>530</v>
      </c>
      <c r="U79" s="18" t="s">
        <v>531</v>
      </c>
      <c r="V79" s="18" t="s">
        <v>532</v>
      </c>
      <c r="W79" s="18" t="s">
        <v>533</v>
      </c>
      <c r="X79" s="18" t="s">
        <v>534</v>
      </c>
      <c r="Y79" s="18" t="s">
        <v>535</v>
      </c>
      <c r="Z79" s="18" t="s">
        <v>536</v>
      </c>
      <c r="AA79" s="18" t="s">
        <v>537</v>
      </c>
      <c r="AB79" s="18" t="s">
        <v>538</v>
      </c>
      <c r="AC79" s="18" t="s">
        <v>539</v>
      </c>
      <c r="AD79" s="18" t="s">
        <v>540</v>
      </c>
      <c r="AE79" s="18" t="s">
        <v>541</v>
      </c>
      <c r="AF79" s="18" t="s">
        <v>542</v>
      </c>
      <c r="AG79" s="18" t="s">
        <v>543</v>
      </c>
      <c r="AH79" s="18" t="s">
        <v>544</v>
      </c>
      <c r="AI79" s="18" t="s">
        <v>545</v>
      </c>
      <c r="AJ79" s="18" t="s">
        <v>546</v>
      </c>
      <c r="AK79" s="18" t="s">
        <v>547</v>
      </c>
      <c r="AL79" s="18" t="s">
        <v>548</v>
      </c>
      <c r="AM79" s="18" t="s">
        <v>549</v>
      </c>
      <c r="AN79" s="18" t="s">
        <v>550</v>
      </c>
      <c r="AO79" s="18" t="s">
        <v>551</v>
      </c>
      <c r="AP79" s="18" t="s">
        <v>552</v>
      </c>
      <c r="AQ79" s="18" t="s">
        <v>553</v>
      </c>
      <c r="AR79" s="18" t="s">
        <v>554</v>
      </c>
      <c r="AS79" s="18" t="s">
        <v>555</v>
      </c>
      <c r="AT79" s="18" t="s">
        <v>556</v>
      </c>
      <c r="AU79" s="18" t="s">
        <v>557</v>
      </c>
      <c r="AV79" s="18" t="s">
        <v>558</v>
      </c>
    </row>
    <row r="80" spans="2:48" x14ac:dyDescent="0.3">
      <c r="B80" s="10">
        <f>IF(1&lt;=ncoc,1,"")</f>
        <v>1</v>
      </c>
      <c r="C80" s="8">
        <f>IF($B80="",0,IF(USE_TSPILE=1,C153,('TO HOP'!$E$105/ncoc+IF(SUMSQ($E$56:$E$75)=0,0,'TO HOP'!$F$105*$E56/SUMSQ($E$56:$E$75))+IF(SUMSQ($D$56:$D$75)=0,0,'TO HOP'!$G$105*$D56/SUMSQ($D$56:$D$75)))/9.81))</f>
        <v>101.42090163864003</v>
      </c>
      <c r="D80" s="8">
        <f>IF($B80="",0,IF(USE_TSPILE=1,D153,('TO HOP'!$E$106/ncoc+IF(SUMSQ($E$56:$E$75)=0,0,'TO HOP'!$F$106*$E56/SUMSQ($E$56:$E$75))+IF(SUMSQ($D$56:$D$75)=0,0,'TO HOP'!$G$106*$D56/SUMSQ($D$56:$D$75)))/9.81))</f>
        <v>109.67007861039278</v>
      </c>
      <c r="E80" s="8">
        <f>IF($B80="",0,IF(USE_TSPILE=1,E153,('TO HOP'!$E$107/ncoc+IF(SUMSQ($E$56:$E$75)=0,0,'TO HOP'!$F$107*$E56/SUMSQ($E$56:$E$75))+IF(SUMSQ($D$56:$D$75)=0,0,'TO HOP'!$G$107*$D56/SUMSQ($D$56:$D$75)))/9.81))</f>
        <v>112.71375088621795</v>
      </c>
      <c r="F80" s="8">
        <f>IF($B80="",0,IF(USE_TSPILE=1,F153,('TO HOP'!$E$108/ncoc+IF(SUMSQ($E$56:$E$75)=0,0,'TO HOP'!$F$108*$E56/SUMSQ($E$56:$E$75))+IF(SUMSQ($D$56:$D$75)=0,0,'TO HOP'!$G$108*$D56/SUMSQ($D$56:$D$75)))/9.81))</f>
        <v>109.30690995561557</v>
      </c>
      <c r="G80" s="8">
        <f>IF($B80="",0,IF(USE_TSPILE=1,G153,('TO HOP'!$E$109/ncoc+IF(SUMSQ($E$56:$E$75)=0,0,'TO HOP'!$F$109*$E56/SUMSQ($E$56:$E$75))+IF(SUMSQ($D$56:$D$75)=0,0,'TO HOP'!$G$109*$D56/SUMSQ($D$56:$D$75)))/9.81))</f>
        <v>110.56368399020175</v>
      </c>
      <c r="H80" s="8">
        <f>IF($B80="",0,IF(USE_TSPILE=1,H153,('TO HOP'!$E$110/ncoc+IF(SUMSQ($E$56:$E$75)=0,0,'TO HOP'!$F$110*$E56/SUMSQ($E$56:$E$75))+IF(SUMSQ($D$56:$D$75)=0,0,'TO HOP'!$G$110*$D56/SUMSQ($D$56:$D$75)))/9.81))</f>
        <v>109.840209932074</v>
      </c>
      <c r="I80" s="8">
        <f>IF($B80="",0,IF(USE_TSPILE=1,I153,('TO HOP'!$E$111/ncoc+IF(SUMSQ($E$56:$E$75)=0,0,'TO HOP'!$F$111*$E56/SUMSQ($E$56:$E$75))+IF(SUMSQ($D$56:$D$75)=0,0,'TO HOP'!$G$111*$D56/SUMSQ($D$56:$D$75)))/9.81))</f>
        <v>89.387086305994558</v>
      </c>
      <c r="J80" s="8">
        <f>IF($B80="",0,IF(USE_TSPILE=1,J153,('TO HOP'!$E$112/ncoc+IF(SUMSQ($E$56:$E$75)=0,0,'TO HOP'!$F$112*$E56/SUMSQ($E$56:$E$75))+IF(SUMSQ($D$56:$D$75)=0,0,'TO HOP'!$G$112*$D56/SUMSQ($D$56:$D$75)))/9.81))</f>
        <v>92.660255249902349</v>
      </c>
      <c r="K80" s="8">
        <f>IF($B80="",0,IF(USE_TSPILE=1,K153,('TO HOP'!$E$113/ncoc+IF(SUMSQ($E$56:$E$75)=0,0,'TO HOP'!$F$113*$E56/SUMSQ($E$56:$E$75))+IF(SUMSQ($D$56:$D$75)=0,0,'TO HOP'!$G$113*$D56/SUMSQ($D$56:$D$75)))/9.81))</f>
        <v>94.910558898838985</v>
      </c>
      <c r="L80" s="8">
        <f>IF($B80="",0,IF(USE_TSPILE=1,L153,('TO HOP'!$E$114/ncoc+IF(SUMSQ($E$56:$E$75)=0,0,'TO HOP'!$F$114*$E56/SUMSQ($E$56:$E$75))+IF(SUMSQ($D$56:$D$75)=0,0,'TO HOP'!$G$114*$D56/SUMSQ($D$56:$D$75)))/9.81))</f>
        <v>95.115131957833256</v>
      </c>
      <c r="M80" s="8">
        <f>IF($B80="",0,IF(USE_TSPILE=1,M153,('TO HOP'!$E$115/ncoc+IF(SUMSQ($E$56:$E$75)=0,0,'TO HOP'!$F$115*$E56/SUMSQ($E$56:$E$75))+IF(SUMSQ($D$56:$D$75)=0,0,'TO HOP'!$G$115*$D56/SUMSQ($D$56:$D$75)))/9.81))</f>
        <v>97.774581724758377</v>
      </c>
      <c r="N80" s="8">
        <f>IF($B80="",0,IF(USE_TSPILE=1,N153,('TO HOP'!$E$116/ncoc+IF(SUMSQ($E$56:$E$75)=0,0,'TO HOP'!$F$116*$E56/SUMSQ($E$56:$E$75))+IF(SUMSQ($D$56:$D$75)=0,0,'TO HOP'!$G$116*$D56/SUMSQ($D$56:$D$75)))/9.81))</f>
        <v>100.43403149168341</v>
      </c>
      <c r="O80" s="8">
        <f>IF($B80="",0,IF(USE_TSPILE=1,O153,('TO HOP'!$E$117/ncoc+IF(SUMSQ($E$56:$E$75)=0,0,'TO HOP'!$F$117*$E56/SUMSQ($E$56:$E$75))+IF(SUMSQ($D$56:$D$75)=0,0,'TO HOP'!$G$117*$D56/SUMSQ($D$56:$D$75)))/9.81))</f>
        <v>103.1383427496047</v>
      </c>
      <c r="P80" s="8">
        <f>IF($B80="",0,IF(USE_TSPILE=1,P153,('TO HOP'!$E$118/ncoc+IF(SUMSQ($E$56:$E$75)=0,0,'TO HOP'!$F$118*$E56/SUMSQ($E$56:$E$75))+IF(SUMSQ($D$56:$D$75)=0,0,'TO HOP'!$G$118*$D56/SUMSQ($D$56:$D$75)))/9.81))</f>
        <v>117.5744024501721</v>
      </c>
      <c r="Q80" s="8">
        <f>IF($B80="",0,IF(USE_TSPILE=1,Q153,('TO HOP'!$E$119/ncoc+IF(SUMSQ($E$56:$E$75)=0,0,'TO HOP'!$F$119*$E56/SUMSQ($E$56:$E$75))+IF(SUMSQ($D$56:$D$75)=0,0,'TO HOP'!$G$119*$D56/SUMSQ($D$56:$D$75)))/9.81))</f>
        <v>122.90082893286615</v>
      </c>
      <c r="R80" s="8">
        <f>IF($B80="",0,IF(USE_TSPILE=1,R153,('TO HOP'!$E$120/ncoc+IF(SUMSQ($E$56:$E$75)=0,0,'TO HOP'!$F$120*$E56/SUMSQ($E$56:$E$75))+IF(SUMSQ($D$56:$D$75)=0,0,'TO HOP'!$G$120*$D56/SUMSQ($D$56:$D$75)))/9.81))</f>
        <v>116.93885730431191</v>
      </c>
      <c r="S80" s="8">
        <f>IF($B80="",0,IF(USE_TSPILE=1,S153,('TO HOP'!$E$121/ncoc+IF(SUMSQ($E$56:$E$75)=0,0,'TO HOP'!$F$121*$E56/SUMSQ($E$56:$E$75))+IF(SUMSQ($D$56:$D$75)=0,0,'TO HOP'!$G$121*$D56/SUMSQ($D$56:$D$75)))/9.81))</f>
        <v>119.13821186483761</v>
      </c>
      <c r="T80" s="8">
        <f>IF($B80="",0,IF(USE_TSPILE=1,T153,('TO HOP'!$E$122/ncoc+IF(SUMSQ($E$56:$E$75)=0,0,'TO HOP'!$F$122*$E56/SUMSQ($E$56:$E$75))+IF(SUMSQ($D$56:$D$75)=0,0,'TO HOP'!$G$122*$D56/SUMSQ($D$56:$D$75)))/9.81))</f>
        <v>117.87213226311428</v>
      </c>
      <c r="U80" s="8">
        <f>IF($B80="",0,IF(USE_TSPILE=1,U153,('TO HOP'!$E$123/ncoc+IF(SUMSQ($E$56:$E$75)=0,0,'TO HOP'!$F$123*$E56/SUMSQ($E$56:$E$75))+IF(SUMSQ($D$56:$D$75)=0,0,'TO HOP'!$G$123*$D56/SUMSQ($D$56:$D$75)))/9.81))</f>
        <v>82.079165917475166</v>
      </c>
      <c r="V80" s="8">
        <f>IF($B80="",0,IF(USE_TSPILE=1,V153,('TO HOP'!$E$124/ncoc+IF(SUMSQ($E$56:$E$75)=0,0,'TO HOP'!$F$124*$E56/SUMSQ($E$56:$E$75))+IF(SUMSQ($D$56:$D$75)=0,0,'TO HOP'!$G$124*$D56/SUMSQ($D$56:$D$75)))/9.81))</f>
        <v>87.807211569313836</v>
      </c>
      <c r="W80" s="8">
        <f>IF($B80="",0,IF(USE_TSPILE=1,W153,('TO HOP'!$E$125/ncoc+IF(SUMSQ($E$56:$E$75)=0,0,'TO HOP'!$F$125*$E56/SUMSQ($E$56:$E$75))+IF(SUMSQ($D$56:$D$75)=0,0,'TO HOP'!$G$125*$D56/SUMSQ($D$56:$D$75)))/9.81))</f>
        <v>91.745242954952914</v>
      </c>
      <c r="X80" s="8">
        <f>IF($B80="",0,IF(USE_TSPILE=1,X153,('TO HOP'!$E$126/ncoc+IF(SUMSQ($E$56:$E$75)=0,0,'TO HOP'!$F$126*$E56/SUMSQ($E$56:$E$75))+IF(SUMSQ($D$56:$D$75)=0,0,'TO HOP'!$G$126*$D56/SUMSQ($D$56:$D$75)))/9.81))</f>
        <v>92.103245808192867</v>
      </c>
      <c r="Y80" s="8">
        <f>IF($B80="",0,IF(USE_TSPILE=1,Y153,('TO HOP'!$E$127/ncoc+IF(SUMSQ($E$56:$E$75)=0,0,'TO HOP'!$F$127*$E56/SUMSQ($E$56:$E$75))+IF(SUMSQ($D$56:$D$75)=0,0,'TO HOP'!$G$127*$D56/SUMSQ($D$56:$D$75)))/9.81))</f>
        <v>96.757282900311736</v>
      </c>
      <c r="Z80" s="8">
        <f>IF($B80="",0,IF(USE_TSPILE=1,Z153,('TO HOP'!$E$128/ncoc+IF(SUMSQ($E$56:$E$75)=0,0,'TO HOP'!$F$128*$E56/SUMSQ($E$56:$E$75))+IF(SUMSQ($D$56:$D$75)=0,0,'TO HOP'!$G$128*$D56/SUMSQ($D$56:$D$75)))/9.81))</f>
        <v>101.41131999243072</v>
      </c>
      <c r="AA80" s="8">
        <f>IF($B80="",0,IF(USE_TSPILE=1,AA153,('TO HOP'!$E$129/ncoc+IF(SUMSQ($E$56:$E$75)=0,0,'TO HOP'!$F$129*$E56/SUMSQ($E$56:$E$75))+IF(SUMSQ($D$56:$D$75)=0,0,'TO HOP'!$G$129*$D56/SUMSQ($D$56:$D$75)))/9.81))</f>
        <v>101.10482642718148</v>
      </c>
      <c r="AB80" s="8">
        <f>IF($B80="",0,IF(USE_TSPILE=1,AB153,('TO HOP'!$E$130/ncoc+IF(SUMSQ($E$56:$E$75)=0,0,'TO HOP'!$F$130*$E56/SUMSQ($E$56:$E$75))+IF(SUMSQ($D$56:$D$75)=0,0,'TO HOP'!$G$130*$D56/SUMSQ($D$56:$D$75)))/9.81))</f>
        <v>115.54088612774891</v>
      </c>
      <c r="AC80" s="8">
        <f>IF($B80="",0,IF(USE_TSPILE=1,AC153,('TO HOP'!$E$131/ncoc+IF(SUMSQ($E$56:$E$75)=0,0,'TO HOP'!$F$131*$E56/SUMSQ($E$56:$E$75))+IF(SUMSQ($D$56:$D$75)=0,0,'TO HOP'!$G$131*$D56/SUMSQ($D$56:$D$75)))/9.81))</f>
        <v>120.86731261044289</v>
      </c>
      <c r="AD80" s="8">
        <f>IF($B80="",0,IF(USE_TSPILE=1,AD153,('TO HOP'!$E$132/ncoc+IF(SUMSQ($E$56:$E$75)=0,0,'TO HOP'!$F$132*$E56/SUMSQ($E$56:$E$75))+IF(SUMSQ($D$56:$D$75)=0,0,'TO HOP'!$G$132*$D56/SUMSQ($D$56:$D$75)))/9.81))</f>
        <v>114.90534098188866</v>
      </c>
      <c r="AE80" s="8">
        <f>IF($B80="",0,IF(USE_TSPILE=1,AE153,('TO HOP'!$E$133/ncoc+IF(SUMSQ($E$56:$E$75)=0,0,'TO HOP'!$F$133*$E56/SUMSQ($E$56:$E$75))+IF(SUMSQ($D$56:$D$75)=0,0,'TO HOP'!$G$133*$D56/SUMSQ($D$56:$D$75)))/9.81))</f>
        <v>117.10469554241442</v>
      </c>
      <c r="AF80" s="8">
        <f>IF($B80="",0,IF(USE_TSPILE=1,AF153,('TO HOP'!$E$134/ncoc+IF(SUMSQ($E$56:$E$75)=0,0,'TO HOP'!$F$134*$E56/SUMSQ($E$56:$E$75))+IF(SUMSQ($D$56:$D$75)=0,0,'TO HOP'!$G$134*$D56/SUMSQ($D$56:$D$75)))/9.81))</f>
        <v>115.83861594069103</v>
      </c>
      <c r="AG80" s="8">
        <f>IF($B80="",0,IF(USE_TSPILE=1,AG153,('TO HOP'!$E$135/ncoc+IF(SUMSQ($E$56:$E$75)=0,0,'TO HOP'!$F$135*$E56/SUMSQ($E$56:$E$75))+IF(SUMSQ($D$56:$D$75)=0,0,'TO HOP'!$G$135*$D56/SUMSQ($D$56:$D$75)))/9.81))</f>
        <v>100.66103324840876</v>
      </c>
      <c r="AH80" s="8">
        <f>IF($B80="",0,IF(USE_TSPILE=1,AH153,('TO HOP'!$E$136/ncoc+IF(SUMSQ($E$56:$E$75)=0,0,'TO HOP'!$F$136*$E56/SUMSQ($E$56:$E$75))+IF(SUMSQ($D$56:$D$75)=0,0,'TO HOP'!$G$136*$D56/SUMSQ($D$56:$D$75)))/9.81))</f>
        <v>98.62751692598556</v>
      </c>
      <c r="AI80" s="8">
        <f>IF($B80="",0,IF(USE_TSPILE=1,AI153,('TO HOP'!$E$137/ncoc+IF(SUMSQ($E$56:$E$75)=0,0,'TO HOP'!$F$137*$E56/SUMSQ($E$56:$E$75))+IF(SUMSQ($D$56:$D$75)=0,0,'TO HOP'!$G$137*$D56/SUMSQ($D$56:$D$75)))/9.81))</f>
        <v>103.41701190264601</v>
      </c>
      <c r="AJ80" s="8">
        <f>IF($B80="",0,IF(USE_TSPILE=1,AJ153,('TO HOP'!$E$138/ncoc+IF(SUMSQ($E$56:$E$75)=0,0,'TO HOP'!$F$138*$E56/SUMSQ($E$56:$E$75))+IF(SUMSQ($D$56:$D$75)=0,0,'TO HOP'!$G$138*$D56/SUMSQ($D$56:$D$75)))/9.81))</f>
        <v>114.55340081451232</v>
      </c>
      <c r="AK80" s="8">
        <f>IF($B80="",0,IF(USE_TSPILE=1,AK153,('TO HOP'!$E$139/ncoc+IF(SUMSQ($E$56:$E$75)=0,0,'TO HOP'!$F$139*$E56/SUMSQ($E$56:$E$75))+IF(SUMSQ($D$56:$D$75)=0,0,'TO HOP'!$G$139*$D56/SUMSQ($D$56:$D$75)))/9.81))</f>
        <v>118.66235838687635</v>
      </c>
      <c r="AL80" s="8">
        <f>IF($B80="",0,IF(USE_TSPILE=1,AL153,('TO HOP'!$E$140/ncoc+IF(SUMSQ($E$56:$E$75)=0,0,'TO HOP'!$F$140*$E56/SUMSQ($E$56:$E$75))+IF(SUMSQ($D$56:$D$75)=0,0,'TO HOP'!$G$140*$D56/SUMSQ($D$56:$D$75)))/9.81))</f>
        <v>114.06312313056293</v>
      </c>
      <c r="AM80" s="8">
        <f>IF($B80="",0,IF(USE_TSPILE=1,AM153,('TO HOP'!$E$141/ncoc+IF(SUMSQ($E$56:$E$75)=0,0,'TO HOP'!$F$141*$E56/SUMSQ($E$56:$E$75))+IF(SUMSQ($D$56:$D$75)=0,0,'TO HOP'!$G$141*$D56/SUMSQ($D$56:$D$75)))/9.81))</f>
        <v>115.75976807725434</v>
      </c>
      <c r="AN80" s="8">
        <f>IF($B80="",0,IF(USE_TSPILE=1,AN153,('TO HOP'!$E$142/ncoc+IF(SUMSQ($E$56:$E$75)=0,0,'TO HOP'!$F$142*$E56/SUMSQ($E$56:$E$75))+IF(SUMSQ($D$56:$D$75)=0,0,'TO HOP'!$G$142*$D56/SUMSQ($D$56:$D$75)))/9.81))</f>
        <v>114.78307809878203</v>
      </c>
      <c r="AO80" s="8">
        <f>IF($B80="",0,IF(USE_TSPILE=1,AO153,('TO HOP'!$E$143/ncoc+IF(SUMSQ($E$56:$E$75)=0,0,'TO HOP'!$F$143*$E56/SUMSQ($E$56:$E$75))+IF(SUMSQ($D$56:$D$75)=0,0,'TO HOP'!$G$143*$D56/SUMSQ($D$56:$D$75)))/9.81))</f>
        <v>101.38349558022279</v>
      </c>
      <c r="AP80" s="8">
        <f>IF($B80="",0,IF(USE_TSPILE=1,AP153,('TO HOP'!$E$144/ncoc+IF(SUMSQ($E$56:$E$75)=0,0,'TO HOP'!$F$144*$E56/SUMSQ($E$56:$E$75))+IF(SUMSQ($D$56:$D$75)=0,0,'TO HOP'!$G$144*$D56/SUMSQ($D$56:$D$75)))/9.81))</f>
        <v>112.51988449208915</v>
      </c>
      <c r="AQ80" s="8">
        <f>IF($B80="",0,IF(USE_TSPILE=1,AQ153,('TO HOP'!$E$145/ncoc+IF(SUMSQ($E$56:$E$75)=0,0,'TO HOP'!$F$145*$E56/SUMSQ($E$56:$E$75))+IF(SUMSQ($D$56:$D$75)=0,0,'TO HOP'!$G$145*$D56/SUMSQ($D$56:$D$75)))/9.81))</f>
        <v>116.62884206445307</v>
      </c>
      <c r="AR80" s="8">
        <f>IF($B80="",0,IF(USE_TSPILE=1,AR153,('TO HOP'!$E$146/ncoc+IF(SUMSQ($E$56:$E$75)=0,0,'TO HOP'!$F$146*$E56/SUMSQ($E$56:$E$75))+IF(SUMSQ($D$56:$D$75)=0,0,'TO HOP'!$G$146*$D56/SUMSQ($D$56:$D$75)))/9.81))</f>
        <v>112.02960680813982</v>
      </c>
      <c r="AS80" s="8">
        <f>IF($B80="",0,IF(USE_TSPILE=1,AS153,('TO HOP'!$E$147/ncoc+IF(SUMSQ($E$56:$E$75)=0,0,'TO HOP'!$F$147*$E56/SUMSQ($E$56:$E$75))+IF(SUMSQ($D$56:$D$75)=0,0,'TO HOP'!$G$147*$D56/SUMSQ($D$56:$D$75)))/9.81))</f>
        <v>113.72625175483108</v>
      </c>
      <c r="AT80" s="8">
        <f>IF($B80="",0,IF(USE_TSPILE=1,AT153,('TO HOP'!$E$148/ncoc+IF(SUMSQ($E$56:$E$75)=0,0,'TO HOP'!$F$148*$E56/SUMSQ($E$56:$E$75))+IF(SUMSQ($D$56:$D$75)=0,0,'TO HOP'!$G$148*$D56/SUMSQ($D$56:$D$75)))/9.81))</f>
        <v>112.74956177635875</v>
      </c>
      <c r="AU80" s="8">
        <f>IF($B80="",0,IF(USE_TSPILE=1,AU153,('TO HOP'!$E$149/ncoc+IF(SUMSQ($E$56:$E$75)=0,0,'TO HOP'!$F$149*$E56/SUMSQ($E$56:$E$75))+IF(SUMSQ($D$56:$D$75)=0,0,'TO HOP'!$G$149*$D56/SUMSQ($D$56:$D$75)))/9.81))</f>
        <v>-101.31736282887658</v>
      </c>
      <c r="AV80" s="8">
        <f>IF($B80="",0,IF(USE_TSPILE=1,AV153,('TO HOP'!$E$150/ncoc+IF(SUMSQ($E$56:$E$75)=0,0,'TO HOP'!$F$150*$E56/SUMSQ($E$56:$E$75))+IF(SUMSQ($D$56:$D$75)=0,0,'TO HOP'!$G$150*$D56/SUMSQ($D$56:$D$75)))/9.81))</f>
        <v>56.028208333184295</v>
      </c>
    </row>
    <row r="81" spans="2:48" x14ac:dyDescent="0.3">
      <c r="B81" s="10">
        <f>IF(2&lt;=ncoc,2,"")</f>
        <v>2</v>
      </c>
      <c r="C81" s="8">
        <f>IF($B81="",0,IF(USE_TSPILE=1,C154,('TO HOP'!$E$105/ncoc+IF(SUMSQ($E$56:$E$75)=0,0,'TO HOP'!$F$105*$E57/SUMSQ($E$56:$E$75))+IF(SUMSQ($D$56:$D$75)=0,0,'TO HOP'!$G$105*$D57/SUMSQ($D$56:$D$75)))/9.81))</f>
        <v>94.982911967415021</v>
      </c>
      <c r="D81" s="8">
        <f>IF($B81="",0,IF(USE_TSPILE=1,D154,('TO HOP'!$E$106/ncoc+IF(SUMSQ($E$56:$E$75)=0,0,'TO HOP'!$F$106*$E57/SUMSQ($E$56:$E$75))+IF(SUMSQ($D$56:$D$75)=0,0,'TO HOP'!$G$106*$D57/SUMSQ($D$56:$D$75)))/9.81))</f>
        <v>100.74408492524529</v>
      </c>
      <c r="E81" s="8">
        <f>IF($B81="",0,IF(USE_TSPILE=1,E154,('TO HOP'!$E$107/ncoc+IF(SUMSQ($E$56:$E$75)=0,0,'TO HOP'!$F$107*$E57/SUMSQ($E$56:$E$75))+IF(SUMSQ($D$56:$D$75)=0,0,'TO HOP'!$G$107*$D57/SUMSQ($D$56:$D$75)))/9.81))</f>
        <v>103.39107288762619</v>
      </c>
      <c r="F81" s="8">
        <f>IF($B81="",0,IF(USE_TSPILE=1,F154,('TO HOP'!$E$108/ncoc+IF(SUMSQ($E$56:$E$75)=0,0,'TO HOP'!$F$108*$E57/SUMSQ($E$56:$E$75))+IF(SUMSQ($D$56:$D$75)=0,0,'TO HOP'!$G$108*$D57/SUMSQ($D$56:$D$75)))/9.81))</f>
        <v>101.78993895182217</v>
      </c>
      <c r="G81" s="8">
        <f>IF($B81="",0,IF(USE_TSPILE=1,G154,('TO HOP'!$E$109/ncoc+IF(SUMSQ($E$56:$E$75)=0,0,'TO HOP'!$F$109*$E57/SUMSQ($E$56:$E$75))+IF(SUMSQ($D$56:$D$75)=0,0,'TO HOP'!$G$109*$D57/SUMSQ($D$56:$D$75)))/9.81))</f>
        <v>103.74805085257782</v>
      </c>
      <c r="H81" s="8">
        <f>IF($B81="",0,IF(USE_TSPILE=1,H154,('TO HOP'!$E$110/ncoc+IF(SUMSQ($E$56:$E$75)=0,0,'TO HOP'!$F$110*$E57/SUMSQ($E$56:$E$75))+IF(SUMSQ($D$56:$D$75)=0,0,'TO HOP'!$G$110*$D57/SUMSQ($D$56:$D$75)))/9.81))</f>
        <v>104.71603870697646</v>
      </c>
      <c r="I81" s="8">
        <f>IF($B81="",0,IF(USE_TSPILE=1,I154,('TO HOP'!$E$111/ncoc+IF(SUMSQ($E$56:$E$75)=0,0,'TO HOP'!$F$111*$E57/SUMSQ($E$56:$E$75))+IF(SUMSQ($D$56:$D$75)=0,0,'TO HOP'!$G$111*$D57/SUMSQ($D$56:$D$75)))/9.81))</f>
        <v>88.966004301092312</v>
      </c>
      <c r="J81" s="8">
        <f>IF($B81="",0,IF(USE_TSPILE=1,J154,('TO HOP'!$E$112/ncoc+IF(SUMSQ($E$56:$E$75)=0,0,'TO HOP'!$F$112*$E57/SUMSQ($E$56:$E$75))+IF(SUMSQ($D$56:$D$75)=0,0,'TO HOP'!$G$112*$D57/SUMSQ($D$56:$D$75)))/9.81))</f>
        <v>92.239173245000103</v>
      </c>
      <c r="K81" s="8">
        <f>IF($B81="",0,IF(USE_TSPILE=1,K154,('TO HOP'!$E$113/ncoc+IF(SUMSQ($E$56:$E$75)=0,0,'TO HOP'!$F$113*$E57/SUMSQ($E$56:$E$75))+IF(SUMSQ($D$56:$D$75)=0,0,'TO HOP'!$G$113*$D57/SUMSQ($D$56:$D$75)))/9.81))</f>
        <v>94.48947689393674</v>
      </c>
      <c r="L81" s="8">
        <f>IF($B81="",0,IF(USE_TSPILE=1,L154,('TO HOP'!$E$114/ncoc+IF(SUMSQ($E$56:$E$75)=0,0,'TO HOP'!$F$114*$E57/SUMSQ($E$56:$E$75))+IF(SUMSQ($D$56:$D$75)=0,0,'TO HOP'!$G$114*$D57/SUMSQ($D$56:$D$75)))/9.81))</f>
        <v>94.69404995293101</v>
      </c>
      <c r="M81" s="8">
        <f>IF($B81="",0,IF(USE_TSPILE=1,M154,('TO HOP'!$E$115/ncoc+IF(SUMSQ($E$56:$E$75)=0,0,'TO HOP'!$F$115*$E57/SUMSQ($E$56:$E$75))+IF(SUMSQ($D$56:$D$75)=0,0,'TO HOP'!$G$115*$D57/SUMSQ($D$56:$D$75)))/9.81))</f>
        <v>97.353499719856131</v>
      </c>
      <c r="N81" s="8">
        <f>IF($B81="",0,IF(USE_TSPILE=1,N154,('TO HOP'!$E$116/ncoc+IF(SUMSQ($E$56:$E$75)=0,0,'TO HOP'!$F$116*$E57/SUMSQ($E$56:$E$75))+IF(SUMSQ($D$56:$D$75)=0,0,'TO HOP'!$G$116*$D57/SUMSQ($D$56:$D$75)))/9.81))</f>
        <v>100.01294948678117</v>
      </c>
      <c r="O81" s="8">
        <f>IF($B81="",0,IF(USE_TSPILE=1,O154,('TO HOP'!$E$117/ncoc+IF(SUMSQ($E$56:$E$75)=0,0,'TO HOP'!$F$117*$E57/SUMSQ($E$56:$E$75))+IF(SUMSQ($D$56:$D$75)=0,0,'TO HOP'!$G$117*$D57/SUMSQ($D$56:$D$75)))/9.81))</f>
        <v>92.608754333539935</v>
      </c>
      <c r="P81" s="8">
        <f>IF($B81="",0,IF(USE_TSPILE=1,P154,('TO HOP'!$E$118/ncoc+IF(SUMSQ($E$56:$E$75)=0,0,'TO HOP'!$F$118*$E57/SUMSQ($E$56:$E$75))+IF(SUMSQ($D$56:$D$75)=0,0,'TO HOP'!$G$118*$D57/SUMSQ($D$56:$D$75)))/9.81))</f>
        <v>102.69080700974297</v>
      </c>
      <c r="Q81" s="8">
        <f>IF($B81="",0,IF(USE_TSPILE=1,Q154,('TO HOP'!$E$119/ncoc+IF(SUMSQ($E$56:$E$75)=0,0,'TO HOP'!$F$119*$E57/SUMSQ($E$56:$E$75))+IF(SUMSQ($D$56:$D$75)=0,0,'TO HOP'!$G$119*$D57/SUMSQ($D$56:$D$75)))/9.81))</f>
        <v>107.32303594390953</v>
      </c>
      <c r="R81" s="8">
        <f>IF($B81="",0,IF(USE_TSPILE=1,R154,('TO HOP'!$E$120/ncoc+IF(SUMSQ($E$56:$E$75)=0,0,'TO HOP'!$F$120*$E57/SUMSQ($E$56:$E$75))+IF(SUMSQ($D$56:$D$75)=0,0,'TO HOP'!$G$120*$D57/SUMSQ($D$56:$D$75)))/9.81))</f>
        <v>104.52105155625242</v>
      </c>
      <c r="S81" s="8">
        <f>IF($B81="",0,IF(USE_TSPILE=1,S154,('TO HOP'!$E$121/ncoc+IF(SUMSQ($E$56:$E$75)=0,0,'TO HOP'!$F$121*$E57/SUMSQ($E$56:$E$75))+IF(SUMSQ($D$56:$D$75)=0,0,'TO HOP'!$G$121*$D57/SUMSQ($D$56:$D$75)))/9.81))</f>
        <v>107.94774738257468</v>
      </c>
      <c r="T81" s="8">
        <f>IF($B81="",0,IF(USE_TSPILE=1,T154,('TO HOP'!$E$122/ncoc+IF(SUMSQ($E$56:$E$75)=0,0,'TO HOP'!$F$122*$E57/SUMSQ($E$56:$E$75))+IF(SUMSQ($D$56:$D$75)=0,0,'TO HOP'!$G$122*$D57/SUMSQ($D$56:$D$75)))/9.81))</f>
        <v>109.64172612777247</v>
      </c>
      <c r="U81" s="8">
        <f>IF($B81="",0,IF(USE_TSPILE=1,U154,('TO HOP'!$E$123/ncoc+IF(SUMSQ($E$56:$E$75)=0,0,'TO HOP'!$F$123*$E57/SUMSQ($E$56:$E$75))+IF(SUMSQ($D$56:$D$75)=0,0,'TO HOP'!$G$123*$D57/SUMSQ($D$56:$D$75)))/9.81))</f>
        <v>82.079165917475166</v>
      </c>
      <c r="V81" s="8">
        <f>IF($B81="",0,IF(USE_TSPILE=1,V154,('TO HOP'!$E$124/ncoc+IF(SUMSQ($E$56:$E$75)=0,0,'TO HOP'!$F$124*$E57/SUMSQ($E$56:$E$75))+IF(SUMSQ($D$56:$D$75)=0,0,'TO HOP'!$G$124*$D57/SUMSQ($D$56:$D$75)))/9.81))</f>
        <v>87.807211569313836</v>
      </c>
      <c r="W81" s="8">
        <f>IF($B81="",0,IF(USE_TSPILE=1,W154,('TO HOP'!$E$125/ncoc+IF(SUMSQ($E$56:$E$75)=0,0,'TO HOP'!$F$125*$E57/SUMSQ($E$56:$E$75))+IF(SUMSQ($D$56:$D$75)=0,0,'TO HOP'!$G$125*$D57/SUMSQ($D$56:$D$75)))/9.81))</f>
        <v>91.745242954952914</v>
      </c>
      <c r="X81" s="8">
        <f>IF($B81="",0,IF(USE_TSPILE=1,X154,('TO HOP'!$E$126/ncoc+IF(SUMSQ($E$56:$E$75)=0,0,'TO HOP'!$F$126*$E57/SUMSQ($E$56:$E$75))+IF(SUMSQ($D$56:$D$75)=0,0,'TO HOP'!$G$126*$D57/SUMSQ($D$56:$D$75)))/9.81))</f>
        <v>92.103245808192867</v>
      </c>
      <c r="Y81" s="8">
        <f>IF($B81="",0,IF(USE_TSPILE=1,Y154,('TO HOP'!$E$127/ncoc+IF(SUMSQ($E$56:$E$75)=0,0,'TO HOP'!$F$127*$E57/SUMSQ($E$56:$E$75))+IF(SUMSQ($D$56:$D$75)=0,0,'TO HOP'!$G$127*$D57/SUMSQ($D$56:$D$75)))/9.81))</f>
        <v>96.757282900311736</v>
      </c>
      <c r="Z81" s="8">
        <f>IF($B81="",0,IF(USE_TSPILE=1,Z154,('TO HOP'!$E$128/ncoc+IF(SUMSQ($E$56:$E$75)=0,0,'TO HOP'!$F$128*$E57/SUMSQ($E$56:$E$75))+IF(SUMSQ($D$56:$D$75)=0,0,'TO HOP'!$G$128*$D57/SUMSQ($D$56:$D$75)))/9.81))</f>
        <v>101.41131999243072</v>
      </c>
      <c r="AA81" s="8">
        <f>IF($B81="",0,IF(USE_TSPILE=1,AA154,('TO HOP'!$E$129/ncoc+IF(SUMSQ($E$56:$E$75)=0,0,'TO HOP'!$F$129*$E57/SUMSQ($E$56:$E$75))+IF(SUMSQ($D$56:$D$75)=0,0,'TO HOP'!$G$129*$D57/SUMSQ($D$56:$D$75)))/9.81))</f>
        <v>90.575238011116653</v>
      </c>
      <c r="AB81" s="8">
        <f>IF($B81="",0,IF(USE_TSPILE=1,AB154,('TO HOP'!$E$130/ncoc+IF(SUMSQ($E$56:$E$75)=0,0,'TO HOP'!$F$130*$E57/SUMSQ($E$56:$E$75))+IF(SUMSQ($D$56:$D$75)=0,0,'TO HOP'!$G$130*$D57/SUMSQ($D$56:$D$75)))/9.81))</f>
        <v>100.65729068731977</v>
      </c>
      <c r="AC81" s="8">
        <f>IF($B81="",0,IF(USE_TSPILE=1,AC154,('TO HOP'!$E$131/ncoc+IF(SUMSQ($E$56:$E$75)=0,0,'TO HOP'!$F$131*$E57/SUMSQ($E$56:$E$75))+IF(SUMSQ($D$56:$D$75)=0,0,'TO HOP'!$G$131*$D57/SUMSQ($D$56:$D$75)))/9.81))</f>
        <v>105.28951962148628</v>
      </c>
      <c r="AD81" s="8">
        <f>IF($B81="",0,IF(USE_TSPILE=1,AD154,('TO HOP'!$E$132/ncoc+IF(SUMSQ($E$56:$E$75)=0,0,'TO HOP'!$F$132*$E57/SUMSQ($E$56:$E$75))+IF(SUMSQ($D$56:$D$75)=0,0,'TO HOP'!$G$132*$D57/SUMSQ($D$56:$D$75)))/9.81))</f>
        <v>102.48753523382916</v>
      </c>
      <c r="AE81" s="8">
        <f>IF($B81="",0,IF(USE_TSPILE=1,AE154,('TO HOP'!$E$133/ncoc+IF(SUMSQ($E$56:$E$75)=0,0,'TO HOP'!$F$133*$E57/SUMSQ($E$56:$E$75))+IF(SUMSQ($D$56:$D$75)=0,0,'TO HOP'!$G$133*$D57/SUMSQ($D$56:$D$75)))/9.81))</f>
        <v>105.91423106015148</v>
      </c>
      <c r="AF81" s="8">
        <f>IF($B81="",0,IF(USE_TSPILE=1,AF154,('TO HOP'!$E$134/ncoc+IF(SUMSQ($E$56:$E$75)=0,0,'TO HOP'!$F$134*$E57/SUMSQ($E$56:$E$75))+IF(SUMSQ($D$56:$D$75)=0,0,'TO HOP'!$G$134*$D57/SUMSQ($D$56:$D$75)))/9.81))</f>
        <v>107.60820980534922</v>
      </c>
      <c r="AG81" s="8">
        <f>IF($B81="",0,IF(USE_TSPILE=1,AG154,('TO HOP'!$E$135/ncoc+IF(SUMSQ($E$56:$E$75)=0,0,'TO HOP'!$F$135*$E57/SUMSQ($E$56:$E$75))+IF(SUMSQ($D$56:$D$75)=0,0,'TO HOP'!$G$135*$D57/SUMSQ($D$56:$D$75)))/9.81))</f>
        <v>99.58969969970687</v>
      </c>
      <c r="AH81" s="8">
        <f>IF($B81="",0,IF(USE_TSPILE=1,AH154,('TO HOP'!$E$136/ncoc+IF(SUMSQ($E$56:$E$75)=0,0,'TO HOP'!$F$136*$E57/SUMSQ($E$56:$E$75))+IF(SUMSQ($D$56:$D$75)=0,0,'TO HOP'!$G$136*$D57/SUMSQ($D$56:$D$75)))/9.81))</f>
        <v>97.556183377283674</v>
      </c>
      <c r="AI81" s="8">
        <f>IF($B81="",0,IF(USE_TSPILE=1,AI154,('TO HOP'!$E$137/ncoc+IF(SUMSQ($E$56:$E$75)=0,0,'TO HOP'!$F$137*$E57/SUMSQ($E$56:$E$75))+IF(SUMSQ($D$56:$D$75)=0,0,'TO HOP'!$G$137*$D57/SUMSQ($D$56:$D$75)))/9.81))</f>
        <v>94.79672653966449</v>
      </c>
      <c r="AJ81" s="8">
        <f>IF($B81="",0,IF(USE_TSPILE=1,AJ154,('TO HOP'!$E$138/ncoc+IF(SUMSQ($E$56:$E$75)=0,0,'TO HOP'!$F$138*$E57/SUMSQ($E$56:$E$75))+IF(SUMSQ($D$56:$D$75)=0,0,'TO HOP'!$G$138*$D57/SUMSQ($D$56:$D$75)))/9.81))</f>
        <v>102.57431003273547</v>
      </c>
      <c r="AK81" s="8">
        <f>IF($B81="",0,IF(USE_TSPILE=1,AK154,('TO HOP'!$E$139/ncoc+IF(SUMSQ($E$56:$E$75)=0,0,'TO HOP'!$F$139*$E57/SUMSQ($E$56:$E$75))+IF(SUMSQ($D$56:$D$75)=0,0,'TO HOP'!$G$139*$D57/SUMSQ($D$56:$D$75)))/9.81))</f>
        <v>106.14774378194966</v>
      </c>
      <c r="AL81" s="8">
        <f>IF($B81="",0,IF(USE_TSPILE=1,AL154,('TO HOP'!$E$140/ncoc+IF(SUMSQ($E$56:$E$75)=0,0,'TO HOP'!$F$140*$E57/SUMSQ($E$56:$E$75))+IF(SUMSQ($D$56:$D$75)=0,0,'TO HOP'!$G$140*$D57/SUMSQ($D$56:$D$75)))/9.81))</f>
        <v>103.98621296861404</v>
      </c>
      <c r="AM81" s="8">
        <f>IF($B81="",0,IF(USE_TSPILE=1,AM154,('TO HOP'!$E$141/ncoc+IF(SUMSQ($E$56:$E$75)=0,0,'TO HOP'!$F$141*$E57/SUMSQ($E$56:$E$75))+IF(SUMSQ($D$56:$D$75)=0,0,'TO HOP'!$G$141*$D57/SUMSQ($D$56:$D$75)))/9.81))</f>
        <v>106.62966403463426</v>
      </c>
      <c r="AN81" s="8">
        <f>IF($B81="",0,IF(USE_TSPILE=1,AN154,('TO HOP'!$E$142/ncoc+IF(SUMSQ($E$56:$E$75)=0,0,'TO HOP'!$F$142*$E57/SUMSQ($E$56:$E$75))+IF(SUMSQ($D$56:$D$75)=0,0,'TO HOP'!$G$142*$D57/SUMSQ($D$56:$D$75)))/9.81))</f>
        <v>107.93644763807254</v>
      </c>
      <c r="AO81" s="8">
        <f>IF($B81="",0,IF(USE_TSPILE=1,AO154,('TO HOP'!$E$143/ncoc+IF(SUMSQ($E$56:$E$75)=0,0,'TO HOP'!$F$143*$E57/SUMSQ($E$56:$E$75))+IF(SUMSQ($D$56:$D$75)=0,0,'TO HOP'!$G$143*$D57/SUMSQ($D$56:$D$75)))/9.81))</f>
        <v>92.763210217241266</v>
      </c>
      <c r="AP81" s="8">
        <f>IF($B81="",0,IF(USE_TSPILE=1,AP154,('TO HOP'!$E$144/ncoc+IF(SUMSQ($E$56:$E$75)=0,0,'TO HOP'!$F$144*$E57/SUMSQ($E$56:$E$75))+IF(SUMSQ($D$56:$D$75)=0,0,'TO HOP'!$G$144*$D57/SUMSQ($D$56:$D$75)))/9.81))</f>
        <v>100.54079371031224</v>
      </c>
      <c r="AQ81" s="8">
        <f>IF($B81="",0,IF(USE_TSPILE=1,AQ154,('TO HOP'!$E$145/ncoc+IF(SUMSQ($E$56:$E$75)=0,0,'TO HOP'!$F$145*$E57/SUMSQ($E$56:$E$75))+IF(SUMSQ($D$56:$D$75)=0,0,'TO HOP'!$G$145*$D57/SUMSQ($D$56:$D$75)))/9.81))</f>
        <v>104.11422745952643</v>
      </c>
      <c r="AR81" s="8">
        <f>IF($B81="",0,IF(USE_TSPILE=1,AR154,('TO HOP'!$E$146/ncoc+IF(SUMSQ($E$56:$E$75)=0,0,'TO HOP'!$F$146*$E57/SUMSQ($E$56:$E$75))+IF(SUMSQ($D$56:$D$75)=0,0,'TO HOP'!$G$146*$D57/SUMSQ($D$56:$D$75)))/9.81))</f>
        <v>101.95269664619093</v>
      </c>
      <c r="AS81" s="8">
        <f>IF($B81="",0,IF(USE_TSPILE=1,AS154,('TO HOP'!$E$147/ncoc+IF(SUMSQ($E$56:$E$75)=0,0,'TO HOP'!$F$147*$E57/SUMSQ($E$56:$E$75))+IF(SUMSQ($D$56:$D$75)=0,0,'TO HOP'!$G$147*$D57/SUMSQ($D$56:$D$75)))/9.81))</f>
        <v>104.59614771221101</v>
      </c>
      <c r="AT81" s="8">
        <f>IF($B81="",0,IF(USE_TSPILE=1,AT154,('TO HOP'!$E$148/ncoc+IF(SUMSQ($E$56:$E$75)=0,0,'TO HOP'!$F$148*$E57/SUMSQ($E$56:$E$75))+IF(SUMSQ($D$56:$D$75)=0,0,'TO HOP'!$G$148*$D57/SUMSQ($D$56:$D$75)))/9.81))</f>
        <v>105.90293131564925</v>
      </c>
      <c r="AU81" s="8">
        <f>IF($B81="",0,IF(USE_TSPILE=1,AU154,('TO HOP'!$E$149/ncoc+IF(SUMSQ($E$56:$E$75)=0,0,'TO HOP'!$F$149*$E57/SUMSQ($E$56:$E$75))+IF(SUMSQ($D$56:$D$75)=0,0,'TO HOP'!$G$149*$D57/SUMSQ($D$56:$D$75)))/9.81))</f>
        <v>-107.56119036795388</v>
      </c>
      <c r="AV81" s="8">
        <f>IF($B81="",0,IF(USE_TSPILE=1,AV154,('TO HOP'!$E$150/ncoc+IF(SUMSQ($E$56:$E$75)=0,0,'TO HOP'!$F$150*$E57/SUMSQ($E$56:$E$75))+IF(SUMSQ($D$56:$D$75)=0,0,'TO HOP'!$G$150*$D57/SUMSQ($D$56:$D$75)))/9.81))</f>
        <v>46.189324716715589</v>
      </c>
    </row>
    <row r="82" spans="2:48" x14ac:dyDescent="0.3">
      <c r="B82" s="10">
        <f>IF(3&lt;=ncoc,3,"")</f>
        <v>3</v>
      </c>
      <c r="C82" s="8">
        <f>IF($B82="",0,IF(USE_TSPILE=1,C155,('TO HOP'!$E$105/ncoc+IF(SUMSQ($E$56:$E$75)=0,0,'TO HOP'!$F$105*$E58/SUMSQ($E$56:$E$75))+IF(SUMSQ($D$56:$D$75)=0,0,'TO HOP'!$G$105*$D58/SUMSQ($D$56:$D$75)))/9.81))</f>
        <v>88.544922296190066</v>
      </c>
      <c r="D82" s="8">
        <f>IF($B82="",0,IF(USE_TSPILE=1,D155,('TO HOP'!$E$106/ncoc+IF(SUMSQ($E$56:$E$75)=0,0,'TO HOP'!$F$106*$E58/SUMSQ($E$56:$E$75))+IF(SUMSQ($D$56:$D$75)=0,0,'TO HOP'!$G$106*$D58/SUMSQ($D$56:$D$75)))/9.81))</f>
        <v>91.818091240097857</v>
      </c>
      <c r="E82" s="8">
        <f>IF($B82="",0,IF(USE_TSPILE=1,E155,('TO HOP'!$E$107/ncoc+IF(SUMSQ($E$56:$E$75)=0,0,'TO HOP'!$F$107*$E58/SUMSQ($E$56:$E$75))+IF(SUMSQ($D$56:$D$75)=0,0,'TO HOP'!$G$107*$D58/SUMSQ($D$56:$D$75)))/9.81))</f>
        <v>94.068394889034494</v>
      </c>
      <c r="F82" s="8">
        <f>IF($B82="",0,IF(USE_TSPILE=1,F155,('TO HOP'!$E$108/ncoc+IF(SUMSQ($E$56:$E$75)=0,0,'TO HOP'!$F$108*$E58/SUMSQ($E$56:$E$75))+IF(SUMSQ($D$56:$D$75)=0,0,'TO HOP'!$G$108*$D58/SUMSQ($D$56:$D$75)))/9.81))</f>
        <v>94.272967948028764</v>
      </c>
      <c r="G82" s="8">
        <f>IF($B82="",0,IF(USE_TSPILE=1,G155,('TO HOP'!$E$109/ncoc+IF(SUMSQ($E$56:$E$75)=0,0,'TO HOP'!$F$109*$E58/SUMSQ($E$56:$E$75))+IF(SUMSQ($D$56:$D$75)=0,0,'TO HOP'!$G$109*$D58/SUMSQ($D$56:$D$75)))/9.81))</f>
        <v>96.932417714953885</v>
      </c>
      <c r="H82" s="8">
        <f>IF($B82="",0,IF(USE_TSPILE=1,H155,('TO HOP'!$E$110/ncoc+IF(SUMSQ($E$56:$E$75)=0,0,'TO HOP'!$F$110*$E58/SUMSQ($E$56:$E$75))+IF(SUMSQ($D$56:$D$75)=0,0,'TO HOP'!$G$110*$D58/SUMSQ($D$56:$D$75)))/9.81))</f>
        <v>99.591867481878921</v>
      </c>
      <c r="I82" s="8">
        <f>IF($B82="",0,IF(USE_TSPILE=1,I155,('TO HOP'!$E$111/ncoc+IF(SUMSQ($E$56:$E$75)=0,0,'TO HOP'!$F$111*$E58/SUMSQ($E$56:$E$75))+IF(SUMSQ($D$56:$D$75)=0,0,'TO HOP'!$G$111*$D58/SUMSQ($D$56:$D$75)))/9.81))</f>
        <v>88.544922296190066</v>
      </c>
      <c r="J82" s="8">
        <f>IF($B82="",0,IF(USE_TSPILE=1,J155,('TO HOP'!$E$112/ncoc+IF(SUMSQ($E$56:$E$75)=0,0,'TO HOP'!$F$112*$E58/SUMSQ($E$56:$E$75))+IF(SUMSQ($D$56:$D$75)=0,0,'TO HOP'!$G$112*$D58/SUMSQ($D$56:$D$75)))/9.81))</f>
        <v>91.818091240097857</v>
      </c>
      <c r="K82" s="8">
        <f>IF($B82="",0,IF(USE_TSPILE=1,K155,('TO HOP'!$E$113/ncoc+IF(SUMSQ($E$56:$E$75)=0,0,'TO HOP'!$F$113*$E58/SUMSQ($E$56:$E$75))+IF(SUMSQ($D$56:$D$75)=0,0,'TO HOP'!$G$113*$D58/SUMSQ($D$56:$D$75)))/9.81))</f>
        <v>94.068394889034494</v>
      </c>
      <c r="L82" s="8">
        <f>IF($B82="",0,IF(USE_TSPILE=1,L155,('TO HOP'!$E$114/ncoc+IF(SUMSQ($E$56:$E$75)=0,0,'TO HOP'!$F$114*$E58/SUMSQ($E$56:$E$75))+IF(SUMSQ($D$56:$D$75)=0,0,'TO HOP'!$G$114*$D58/SUMSQ($D$56:$D$75)))/9.81))</f>
        <v>94.272967948028764</v>
      </c>
      <c r="M82" s="8">
        <f>IF($B82="",0,IF(USE_TSPILE=1,M155,('TO HOP'!$E$115/ncoc+IF(SUMSQ($E$56:$E$75)=0,0,'TO HOP'!$F$115*$E58/SUMSQ($E$56:$E$75))+IF(SUMSQ($D$56:$D$75)=0,0,'TO HOP'!$G$115*$D58/SUMSQ($D$56:$D$75)))/9.81))</f>
        <v>96.932417714953885</v>
      </c>
      <c r="N82" s="8">
        <f>IF($B82="",0,IF(USE_TSPILE=1,N155,('TO HOP'!$E$116/ncoc+IF(SUMSQ($E$56:$E$75)=0,0,'TO HOP'!$F$116*$E58/SUMSQ($E$56:$E$75))+IF(SUMSQ($D$56:$D$75)=0,0,'TO HOP'!$G$116*$D58/SUMSQ($D$56:$D$75)))/9.81))</f>
        <v>99.591867481878921</v>
      </c>
      <c r="O82" s="8">
        <f>IF($B82="",0,IF(USE_TSPILE=1,O155,('TO HOP'!$E$117/ncoc+IF(SUMSQ($E$56:$E$75)=0,0,'TO HOP'!$F$117*$E58/SUMSQ($E$56:$E$75))+IF(SUMSQ($D$56:$D$75)=0,0,'TO HOP'!$G$117*$D58/SUMSQ($D$56:$D$75)))/9.81))</f>
        <v>82.079165917475166</v>
      </c>
      <c r="P82" s="8">
        <f>IF($B82="",0,IF(USE_TSPILE=1,P155,('TO HOP'!$E$118/ncoc+IF(SUMSQ($E$56:$E$75)=0,0,'TO HOP'!$F$118*$E58/SUMSQ($E$56:$E$75))+IF(SUMSQ($D$56:$D$75)=0,0,'TO HOP'!$G$118*$D58/SUMSQ($D$56:$D$75)))/9.81))</f>
        <v>87.807211569313836</v>
      </c>
      <c r="Q82" s="8">
        <f>IF($B82="",0,IF(USE_TSPILE=1,Q155,('TO HOP'!$E$119/ncoc+IF(SUMSQ($E$56:$E$75)=0,0,'TO HOP'!$F$119*$E58/SUMSQ($E$56:$E$75))+IF(SUMSQ($D$56:$D$75)=0,0,'TO HOP'!$G$119*$D58/SUMSQ($D$56:$D$75)))/9.81))</f>
        <v>91.745242954952914</v>
      </c>
      <c r="R82" s="8">
        <f>IF($B82="",0,IF(USE_TSPILE=1,R155,('TO HOP'!$E$120/ncoc+IF(SUMSQ($E$56:$E$75)=0,0,'TO HOP'!$F$120*$E58/SUMSQ($E$56:$E$75))+IF(SUMSQ($D$56:$D$75)=0,0,'TO HOP'!$G$120*$D58/SUMSQ($D$56:$D$75)))/9.81))</f>
        <v>92.103245808192867</v>
      </c>
      <c r="S82" s="8">
        <f>IF($B82="",0,IF(USE_TSPILE=1,S155,('TO HOP'!$E$121/ncoc+IF(SUMSQ($E$56:$E$75)=0,0,'TO HOP'!$F$121*$E58/SUMSQ($E$56:$E$75))+IF(SUMSQ($D$56:$D$75)=0,0,'TO HOP'!$G$121*$D58/SUMSQ($D$56:$D$75)))/9.81))</f>
        <v>96.757282900311736</v>
      </c>
      <c r="T82" s="8">
        <f>IF($B82="",0,IF(USE_TSPILE=1,T155,('TO HOP'!$E$122/ncoc+IF(SUMSQ($E$56:$E$75)=0,0,'TO HOP'!$F$122*$E58/SUMSQ($E$56:$E$75))+IF(SUMSQ($D$56:$D$75)=0,0,'TO HOP'!$G$122*$D58/SUMSQ($D$56:$D$75)))/9.81))</f>
        <v>101.41131999243072</v>
      </c>
      <c r="U82" s="8">
        <f>IF($B82="",0,IF(USE_TSPILE=1,U155,('TO HOP'!$E$123/ncoc+IF(SUMSQ($E$56:$E$75)=0,0,'TO HOP'!$F$123*$E58/SUMSQ($E$56:$E$75))+IF(SUMSQ($D$56:$D$75)=0,0,'TO HOP'!$G$123*$D58/SUMSQ($D$56:$D$75)))/9.81))</f>
        <v>82.079165917475166</v>
      </c>
      <c r="V82" s="8">
        <f>IF($B82="",0,IF(USE_TSPILE=1,V155,('TO HOP'!$E$124/ncoc+IF(SUMSQ($E$56:$E$75)=0,0,'TO HOP'!$F$124*$E58/SUMSQ($E$56:$E$75))+IF(SUMSQ($D$56:$D$75)=0,0,'TO HOP'!$G$124*$D58/SUMSQ($D$56:$D$75)))/9.81))</f>
        <v>87.807211569313836</v>
      </c>
      <c r="W82" s="8">
        <f>IF($B82="",0,IF(USE_TSPILE=1,W155,('TO HOP'!$E$125/ncoc+IF(SUMSQ($E$56:$E$75)=0,0,'TO HOP'!$F$125*$E58/SUMSQ($E$56:$E$75))+IF(SUMSQ($D$56:$D$75)=0,0,'TO HOP'!$G$125*$D58/SUMSQ($D$56:$D$75)))/9.81))</f>
        <v>91.745242954952914</v>
      </c>
      <c r="X82" s="8">
        <f>IF($B82="",0,IF(USE_TSPILE=1,X155,('TO HOP'!$E$126/ncoc+IF(SUMSQ($E$56:$E$75)=0,0,'TO HOP'!$F$126*$E58/SUMSQ($E$56:$E$75))+IF(SUMSQ($D$56:$D$75)=0,0,'TO HOP'!$G$126*$D58/SUMSQ($D$56:$D$75)))/9.81))</f>
        <v>92.103245808192867</v>
      </c>
      <c r="Y82" s="8">
        <f>IF($B82="",0,IF(USE_TSPILE=1,Y155,('TO HOP'!$E$127/ncoc+IF(SUMSQ($E$56:$E$75)=0,0,'TO HOP'!$F$127*$E58/SUMSQ($E$56:$E$75))+IF(SUMSQ($D$56:$D$75)=0,0,'TO HOP'!$G$127*$D58/SUMSQ($D$56:$D$75)))/9.81))</f>
        <v>96.757282900311736</v>
      </c>
      <c r="Z82" s="8">
        <f>IF($B82="",0,IF(USE_TSPILE=1,Z155,('TO HOP'!$E$128/ncoc+IF(SUMSQ($E$56:$E$75)=0,0,'TO HOP'!$F$128*$E58/SUMSQ($E$56:$E$75))+IF(SUMSQ($D$56:$D$75)=0,0,'TO HOP'!$G$128*$D58/SUMSQ($D$56:$D$75)))/9.81))</f>
        <v>101.41131999243072</v>
      </c>
      <c r="AA82" s="8">
        <f>IF($B82="",0,IF(USE_TSPILE=1,AA155,('TO HOP'!$E$129/ncoc+IF(SUMSQ($E$56:$E$75)=0,0,'TO HOP'!$F$129*$E58/SUMSQ($E$56:$E$75))+IF(SUMSQ($D$56:$D$75)=0,0,'TO HOP'!$G$129*$D58/SUMSQ($D$56:$D$75)))/9.81))</f>
        <v>80.045649595051884</v>
      </c>
      <c r="AB82" s="8">
        <f>IF($B82="",0,IF(USE_TSPILE=1,AB155,('TO HOP'!$E$130/ncoc+IF(SUMSQ($E$56:$E$75)=0,0,'TO HOP'!$F$130*$E58/SUMSQ($E$56:$E$75))+IF(SUMSQ($D$56:$D$75)=0,0,'TO HOP'!$G$130*$D58/SUMSQ($D$56:$D$75)))/9.81))</f>
        <v>85.77369524689064</v>
      </c>
      <c r="AC82" s="8">
        <f>IF($B82="",0,IF(USE_TSPILE=1,AC155,('TO HOP'!$E$131/ncoc+IF(SUMSQ($E$56:$E$75)=0,0,'TO HOP'!$F$131*$E58/SUMSQ($E$56:$E$75))+IF(SUMSQ($D$56:$D$75)=0,0,'TO HOP'!$G$131*$D58/SUMSQ($D$56:$D$75)))/9.81))</f>
        <v>89.711726632529661</v>
      </c>
      <c r="AD82" s="8">
        <f>IF($B82="",0,IF(USE_TSPILE=1,AD155,('TO HOP'!$E$132/ncoc+IF(SUMSQ($E$56:$E$75)=0,0,'TO HOP'!$F$132*$E58/SUMSQ($E$56:$E$75))+IF(SUMSQ($D$56:$D$75)=0,0,'TO HOP'!$G$132*$D58/SUMSQ($D$56:$D$75)))/9.81))</f>
        <v>90.069729485769614</v>
      </c>
      <c r="AE82" s="8">
        <f>IF($B82="",0,IF(USE_TSPILE=1,AE155,('TO HOP'!$E$133/ncoc+IF(SUMSQ($E$56:$E$75)=0,0,'TO HOP'!$F$133*$E58/SUMSQ($E$56:$E$75))+IF(SUMSQ($D$56:$D$75)=0,0,'TO HOP'!$G$133*$D58/SUMSQ($D$56:$D$75)))/9.81))</f>
        <v>94.72376657788854</v>
      </c>
      <c r="AF82" s="8">
        <f>IF($B82="",0,IF(USE_TSPILE=1,AF155,('TO HOP'!$E$134/ncoc+IF(SUMSQ($E$56:$E$75)=0,0,'TO HOP'!$F$134*$E58/SUMSQ($E$56:$E$75))+IF(SUMSQ($D$56:$D$75)=0,0,'TO HOP'!$G$134*$D58/SUMSQ($D$56:$D$75)))/9.81))</f>
        <v>99.377803670007467</v>
      </c>
      <c r="AG82" s="8">
        <f>IF($B82="",0,IF(USE_TSPILE=1,AG155,('TO HOP'!$E$135/ncoc+IF(SUMSQ($E$56:$E$75)=0,0,'TO HOP'!$F$135*$E58/SUMSQ($E$56:$E$75))+IF(SUMSQ($D$56:$D$75)=0,0,'TO HOP'!$G$135*$D58/SUMSQ($D$56:$D$75)))/9.81))</f>
        <v>98.518366151004983</v>
      </c>
      <c r="AH82" s="8">
        <f>IF($B82="",0,IF(USE_TSPILE=1,AH155,('TO HOP'!$E$136/ncoc+IF(SUMSQ($E$56:$E$75)=0,0,'TO HOP'!$F$136*$E58/SUMSQ($E$56:$E$75))+IF(SUMSQ($D$56:$D$75)=0,0,'TO HOP'!$G$136*$D58/SUMSQ($D$56:$D$75)))/9.81))</f>
        <v>96.484849828581787</v>
      </c>
      <c r="AI82" s="8">
        <f>IF($B82="",0,IF(USE_TSPILE=1,AI155,('TO HOP'!$E$137/ncoc+IF(SUMSQ($E$56:$E$75)=0,0,'TO HOP'!$F$137*$E58/SUMSQ($E$56:$E$75))+IF(SUMSQ($D$56:$D$75)=0,0,'TO HOP'!$G$137*$D58/SUMSQ($D$56:$D$75)))/9.81))</f>
        <v>86.176441176682971</v>
      </c>
      <c r="AJ82" s="8">
        <f>IF($B82="",0,IF(USE_TSPILE=1,AJ155,('TO HOP'!$E$138/ncoc+IF(SUMSQ($E$56:$E$75)=0,0,'TO HOP'!$F$138*$E58/SUMSQ($E$56:$E$75))+IF(SUMSQ($D$56:$D$75)=0,0,'TO HOP'!$G$138*$D58/SUMSQ($D$56:$D$75)))/9.81))</f>
        <v>90.595219250958564</v>
      </c>
      <c r="AK82" s="8">
        <f>IF($B82="",0,IF(USE_TSPILE=1,AK155,('TO HOP'!$E$139/ncoc+IF(SUMSQ($E$56:$E$75)=0,0,'TO HOP'!$F$139*$E58/SUMSQ($E$56:$E$75))+IF(SUMSQ($D$56:$D$75)=0,0,'TO HOP'!$G$139*$D58/SUMSQ($D$56:$D$75)))/9.81))</f>
        <v>93.633129177023022</v>
      </c>
      <c r="AL82" s="8">
        <f>IF($B82="",0,IF(USE_TSPILE=1,AL155,('TO HOP'!$E$140/ncoc+IF(SUMSQ($E$56:$E$75)=0,0,'TO HOP'!$F$140*$E58/SUMSQ($E$56:$E$75))+IF(SUMSQ($D$56:$D$75)=0,0,'TO HOP'!$G$140*$D58/SUMSQ($D$56:$D$75)))/9.81))</f>
        <v>93.909302806665153</v>
      </c>
      <c r="AM82" s="8">
        <f>IF($B82="",0,IF(USE_TSPILE=1,AM155,('TO HOP'!$E$141/ncoc+IF(SUMSQ($E$56:$E$75)=0,0,'TO HOP'!$F$141*$E58/SUMSQ($E$56:$E$75))+IF(SUMSQ($D$56:$D$75)=0,0,'TO HOP'!$G$141*$D58/SUMSQ($D$56:$D$75)))/9.81))</f>
        <v>97.499559992014127</v>
      </c>
      <c r="AN82" s="8">
        <f>IF($B82="",0,IF(USE_TSPILE=1,AN155,('TO HOP'!$E$142/ncoc+IF(SUMSQ($E$56:$E$75)=0,0,'TO HOP'!$F$142*$E58/SUMSQ($E$56:$E$75))+IF(SUMSQ($D$56:$D$75)=0,0,'TO HOP'!$G$142*$D58/SUMSQ($D$56:$D$75)))/9.81))</f>
        <v>101.08981717736305</v>
      </c>
      <c r="AO82" s="8">
        <f>IF($B82="",0,IF(USE_TSPILE=1,AO155,('TO HOP'!$E$143/ncoc+IF(SUMSQ($E$56:$E$75)=0,0,'TO HOP'!$F$143*$E58/SUMSQ($E$56:$E$75))+IF(SUMSQ($D$56:$D$75)=0,0,'TO HOP'!$G$143*$D58/SUMSQ($D$56:$D$75)))/9.81))</f>
        <v>84.142924854259746</v>
      </c>
      <c r="AP82" s="8">
        <f>IF($B82="",0,IF(USE_TSPILE=1,AP155,('TO HOP'!$E$144/ncoc+IF(SUMSQ($E$56:$E$75)=0,0,'TO HOP'!$F$144*$E58/SUMSQ($E$56:$E$75))+IF(SUMSQ($D$56:$D$75)=0,0,'TO HOP'!$G$144*$D58/SUMSQ($D$56:$D$75)))/9.81))</f>
        <v>88.561702928535368</v>
      </c>
      <c r="AQ82" s="8">
        <f>IF($B82="",0,IF(USE_TSPILE=1,AQ155,('TO HOP'!$E$145/ncoc+IF(SUMSQ($E$56:$E$75)=0,0,'TO HOP'!$F$145*$E58/SUMSQ($E$56:$E$75))+IF(SUMSQ($D$56:$D$75)=0,0,'TO HOP'!$G$145*$D58/SUMSQ($D$56:$D$75)))/9.81))</f>
        <v>91.599612854599798</v>
      </c>
      <c r="AR82" s="8">
        <f>IF($B82="",0,IF(USE_TSPILE=1,AR155,('TO HOP'!$E$146/ncoc+IF(SUMSQ($E$56:$E$75)=0,0,'TO HOP'!$F$146*$E58/SUMSQ($E$56:$E$75))+IF(SUMSQ($D$56:$D$75)=0,0,'TO HOP'!$G$146*$D58/SUMSQ($D$56:$D$75)))/9.81))</f>
        <v>91.875786484242042</v>
      </c>
      <c r="AS82" s="8">
        <f>IF($B82="",0,IF(USE_TSPILE=1,AS155,('TO HOP'!$E$147/ncoc+IF(SUMSQ($E$56:$E$75)=0,0,'TO HOP'!$F$147*$E58/SUMSQ($E$56:$E$75))+IF(SUMSQ($D$56:$D$75)=0,0,'TO HOP'!$G$147*$D58/SUMSQ($D$56:$D$75)))/9.81))</f>
        <v>95.466043669590874</v>
      </c>
      <c r="AT82" s="8">
        <f>IF($B82="",0,IF(USE_TSPILE=1,AT155,('TO HOP'!$E$148/ncoc+IF(SUMSQ($E$56:$E$75)=0,0,'TO HOP'!$F$148*$E58/SUMSQ($E$56:$E$75))+IF(SUMSQ($D$56:$D$75)=0,0,'TO HOP'!$G$148*$D58/SUMSQ($D$56:$D$75)))/9.81))</f>
        <v>99.056300854939764</v>
      </c>
      <c r="AU82" s="8">
        <f>IF($B82="",0,IF(USE_TSPILE=1,AU155,('TO HOP'!$E$149/ncoc+IF(SUMSQ($E$56:$E$75)=0,0,'TO HOP'!$F$149*$E58/SUMSQ($E$56:$E$75))+IF(SUMSQ($D$56:$D$75)=0,0,'TO HOP'!$G$149*$D58/SUMSQ($D$56:$D$75)))/9.81))</f>
        <v>-113.80501790703119</v>
      </c>
      <c r="AV82" s="8">
        <f>IF($B82="",0,IF(USE_TSPILE=1,AV155,('TO HOP'!$E$150/ncoc+IF(SUMSQ($E$56:$E$75)=0,0,'TO HOP'!$F$150*$E58/SUMSQ($E$56:$E$75))+IF(SUMSQ($D$56:$D$75)=0,0,'TO HOP'!$G$150*$D58/SUMSQ($D$56:$D$75)))/9.81))</f>
        <v>36.35044110024694</v>
      </c>
    </row>
    <row r="83" spans="2:48" x14ac:dyDescent="0.3">
      <c r="B83" s="10">
        <f>IF(4&lt;=ncoc,4,"")</f>
        <v>4</v>
      </c>
      <c r="C83" s="8">
        <f>IF($B83="",0,IF(USE_TSPILE=1,C156,('TO HOP'!$E$105/ncoc+IF(SUMSQ($E$56:$E$75)=0,0,'TO HOP'!$F$105*$E59/SUMSQ($E$56:$E$75))+IF(SUMSQ($D$56:$D$75)=0,0,'TO HOP'!$G$105*$D59/SUMSQ($D$56:$D$75)))/9.81))</f>
        <v>82.106932624965083</v>
      </c>
      <c r="D83" s="8">
        <f>IF($B83="",0,IF(USE_TSPILE=1,D156,('TO HOP'!$E$106/ncoc+IF(SUMSQ($E$56:$E$75)=0,0,'TO HOP'!$F$106*$E59/SUMSQ($E$56:$E$75))+IF(SUMSQ($D$56:$D$75)=0,0,'TO HOP'!$G$106*$D59/SUMSQ($D$56:$D$75)))/9.81))</f>
        <v>82.892097554950425</v>
      </c>
      <c r="E83" s="8">
        <f>IF($B83="",0,IF(USE_TSPILE=1,E156,('TO HOP'!$E$107/ncoc+IF(SUMSQ($E$56:$E$75)=0,0,'TO HOP'!$F$107*$E59/SUMSQ($E$56:$E$75))+IF(SUMSQ($D$56:$D$75)=0,0,'TO HOP'!$G$107*$D59/SUMSQ($D$56:$D$75)))/9.81))</f>
        <v>84.745716890442793</v>
      </c>
      <c r="F83" s="8">
        <f>IF($B83="",0,IF(USE_TSPILE=1,F156,('TO HOP'!$E$108/ncoc+IF(SUMSQ($E$56:$E$75)=0,0,'TO HOP'!$F$108*$E59/SUMSQ($E$56:$E$75))+IF(SUMSQ($D$56:$D$75)=0,0,'TO HOP'!$G$108*$D59/SUMSQ($D$56:$D$75)))/9.81))</f>
        <v>86.755996944235363</v>
      </c>
      <c r="G83" s="8">
        <f>IF($B83="",0,IF(USE_TSPILE=1,G156,('TO HOP'!$E$109/ncoc+IF(SUMSQ($E$56:$E$75)=0,0,'TO HOP'!$F$109*$E59/SUMSQ($E$56:$E$75))+IF(SUMSQ($D$56:$D$75)=0,0,'TO HOP'!$G$109*$D59/SUMSQ($D$56:$D$75)))/9.81))</f>
        <v>90.116784577329952</v>
      </c>
      <c r="H83" s="8">
        <f>IF($B83="",0,IF(USE_TSPILE=1,H156,('TO HOP'!$E$110/ncoc+IF(SUMSQ($E$56:$E$75)=0,0,'TO HOP'!$F$110*$E59/SUMSQ($E$56:$E$75))+IF(SUMSQ($D$56:$D$75)=0,0,'TO HOP'!$G$110*$D59/SUMSQ($D$56:$D$75)))/9.81))</f>
        <v>94.46769625678138</v>
      </c>
      <c r="I83" s="8">
        <f>IF($B83="",0,IF(USE_TSPILE=1,I156,('TO HOP'!$E$111/ncoc+IF(SUMSQ($E$56:$E$75)=0,0,'TO HOP'!$F$111*$E59/SUMSQ($E$56:$E$75))+IF(SUMSQ($D$56:$D$75)=0,0,'TO HOP'!$G$111*$D59/SUMSQ($D$56:$D$75)))/9.81))</f>
        <v>88.12384029128782</v>
      </c>
      <c r="J83" s="8">
        <f>IF($B83="",0,IF(USE_TSPILE=1,J156,('TO HOP'!$E$112/ncoc+IF(SUMSQ($E$56:$E$75)=0,0,'TO HOP'!$F$112*$E59/SUMSQ($E$56:$E$75))+IF(SUMSQ($D$56:$D$75)=0,0,'TO HOP'!$G$112*$D59/SUMSQ($D$56:$D$75)))/9.81))</f>
        <v>91.397009235195611</v>
      </c>
      <c r="K83" s="8">
        <f>IF($B83="",0,IF(USE_TSPILE=1,K156,('TO HOP'!$E$113/ncoc+IF(SUMSQ($E$56:$E$75)=0,0,'TO HOP'!$F$113*$E59/SUMSQ($E$56:$E$75))+IF(SUMSQ($D$56:$D$75)=0,0,'TO HOP'!$G$113*$D59/SUMSQ($D$56:$D$75)))/9.81))</f>
        <v>93.647312884132248</v>
      </c>
      <c r="L83" s="8">
        <f>IF($B83="",0,IF(USE_TSPILE=1,L156,('TO HOP'!$E$114/ncoc+IF(SUMSQ($E$56:$E$75)=0,0,'TO HOP'!$F$114*$E59/SUMSQ($E$56:$E$75))+IF(SUMSQ($D$56:$D$75)=0,0,'TO HOP'!$G$114*$D59/SUMSQ($D$56:$D$75)))/9.81))</f>
        <v>93.851885943126518</v>
      </c>
      <c r="M83" s="8">
        <f>IF($B83="",0,IF(USE_TSPILE=1,M156,('TO HOP'!$E$115/ncoc+IF(SUMSQ($E$56:$E$75)=0,0,'TO HOP'!$F$115*$E59/SUMSQ($E$56:$E$75))+IF(SUMSQ($D$56:$D$75)=0,0,'TO HOP'!$G$115*$D59/SUMSQ($D$56:$D$75)))/9.81))</f>
        <v>96.51133571005164</v>
      </c>
      <c r="N83" s="8">
        <f>IF($B83="",0,IF(USE_TSPILE=1,N156,('TO HOP'!$E$116/ncoc+IF(SUMSQ($E$56:$E$75)=0,0,'TO HOP'!$F$116*$E59/SUMSQ($E$56:$E$75))+IF(SUMSQ($D$56:$D$75)=0,0,'TO HOP'!$G$116*$D59/SUMSQ($D$56:$D$75)))/9.81))</f>
        <v>99.170785476976675</v>
      </c>
      <c r="O83" s="8">
        <f>IF($B83="",0,IF(USE_TSPILE=1,O156,('TO HOP'!$E$117/ncoc+IF(SUMSQ($E$56:$E$75)=0,0,'TO HOP'!$F$117*$E59/SUMSQ($E$56:$E$75))+IF(SUMSQ($D$56:$D$75)=0,0,'TO HOP'!$G$117*$D59/SUMSQ($D$56:$D$75)))/9.81))</f>
        <v>71.549577501410397</v>
      </c>
      <c r="P83" s="8">
        <f>IF($B83="",0,IF(USE_TSPILE=1,P156,('TO HOP'!$E$118/ncoc+IF(SUMSQ($E$56:$E$75)=0,0,'TO HOP'!$F$118*$E59/SUMSQ($E$56:$E$75))+IF(SUMSQ($D$56:$D$75)=0,0,'TO HOP'!$G$118*$D59/SUMSQ($D$56:$D$75)))/9.81))</f>
        <v>72.923616128884703</v>
      </c>
      <c r="Q83" s="8">
        <f>IF($B83="",0,IF(USE_TSPILE=1,Q156,('TO HOP'!$E$119/ncoc+IF(SUMSQ($E$56:$E$75)=0,0,'TO HOP'!$F$119*$E59/SUMSQ($E$56:$E$75))+IF(SUMSQ($D$56:$D$75)=0,0,'TO HOP'!$G$119*$D59/SUMSQ($D$56:$D$75)))/9.81))</f>
        <v>76.167449965996298</v>
      </c>
      <c r="R83" s="8">
        <f>IF($B83="",0,IF(USE_TSPILE=1,R156,('TO HOP'!$E$120/ncoc+IF(SUMSQ($E$56:$E$75)=0,0,'TO HOP'!$F$120*$E59/SUMSQ($E$56:$E$75))+IF(SUMSQ($D$56:$D$75)=0,0,'TO HOP'!$G$120*$D59/SUMSQ($D$56:$D$75)))/9.81))</f>
        <v>79.685440060133317</v>
      </c>
      <c r="S83" s="8">
        <f>IF($B83="",0,IF(USE_TSPILE=1,S156,('TO HOP'!$E$121/ncoc+IF(SUMSQ($E$56:$E$75)=0,0,'TO HOP'!$F$121*$E59/SUMSQ($E$56:$E$75))+IF(SUMSQ($D$56:$D$75)=0,0,'TO HOP'!$G$121*$D59/SUMSQ($D$56:$D$75)))/9.81))</f>
        <v>85.566818418048797</v>
      </c>
      <c r="T83" s="8">
        <f>IF($B83="",0,IF(USE_TSPILE=1,T156,('TO HOP'!$E$122/ncoc+IF(SUMSQ($E$56:$E$75)=0,0,'TO HOP'!$F$122*$E59/SUMSQ($E$56:$E$75))+IF(SUMSQ($D$56:$D$75)=0,0,'TO HOP'!$G$122*$D59/SUMSQ($D$56:$D$75)))/9.81))</f>
        <v>93.180913857088967</v>
      </c>
      <c r="U83" s="8">
        <f>IF($B83="",0,IF(USE_TSPILE=1,U156,('TO HOP'!$E$123/ncoc+IF(SUMSQ($E$56:$E$75)=0,0,'TO HOP'!$F$123*$E59/SUMSQ($E$56:$E$75))+IF(SUMSQ($D$56:$D$75)=0,0,'TO HOP'!$G$123*$D59/SUMSQ($D$56:$D$75)))/9.81))</f>
        <v>82.079165917475166</v>
      </c>
      <c r="V83" s="8">
        <f>IF($B83="",0,IF(USE_TSPILE=1,V156,('TO HOP'!$E$124/ncoc+IF(SUMSQ($E$56:$E$75)=0,0,'TO HOP'!$F$124*$E59/SUMSQ($E$56:$E$75))+IF(SUMSQ($D$56:$D$75)=0,0,'TO HOP'!$G$124*$D59/SUMSQ($D$56:$D$75)))/9.81))</f>
        <v>87.807211569313836</v>
      </c>
      <c r="W83" s="8">
        <f>IF($B83="",0,IF(USE_TSPILE=1,W156,('TO HOP'!$E$125/ncoc+IF(SUMSQ($E$56:$E$75)=0,0,'TO HOP'!$F$125*$E59/SUMSQ($E$56:$E$75))+IF(SUMSQ($D$56:$D$75)=0,0,'TO HOP'!$G$125*$D59/SUMSQ($D$56:$D$75)))/9.81))</f>
        <v>91.745242954952914</v>
      </c>
      <c r="X83" s="8">
        <f>IF($B83="",0,IF(USE_TSPILE=1,X156,('TO HOP'!$E$126/ncoc+IF(SUMSQ($E$56:$E$75)=0,0,'TO HOP'!$F$126*$E59/SUMSQ($E$56:$E$75))+IF(SUMSQ($D$56:$D$75)=0,0,'TO HOP'!$G$126*$D59/SUMSQ($D$56:$D$75)))/9.81))</f>
        <v>92.103245808192867</v>
      </c>
      <c r="Y83" s="8">
        <f>IF($B83="",0,IF(USE_TSPILE=1,Y156,('TO HOP'!$E$127/ncoc+IF(SUMSQ($E$56:$E$75)=0,0,'TO HOP'!$F$127*$E59/SUMSQ($E$56:$E$75))+IF(SUMSQ($D$56:$D$75)=0,0,'TO HOP'!$G$127*$D59/SUMSQ($D$56:$D$75)))/9.81))</f>
        <v>96.757282900311736</v>
      </c>
      <c r="Z83" s="8">
        <f>IF($B83="",0,IF(USE_TSPILE=1,Z156,('TO HOP'!$E$128/ncoc+IF(SUMSQ($E$56:$E$75)=0,0,'TO HOP'!$F$128*$E59/SUMSQ($E$56:$E$75))+IF(SUMSQ($D$56:$D$75)=0,0,'TO HOP'!$G$128*$D59/SUMSQ($D$56:$D$75)))/9.81))</f>
        <v>101.41131999243072</v>
      </c>
      <c r="AA83" s="8">
        <f>IF($B83="",0,IF(USE_TSPILE=1,AA156,('TO HOP'!$E$129/ncoc+IF(SUMSQ($E$56:$E$75)=0,0,'TO HOP'!$F$129*$E59/SUMSQ($E$56:$E$75))+IF(SUMSQ($D$56:$D$75)=0,0,'TO HOP'!$G$129*$D59/SUMSQ($D$56:$D$75)))/9.81))</f>
        <v>69.516061178987115</v>
      </c>
      <c r="AB83" s="8">
        <f>IF($B83="",0,IF(USE_TSPILE=1,AB156,('TO HOP'!$E$130/ncoc+IF(SUMSQ($E$56:$E$75)=0,0,'TO HOP'!$F$130*$E59/SUMSQ($E$56:$E$75))+IF(SUMSQ($D$56:$D$75)=0,0,'TO HOP'!$G$130*$D59/SUMSQ($D$56:$D$75)))/9.81))</f>
        <v>70.890099806461507</v>
      </c>
      <c r="AC83" s="8">
        <f>IF($B83="",0,IF(USE_TSPILE=1,AC156,('TO HOP'!$E$131/ncoc+IF(SUMSQ($E$56:$E$75)=0,0,'TO HOP'!$F$131*$E59/SUMSQ($E$56:$E$75))+IF(SUMSQ($D$56:$D$75)=0,0,'TO HOP'!$G$131*$D59/SUMSQ($D$56:$D$75)))/9.81))</f>
        <v>74.133933643573044</v>
      </c>
      <c r="AD83" s="8">
        <f>IF($B83="",0,IF(USE_TSPILE=1,AD156,('TO HOP'!$E$132/ncoc+IF(SUMSQ($E$56:$E$75)=0,0,'TO HOP'!$F$132*$E59/SUMSQ($E$56:$E$75))+IF(SUMSQ($D$56:$D$75)=0,0,'TO HOP'!$G$132*$D59/SUMSQ($D$56:$D$75)))/9.81))</f>
        <v>77.651923737710092</v>
      </c>
      <c r="AE83" s="8">
        <f>IF($B83="",0,IF(USE_TSPILE=1,AE156,('TO HOP'!$E$133/ncoc+IF(SUMSQ($E$56:$E$75)=0,0,'TO HOP'!$F$133*$E59/SUMSQ($E$56:$E$75))+IF(SUMSQ($D$56:$D$75)=0,0,'TO HOP'!$G$133*$D59/SUMSQ($D$56:$D$75)))/9.81))</f>
        <v>83.533302095625601</v>
      </c>
      <c r="AF83" s="8">
        <f>IF($B83="",0,IF(USE_TSPILE=1,AF156,('TO HOP'!$E$134/ncoc+IF(SUMSQ($E$56:$E$75)=0,0,'TO HOP'!$F$134*$E59/SUMSQ($E$56:$E$75))+IF(SUMSQ($D$56:$D$75)=0,0,'TO HOP'!$G$134*$D59/SUMSQ($D$56:$D$75)))/9.81))</f>
        <v>91.147397534665714</v>
      </c>
      <c r="AG83" s="8">
        <f>IF($B83="",0,IF(USE_TSPILE=1,AG156,('TO HOP'!$E$135/ncoc+IF(SUMSQ($E$56:$E$75)=0,0,'TO HOP'!$F$135*$E59/SUMSQ($E$56:$E$75))+IF(SUMSQ($D$56:$D$75)=0,0,'TO HOP'!$G$135*$D59/SUMSQ($D$56:$D$75)))/9.81))</f>
        <v>97.447032602303096</v>
      </c>
      <c r="AH83" s="8">
        <f>IF($B83="",0,IF(USE_TSPILE=1,AH156,('TO HOP'!$E$136/ncoc+IF(SUMSQ($E$56:$E$75)=0,0,'TO HOP'!$F$136*$E59/SUMSQ($E$56:$E$75))+IF(SUMSQ($D$56:$D$75)=0,0,'TO HOP'!$G$136*$D59/SUMSQ($D$56:$D$75)))/9.81))</f>
        <v>95.4135162798799</v>
      </c>
      <c r="AI83" s="8">
        <f>IF($B83="",0,IF(USE_TSPILE=1,AI156,('TO HOP'!$E$137/ncoc+IF(SUMSQ($E$56:$E$75)=0,0,'TO HOP'!$F$137*$E59/SUMSQ($E$56:$E$75))+IF(SUMSQ($D$56:$D$75)=0,0,'TO HOP'!$G$137*$D59/SUMSQ($D$56:$D$75)))/9.81))</f>
        <v>77.556155813701452</v>
      </c>
      <c r="AJ83" s="8">
        <f>IF($B83="",0,IF(USE_TSPILE=1,AJ156,('TO HOP'!$E$138/ncoc+IF(SUMSQ($E$56:$E$75)=0,0,'TO HOP'!$F$138*$E59/SUMSQ($E$56:$E$75))+IF(SUMSQ($D$56:$D$75)=0,0,'TO HOP'!$G$138*$D59/SUMSQ($D$56:$D$75)))/9.81))</f>
        <v>78.61612846918166</v>
      </c>
      <c r="AK83" s="8">
        <f>IF($B83="",0,IF(USE_TSPILE=1,AK156,('TO HOP'!$E$139/ncoc+IF(SUMSQ($E$56:$E$75)=0,0,'TO HOP'!$F$139*$E59/SUMSQ($E$56:$E$75))+IF(SUMSQ($D$56:$D$75)=0,0,'TO HOP'!$G$139*$D59/SUMSQ($D$56:$D$75)))/9.81))</f>
        <v>81.118514572096387</v>
      </c>
      <c r="AL83" s="8">
        <f>IF($B83="",0,IF(USE_TSPILE=1,AL156,('TO HOP'!$E$140/ncoc+IF(SUMSQ($E$56:$E$75)=0,0,'TO HOP'!$F$140*$E59/SUMSQ($E$56:$E$75))+IF(SUMSQ($D$56:$D$75)=0,0,'TO HOP'!$G$140*$D59/SUMSQ($D$56:$D$75)))/9.81))</f>
        <v>83.832392644716265</v>
      </c>
      <c r="AM83" s="8">
        <f>IF($B83="",0,IF(USE_TSPILE=1,AM156,('TO HOP'!$E$141/ncoc+IF(SUMSQ($E$56:$E$75)=0,0,'TO HOP'!$F$141*$E59/SUMSQ($E$56:$E$75))+IF(SUMSQ($D$56:$D$75)=0,0,'TO HOP'!$G$141*$D59/SUMSQ($D$56:$D$75)))/9.81))</f>
        <v>88.369455949393995</v>
      </c>
      <c r="AN83" s="8">
        <f>IF($B83="",0,IF(USE_TSPILE=1,AN156,('TO HOP'!$E$142/ncoc+IF(SUMSQ($E$56:$E$75)=0,0,'TO HOP'!$F$142*$E59/SUMSQ($E$56:$E$75))+IF(SUMSQ($D$56:$D$75)=0,0,'TO HOP'!$G$142*$D59/SUMSQ($D$56:$D$75)))/9.81))</f>
        <v>94.243186716653554</v>
      </c>
      <c r="AO83" s="8">
        <f>IF($B83="",0,IF(USE_TSPILE=1,AO156,('TO HOP'!$E$143/ncoc+IF(SUMSQ($E$56:$E$75)=0,0,'TO HOP'!$F$143*$E59/SUMSQ($E$56:$E$75))+IF(SUMSQ($D$56:$D$75)=0,0,'TO HOP'!$G$143*$D59/SUMSQ($D$56:$D$75)))/9.81))</f>
        <v>75.522639491278227</v>
      </c>
      <c r="AP83" s="8">
        <f>IF($B83="",0,IF(USE_TSPILE=1,AP156,('TO HOP'!$E$144/ncoc+IF(SUMSQ($E$56:$E$75)=0,0,'TO HOP'!$F$144*$E59/SUMSQ($E$56:$E$75))+IF(SUMSQ($D$56:$D$75)=0,0,'TO HOP'!$G$144*$D59/SUMSQ($D$56:$D$75)))/9.81))</f>
        <v>76.582612146758493</v>
      </c>
      <c r="AQ83" s="8">
        <f>IF($B83="",0,IF(USE_TSPILE=1,AQ156,('TO HOP'!$E$145/ncoc+IF(SUMSQ($E$56:$E$75)=0,0,'TO HOP'!$F$145*$E59/SUMSQ($E$56:$E$75))+IF(SUMSQ($D$56:$D$75)=0,0,'TO HOP'!$G$145*$D59/SUMSQ($D$56:$D$75)))/9.81))</f>
        <v>79.084998249673163</v>
      </c>
      <c r="AR83" s="8">
        <f>IF($B83="",0,IF(USE_TSPILE=1,AR156,('TO HOP'!$E$146/ncoc+IF(SUMSQ($E$56:$E$75)=0,0,'TO HOP'!$F$146*$E59/SUMSQ($E$56:$E$75))+IF(SUMSQ($D$56:$D$75)=0,0,'TO HOP'!$G$146*$D59/SUMSQ($D$56:$D$75)))/9.81))</f>
        <v>81.798876322293154</v>
      </c>
      <c r="AS83" s="8">
        <f>IF($B83="",0,IF(USE_TSPILE=1,AS156,('TO HOP'!$E$147/ncoc+IF(SUMSQ($E$56:$E$75)=0,0,'TO HOP'!$F$147*$E59/SUMSQ($E$56:$E$75))+IF(SUMSQ($D$56:$D$75)=0,0,'TO HOP'!$G$147*$D59/SUMSQ($D$56:$D$75)))/9.81))</f>
        <v>86.33593962697077</v>
      </c>
      <c r="AT83" s="8">
        <f>IF($B83="",0,IF(USE_TSPILE=1,AT156,('TO HOP'!$E$148/ncoc+IF(SUMSQ($E$56:$E$75)=0,0,'TO HOP'!$F$148*$E59/SUMSQ($E$56:$E$75))+IF(SUMSQ($D$56:$D$75)=0,0,'TO HOP'!$G$148*$D59/SUMSQ($D$56:$D$75)))/9.81))</f>
        <v>92.209670394230272</v>
      </c>
      <c r="AU83" s="8">
        <f>IF($B83="",0,IF(USE_TSPILE=1,AU156,('TO HOP'!$E$149/ncoc+IF(SUMSQ($E$56:$E$75)=0,0,'TO HOP'!$F$149*$E59/SUMSQ($E$56:$E$75))+IF(SUMSQ($D$56:$D$75)=0,0,'TO HOP'!$G$149*$D59/SUMSQ($D$56:$D$75)))/9.81))</f>
        <v>-120.04884544610849</v>
      </c>
      <c r="AV83" s="8">
        <f>IF($B83="",0,IF(USE_TSPILE=1,AV156,('TO HOP'!$E$150/ncoc+IF(SUMSQ($E$56:$E$75)=0,0,'TO HOP'!$F$150*$E59/SUMSQ($E$56:$E$75))+IF(SUMSQ($D$56:$D$75)=0,0,'TO HOP'!$G$150*$D59/SUMSQ($D$56:$D$75)))/9.81))</f>
        <v>26.51155748377829</v>
      </c>
    </row>
    <row r="84" spans="2:48" x14ac:dyDescent="0.3">
      <c r="B84" s="10">
        <f>IF(5&lt;=ncoc,5,"")</f>
        <v>5</v>
      </c>
      <c r="C84" s="8">
        <f>IF($B84="",0,IF(USE_TSPILE=1,C157,('TO HOP'!$E$105/ncoc+IF(SUMSQ($E$56:$E$75)=0,0,'TO HOP'!$F$105*$E60/SUMSQ($E$56:$E$75))+IF(SUMSQ($D$56:$D$75)=0,0,'TO HOP'!$G$105*$D60/SUMSQ($D$56:$D$75)))/9.81))</f>
        <v>75.668942953740128</v>
      </c>
      <c r="D84" s="8">
        <f>IF($B84="",0,IF(USE_TSPILE=1,D157,('TO HOP'!$E$106/ncoc+IF(SUMSQ($E$56:$E$75)=0,0,'TO HOP'!$F$106*$E60/SUMSQ($E$56:$E$75))+IF(SUMSQ($D$56:$D$75)=0,0,'TO HOP'!$G$106*$D60/SUMSQ($D$56:$D$75)))/9.81))</f>
        <v>73.966103869802936</v>
      </c>
      <c r="E84" s="8">
        <f>IF($B84="",0,IF(USE_TSPILE=1,E157,('TO HOP'!$E$107/ncoc+IF(SUMSQ($E$56:$E$75)=0,0,'TO HOP'!$F$107*$E60/SUMSQ($E$56:$E$75))+IF(SUMSQ($D$56:$D$75)=0,0,'TO HOP'!$G$107*$D60/SUMSQ($D$56:$D$75)))/9.81))</f>
        <v>75.423038891851036</v>
      </c>
      <c r="F84" s="8">
        <f>IF($B84="",0,IF(USE_TSPILE=1,F157,('TO HOP'!$E$108/ncoc+IF(SUMSQ($E$56:$E$75)=0,0,'TO HOP'!$F$108*$E60/SUMSQ($E$56:$E$75))+IF(SUMSQ($D$56:$D$75)=0,0,'TO HOP'!$G$108*$D60/SUMSQ($D$56:$D$75)))/9.81))</f>
        <v>79.239025940441962</v>
      </c>
      <c r="G84" s="8">
        <f>IF($B84="",0,IF(USE_TSPILE=1,G157,('TO HOP'!$E$109/ncoc+IF(SUMSQ($E$56:$E$75)=0,0,'TO HOP'!$F$109*$E60/SUMSQ($E$56:$E$75))+IF(SUMSQ($D$56:$D$75)=0,0,'TO HOP'!$G$109*$D60/SUMSQ($D$56:$D$75)))/9.81))</f>
        <v>83.301151439706018</v>
      </c>
      <c r="H84" s="8">
        <f>IF($B84="",0,IF(USE_TSPILE=1,H157,('TO HOP'!$E$110/ncoc+IF(SUMSQ($E$56:$E$75)=0,0,'TO HOP'!$F$110*$E60/SUMSQ($E$56:$E$75))+IF(SUMSQ($D$56:$D$75)=0,0,'TO HOP'!$G$110*$D60/SUMSQ($D$56:$D$75)))/9.81))</f>
        <v>89.343525031683839</v>
      </c>
      <c r="I84" s="8">
        <f>IF($B84="",0,IF(USE_TSPILE=1,I157,('TO HOP'!$E$111/ncoc+IF(SUMSQ($E$56:$E$75)=0,0,'TO HOP'!$F$111*$E60/SUMSQ($E$56:$E$75))+IF(SUMSQ($D$56:$D$75)=0,0,'TO HOP'!$G$111*$D60/SUMSQ($D$56:$D$75)))/9.81))</f>
        <v>87.702758286385574</v>
      </c>
      <c r="J84" s="8">
        <f>IF($B84="",0,IF(USE_TSPILE=1,J157,('TO HOP'!$E$112/ncoc+IF(SUMSQ($E$56:$E$75)=0,0,'TO HOP'!$F$112*$E60/SUMSQ($E$56:$E$75))+IF(SUMSQ($D$56:$D$75)=0,0,'TO HOP'!$G$112*$D60/SUMSQ($D$56:$D$75)))/9.81))</f>
        <v>90.975927230293365</v>
      </c>
      <c r="K84" s="8">
        <f>IF($B84="",0,IF(USE_TSPILE=1,K157,('TO HOP'!$E$113/ncoc+IF(SUMSQ($E$56:$E$75)=0,0,'TO HOP'!$F$113*$E60/SUMSQ($E$56:$E$75))+IF(SUMSQ($D$56:$D$75)=0,0,'TO HOP'!$G$113*$D60/SUMSQ($D$56:$D$75)))/9.81))</f>
        <v>93.226230879230002</v>
      </c>
      <c r="L84" s="8">
        <f>IF($B84="",0,IF(USE_TSPILE=1,L157,('TO HOP'!$E$114/ncoc+IF(SUMSQ($E$56:$E$75)=0,0,'TO HOP'!$F$114*$E60/SUMSQ($E$56:$E$75))+IF(SUMSQ($D$56:$D$75)=0,0,'TO HOP'!$G$114*$D60/SUMSQ($D$56:$D$75)))/9.81))</f>
        <v>93.430803938224273</v>
      </c>
      <c r="M84" s="8">
        <f>IF($B84="",0,IF(USE_TSPILE=1,M157,('TO HOP'!$E$115/ncoc+IF(SUMSQ($E$56:$E$75)=0,0,'TO HOP'!$F$115*$E60/SUMSQ($E$56:$E$75))+IF(SUMSQ($D$56:$D$75)=0,0,'TO HOP'!$G$115*$D60/SUMSQ($D$56:$D$75)))/9.81))</f>
        <v>96.090253705149394</v>
      </c>
      <c r="N84" s="8">
        <f>IF($B84="",0,IF(USE_TSPILE=1,N157,('TO HOP'!$E$116/ncoc+IF(SUMSQ($E$56:$E$75)=0,0,'TO HOP'!$F$116*$E60/SUMSQ($E$56:$E$75))+IF(SUMSQ($D$56:$D$75)=0,0,'TO HOP'!$G$116*$D60/SUMSQ($D$56:$D$75)))/9.81))</f>
        <v>98.74970347207443</v>
      </c>
      <c r="O84" s="8">
        <f>IF($B84="",0,IF(USE_TSPILE=1,O157,('TO HOP'!$E$117/ncoc+IF(SUMSQ($E$56:$E$75)=0,0,'TO HOP'!$F$117*$E60/SUMSQ($E$56:$E$75))+IF(SUMSQ($D$56:$D$75)=0,0,'TO HOP'!$G$117*$D60/SUMSQ($D$56:$D$75)))/9.81))</f>
        <v>61.019989085345628</v>
      </c>
      <c r="P84" s="8">
        <f>IF($B84="",0,IF(USE_TSPILE=1,P157,('TO HOP'!$E$118/ncoc+IF(SUMSQ($E$56:$E$75)=0,0,'TO HOP'!$F$118*$E60/SUMSQ($E$56:$E$75))+IF(SUMSQ($D$56:$D$75)=0,0,'TO HOP'!$G$118*$D60/SUMSQ($D$56:$D$75)))/9.81))</f>
        <v>58.04002068845557</v>
      </c>
      <c r="Q84" s="8">
        <f>IF($B84="",0,IF(USE_TSPILE=1,Q157,('TO HOP'!$E$119/ncoc+IF(SUMSQ($E$56:$E$75)=0,0,'TO HOP'!$F$119*$E60/SUMSQ($E$56:$E$75))+IF(SUMSQ($D$56:$D$75)=0,0,'TO HOP'!$G$119*$D60/SUMSQ($D$56:$D$75)))/9.81))</f>
        <v>60.589656977039681</v>
      </c>
      <c r="R84" s="8">
        <f>IF($B84="",0,IF(USE_TSPILE=1,R157,('TO HOP'!$E$120/ncoc+IF(SUMSQ($E$56:$E$75)=0,0,'TO HOP'!$F$120*$E60/SUMSQ($E$56:$E$75))+IF(SUMSQ($D$56:$D$75)=0,0,'TO HOP'!$G$120*$D60/SUMSQ($D$56:$D$75)))/9.81))</f>
        <v>67.267634312073824</v>
      </c>
      <c r="S84" s="8">
        <f>IF($B84="",0,IF(USE_TSPILE=1,S157,('TO HOP'!$E$121/ncoc+IF(SUMSQ($E$56:$E$75)=0,0,'TO HOP'!$F$121*$E60/SUMSQ($E$56:$E$75))+IF(SUMSQ($D$56:$D$75)=0,0,'TO HOP'!$G$121*$D60/SUMSQ($D$56:$D$75)))/9.81))</f>
        <v>74.376353935785858</v>
      </c>
      <c r="T84" s="8">
        <f>IF($B84="",0,IF(USE_TSPILE=1,T157,('TO HOP'!$E$122/ncoc+IF(SUMSQ($E$56:$E$75)=0,0,'TO HOP'!$F$122*$E60/SUMSQ($E$56:$E$75))+IF(SUMSQ($D$56:$D$75)=0,0,'TO HOP'!$G$122*$D60/SUMSQ($D$56:$D$75)))/9.81))</f>
        <v>84.950507721747158</v>
      </c>
      <c r="U84" s="8">
        <f>IF($B84="",0,IF(USE_TSPILE=1,U157,('TO HOP'!$E$123/ncoc+IF(SUMSQ($E$56:$E$75)=0,0,'TO HOP'!$F$123*$E60/SUMSQ($E$56:$E$75))+IF(SUMSQ($D$56:$D$75)=0,0,'TO HOP'!$G$123*$D60/SUMSQ($D$56:$D$75)))/9.81))</f>
        <v>82.079165917475166</v>
      </c>
      <c r="V84" s="8">
        <f>IF($B84="",0,IF(USE_TSPILE=1,V157,('TO HOP'!$E$124/ncoc+IF(SUMSQ($E$56:$E$75)=0,0,'TO HOP'!$F$124*$E60/SUMSQ($E$56:$E$75))+IF(SUMSQ($D$56:$D$75)=0,0,'TO HOP'!$G$124*$D60/SUMSQ($D$56:$D$75)))/9.81))</f>
        <v>87.807211569313836</v>
      </c>
      <c r="W84" s="8">
        <f>IF($B84="",0,IF(USE_TSPILE=1,W157,('TO HOP'!$E$125/ncoc+IF(SUMSQ($E$56:$E$75)=0,0,'TO HOP'!$F$125*$E60/SUMSQ($E$56:$E$75))+IF(SUMSQ($D$56:$D$75)=0,0,'TO HOP'!$G$125*$D60/SUMSQ($D$56:$D$75)))/9.81))</f>
        <v>91.745242954952914</v>
      </c>
      <c r="X84" s="8">
        <f>IF($B84="",0,IF(USE_TSPILE=1,X157,('TO HOP'!$E$126/ncoc+IF(SUMSQ($E$56:$E$75)=0,0,'TO HOP'!$F$126*$E60/SUMSQ($E$56:$E$75))+IF(SUMSQ($D$56:$D$75)=0,0,'TO HOP'!$G$126*$D60/SUMSQ($D$56:$D$75)))/9.81))</f>
        <v>92.103245808192867</v>
      </c>
      <c r="Y84" s="8">
        <f>IF($B84="",0,IF(USE_TSPILE=1,Y157,('TO HOP'!$E$127/ncoc+IF(SUMSQ($E$56:$E$75)=0,0,'TO HOP'!$F$127*$E60/SUMSQ($E$56:$E$75))+IF(SUMSQ($D$56:$D$75)=0,0,'TO HOP'!$G$127*$D60/SUMSQ($D$56:$D$75)))/9.81))</f>
        <v>96.757282900311736</v>
      </c>
      <c r="Z84" s="8">
        <f>IF($B84="",0,IF(USE_TSPILE=1,Z157,('TO HOP'!$E$128/ncoc+IF(SUMSQ($E$56:$E$75)=0,0,'TO HOP'!$F$128*$E60/SUMSQ($E$56:$E$75))+IF(SUMSQ($D$56:$D$75)=0,0,'TO HOP'!$G$128*$D60/SUMSQ($D$56:$D$75)))/9.81))</f>
        <v>101.41131999243072</v>
      </c>
      <c r="AA84" s="8">
        <f>IF($B84="",0,IF(USE_TSPILE=1,AA157,('TO HOP'!$E$129/ncoc+IF(SUMSQ($E$56:$E$75)=0,0,'TO HOP'!$F$129*$E60/SUMSQ($E$56:$E$75))+IF(SUMSQ($D$56:$D$75)=0,0,'TO HOP'!$G$129*$D60/SUMSQ($D$56:$D$75)))/9.81))</f>
        <v>58.986472762922318</v>
      </c>
      <c r="AB84" s="8">
        <f>IF($B84="",0,IF(USE_TSPILE=1,AB157,('TO HOP'!$E$130/ncoc+IF(SUMSQ($E$56:$E$75)=0,0,'TO HOP'!$F$130*$E60/SUMSQ($E$56:$E$75))+IF(SUMSQ($D$56:$D$75)=0,0,'TO HOP'!$G$130*$D60/SUMSQ($D$56:$D$75)))/9.81))</f>
        <v>56.006504366032374</v>
      </c>
      <c r="AC84" s="8">
        <f>IF($B84="",0,IF(USE_TSPILE=1,AC157,('TO HOP'!$E$131/ncoc+IF(SUMSQ($E$56:$E$75)=0,0,'TO HOP'!$F$131*$E60/SUMSQ($E$56:$E$75))+IF(SUMSQ($D$56:$D$75)=0,0,'TO HOP'!$G$131*$D60/SUMSQ($D$56:$D$75)))/9.81))</f>
        <v>58.556140654616456</v>
      </c>
      <c r="AD84" s="8">
        <f>IF($B84="",0,IF(USE_TSPILE=1,AD157,('TO HOP'!$E$132/ncoc+IF(SUMSQ($E$56:$E$75)=0,0,'TO HOP'!$F$132*$E60/SUMSQ($E$56:$E$75))+IF(SUMSQ($D$56:$D$75)=0,0,'TO HOP'!$G$132*$D60/SUMSQ($D$56:$D$75)))/9.81))</f>
        <v>65.234117989650571</v>
      </c>
      <c r="AE84" s="8">
        <f>IF($B84="",0,IF(USE_TSPILE=1,AE157,('TO HOP'!$E$133/ncoc+IF(SUMSQ($E$56:$E$75)=0,0,'TO HOP'!$F$133*$E60/SUMSQ($E$56:$E$75))+IF(SUMSQ($D$56:$D$75)=0,0,'TO HOP'!$G$133*$D60/SUMSQ($D$56:$D$75)))/9.81))</f>
        <v>72.342837613362633</v>
      </c>
      <c r="AF84" s="8">
        <f>IF($B84="",0,IF(USE_TSPILE=1,AF157,('TO HOP'!$E$134/ncoc+IF(SUMSQ($E$56:$E$75)=0,0,'TO HOP'!$F$134*$E60/SUMSQ($E$56:$E$75))+IF(SUMSQ($D$56:$D$75)=0,0,'TO HOP'!$G$134*$D60/SUMSQ($D$56:$D$75)))/9.81))</f>
        <v>82.916991399323905</v>
      </c>
      <c r="AG84" s="8">
        <f>IF($B84="",0,IF(USE_TSPILE=1,AG157,('TO HOP'!$E$135/ncoc+IF(SUMSQ($E$56:$E$75)=0,0,'TO HOP'!$F$135*$E60/SUMSQ($E$56:$E$75))+IF(SUMSQ($D$56:$D$75)=0,0,'TO HOP'!$G$135*$D60/SUMSQ($D$56:$D$75)))/9.81))</f>
        <v>96.37569905360121</v>
      </c>
      <c r="AH84" s="8">
        <f>IF($B84="",0,IF(USE_TSPILE=1,AH157,('TO HOP'!$E$136/ncoc+IF(SUMSQ($E$56:$E$75)=0,0,'TO HOP'!$F$136*$E60/SUMSQ($E$56:$E$75))+IF(SUMSQ($D$56:$D$75)=0,0,'TO HOP'!$G$136*$D60/SUMSQ($D$56:$D$75)))/9.81))</f>
        <v>94.342182731178013</v>
      </c>
      <c r="AI84" s="8">
        <f>IF($B84="",0,IF(USE_TSPILE=1,AI157,('TO HOP'!$E$137/ncoc+IF(SUMSQ($E$56:$E$75)=0,0,'TO HOP'!$F$137*$E60/SUMSQ($E$56:$E$75))+IF(SUMSQ($D$56:$D$75)=0,0,'TO HOP'!$G$137*$D60/SUMSQ($D$56:$D$75)))/9.81))</f>
        <v>68.935870450719932</v>
      </c>
      <c r="AJ84" s="8">
        <f>IF($B84="",0,IF(USE_TSPILE=1,AJ157,('TO HOP'!$E$138/ncoc+IF(SUMSQ($E$56:$E$75)=0,0,'TO HOP'!$F$138*$E60/SUMSQ($E$56:$E$75))+IF(SUMSQ($D$56:$D$75)=0,0,'TO HOP'!$G$138*$D60/SUMSQ($D$56:$D$75)))/9.81))</f>
        <v>66.637037687404813</v>
      </c>
      <c r="AK84" s="8">
        <f>IF($B84="",0,IF(USE_TSPILE=1,AK157,('TO HOP'!$E$139/ncoc+IF(SUMSQ($E$56:$E$75)=0,0,'TO HOP'!$F$139*$E60/SUMSQ($E$56:$E$75))+IF(SUMSQ($D$56:$D$75)=0,0,'TO HOP'!$G$139*$D60/SUMSQ($D$56:$D$75)))/9.81))</f>
        <v>68.603899967169696</v>
      </c>
      <c r="AL84" s="8">
        <f>IF($B84="",0,IF(USE_TSPILE=1,AL157,('TO HOP'!$E$140/ncoc+IF(SUMSQ($E$56:$E$75)=0,0,'TO HOP'!$F$140*$E60/SUMSQ($E$56:$E$75))+IF(SUMSQ($D$56:$D$75)=0,0,'TO HOP'!$G$140*$D60/SUMSQ($D$56:$D$75)))/9.81))</f>
        <v>73.755482482767377</v>
      </c>
      <c r="AM84" s="8">
        <f>IF($B84="",0,IF(USE_TSPILE=1,AM157,('TO HOP'!$E$141/ncoc+IF(SUMSQ($E$56:$E$75)=0,0,'TO HOP'!$F$141*$E60/SUMSQ($E$56:$E$75))+IF(SUMSQ($D$56:$D$75)=0,0,'TO HOP'!$G$141*$D60/SUMSQ($D$56:$D$75)))/9.81))</f>
        <v>79.239351906773919</v>
      </c>
      <c r="AN84" s="8">
        <f>IF($B84="",0,IF(USE_TSPILE=1,AN157,('TO HOP'!$E$142/ncoc+IF(SUMSQ($E$56:$E$75)=0,0,'TO HOP'!$F$142*$E60/SUMSQ($E$56:$E$75))+IF(SUMSQ($D$56:$D$75)=0,0,'TO HOP'!$G$142*$D60/SUMSQ($D$56:$D$75)))/9.81))</f>
        <v>87.396556255944063</v>
      </c>
      <c r="AO84" s="8">
        <f>IF($B84="",0,IF(USE_TSPILE=1,AO157,('TO HOP'!$E$143/ncoc+IF(SUMSQ($E$56:$E$75)=0,0,'TO HOP'!$F$143*$E60/SUMSQ($E$56:$E$75))+IF(SUMSQ($D$56:$D$75)=0,0,'TO HOP'!$G$143*$D60/SUMSQ($D$56:$D$75)))/9.81))</f>
        <v>66.902354128296679</v>
      </c>
      <c r="AP84" s="8">
        <f>IF($B84="",0,IF(USE_TSPILE=1,AP157,('TO HOP'!$E$144/ncoc+IF(SUMSQ($E$56:$E$75)=0,0,'TO HOP'!$F$144*$E60/SUMSQ($E$56:$E$75))+IF(SUMSQ($D$56:$D$75)=0,0,'TO HOP'!$G$144*$D60/SUMSQ($D$56:$D$75)))/9.81))</f>
        <v>64.603521364981589</v>
      </c>
      <c r="AQ84" s="8">
        <f>IF($B84="",0,IF(USE_TSPILE=1,AQ157,('TO HOP'!$E$145/ncoc+IF(SUMSQ($E$56:$E$75)=0,0,'TO HOP'!$F$145*$E60/SUMSQ($E$56:$E$75))+IF(SUMSQ($D$56:$D$75)=0,0,'TO HOP'!$G$145*$D60/SUMSQ($D$56:$D$75)))/9.81))</f>
        <v>66.570383644746499</v>
      </c>
      <c r="AR84" s="8">
        <f>IF($B84="",0,IF(USE_TSPILE=1,AR157,('TO HOP'!$E$146/ncoc+IF(SUMSQ($E$56:$E$75)=0,0,'TO HOP'!$F$146*$E60/SUMSQ($E$56:$E$75))+IF(SUMSQ($D$56:$D$75)=0,0,'TO HOP'!$G$146*$D60/SUMSQ($D$56:$D$75)))/9.81))</f>
        <v>71.721966160344238</v>
      </c>
      <c r="AS84" s="8">
        <f>IF($B84="",0,IF(USE_TSPILE=1,AS157,('TO HOP'!$E$147/ncoc+IF(SUMSQ($E$56:$E$75)=0,0,'TO HOP'!$F$147*$E60/SUMSQ($E$56:$E$75))+IF(SUMSQ($D$56:$D$75)=0,0,'TO HOP'!$G$147*$D60/SUMSQ($D$56:$D$75)))/9.81))</f>
        <v>77.205835584350666</v>
      </c>
      <c r="AT84" s="8">
        <f>IF($B84="",0,IF(USE_TSPILE=1,AT157,('TO HOP'!$E$148/ncoc+IF(SUMSQ($E$56:$E$75)=0,0,'TO HOP'!$F$148*$E60/SUMSQ($E$56:$E$75))+IF(SUMSQ($D$56:$D$75)=0,0,'TO HOP'!$G$148*$D60/SUMSQ($D$56:$D$75)))/9.81))</f>
        <v>85.363039933520781</v>
      </c>
      <c r="AU84" s="8">
        <f>IF($B84="",0,IF(USE_TSPILE=1,AU157,('TO HOP'!$E$149/ncoc+IF(SUMSQ($E$56:$E$75)=0,0,'TO HOP'!$F$149*$E60/SUMSQ($E$56:$E$75))+IF(SUMSQ($D$56:$D$75)=0,0,'TO HOP'!$G$149*$D60/SUMSQ($D$56:$D$75)))/9.81))</f>
        <v>-126.29267298518582</v>
      </c>
      <c r="AV84" s="8">
        <f>IF($B84="",0,IF(USE_TSPILE=1,AV157,('TO HOP'!$E$150/ncoc+IF(SUMSQ($E$56:$E$75)=0,0,'TO HOP'!$F$150*$E60/SUMSQ($E$56:$E$75))+IF(SUMSQ($D$56:$D$75)=0,0,'TO HOP'!$G$150*$D60/SUMSQ($D$56:$D$75)))/9.81))</f>
        <v>16.672673867309612</v>
      </c>
    </row>
    <row r="85" spans="2:48" x14ac:dyDescent="0.3">
      <c r="B85" s="10">
        <f>IF(6&lt;=ncoc,6,"")</f>
        <v>6</v>
      </c>
      <c r="C85" s="8">
        <f>IF($B85="",0,IF(USE_TSPILE=1,C158,('TO HOP'!$E$105/ncoc+IF(SUMSQ($E$56:$E$75)=0,0,'TO HOP'!$F$105*$E61/SUMSQ($E$56:$E$75))+IF(SUMSQ($D$56:$D$75)=0,0,'TO HOP'!$G$105*$D61/SUMSQ($D$56:$D$75)))/9.81))</f>
        <v>445.95162854134037</v>
      </c>
      <c r="D85" s="8">
        <f>IF($B85="",0,IF(USE_TSPILE=1,D158,('TO HOP'!$E$106/ncoc+IF(SUMSQ($E$56:$E$75)=0,0,'TO HOP'!$F$106*$E61/SUMSQ($E$56:$E$75))+IF(SUMSQ($D$56:$D$75)=0,0,'TO HOP'!$G$106*$D61/SUMSQ($D$56:$D$75)))/9.81))</f>
        <v>456.00633258908124</v>
      </c>
      <c r="E85" s="8">
        <f>IF($B85="",0,IF(USE_TSPILE=1,E158,('TO HOP'!$E$107/ncoc+IF(SUMSQ($E$56:$E$75)=0,0,'TO HOP'!$F$107*$E61/SUMSQ($E$56:$E$75))+IF(SUMSQ($D$56:$D$75)=0,0,'TO HOP'!$G$107*$D61/SUMSQ($D$56:$D$75)))/9.81))</f>
        <v>460.28760730437756</v>
      </c>
      <c r="F85" s="8">
        <f>IF($B85="",0,IF(USE_TSPILE=1,F158,('TO HOP'!$E$108/ncoc+IF(SUMSQ($E$56:$E$75)=0,0,'TO HOP'!$F$108*$E61/SUMSQ($E$56:$E$75))+IF(SUMSQ($D$56:$D$75)=0,0,'TO HOP'!$G$108*$D61/SUMSQ($D$56:$D$75)))/9.81))</f>
        <v>456.98809247105544</v>
      </c>
      <c r="G85" s="8">
        <f>IF($B85="",0,IF(USE_TSPILE=1,G158,('TO HOP'!$E$109/ncoc+IF(SUMSQ($E$56:$E$75)=0,0,'TO HOP'!$F$109*$E61/SUMSQ($E$56:$E$75))+IF(SUMSQ($D$56:$D$75)=0,0,'TO HOP'!$G$109*$D61/SUMSQ($D$56:$D$75)))/9.81))</f>
        <v>459.70419447497335</v>
      </c>
      <c r="H85" s="8">
        <f>IF($B85="",0,IF(USE_TSPILE=1,H158,('TO HOP'!$E$110/ncoc+IF(SUMSQ($E$56:$E$75)=0,0,'TO HOP'!$F$110*$E61/SUMSQ($E$56:$E$75))+IF(SUMSQ($D$56:$D$75)=0,0,'TO HOP'!$G$110*$D61/SUMSQ($D$56:$D$75)))/9.81))</f>
        <v>460.43726192075616</v>
      </c>
      <c r="I85" s="8">
        <f>IF($B85="",0,IF(USE_TSPILE=1,I158,('TO HOP'!$E$111/ncoc+IF(SUMSQ($E$56:$E$75)=0,0,'TO HOP'!$F$111*$E61/SUMSQ($E$56:$E$75))+IF(SUMSQ($D$56:$D$75)=0,0,'TO HOP'!$G$111*$D61/SUMSQ($D$56:$D$75)))/9.81))</f>
        <v>433.90088007267337</v>
      </c>
      <c r="J85" s="8">
        <f>IF($B85="",0,IF(USE_TSPILE=1,J158,('TO HOP'!$E$112/ncoc+IF(SUMSQ($E$56:$E$75)=0,0,'TO HOP'!$F$112*$E61/SUMSQ($E$56:$E$75))+IF(SUMSQ($D$56:$D$75)=0,0,'TO HOP'!$G$112*$D61/SUMSQ($D$56:$D$75)))/9.81))</f>
        <v>438.97257420510039</v>
      </c>
      <c r="K85" s="8">
        <f>IF($B85="",0,IF(USE_TSPILE=1,K158,('TO HOP'!$E$113/ncoc+IF(SUMSQ($E$56:$E$75)=0,0,'TO HOP'!$F$113*$E61/SUMSQ($E$56:$E$75))+IF(SUMSQ($D$56:$D$75)=0,0,'TO HOP'!$G$113*$D61/SUMSQ($D$56:$D$75)))/9.81))</f>
        <v>442.45936392114396</v>
      </c>
      <c r="L85" s="8">
        <f>IF($B85="",0,IF(USE_TSPILE=1,L158,('TO HOP'!$E$114/ncoc+IF(SUMSQ($E$56:$E$75)=0,0,'TO HOP'!$F$114*$E61/SUMSQ($E$56:$E$75))+IF(SUMSQ($D$56:$D$75)=0,0,'TO HOP'!$G$114*$D61/SUMSQ($D$56:$D$75)))/9.81))</f>
        <v>442.77634480442066</v>
      </c>
      <c r="M85" s="8">
        <f>IF($B85="",0,IF(USE_TSPILE=1,M158,('TO HOP'!$E$115/ncoc+IF(SUMSQ($E$56:$E$75)=0,0,'TO HOP'!$F$115*$E61/SUMSQ($E$56:$E$75))+IF(SUMSQ($D$56:$D$75)=0,0,'TO HOP'!$G$115*$D61/SUMSQ($D$56:$D$75)))/9.81))</f>
        <v>446.89709628701763</v>
      </c>
      <c r="N85" s="8">
        <f>IF($B85="",0,IF(USE_TSPILE=1,N158,('TO HOP'!$E$116/ncoc+IF(SUMSQ($E$56:$E$75)=0,0,'TO HOP'!$F$116*$E61/SUMSQ($E$56:$E$75))+IF(SUMSQ($D$56:$D$75)=0,0,'TO HOP'!$G$116*$D61/SUMSQ($D$56:$D$75)))/9.81))</f>
        <v>451.01784776961455</v>
      </c>
      <c r="O85" s="8">
        <f>IF($B85="",0,IF(USE_TSPILE=1,O158,('TO HOP'!$E$117/ncoc+IF(SUMSQ($E$56:$E$75)=0,0,'TO HOP'!$F$117*$E61/SUMSQ($E$56:$E$75))+IF(SUMSQ($D$56:$D$75)=0,0,'TO HOP'!$G$117*$D61/SUMSQ($D$56:$D$75)))/9.81))</f>
        <v>616.04530104082403</v>
      </c>
      <c r="P85" s="8">
        <f>IF($B85="",0,IF(USE_TSPILE=1,P158,('TO HOP'!$E$118/ncoc+IF(SUMSQ($E$56:$E$75)=0,0,'TO HOP'!$F$118*$E61/SUMSQ($E$56:$E$75))+IF(SUMSQ($D$56:$D$75)=0,0,'TO HOP'!$G$118*$D61/SUMSQ($D$56:$D$75)))/9.81))</f>
        <v>633.64103312437032</v>
      </c>
      <c r="Q85" s="8">
        <f>IF($B85="",0,IF(USE_TSPILE=1,Q158,('TO HOP'!$E$119/ncoc+IF(SUMSQ($E$56:$E$75)=0,0,'TO HOP'!$F$119*$E61/SUMSQ($E$56:$E$75))+IF(SUMSQ($D$56:$D$75)=0,0,'TO HOP'!$G$119*$D61/SUMSQ($D$56:$D$75)))/9.81))</f>
        <v>641.13326387613904</v>
      </c>
      <c r="R85" s="8">
        <f>IF($B85="",0,IF(USE_TSPILE=1,R158,('TO HOP'!$E$120/ncoc+IF(SUMSQ($E$56:$E$75)=0,0,'TO HOP'!$F$120*$E61/SUMSQ($E$56:$E$75))+IF(SUMSQ($D$56:$D$75)=0,0,'TO HOP'!$G$120*$D61/SUMSQ($D$56:$D$75)))/9.81))</f>
        <v>635.3591129178252</v>
      </c>
      <c r="S85" s="8">
        <f>IF($B85="",0,IF(USE_TSPILE=1,S158,('TO HOP'!$E$121/ncoc+IF(SUMSQ($E$56:$E$75)=0,0,'TO HOP'!$F$121*$E61/SUMSQ($E$56:$E$75))+IF(SUMSQ($D$56:$D$75)=0,0,'TO HOP'!$G$121*$D61/SUMSQ($D$56:$D$75)))/9.81))</f>
        <v>640.11229142468164</v>
      </c>
      <c r="T85" s="8">
        <f>IF($B85="",0,IF(USE_TSPILE=1,T158,('TO HOP'!$E$122/ncoc+IF(SUMSQ($E$56:$E$75)=0,0,'TO HOP'!$F$122*$E61/SUMSQ($E$56:$E$75))+IF(SUMSQ($D$56:$D$75)=0,0,'TO HOP'!$G$122*$D61/SUMSQ($D$56:$D$75)))/9.81))</f>
        <v>641.39515945480161</v>
      </c>
      <c r="U85" s="8">
        <f>IF($B85="",0,IF(USE_TSPILE=1,U158,('TO HOP'!$E$123/ncoc+IF(SUMSQ($E$56:$E$75)=0,0,'TO HOP'!$F$123*$E61/SUMSQ($E$56:$E$75))+IF(SUMSQ($D$56:$D$75)=0,0,'TO HOP'!$G$123*$D61/SUMSQ($D$56:$D$75)))/9.81))</f>
        <v>594.95649122065674</v>
      </c>
      <c r="V85" s="8">
        <f>IF($B85="",0,IF(USE_TSPILE=1,V158,('TO HOP'!$E$124/ncoc+IF(SUMSQ($E$56:$E$75)=0,0,'TO HOP'!$F$124*$E61/SUMSQ($E$56:$E$75))+IF(SUMSQ($D$56:$D$75)=0,0,'TO HOP'!$G$124*$D61/SUMSQ($D$56:$D$75)))/9.81))</f>
        <v>603.83195595240386</v>
      </c>
      <c r="W85" s="8">
        <f>IF($B85="",0,IF(USE_TSPILE=1,W158,('TO HOP'!$E$125/ncoc+IF(SUMSQ($E$56:$E$75)=0,0,'TO HOP'!$F$125*$E61/SUMSQ($E$56:$E$75))+IF(SUMSQ($D$56:$D$75)=0,0,'TO HOP'!$G$125*$D61/SUMSQ($D$56:$D$75)))/9.81))</f>
        <v>609.93383795548016</v>
      </c>
      <c r="X85" s="8">
        <f>IF($B85="",0,IF(USE_TSPILE=1,X158,('TO HOP'!$E$126/ncoc+IF(SUMSQ($E$56:$E$75)=0,0,'TO HOP'!$F$126*$E61/SUMSQ($E$56:$E$75))+IF(SUMSQ($D$56:$D$75)=0,0,'TO HOP'!$G$126*$D61/SUMSQ($D$56:$D$75)))/9.81))</f>
        <v>610.48855450121437</v>
      </c>
      <c r="Y85" s="8">
        <f>IF($B85="",0,IF(USE_TSPILE=1,Y158,('TO HOP'!$E$127/ncoc+IF(SUMSQ($E$56:$E$75)=0,0,'TO HOP'!$F$127*$E61/SUMSQ($E$56:$E$75))+IF(SUMSQ($D$56:$D$75)=0,0,'TO HOP'!$G$127*$D61/SUMSQ($D$56:$D$75)))/9.81))</f>
        <v>617.69986959575908</v>
      </c>
      <c r="Z85" s="8">
        <f>IF($B85="",0,IF(USE_TSPILE=1,Z158,('TO HOP'!$E$128/ncoc+IF(SUMSQ($E$56:$E$75)=0,0,'TO HOP'!$F$128*$E61/SUMSQ($E$56:$E$75))+IF(SUMSQ($D$56:$D$75)=0,0,'TO HOP'!$G$128*$D61/SUMSQ($D$56:$D$75)))/9.81))</f>
        <v>624.9111846903038</v>
      </c>
      <c r="AA85" s="8">
        <f>IF($B85="",0,IF(USE_TSPILE=1,AA158,('TO HOP'!$E$129/ncoc+IF(SUMSQ($E$56:$E$75)=0,0,'TO HOP'!$F$129*$E61/SUMSQ($E$56:$E$75))+IF(SUMSQ($D$56:$D$75)=0,0,'TO HOP'!$G$129*$D61/SUMSQ($D$56:$D$75)))/9.81))</f>
        <v>442.80678844083849</v>
      </c>
      <c r="AB85" s="8">
        <f>IF($B85="",0,IF(USE_TSPILE=1,AB158,('TO HOP'!$E$130/ncoc+IF(SUMSQ($E$56:$E$75)=0,0,'TO HOP'!$F$130*$E61/SUMSQ($E$56:$E$75))+IF(SUMSQ($D$56:$D$75)=0,0,'TO HOP'!$G$130*$D61/SUMSQ($D$56:$D$75)))/9.81))</f>
        <v>460.40252052438484</v>
      </c>
      <c r="AC85" s="8">
        <f>IF($B85="",0,IF(USE_TSPILE=1,AC158,('TO HOP'!$E$131/ncoc+IF(SUMSQ($E$56:$E$75)=0,0,'TO HOP'!$F$131*$E61/SUMSQ($E$56:$E$75))+IF(SUMSQ($D$56:$D$75)=0,0,'TO HOP'!$G$131*$D61/SUMSQ($D$56:$D$75)))/9.81))</f>
        <v>467.89475127615367</v>
      </c>
      <c r="AD85" s="8">
        <f>IF($B85="",0,IF(USE_TSPILE=1,AD158,('TO HOP'!$E$132/ncoc+IF(SUMSQ($E$56:$E$75)=0,0,'TO HOP'!$F$132*$E61/SUMSQ($E$56:$E$75))+IF(SUMSQ($D$56:$D$75)=0,0,'TO HOP'!$G$132*$D61/SUMSQ($D$56:$D$75)))/9.81))</f>
        <v>462.12060031783972</v>
      </c>
      <c r="AE85" s="8">
        <f>IF($B85="",0,IF(USE_TSPILE=1,AE158,('TO HOP'!$E$133/ncoc+IF(SUMSQ($E$56:$E$75)=0,0,'TO HOP'!$F$133*$E61/SUMSQ($E$56:$E$75))+IF(SUMSQ($D$56:$D$75)=0,0,'TO HOP'!$G$133*$D61/SUMSQ($D$56:$D$75)))/9.81))</f>
        <v>466.87377882469616</v>
      </c>
      <c r="AF85" s="8">
        <f>IF($B85="",0,IF(USE_TSPILE=1,AF158,('TO HOP'!$E$134/ncoc+IF(SUMSQ($E$56:$E$75)=0,0,'TO HOP'!$F$134*$E61/SUMSQ($E$56:$E$75))+IF(SUMSQ($D$56:$D$75)=0,0,'TO HOP'!$G$134*$D61/SUMSQ($D$56:$D$75)))/9.81))</f>
        <v>468.15664685481613</v>
      </c>
      <c r="AG85" s="8">
        <f>IF($B85="",0,IF(USE_TSPILE=1,AG158,('TO HOP'!$E$135/ncoc+IF(SUMSQ($E$56:$E$75)=0,0,'TO HOP'!$F$135*$E61/SUMSQ($E$56:$E$75))+IF(SUMSQ($D$56:$D$75)=0,0,'TO HOP'!$G$135*$D61/SUMSQ($D$56:$D$75)))/9.81))</f>
        <v>530.34029068212453</v>
      </c>
      <c r="AH85" s="8">
        <f>IF($B85="",0,IF(USE_TSPILE=1,AH158,('TO HOP'!$E$136/ncoc+IF(SUMSQ($E$56:$E$75)=0,0,'TO HOP'!$F$136*$E61/SUMSQ($E$56:$E$75))+IF(SUMSQ($D$56:$D$75)=0,0,'TO HOP'!$G$136*$D61/SUMSQ($D$56:$D$75)))/9.81))</f>
        <v>357.10177808213916</v>
      </c>
      <c r="AI85" s="8">
        <f>IF($B85="",0,IF(USE_TSPILE=1,AI158,('TO HOP'!$E$137/ncoc+IF(SUMSQ($E$56:$E$75)=0,0,'TO HOP'!$F$137*$E61/SUMSQ($E$56:$E$75))+IF(SUMSQ($D$56:$D$75)=0,0,'TO HOP'!$G$137*$D61/SUMSQ($D$56:$D$75)))/9.81))</f>
        <v>599.34837970664626</v>
      </c>
      <c r="AJ85" s="8">
        <f>IF($B85="",0,IF(USE_TSPILE=1,AJ158,('TO HOP'!$E$138/ncoc+IF(SUMSQ($E$56:$E$75)=0,0,'TO HOP'!$F$138*$E61/SUMSQ($E$56:$E$75))+IF(SUMSQ($D$56:$D$75)=0,0,'TO HOP'!$G$138*$D61/SUMSQ($D$56:$D$75)))/9.81))</f>
        <v>612.92223017109654</v>
      </c>
      <c r="AK85" s="8">
        <f>IF($B85="",0,IF(USE_TSPILE=1,AK158,('TO HOP'!$E$139/ncoc+IF(SUMSQ($E$56:$E$75)=0,0,'TO HOP'!$F$139*$E61/SUMSQ($E$56:$E$75))+IF(SUMSQ($D$56:$D$75)=0,0,'TO HOP'!$G$139*$D61/SUMSQ($D$56:$D$75)))/9.81))</f>
        <v>618.70195103674678</v>
      </c>
      <c r="AL85" s="8">
        <f>IF($B85="",0,IF(USE_TSPILE=1,AL158,('TO HOP'!$E$140/ncoc+IF(SUMSQ($E$56:$E$75)=0,0,'TO HOP'!$F$140*$E61/SUMSQ($E$56:$E$75))+IF(SUMSQ($D$56:$D$75)=0,0,'TO HOP'!$G$140*$D61/SUMSQ($D$56:$D$75)))/9.81))</f>
        <v>614.24760601176172</v>
      </c>
      <c r="AM85" s="8">
        <f>IF($B85="",0,IF(USE_TSPILE=1,AM158,('TO HOP'!$E$141/ncoc+IF(SUMSQ($E$56:$E$75)=0,0,'TO HOP'!$F$141*$E61/SUMSQ($E$56:$E$75))+IF(SUMSQ($D$56:$D$75)=0,0,'TO HOP'!$G$141*$D61/SUMSQ($D$56:$D$75)))/9.81))</f>
        <v>617.91434371705088</v>
      </c>
      <c r="AN85" s="8">
        <f>IF($B85="",0,IF(USE_TSPILE=1,AN158,('TO HOP'!$E$142/ncoc+IF(SUMSQ($E$56:$E$75)=0,0,'TO HOP'!$F$142*$E61/SUMSQ($E$56:$E$75))+IF(SUMSQ($D$56:$D$75)=0,0,'TO HOP'!$G$142*$D61/SUMSQ($D$56:$D$75)))/9.81))</f>
        <v>618.90398476885775</v>
      </c>
      <c r="AO85" s="8">
        <f>IF($B85="",0,IF(USE_TSPILE=1,AO158,('TO HOP'!$E$143/ncoc+IF(SUMSQ($E$56:$E$75)=0,0,'TO HOP'!$F$143*$E61/SUMSQ($E$56:$E$75))+IF(SUMSQ($D$56:$D$75)=0,0,'TO HOP'!$G$143*$D61/SUMSQ($D$56:$D$75)))/9.81))</f>
        <v>426.109867106661</v>
      </c>
      <c r="AP85" s="8">
        <f>IF($B85="",0,IF(USE_TSPILE=1,AP158,('TO HOP'!$E$144/ncoc+IF(SUMSQ($E$56:$E$75)=0,0,'TO HOP'!$F$144*$E61/SUMSQ($E$56:$E$75))+IF(SUMSQ($D$56:$D$75)=0,0,'TO HOP'!$G$144*$D61/SUMSQ($D$56:$D$75)))/9.81))</f>
        <v>439.68371757111117</v>
      </c>
      <c r="AQ85" s="8">
        <f>IF($B85="",0,IF(USE_TSPILE=1,AQ158,('TO HOP'!$E$145/ncoc+IF(SUMSQ($E$56:$E$75)=0,0,'TO HOP'!$F$145*$E61/SUMSQ($E$56:$E$75))+IF(SUMSQ($D$56:$D$75)=0,0,'TO HOP'!$G$145*$D61/SUMSQ($D$56:$D$75)))/9.81))</f>
        <v>445.46343843676135</v>
      </c>
      <c r="AR85" s="8">
        <f>IF($B85="",0,IF(USE_TSPILE=1,AR158,('TO HOP'!$E$146/ncoc+IF(SUMSQ($E$56:$E$75)=0,0,'TO HOP'!$F$146*$E61/SUMSQ($E$56:$E$75))+IF(SUMSQ($D$56:$D$75)=0,0,'TO HOP'!$G$146*$D61/SUMSQ($D$56:$D$75)))/9.81))</f>
        <v>441.00909341177635</v>
      </c>
      <c r="AS85" s="8">
        <f>IF($B85="",0,IF(USE_TSPILE=1,AS158,('TO HOP'!$E$147/ncoc+IF(SUMSQ($E$56:$E$75)=0,0,'TO HOP'!$F$147*$E61/SUMSQ($E$56:$E$75))+IF(SUMSQ($D$56:$D$75)=0,0,'TO HOP'!$G$147*$D61/SUMSQ($D$56:$D$75)))/9.81))</f>
        <v>444.67583111706551</v>
      </c>
      <c r="AT85" s="8">
        <f>IF($B85="",0,IF(USE_TSPILE=1,AT158,('TO HOP'!$E$148/ncoc+IF(SUMSQ($E$56:$E$75)=0,0,'TO HOP'!$F$148*$E61/SUMSQ($E$56:$E$75))+IF(SUMSQ($D$56:$D$75)=0,0,'TO HOP'!$G$148*$D61/SUMSQ($D$56:$D$75)))/9.81))</f>
        <v>445.66547216887244</v>
      </c>
      <c r="AU85" s="8">
        <f>IF($B85="",0,IF(USE_TSPILE=1,AU158,('TO HOP'!$E$149/ncoc+IF(SUMSQ($E$56:$E$75)=0,0,'TO HOP'!$F$149*$E61/SUMSQ($E$56:$E$75))+IF(SUMSQ($D$56:$D$75)=0,0,'TO HOP'!$G$149*$D61/SUMSQ($D$56:$D$75)))/9.81))</f>
        <v>640.51046337556727</v>
      </c>
      <c r="AV85" s="8">
        <f>IF($B85="",0,IF(USE_TSPILE=1,AV158,('TO HOP'!$E$150/ncoc+IF(SUMSQ($E$56:$E$75)=0,0,'TO HOP'!$F$150*$E61/SUMSQ($E$56:$E$75))+IF(SUMSQ($D$56:$D$75)=0,0,'TO HOP'!$G$150*$D61/SUMSQ($D$56:$D$75)))/9.81))</f>
        <v>522.58114377622246</v>
      </c>
    </row>
    <row r="86" spans="2:48" x14ac:dyDescent="0.3">
      <c r="B86" s="10">
        <f>IF(7&lt;=ncoc,7,"")</f>
        <v>7</v>
      </c>
      <c r="C86" s="8">
        <f>IF($B86="",0,IF(USE_TSPILE=1,C159,('TO HOP'!$E$105/ncoc+IF(SUMSQ($E$56:$E$75)=0,0,'TO HOP'!$F$105*$E62/SUMSQ($E$56:$E$75))+IF(SUMSQ($D$56:$D$75)=0,0,'TO HOP'!$G$105*$D62/SUMSQ($D$56:$D$75)))/9.81))</f>
        <v>440.79398953643783</v>
      </c>
      <c r="D86" s="8">
        <f>IF($B86="",0,IF(USE_TSPILE=1,D159,('TO HOP'!$E$106/ncoc+IF(SUMSQ($E$56:$E$75)=0,0,'TO HOP'!$F$106*$E62/SUMSQ($E$56:$E$75))+IF(SUMSQ($D$56:$D$75)=0,0,'TO HOP'!$G$106*$D62/SUMSQ($D$56:$D$75)))/9.81))</f>
        <v>448.85548961805318</v>
      </c>
      <c r="E86" s="8">
        <f>IF($B86="",0,IF(USE_TSPILE=1,E159,('TO HOP'!$E$107/ncoc+IF(SUMSQ($E$56:$E$75)=0,0,'TO HOP'!$F$107*$E62/SUMSQ($E$56:$E$75))+IF(SUMSQ($D$56:$D$75)=0,0,'TO HOP'!$G$107*$D62/SUMSQ($D$56:$D$75)))/9.81))</f>
        <v>452.81897033364839</v>
      </c>
      <c r="F86" s="8">
        <f>IF($B86="",0,IF(USE_TSPILE=1,F159,('TO HOP'!$E$108/ncoc+IF(SUMSQ($E$56:$E$75)=0,0,'TO HOP'!$F$108*$E62/SUMSQ($E$56:$E$75))+IF(SUMSQ($D$56:$D$75)=0,0,'TO HOP'!$G$108*$D62/SUMSQ($D$56:$D$75)))/9.81))</f>
        <v>450.96605378696574</v>
      </c>
      <c r="G86" s="8">
        <f>IF($B86="",0,IF(USE_TSPILE=1,G159,('TO HOP'!$E$109/ncoc+IF(SUMSQ($E$56:$E$75)=0,0,'TO HOP'!$F$109*$E62/SUMSQ($E$56:$E$75))+IF(SUMSQ($D$56:$D$75)=0,0,'TO HOP'!$G$109*$D62/SUMSQ($D$56:$D$75)))/9.81))</f>
        <v>454.2440155823553</v>
      </c>
      <c r="H86" s="8">
        <f>IF($B86="",0,IF(USE_TSPILE=1,H159,('TO HOP'!$E$110/ncoc+IF(SUMSQ($E$56:$E$75)=0,0,'TO HOP'!$F$110*$E62/SUMSQ($E$56:$E$75))+IF(SUMSQ($D$56:$D$75)=0,0,'TO HOP'!$G$110*$D62/SUMSQ($D$56:$D$75)))/9.81))</f>
        <v>456.33215664286377</v>
      </c>
      <c r="I86" s="8">
        <f>IF($B86="",0,IF(USE_TSPILE=1,I159,('TO HOP'!$E$111/ncoc+IF(SUMSQ($E$56:$E$75)=0,0,'TO HOP'!$F$111*$E62/SUMSQ($E$56:$E$75))+IF(SUMSQ($D$56:$D$75)=0,0,'TO HOP'!$G$111*$D62/SUMSQ($D$56:$D$75)))/9.81))</f>
        <v>433.56354045523761</v>
      </c>
      <c r="J86" s="8">
        <f>IF($B86="",0,IF(USE_TSPILE=1,J159,('TO HOP'!$E$112/ncoc+IF(SUMSQ($E$56:$E$75)=0,0,'TO HOP'!$F$112*$E62/SUMSQ($E$56:$E$75))+IF(SUMSQ($D$56:$D$75)=0,0,'TO HOP'!$G$112*$D62/SUMSQ($D$56:$D$75)))/9.81))</f>
        <v>438.63523458766463</v>
      </c>
      <c r="K86" s="8">
        <f>IF($B86="",0,IF(USE_TSPILE=1,K159,('TO HOP'!$E$113/ncoc+IF(SUMSQ($E$56:$E$75)=0,0,'TO HOP'!$F$113*$E62/SUMSQ($E$56:$E$75))+IF(SUMSQ($D$56:$D$75)=0,0,'TO HOP'!$G$113*$D62/SUMSQ($D$56:$D$75)))/9.81))</f>
        <v>442.1220243037082</v>
      </c>
      <c r="L86" s="8">
        <f>IF($B86="",0,IF(USE_TSPILE=1,L159,('TO HOP'!$E$114/ncoc+IF(SUMSQ($E$56:$E$75)=0,0,'TO HOP'!$F$114*$E62/SUMSQ($E$56:$E$75))+IF(SUMSQ($D$56:$D$75)=0,0,'TO HOP'!$G$114*$D62/SUMSQ($D$56:$D$75)))/9.81))</f>
        <v>442.4390051869849</v>
      </c>
      <c r="M86" s="8">
        <f>IF($B86="",0,IF(USE_TSPILE=1,M159,('TO HOP'!$E$115/ncoc+IF(SUMSQ($E$56:$E$75)=0,0,'TO HOP'!$F$115*$E62/SUMSQ($E$56:$E$75))+IF(SUMSQ($D$56:$D$75)=0,0,'TO HOP'!$G$115*$D62/SUMSQ($D$56:$D$75)))/9.81))</f>
        <v>446.55975666958187</v>
      </c>
      <c r="N86" s="8">
        <f>IF($B86="",0,IF(USE_TSPILE=1,N159,('TO HOP'!$E$116/ncoc+IF(SUMSQ($E$56:$E$75)=0,0,'TO HOP'!$F$116*$E62/SUMSQ($E$56:$E$75))+IF(SUMSQ($D$56:$D$75)=0,0,'TO HOP'!$G$116*$D62/SUMSQ($D$56:$D$75)))/9.81))</f>
        <v>450.68050815217879</v>
      </c>
      <c r="O86" s="8">
        <f>IF($B86="",0,IF(USE_TSPILE=1,O159,('TO HOP'!$E$117/ncoc+IF(SUMSQ($E$56:$E$75)=0,0,'TO HOP'!$F$117*$E62/SUMSQ($E$56:$E$75))+IF(SUMSQ($D$56:$D$75)=0,0,'TO HOP'!$G$117*$D62/SUMSQ($D$56:$D$75)))/9.81))</f>
        <v>607.60977711275711</v>
      </c>
      <c r="P86" s="8">
        <f>IF($B86="",0,IF(USE_TSPILE=1,P159,('TO HOP'!$E$118/ncoc+IF(SUMSQ($E$56:$E$75)=0,0,'TO HOP'!$F$118*$E62/SUMSQ($E$56:$E$75))+IF(SUMSQ($D$56:$D$75)=0,0,'TO HOP'!$G$118*$D62/SUMSQ($D$56:$D$75)))/9.81))</f>
        <v>621.71740225558369</v>
      </c>
      <c r="Q86" s="8">
        <f>IF($B86="",0,IF(USE_TSPILE=1,Q159,('TO HOP'!$E$119/ncoc+IF(SUMSQ($E$56:$E$75)=0,0,'TO HOP'!$F$119*$E62/SUMSQ($E$56:$E$75))+IF(SUMSQ($D$56:$D$75)=0,0,'TO HOP'!$G$119*$D62/SUMSQ($D$56:$D$75)))/9.81))</f>
        <v>628.65349350787551</v>
      </c>
      <c r="R86" s="8">
        <f>IF($B86="",0,IF(USE_TSPILE=1,R159,('TO HOP'!$E$120/ncoc+IF(SUMSQ($E$56:$E$75)=0,0,'TO HOP'!$F$120*$E62/SUMSQ($E$56:$E$75))+IF(SUMSQ($D$56:$D$75)=0,0,'TO HOP'!$G$120*$D62/SUMSQ($D$56:$D$75)))/9.81))</f>
        <v>625.41088955118084</v>
      </c>
      <c r="S86" s="8">
        <f>IF($B86="",0,IF(USE_TSPILE=1,S159,('TO HOP'!$E$121/ncoc+IF(SUMSQ($E$56:$E$75)=0,0,'TO HOP'!$F$121*$E62/SUMSQ($E$56:$E$75))+IF(SUMSQ($D$56:$D$75)=0,0,'TO HOP'!$G$121*$D62/SUMSQ($D$56:$D$75)))/9.81))</f>
        <v>631.14732269311264</v>
      </c>
      <c r="T86" s="8">
        <f>IF($B86="",0,IF(USE_TSPILE=1,T159,('TO HOP'!$E$122/ncoc+IF(SUMSQ($E$56:$E$75)=0,0,'TO HOP'!$F$122*$E62/SUMSQ($E$56:$E$75))+IF(SUMSQ($D$56:$D$75)=0,0,'TO HOP'!$G$122*$D62/SUMSQ($D$56:$D$75)))/9.81))</f>
        <v>634.80156954900247</v>
      </c>
      <c r="U86" s="8">
        <f>IF($B86="",0,IF(USE_TSPILE=1,U159,('TO HOP'!$E$123/ncoc+IF(SUMSQ($E$56:$E$75)=0,0,'TO HOP'!$F$123*$E62/SUMSQ($E$56:$E$75))+IF(SUMSQ($D$56:$D$75)=0,0,'TO HOP'!$G$123*$D62/SUMSQ($D$56:$D$75)))/9.81))</f>
        <v>594.95649122065674</v>
      </c>
      <c r="V86" s="8">
        <f>IF($B86="",0,IF(USE_TSPILE=1,V159,('TO HOP'!$E$124/ncoc+IF(SUMSQ($E$56:$E$75)=0,0,'TO HOP'!$F$124*$E62/SUMSQ($E$56:$E$75))+IF(SUMSQ($D$56:$D$75)=0,0,'TO HOP'!$G$124*$D62/SUMSQ($D$56:$D$75)))/9.81))</f>
        <v>603.83195595240386</v>
      </c>
      <c r="W86" s="8">
        <f>IF($B86="",0,IF(USE_TSPILE=1,W159,('TO HOP'!$E$125/ncoc+IF(SUMSQ($E$56:$E$75)=0,0,'TO HOP'!$F$125*$E62/SUMSQ($E$56:$E$75))+IF(SUMSQ($D$56:$D$75)=0,0,'TO HOP'!$G$125*$D62/SUMSQ($D$56:$D$75)))/9.81))</f>
        <v>609.93383795548016</v>
      </c>
      <c r="X86" s="8">
        <f>IF($B86="",0,IF(USE_TSPILE=1,X159,('TO HOP'!$E$126/ncoc+IF(SUMSQ($E$56:$E$75)=0,0,'TO HOP'!$F$126*$E62/SUMSQ($E$56:$E$75))+IF(SUMSQ($D$56:$D$75)=0,0,'TO HOP'!$G$126*$D62/SUMSQ($D$56:$D$75)))/9.81))</f>
        <v>610.48855450121437</v>
      </c>
      <c r="Y86" s="8">
        <f>IF($B86="",0,IF(USE_TSPILE=1,Y159,('TO HOP'!$E$127/ncoc+IF(SUMSQ($E$56:$E$75)=0,0,'TO HOP'!$F$127*$E62/SUMSQ($E$56:$E$75))+IF(SUMSQ($D$56:$D$75)=0,0,'TO HOP'!$G$127*$D62/SUMSQ($D$56:$D$75)))/9.81))</f>
        <v>617.69986959575908</v>
      </c>
      <c r="Z86" s="8">
        <f>IF($B86="",0,IF(USE_TSPILE=1,Z159,('TO HOP'!$E$128/ncoc+IF(SUMSQ($E$56:$E$75)=0,0,'TO HOP'!$F$128*$E62/SUMSQ($E$56:$E$75))+IF(SUMSQ($D$56:$D$75)=0,0,'TO HOP'!$G$128*$D62/SUMSQ($D$56:$D$75)))/9.81))</f>
        <v>624.9111846903038</v>
      </c>
      <c r="AA86" s="8">
        <f>IF($B86="",0,IF(USE_TSPILE=1,AA159,('TO HOP'!$E$129/ncoc+IF(SUMSQ($E$56:$E$75)=0,0,'TO HOP'!$F$129*$E62/SUMSQ($E$56:$E$75))+IF(SUMSQ($D$56:$D$75)=0,0,'TO HOP'!$G$129*$D62/SUMSQ($D$56:$D$75)))/9.81))</f>
        <v>434.37126451277157</v>
      </c>
      <c r="AB86" s="8">
        <f>IF($B86="",0,IF(USE_TSPILE=1,AB159,('TO HOP'!$E$130/ncoc+IF(SUMSQ($E$56:$E$75)=0,0,'TO HOP'!$F$130*$E62/SUMSQ($E$56:$E$75))+IF(SUMSQ($D$56:$D$75)=0,0,'TO HOP'!$G$130*$D62/SUMSQ($D$56:$D$75)))/9.81))</f>
        <v>448.47888965559832</v>
      </c>
      <c r="AC86" s="8">
        <f>IF($B86="",0,IF(USE_TSPILE=1,AC159,('TO HOP'!$E$131/ncoc+IF(SUMSQ($E$56:$E$75)=0,0,'TO HOP'!$F$131*$E62/SUMSQ($E$56:$E$75))+IF(SUMSQ($D$56:$D$75)=0,0,'TO HOP'!$G$131*$D62/SUMSQ($D$56:$D$75)))/9.81))</f>
        <v>455.41498090789014</v>
      </c>
      <c r="AD86" s="8">
        <f>IF($B86="",0,IF(USE_TSPILE=1,AD159,('TO HOP'!$E$132/ncoc+IF(SUMSQ($E$56:$E$75)=0,0,'TO HOP'!$F$132*$E62/SUMSQ($E$56:$E$75))+IF(SUMSQ($D$56:$D$75)=0,0,'TO HOP'!$G$132*$D62/SUMSQ($D$56:$D$75)))/9.81))</f>
        <v>452.17237695119547</v>
      </c>
      <c r="AE86" s="8">
        <f>IF($B86="",0,IF(USE_TSPILE=1,AE159,('TO HOP'!$E$133/ncoc+IF(SUMSQ($E$56:$E$75)=0,0,'TO HOP'!$F$133*$E62/SUMSQ($E$56:$E$75))+IF(SUMSQ($D$56:$D$75)=0,0,'TO HOP'!$G$133*$D62/SUMSQ($D$56:$D$75)))/9.81))</f>
        <v>457.90881009312716</v>
      </c>
      <c r="AF86" s="8">
        <f>IF($B86="",0,IF(USE_TSPILE=1,AF159,('TO HOP'!$E$134/ncoc+IF(SUMSQ($E$56:$E$75)=0,0,'TO HOP'!$F$134*$E62/SUMSQ($E$56:$E$75))+IF(SUMSQ($D$56:$D$75)=0,0,'TO HOP'!$G$134*$D62/SUMSQ($D$56:$D$75)))/9.81))</f>
        <v>461.56305694901698</v>
      </c>
      <c r="AG86" s="8">
        <f>IF($B86="",0,IF(USE_TSPILE=1,AG159,('TO HOP'!$E$135/ncoc+IF(SUMSQ($E$56:$E$75)=0,0,'TO HOP'!$F$135*$E62/SUMSQ($E$56:$E$75))+IF(SUMSQ($D$56:$D$75)=0,0,'TO HOP'!$G$135*$D62/SUMSQ($D$56:$D$75)))/9.81))</f>
        <v>529.48201783916818</v>
      </c>
      <c r="AH86" s="8">
        <f>IF($B86="",0,IF(USE_TSPILE=1,AH159,('TO HOP'!$E$136/ncoc+IF(SUMSQ($E$56:$E$75)=0,0,'TO HOP'!$F$136*$E62/SUMSQ($E$56:$E$75))+IF(SUMSQ($D$56:$D$75)=0,0,'TO HOP'!$G$136*$D62/SUMSQ($D$56:$D$75)))/9.81))</f>
        <v>356.24350523918281</v>
      </c>
      <c r="AI86" s="8">
        <f>IF($B86="",0,IF(USE_TSPILE=1,AI159,('TO HOP'!$E$137/ncoc+IF(SUMSQ($E$56:$E$75)=0,0,'TO HOP'!$F$137*$E62/SUMSQ($E$56:$E$75))+IF(SUMSQ($D$56:$D$75)=0,0,'TO HOP'!$G$137*$D62/SUMSQ($D$56:$D$75)))/9.81))</f>
        <v>592.44244753029898</v>
      </c>
      <c r="AJ86" s="8">
        <f>IF($B86="",0,IF(USE_TSPILE=1,AJ159,('TO HOP'!$E$138/ncoc+IF(SUMSQ($E$56:$E$75)=0,0,'TO HOP'!$F$138*$E62/SUMSQ($E$56:$E$75))+IF(SUMSQ($D$56:$D$75)=0,0,'TO HOP'!$G$138*$D62/SUMSQ($D$56:$D$75)))/9.81))</f>
        <v>603.3254726404798</v>
      </c>
      <c r="AK86" s="8">
        <f>IF($B86="",0,IF(USE_TSPILE=1,AK159,('TO HOP'!$E$139/ncoc+IF(SUMSQ($E$56:$E$75)=0,0,'TO HOP'!$F$139*$E62/SUMSQ($E$56:$E$75))+IF(SUMSQ($D$56:$D$75)=0,0,'TO HOP'!$G$139*$D62/SUMSQ($D$56:$D$75)))/9.81))</f>
        <v>608.67617160653344</v>
      </c>
      <c r="AL86" s="8">
        <f>IF($B86="",0,IF(USE_TSPILE=1,AL159,('TO HOP'!$E$140/ncoc+IF(SUMSQ($E$56:$E$75)=0,0,'TO HOP'!$F$140*$E62/SUMSQ($E$56:$E$75))+IF(SUMSQ($D$56:$D$75)=0,0,'TO HOP'!$G$140*$D62/SUMSQ($D$56:$D$75)))/9.81))</f>
        <v>606.17473426851177</v>
      </c>
      <c r="AM86" s="8">
        <f>IF($B86="",0,IF(USE_TSPILE=1,AM159,('TO HOP'!$E$141/ncoc+IF(SUMSQ($E$56:$E$75)=0,0,'TO HOP'!$F$141*$E62/SUMSQ($E$56:$E$75))+IF(SUMSQ($D$56:$D$75)=0,0,'TO HOP'!$G$141*$D62/SUMSQ($D$56:$D$75)))/9.81))</f>
        <v>610.59998269228765</v>
      </c>
      <c r="AN86" s="8">
        <f>IF($B86="",0,IF(USE_TSPILE=1,AN159,('TO HOP'!$E$142/ncoc+IF(SUMSQ($E$56:$E$75)=0,0,'TO HOP'!$F$142*$E62/SUMSQ($E$56:$E$75))+IF(SUMSQ($D$56:$D$75)=0,0,'TO HOP'!$G$142*$D62/SUMSQ($D$56:$D$75)))/9.81))</f>
        <v>613.41897312397418</v>
      </c>
      <c r="AO86" s="8">
        <f>IF($B86="",0,IF(USE_TSPILE=1,AO159,('TO HOP'!$E$143/ncoc+IF(SUMSQ($E$56:$E$75)=0,0,'TO HOP'!$F$143*$E62/SUMSQ($E$56:$E$75))+IF(SUMSQ($D$56:$D$75)=0,0,'TO HOP'!$G$143*$D62/SUMSQ($D$56:$D$75)))/9.81))</f>
        <v>419.20393493031372</v>
      </c>
      <c r="AP86" s="8">
        <f>IF($B86="",0,IF(USE_TSPILE=1,AP159,('TO HOP'!$E$144/ncoc+IF(SUMSQ($E$56:$E$75)=0,0,'TO HOP'!$F$144*$E62/SUMSQ($E$56:$E$75))+IF(SUMSQ($D$56:$D$75)=0,0,'TO HOP'!$G$144*$D62/SUMSQ($D$56:$D$75)))/9.81))</f>
        <v>430.08696004049443</v>
      </c>
      <c r="AQ86" s="8">
        <f>IF($B86="",0,IF(USE_TSPILE=1,AQ159,('TO HOP'!$E$145/ncoc+IF(SUMSQ($E$56:$E$75)=0,0,'TO HOP'!$F$145*$E62/SUMSQ($E$56:$E$75))+IF(SUMSQ($D$56:$D$75)=0,0,'TO HOP'!$G$145*$D62/SUMSQ($D$56:$D$75)))/9.81))</f>
        <v>435.43765900654807</v>
      </c>
      <c r="AR86" s="8">
        <f>IF($B86="",0,IF(USE_TSPILE=1,AR159,('TO HOP'!$E$146/ncoc+IF(SUMSQ($E$56:$E$75)=0,0,'TO HOP'!$F$146*$E62/SUMSQ($E$56:$E$75))+IF(SUMSQ($D$56:$D$75)=0,0,'TO HOP'!$G$146*$D62/SUMSQ($D$56:$D$75)))/9.81))</f>
        <v>432.93622166852651</v>
      </c>
      <c r="AS86" s="8">
        <f>IF($B86="",0,IF(USE_TSPILE=1,AS159,('TO HOP'!$E$147/ncoc+IF(SUMSQ($E$56:$E$75)=0,0,'TO HOP'!$F$147*$E62/SUMSQ($E$56:$E$75))+IF(SUMSQ($D$56:$D$75)=0,0,'TO HOP'!$G$147*$D62/SUMSQ($D$56:$D$75)))/9.81))</f>
        <v>437.36147009230228</v>
      </c>
      <c r="AT86" s="8">
        <f>IF($B86="",0,IF(USE_TSPILE=1,AT159,('TO HOP'!$E$148/ncoc+IF(SUMSQ($E$56:$E$75)=0,0,'TO HOP'!$F$148*$E62/SUMSQ($E$56:$E$75))+IF(SUMSQ($D$56:$D$75)=0,0,'TO HOP'!$G$148*$D62/SUMSQ($D$56:$D$75)))/9.81))</f>
        <v>440.18046052398887</v>
      </c>
      <c r="AU86" s="8">
        <f>IF($B86="",0,IF(USE_TSPILE=1,AU159,('TO HOP'!$E$149/ncoc+IF(SUMSQ($E$56:$E$75)=0,0,'TO HOP'!$F$149*$E62/SUMSQ($E$56:$E$75))+IF(SUMSQ($D$56:$D$75)=0,0,'TO HOP'!$G$149*$D62/SUMSQ($D$56:$D$75)))/9.81))</f>
        <v>635.50837264538723</v>
      </c>
      <c r="AV86" s="8">
        <f>IF($B86="",0,IF(USE_TSPILE=1,AV159,('TO HOP'!$E$150/ncoc+IF(SUMSQ($E$56:$E$75)=0,0,'TO HOP'!$F$150*$E62/SUMSQ($E$56:$E$75))+IF(SUMSQ($D$56:$D$75)=0,0,'TO HOP'!$G$150*$D62/SUMSQ($D$56:$D$75)))/9.81))</f>
        <v>514.69896121668751</v>
      </c>
    </row>
    <row r="87" spans="2:48" x14ac:dyDescent="0.3">
      <c r="B87" s="10">
        <f>IF(8&lt;=ncoc,8,"")</f>
        <v>8</v>
      </c>
      <c r="C87" s="8">
        <f>IF($B87="",0,IF(USE_TSPILE=1,C160,('TO HOP'!$E$105/ncoc+IF(SUMSQ($E$56:$E$75)=0,0,'TO HOP'!$F$105*$E63/SUMSQ($E$56:$E$75))+IF(SUMSQ($D$56:$D$75)=0,0,'TO HOP'!$G$105*$D63/SUMSQ($D$56:$D$75)))/9.81))</f>
        <v>435.63635053153524</v>
      </c>
      <c r="D87" s="8">
        <f>IF($B87="",0,IF(USE_TSPILE=1,D160,('TO HOP'!$E$106/ncoc+IF(SUMSQ($E$56:$E$75)=0,0,'TO HOP'!$F$106*$E63/SUMSQ($E$56:$E$75))+IF(SUMSQ($D$56:$D$75)=0,0,'TO HOP'!$G$106*$D63/SUMSQ($D$56:$D$75)))/9.81))</f>
        <v>441.70464664702502</v>
      </c>
      <c r="E87" s="8">
        <f>IF($B87="",0,IF(USE_TSPILE=1,E160,('TO HOP'!$E$107/ncoc+IF(SUMSQ($E$56:$E$75)=0,0,'TO HOP'!$F$107*$E63/SUMSQ($E$56:$E$75))+IF(SUMSQ($D$56:$D$75)=0,0,'TO HOP'!$G$107*$D63/SUMSQ($D$56:$D$75)))/9.81))</f>
        <v>445.35033336291917</v>
      </c>
      <c r="F87" s="8">
        <f>IF($B87="",0,IF(USE_TSPILE=1,F160,('TO HOP'!$E$108/ncoc+IF(SUMSQ($E$56:$E$75)=0,0,'TO HOP'!$F$108*$E63/SUMSQ($E$56:$E$75))+IF(SUMSQ($D$56:$D$75)=0,0,'TO HOP'!$G$108*$D63/SUMSQ($D$56:$D$75)))/9.81))</f>
        <v>444.94401510287616</v>
      </c>
      <c r="G87" s="8">
        <f>IF($B87="",0,IF(USE_TSPILE=1,G160,('TO HOP'!$E$109/ncoc+IF(SUMSQ($E$56:$E$75)=0,0,'TO HOP'!$F$109*$E63/SUMSQ($E$56:$E$75))+IF(SUMSQ($D$56:$D$75)=0,0,'TO HOP'!$G$109*$D63/SUMSQ($D$56:$D$75)))/9.81))</f>
        <v>448.78383668973726</v>
      </c>
      <c r="H87" s="8">
        <f>IF($B87="",0,IF(USE_TSPILE=1,H160,('TO HOP'!$E$110/ncoc+IF(SUMSQ($E$56:$E$75)=0,0,'TO HOP'!$F$110*$E63/SUMSQ($E$56:$E$75))+IF(SUMSQ($D$56:$D$75)=0,0,'TO HOP'!$G$110*$D63/SUMSQ($D$56:$D$75)))/9.81))</f>
        <v>452.22705136497137</v>
      </c>
      <c r="I87" s="8">
        <f>IF($B87="",0,IF(USE_TSPILE=1,I160,('TO HOP'!$E$111/ncoc+IF(SUMSQ($E$56:$E$75)=0,0,'TO HOP'!$F$111*$E63/SUMSQ($E$56:$E$75))+IF(SUMSQ($D$56:$D$75)=0,0,'TO HOP'!$G$111*$D63/SUMSQ($D$56:$D$75)))/9.81))</f>
        <v>433.22620083780185</v>
      </c>
      <c r="J87" s="8">
        <f>IF($B87="",0,IF(USE_TSPILE=1,J160,('TO HOP'!$E$112/ncoc+IF(SUMSQ($E$56:$E$75)=0,0,'TO HOP'!$F$112*$E63/SUMSQ($E$56:$E$75))+IF(SUMSQ($D$56:$D$75)=0,0,'TO HOP'!$G$112*$D63/SUMSQ($D$56:$D$75)))/9.81))</f>
        <v>438.29789497022887</v>
      </c>
      <c r="K87" s="8">
        <f>IF($B87="",0,IF(USE_TSPILE=1,K160,('TO HOP'!$E$113/ncoc+IF(SUMSQ($E$56:$E$75)=0,0,'TO HOP'!$F$113*$E63/SUMSQ($E$56:$E$75))+IF(SUMSQ($D$56:$D$75)=0,0,'TO HOP'!$G$113*$D63/SUMSQ($D$56:$D$75)))/9.81))</f>
        <v>441.78468468627244</v>
      </c>
      <c r="L87" s="8">
        <f>IF($B87="",0,IF(USE_TSPILE=1,L160,('TO HOP'!$E$114/ncoc+IF(SUMSQ($E$56:$E$75)=0,0,'TO HOP'!$F$114*$E63/SUMSQ($E$56:$E$75))+IF(SUMSQ($D$56:$D$75)=0,0,'TO HOP'!$G$114*$D63/SUMSQ($D$56:$D$75)))/9.81))</f>
        <v>442.10166556954914</v>
      </c>
      <c r="M87" s="8">
        <f>IF($B87="",0,IF(USE_TSPILE=1,M160,('TO HOP'!$E$115/ncoc+IF(SUMSQ($E$56:$E$75)=0,0,'TO HOP'!$F$115*$E63/SUMSQ($E$56:$E$75))+IF(SUMSQ($D$56:$D$75)=0,0,'TO HOP'!$G$115*$D63/SUMSQ($D$56:$D$75)))/9.81))</f>
        <v>446.22241705214611</v>
      </c>
      <c r="N87" s="8">
        <f>IF($B87="",0,IF(USE_TSPILE=1,N160,('TO HOP'!$E$116/ncoc+IF(SUMSQ($E$56:$E$75)=0,0,'TO HOP'!$F$116*$E63/SUMSQ($E$56:$E$75))+IF(SUMSQ($D$56:$D$75)=0,0,'TO HOP'!$G$116*$D63/SUMSQ($D$56:$D$75)))/9.81))</f>
        <v>450.34316853474303</v>
      </c>
      <c r="O87" s="8">
        <f>IF($B87="",0,IF(USE_TSPILE=1,O160,('TO HOP'!$E$117/ncoc+IF(SUMSQ($E$56:$E$75)=0,0,'TO HOP'!$F$117*$E63/SUMSQ($E$56:$E$75))+IF(SUMSQ($D$56:$D$75)=0,0,'TO HOP'!$G$117*$D63/SUMSQ($D$56:$D$75)))/9.81))</f>
        <v>599.1742531846902</v>
      </c>
      <c r="P87" s="8">
        <f>IF($B87="",0,IF(USE_TSPILE=1,P160,('TO HOP'!$E$118/ncoc+IF(SUMSQ($E$56:$E$75)=0,0,'TO HOP'!$F$118*$E63/SUMSQ($E$56:$E$75))+IF(SUMSQ($D$56:$D$75)=0,0,'TO HOP'!$G$118*$D63/SUMSQ($D$56:$D$75)))/9.81))</f>
        <v>609.79377138679706</v>
      </c>
      <c r="Q87" s="8">
        <f>IF($B87="",0,IF(USE_TSPILE=1,Q160,('TO HOP'!$E$119/ncoc+IF(SUMSQ($E$56:$E$75)=0,0,'TO HOP'!$F$119*$E63/SUMSQ($E$56:$E$75))+IF(SUMSQ($D$56:$D$75)=0,0,'TO HOP'!$G$119*$D63/SUMSQ($D$56:$D$75)))/9.81))</f>
        <v>616.17372313961187</v>
      </c>
      <c r="R87" s="8">
        <f>IF($B87="",0,IF(USE_TSPILE=1,R160,('TO HOP'!$E$120/ncoc+IF(SUMSQ($E$56:$E$75)=0,0,'TO HOP'!$F$120*$E63/SUMSQ($E$56:$E$75))+IF(SUMSQ($D$56:$D$75)=0,0,'TO HOP'!$G$120*$D63/SUMSQ($D$56:$D$75)))/9.81))</f>
        <v>615.4626661845366</v>
      </c>
      <c r="S87" s="8">
        <f>IF($B87="",0,IF(USE_TSPILE=1,S160,('TO HOP'!$E$121/ncoc+IF(SUMSQ($E$56:$E$75)=0,0,'TO HOP'!$F$121*$E63/SUMSQ($E$56:$E$75))+IF(SUMSQ($D$56:$D$75)=0,0,'TO HOP'!$G$121*$D63/SUMSQ($D$56:$D$75)))/9.81))</f>
        <v>622.18235396154364</v>
      </c>
      <c r="T87" s="8">
        <f>IF($B87="",0,IF(USE_TSPILE=1,T160,('TO HOP'!$E$122/ncoc+IF(SUMSQ($E$56:$E$75)=0,0,'TO HOP'!$F$122*$E63/SUMSQ($E$56:$E$75))+IF(SUMSQ($D$56:$D$75)=0,0,'TO HOP'!$G$122*$D63/SUMSQ($D$56:$D$75)))/9.81))</f>
        <v>628.20797964320332</v>
      </c>
      <c r="U87" s="8">
        <f>IF($B87="",0,IF(USE_TSPILE=1,U160,('TO HOP'!$E$123/ncoc+IF(SUMSQ($E$56:$E$75)=0,0,'TO HOP'!$F$123*$E63/SUMSQ($E$56:$E$75))+IF(SUMSQ($D$56:$D$75)=0,0,'TO HOP'!$G$123*$D63/SUMSQ($D$56:$D$75)))/9.81))</f>
        <v>594.95649122065674</v>
      </c>
      <c r="V87" s="8">
        <f>IF($B87="",0,IF(USE_TSPILE=1,V160,('TO HOP'!$E$124/ncoc+IF(SUMSQ($E$56:$E$75)=0,0,'TO HOP'!$F$124*$E63/SUMSQ($E$56:$E$75))+IF(SUMSQ($D$56:$D$75)=0,0,'TO HOP'!$G$124*$D63/SUMSQ($D$56:$D$75)))/9.81))</f>
        <v>603.83195595240386</v>
      </c>
      <c r="W87" s="8">
        <f>IF($B87="",0,IF(USE_TSPILE=1,W160,('TO HOP'!$E$125/ncoc+IF(SUMSQ($E$56:$E$75)=0,0,'TO HOP'!$F$125*$E63/SUMSQ($E$56:$E$75))+IF(SUMSQ($D$56:$D$75)=0,0,'TO HOP'!$G$125*$D63/SUMSQ($D$56:$D$75)))/9.81))</f>
        <v>609.93383795548016</v>
      </c>
      <c r="X87" s="8">
        <f>IF($B87="",0,IF(USE_TSPILE=1,X160,('TO HOP'!$E$126/ncoc+IF(SUMSQ($E$56:$E$75)=0,0,'TO HOP'!$F$126*$E63/SUMSQ($E$56:$E$75))+IF(SUMSQ($D$56:$D$75)=0,0,'TO HOP'!$G$126*$D63/SUMSQ($D$56:$D$75)))/9.81))</f>
        <v>610.48855450121437</v>
      </c>
      <c r="Y87" s="8">
        <f>IF($B87="",0,IF(USE_TSPILE=1,Y160,('TO HOP'!$E$127/ncoc+IF(SUMSQ($E$56:$E$75)=0,0,'TO HOP'!$F$127*$E63/SUMSQ($E$56:$E$75))+IF(SUMSQ($D$56:$D$75)=0,0,'TO HOP'!$G$127*$D63/SUMSQ($D$56:$D$75)))/9.81))</f>
        <v>617.69986959575908</v>
      </c>
      <c r="Z87" s="8">
        <f>IF($B87="",0,IF(USE_TSPILE=1,Z160,('TO HOP'!$E$128/ncoc+IF(SUMSQ($E$56:$E$75)=0,0,'TO HOP'!$F$128*$E63/SUMSQ($E$56:$E$75))+IF(SUMSQ($D$56:$D$75)=0,0,'TO HOP'!$G$128*$D63/SUMSQ($D$56:$D$75)))/9.81))</f>
        <v>624.9111846903038</v>
      </c>
      <c r="AA87" s="8">
        <f>IF($B87="",0,IF(USE_TSPILE=1,AA160,('TO HOP'!$E$129/ncoc+IF(SUMSQ($E$56:$E$75)=0,0,'TO HOP'!$F$129*$E63/SUMSQ($E$56:$E$75))+IF(SUMSQ($D$56:$D$75)=0,0,'TO HOP'!$G$129*$D63/SUMSQ($D$56:$D$75)))/9.81))</f>
        <v>425.93574058470466</v>
      </c>
      <c r="AB87" s="8">
        <f>IF($B87="",0,IF(USE_TSPILE=1,AB160,('TO HOP'!$E$130/ncoc+IF(SUMSQ($E$56:$E$75)=0,0,'TO HOP'!$F$130*$E63/SUMSQ($E$56:$E$75))+IF(SUMSQ($D$56:$D$75)=0,0,'TO HOP'!$G$130*$D63/SUMSQ($D$56:$D$75)))/9.81))</f>
        <v>436.55525878681169</v>
      </c>
      <c r="AC87" s="8">
        <f>IF($B87="",0,IF(USE_TSPILE=1,AC160,('TO HOP'!$E$131/ncoc+IF(SUMSQ($E$56:$E$75)=0,0,'TO HOP'!$F$131*$E63/SUMSQ($E$56:$E$75))+IF(SUMSQ($D$56:$D$75)=0,0,'TO HOP'!$G$131*$D63/SUMSQ($D$56:$D$75)))/9.81))</f>
        <v>442.93521053962661</v>
      </c>
      <c r="AD87" s="8">
        <f>IF($B87="",0,IF(USE_TSPILE=1,AD160,('TO HOP'!$E$132/ncoc+IF(SUMSQ($E$56:$E$75)=0,0,'TO HOP'!$F$132*$E63/SUMSQ($E$56:$E$75))+IF(SUMSQ($D$56:$D$75)=0,0,'TO HOP'!$G$132*$D63/SUMSQ($D$56:$D$75)))/9.81))</f>
        <v>442.22415358455112</v>
      </c>
      <c r="AE87" s="8">
        <f>IF($B87="",0,IF(USE_TSPILE=1,AE160,('TO HOP'!$E$133/ncoc+IF(SUMSQ($E$56:$E$75)=0,0,'TO HOP'!$F$133*$E63/SUMSQ($E$56:$E$75))+IF(SUMSQ($D$56:$D$75)=0,0,'TO HOP'!$G$133*$D63/SUMSQ($D$56:$D$75)))/9.81))</f>
        <v>448.94384136155816</v>
      </c>
      <c r="AF87" s="8">
        <f>IF($B87="",0,IF(USE_TSPILE=1,AF160,('TO HOP'!$E$134/ncoc+IF(SUMSQ($E$56:$E$75)=0,0,'TO HOP'!$F$134*$E63/SUMSQ($E$56:$E$75))+IF(SUMSQ($D$56:$D$75)=0,0,'TO HOP'!$G$134*$D63/SUMSQ($D$56:$D$75)))/9.81))</f>
        <v>454.96946704321783</v>
      </c>
      <c r="AG87" s="8">
        <f>IF($B87="",0,IF(USE_TSPILE=1,AG160,('TO HOP'!$E$135/ncoc+IF(SUMSQ($E$56:$E$75)=0,0,'TO HOP'!$F$135*$E63/SUMSQ($E$56:$E$75))+IF(SUMSQ($D$56:$D$75)=0,0,'TO HOP'!$G$135*$D63/SUMSQ($D$56:$D$75)))/9.81))</f>
        <v>528.62374499621194</v>
      </c>
      <c r="AH87" s="8">
        <f>IF($B87="",0,IF(USE_TSPILE=1,AH160,('TO HOP'!$E$136/ncoc+IF(SUMSQ($E$56:$E$75)=0,0,'TO HOP'!$F$136*$E63/SUMSQ($E$56:$E$75))+IF(SUMSQ($D$56:$D$75)=0,0,'TO HOP'!$G$136*$D63/SUMSQ($D$56:$D$75)))/9.81))</f>
        <v>355.38523239622657</v>
      </c>
      <c r="AI87" s="8">
        <f>IF($B87="",0,IF(USE_TSPILE=1,AI160,('TO HOP'!$E$137/ncoc+IF(SUMSQ($E$56:$E$75)=0,0,'TO HOP'!$F$137*$E63/SUMSQ($E$56:$E$75))+IF(SUMSQ($D$56:$D$75)=0,0,'TO HOP'!$G$137*$D63/SUMSQ($D$56:$D$75)))/9.81))</f>
        <v>585.5365153539517</v>
      </c>
      <c r="AJ87" s="8">
        <f>IF($B87="",0,IF(USE_TSPILE=1,AJ160,('TO HOP'!$E$138/ncoc+IF(SUMSQ($E$56:$E$75)=0,0,'TO HOP'!$F$138*$E63/SUMSQ($E$56:$E$75))+IF(SUMSQ($D$56:$D$75)=0,0,'TO HOP'!$G$138*$D63/SUMSQ($D$56:$D$75)))/9.81))</f>
        <v>593.72871510986306</v>
      </c>
      <c r="AK87" s="8">
        <f>IF($B87="",0,IF(USE_TSPILE=1,AK160,('TO HOP'!$E$139/ncoc+IF(SUMSQ($E$56:$E$75)=0,0,'TO HOP'!$F$139*$E63/SUMSQ($E$56:$E$75))+IF(SUMSQ($D$56:$D$75)=0,0,'TO HOP'!$G$139*$D63/SUMSQ($D$56:$D$75)))/9.81))</f>
        <v>598.65039217632011</v>
      </c>
      <c r="AL87" s="8">
        <f>IF($B87="",0,IF(USE_TSPILE=1,AL160,('TO HOP'!$E$140/ncoc+IF(SUMSQ($E$56:$E$75)=0,0,'TO HOP'!$F$140*$E63/SUMSQ($E$56:$E$75))+IF(SUMSQ($D$56:$D$75)=0,0,'TO HOP'!$G$140*$D63/SUMSQ($D$56:$D$75)))/9.81))</f>
        <v>598.10186252526182</v>
      </c>
      <c r="AM87" s="8">
        <f>IF($B87="",0,IF(USE_TSPILE=1,AM160,('TO HOP'!$E$141/ncoc+IF(SUMSQ($E$56:$E$75)=0,0,'TO HOP'!$F$141*$E63/SUMSQ($E$56:$E$75))+IF(SUMSQ($D$56:$D$75)=0,0,'TO HOP'!$G$141*$D63/SUMSQ($D$56:$D$75)))/9.81))</f>
        <v>603.28562166752442</v>
      </c>
      <c r="AN87" s="8">
        <f>IF($B87="",0,IF(USE_TSPILE=1,AN160,('TO HOP'!$E$142/ncoc+IF(SUMSQ($E$56:$E$75)=0,0,'TO HOP'!$F$142*$E63/SUMSQ($E$56:$E$75))+IF(SUMSQ($D$56:$D$75)=0,0,'TO HOP'!$G$142*$D63/SUMSQ($D$56:$D$75)))/9.81))</f>
        <v>607.93396147909061</v>
      </c>
      <c r="AO87" s="8">
        <f>IF($B87="",0,IF(USE_TSPILE=1,AO160,('TO HOP'!$E$143/ncoc+IF(SUMSQ($E$56:$E$75)=0,0,'TO HOP'!$F$143*$E63/SUMSQ($E$56:$E$75))+IF(SUMSQ($D$56:$D$75)=0,0,'TO HOP'!$G$143*$D63/SUMSQ($D$56:$D$75)))/9.81))</f>
        <v>412.29800275396644</v>
      </c>
      <c r="AP87" s="8">
        <f>IF($B87="",0,IF(USE_TSPILE=1,AP160,('TO HOP'!$E$144/ncoc+IF(SUMSQ($E$56:$E$75)=0,0,'TO HOP'!$F$144*$E63/SUMSQ($E$56:$E$75))+IF(SUMSQ($D$56:$D$75)=0,0,'TO HOP'!$G$144*$D63/SUMSQ($D$56:$D$75)))/9.81))</f>
        <v>420.49020250987769</v>
      </c>
      <c r="AQ87" s="8">
        <f>IF($B87="",0,IF(USE_TSPILE=1,AQ160,('TO HOP'!$E$145/ncoc+IF(SUMSQ($E$56:$E$75)=0,0,'TO HOP'!$F$145*$E63/SUMSQ($E$56:$E$75))+IF(SUMSQ($D$56:$D$75)=0,0,'TO HOP'!$G$145*$D63/SUMSQ($D$56:$D$75)))/9.81))</f>
        <v>425.4118795763348</v>
      </c>
      <c r="AR87" s="8">
        <f>IF($B87="",0,IF(USE_TSPILE=1,AR160,('TO HOP'!$E$146/ncoc+IF(SUMSQ($E$56:$E$75)=0,0,'TO HOP'!$F$146*$E63/SUMSQ($E$56:$E$75))+IF(SUMSQ($D$56:$D$75)=0,0,'TO HOP'!$G$146*$D63/SUMSQ($D$56:$D$75)))/9.81))</f>
        <v>424.86334992527662</v>
      </c>
      <c r="AS87" s="8">
        <f>IF($B87="",0,IF(USE_TSPILE=1,AS160,('TO HOP'!$E$147/ncoc+IF(SUMSQ($E$56:$E$75)=0,0,'TO HOP'!$F$147*$E63/SUMSQ($E$56:$E$75))+IF(SUMSQ($D$56:$D$75)=0,0,'TO HOP'!$G$147*$D63/SUMSQ($D$56:$D$75)))/9.81))</f>
        <v>430.04710906753911</v>
      </c>
      <c r="AT87" s="8">
        <f>IF($B87="",0,IF(USE_TSPILE=1,AT160,('TO HOP'!$E$148/ncoc+IF(SUMSQ($E$56:$E$75)=0,0,'TO HOP'!$F$148*$E63/SUMSQ($E$56:$E$75))+IF(SUMSQ($D$56:$D$75)=0,0,'TO HOP'!$G$148*$D63/SUMSQ($D$56:$D$75)))/9.81))</f>
        <v>434.69544887910524</v>
      </c>
      <c r="AU87" s="8">
        <f>IF($B87="",0,IF(USE_TSPILE=1,AU160,('TO HOP'!$E$149/ncoc+IF(SUMSQ($E$56:$E$75)=0,0,'TO HOP'!$F$149*$E63/SUMSQ($E$56:$E$75))+IF(SUMSQ($D$56:$D$75)=0,0,'TO HOP'!$G$149*$D63/SUMSQ($D$56:$D$75)))/9.81))</f>
        <v>630.50628191520707</v>
      </c>
      <c r="AV87" s="8">
        <f>IF($B87="",0,IF(USE_TSPILE=1,AV160,('TO HOP'!$E$150/ncoc+IF(SUMSQ($E$56:$E$75)=0,0,'TO HOP'!$F$150*$E63/SUMSQ($E$56:$E$75))+IF(SUMSQ($D$56:$D$75)=0,0,'TO HOP'!$G$150*$D63/SUMSQ($D$56:$D$75)))/9.81))</f>
        <v>506.81677865715261</v>
      </c>
    </row>
    <row r="88" spans="2:48" x14ac:dyDescent="0.3">
      <c r="B88" s="10">
        <f>IF(9&lt;=ncoc,9,"")</f>
        <v>9</v>
      </c>
      <c r="C88" s="8">
        <f>IF($B88="",0,IF(USE_TSPILE=1,C161,('TO HOP'!$E$105/ncoc+IF(SUMSQ($E$56:$E$75)=0,0,'TO HOP'!$F$105*$E64/SUMSQ($E$56:$E$75))+IF(SUMSQ($D$56:$D$75)=0,0,'TO HOP'!$G$105*$D64/SUMSQ($D$56:$D$75)))/9.81))</f>
        <v>430.47871152663271</v>
      </c>
      <c r="D88" s="8">
        <f>IF($B88="",0,IF(USE_TSPILE=1,D161,('TO HOP'!$E$106/ncoc+IF(SUMSQ($E$56:$E$75)=0,0,'TO HOP'!$F$106*$E64/SUMSQ($E$56:$E$75))+IF(SUMSQ($D$56:$D$75)=0,0,'TO HOP'!$G$106*$D64/SUMSQ($D$56:$D$75)))/9.81))</f>
        <v>434.55380367599696</v>
      </c>
      <c r="E88" s="8">
        <f>IF($B88="",0,IF(USE_TSPILE=1,E161,('TO HOP'!$E$107/ncoc+IF(SUMSQ($E$56:$E$75)=0,0,'TO HOP'!$F$107*$E64/SUMSQ($E$56:$E$75))+IF(SUMSQ($D$56:$D$75)=0,0,'TO HOP'!$G$107*$D64/SUMSQ($D$56:$D$75)))/9.81))</f>
        <v>437.88169639218995</v>
      </c>
      <c r="F88" s="8">
        <f>IF($B88="",0,IF(USE_TSPILE=1,F161,('TO HOP'!$E$108/ncoc+IF(SUMSQ($E$56:$E$75)=0,0,'TO HOP'!$F$108*$E64/SUMSQ($E$56:$E$75))+IF(SUMSQ($D$56:$D$75)=0,0,'TO HOP'!$G$108*$D64/SUMSQ($D$56:$D$75)))/9.81))</f>
        <v>438.92197641878647</v>
      </c>
      <c r="G88" s="8">
        <f>IF($B88="",0,IF(USE_TSPILE=1,G161,('TO HOP'!$E$109/ncoc+IF(SUMSQ($E$56:$E$75)=0,0,'TO HOP'!$F$109*$E64/SUMSQ($E$56:$E$75))+IF(SUMSQ($D$56:$D$75)=0,0,'TO HOP'!$G$109*$D64/SUMSQ($D$56:$D$75)))/9.81))</f>
        <v>443.32365779711921</v>
      </c>
      <c r="H88" s="8">
        <f>IF($B88="",0,IF(USE_TSPILE=1,H161,('TO HOP'!$E$110/ncoc+IF(SUMSQ($E$56:$E$75)=0,0,'TO HOP'!$F$110*$E64/SUMSQ($E$56:$E$75))+IF(SUMSQ($D$56:$D$75)=0,0,'TO HOP'!$G$110*$D64/SUMSQ($D$56:$D$75)))/9.81))</f>
        <v>448.12194608707892</v>
      </c>
      <c r="I88" s="8">
        <f>IF($B88="",0,IF(USE_TSPILE=1,I161,('TO HOP'!$E$111/ncoc+IF(SUMSQ($E$56:$E$75)=0,0,'TO HOP'!$F$111*$E64/SUMSQ($E$56:$E$75))+IF(SUMSQ($D$56:$D$75)=0,0,'TO HOP'!$G$111*$D64/SUMSQ($D$56:$D$75)))/9.81))</f>
        <v>432.8888612203661</v>
      </c>
      <c r="J88" s="8">
        <f>IF($B88="",0,IF(USE_TSPILE=1,J161,('TO HOP'!$E$112/ncoc+IF(SUMSQ($E$56:$E$75)=0,0,'TO HOP'!$F$112*$E64/SUMSQ($E$56:$E$75))+IF(SUMSQ($D$56:$D$75)=0,0,'TO HOP'!$G$112*$D64/SUMSQ($D$56:$D$75)))/9.81))</f>
        <v>437.96055535279311</v>
      </c>
      <c r="K88" s="8">
        <f>IF($B88="",0,IF(USE_TSPILE=1,K161,('TO HOP'!$E$113/ncoc+IF(SUMSQ($E$56:$E$75)=0,0,'TO HOP'!$F$113*$E64/SUMSQ($E$56:$E$75))+IF(SUMSQ($D$56:$D$75)=0,0,'TO HOP'!$G$113*$D64/SUMSQ($D$56:$D$75)))/9.81))</f>
        <v>441.44734506883668</v>
      </c>
      <c r="L88" s="8">
        <f>IF($B88="",0,IF(USE_TSPILE=1,L161,('TO HOP'!$E$114/ncoc+IF(SUMSQ($E$56:$E$75)=0,0,'TO HOP'!$F$114*$E64/SUMSQ($E$56:$E$75))+IF(SUMSQ($D$56:$D$75)=0,0,'TO HOP'!$G$114*$D64/SUMSQ($D$56:$D$75)))/9.81))</f>
        <v>441.76432595211338</v>
      </c>
      <c r="M88" s="8">
        <f>IF($B88="",0,IF(USE_TSPILE=1,M161,('TO HOP'!$E$115/ncoc+IF(SUMSQ($E$56:$E$75)=0,0,'TO HOP'!$F$115*$E64/SUMSQ($E$56:$E$75))+IF(SUMSQ($D$56:$D$75)=0,0,'TO HOP'!$G$115*$D64/SUMSQ($D$56:$D$75)))/9.81))</f>
        <v>445.88507743471035</v>
      </c>
      <c r="N88" s="8">
        <f>IF($B88="",0,IF(USE_TSPILE=1,N161,('TO HOP'!$E$116/ncoc+IF(SUMSQ($E$56:$E$75)=0,0,'TO HOP'!$F$116*$E64/SUMSQ($E$56:$E$75))+IF(SUMSQ($D$56:$D$75)=0,0,'TO HOP'!$G$116*$D64/SUMSQ($D$56:$D$75)))/9.81))</f>
        <v>450.00582891730727</v>
      </c>
      <c r="O88" s="8">
        <f>IF($B88="",0,IF(USE_TSPILE=1,O161,('TO HOP'!$E$117/ncoc+IF(SUMSQ($E$56:$E$75)=0,0,'TO HOP'!$F$117*$E64/SUMSQ($E$56:$E$75))+IF(SUMSQ($D$56:$D$75)=0,0,'TO HOP'!$G$117*$D64/SUMSQ($D$56:$D$75)))/9.81))</f>
        <v>590.73872925662329</v>
      </c>
      <c r="P88" s="8">
        <f>IF($B88="",0,IF(USE_TSPILE=1,P161,('TO HOP'!$E$118/ncoc+IF(SUMSQ($E$56:$E$75)=0,0,'TO HOP'!$F$118*$E64/SUMSQ($E$56:$E$75))+IF(SUMSQ($D$56:$D$75)=0,0,'TO HOP'!$G$118*$D64/SUMSQ($D$56:$D$75)))/9.81))</f>
        <v>597.87014051801066</v>
      </c>
      <c r="Q88" s="8">
        <f>IF($B88="",0,IF(USE_TSPILE=1,Q161,('TO HOP'!$E$119/ncoc+IF(SUMSQ($E$56:$E$75)=0,0,'TO HOP'!$F$119*$E64/SUMSQ($E$56:$E$75))+IF(SUMSQ($D$56:$D$75)=0,0,'TO HOP'!$G$119*$D64/SUMSQ($D$56:$D$75)))/9.81))</f>
        <v>603.69395277134845</v>
      </c>
      <c r="R88" s="8">
        <f>IF($B88="",0,IF(USE_TSPILE=1,R161,('TO HOP'!$E$120/ncoc+IF(SUMSQ($E$56:$E$75)=0,0,'TO HOP'!$F$120*$E64/SUMSQ($E$56:$E$75))+IF(SUMSQ($D$56:$D$75)=0,0,'TO HOP'!$G$120*$D64/SUMSQ($D$56:$D$75)))/9.81))</f>
        <v>605.51444281789225</v>
      </c>
      <c r="S88" s="8">
        <f>IF($B88="",0,IF(USE_TSPILE=1,S161,('TO HOP'!$E$121/ncoc+IF(SUMSQ($E$56:$E$75)=0,0,'TO HOP'!$F$121*$E64/SUMSQ($E$56:$E$75))+IF(SUMSQ($D$56:$D$75)=0,0,'TO HOP'!$G$121*$D64/SUMSQ($D$56:$D$75)))/9.81))</f>
        <v>613.21738522997464</v>
      </c>
      <c r="T88" s="8">
        <f>IF($B88="",0,IF(USE_TSPILE=1,T161,('TO HOP'!$E$122/ncoc+IF(SUMSQ($E$56:$E$75)=0,0,'TO HOP'!$F$122*$E64/SUMSQ($E$56:$E$75))+IF(SUMSQ($D$56:$D$75)=0,0,'TO HOP'!$G$122*$D64/SUMSQ($D$56:$D$75)))/9.81))</f>
        <v>621.61438973740417</v>
      </c>
      <c r="U88" s="8">
        <f>IF($B88="",0,IF(USE_TSPILE=1,U161,('TO HOP'!$E$123/ncoc+IF(SUMSQ($E$56:$E$75)=0,0,'TO HOP'!$F$123*$E64/SUMSQ($E$56:$E$75))+IF(SUMSQ($D$56:$D$75)=0,0,'TO HOP'!$G$123*$D64/SUMSQ($D$56:$D$75)))/9.81))</f>
        <v>594.95649122065674</v>
      </c>
      <c r="V88" s="8">
        <f>IF($B88="",0,IF(USE_TSPILE=1,V161,('TO HOP'!$E$124/ncoc+IF(SUMSQ($E$56:$E$75)=0,0,'TO HOP'!$F$124*$E64/SUMSQ($E$56:$E$75))+IF(SUMSQ($D$56:$D$75)=0,0,'TO HOP'!$G$124*$D64/SUMSQ($D$56:$D$75)))/9.81))</f>
        <v>603.83195595240386</v>
      </c>
      <c r="W88" s="8">
        <f>IF($B88="",0,IF(USE_TSPILE=1,W161,('TO HOP'!$E$125/ncoc+IF(SUMSQ($E$56:$E$75)=0,0,'TO HOP'!$F$125*$E64/SUMSQ($E$56:$E$75))+IF(SUMSQ($D$56:$D$75)=0,0,'TO HOP'!$G$125*$D64/SUMSQ($D$56:$D$75)))/9.81))</f>
        <v>609.93383795548016</v>
      </c>
      <c r="X88" s="8">
        <f>IF($B88="",0,IF(USE_TSPILE=1,X161,('TO HOP'!$E$126/ncoc+IF(SUMSQ($E$56:$E$75)=0,0,'TO HOP'!$F$126*$E64/SUMSQ($E$56:$E$75))+IF(SUMSQ($D$56:$D$75)=0,0,'TO HOP'!$G$126*$D64/SUMSQ($D$56:$D$75)))/9.81))</f>
        <v>610.48855450121437</v>
      </c>
      <c r="Y88" s="8">
        <f>IF($B88="",0,IF(USE_TSPILE=1,Y161,('TO HOP'!$E$127/ncoc+IF(SUMSQ($E$56:$E$75)=0,0,'TO HOP'!$F$127*$E64/SUMSQ($E$56:$E$75))+IF(SUMSQ($D$56:$D$75)=0,0,'TO HOP'!$G$127*$D64/SUMSQ($D$56:$D$75)))/9.81))</f>
        <v>617.69986959575908</v>
      </c>
      <c r="Z88" s="8">
        <f>IF($B88="",0,IF(USE_TSPILE=1,Z161,('TO HOP'!$E$128/ncoc+IF(SUMSQ($E$56:$E$75)=0,0,'TO HOP'!$F$128*$E64/SUMSQ($E$56:$E$75))+IF(SUMSQ($D$56:$D$75)=0,0,'TO HOP'!$G$128*$D64/SUMSQ($D$56:$D$75)))/9.81))</f>
        <v>624.9111846903038</v>
      </c>
      <c r="AA88" s="8">
        <f>IF($B88="",0,IF(USE_TSPILE=1,AA161,('TO HOP'!$E$129/ncoc+IF(SUMSQ($E$56:$E$75)=0,0,'TO HOP'!$F$129*$E64/SUMSQ($E$56:$E$75))+IF(SUMSQ($D$56:$D$75)=0,0,'TO HOP'!$G$129*$D64/SUMSQ($D$56:$D$75)))/9.81))</f>
        <v>417.50021665663775</v>
      </c>
      <c r="AB88" s="8">
        <f>IF($B88="",0,IF(USE_TSPILE=1,AB161,('TO HOP'!$E$130/ncoc+IF(SUMSQ($E$56:$E$75)=0,0,'TO HOP'!$F$130*$E64/SUMSQ($E$56:$E$75))+IF(SUMSQ($D$56:$D$75)=0,0,'TO HOP'!$G$130*$D64/SUMSQ($D$56:$D$75)))/9.81))</f>
        <v>424.63162791802517</v>
      </c>
      <c r="AC88" s="8">
        <f>IF($B88="",0,IF(USE_TSPILE=1,AC161,('TO HOP'!$E$131/ncoc+IF(SUMSQ($E$56:$E$75)=0,0,'TO HOP'!$F$131*$E64/SUMSQ($E$56:$E$75))+IF(SUMSQ($D$56:$D$75)=0,0,'TO HOP'!$G$131*$D64/SUMSQ($D$56:$D$75)))/9.81))</f>
        <v>430.45544017136308</v>
      </c>
      <c r="AD88" s="8">
        <f>IF($B88="",0,IF(USE_TSPILE=1,AD161,('TO HOP'!$E$132/ncoc+IF(SUMSQ($E$56:$E$75)=0,0,'TO HOP'!$F$132*$E64/SUMSQ($E$56:$E$75))+IF(SUMSQ($D$56:$D$75)=0,0,'TO HOP'!$G$132*$D64/SUMSQ($D$56:$D$75)))/9.81))</f>
        <v>432.27593021790676</v>
      </c>
      <c r="AE88" s="8">
        <f>IF($B88="",0,IF(USE_TSPILE=1,AE161,('TO HOP'!$E$133/ncoc+IF(SUMSQ($E$56:$E$75)=0,0,'TO HOP'!$F$133*$E64/SUMSQ($E$56:$E$75))+IF(SUMSQ($D$56:$D$75)=0,0,'TO HOP'!$G$133*$D64/SUMSQ($D$56:$D$75)))/9.81))</f>
        <v>439.97887262998916</v>
      </c>
      <c r="AF88" s="8">
        <f>IF($B88="",0,IF(USE_TSPILE=1,AF161,('TO HOP'!$E$134/ncoc+IF(SUMSQ($E$56:$E$75)=0,0,'TO HOP'!$F$134*$E64/SUMSQ($E$56:$E$75))+IF(SUMSQ($D$56:$D$75)=0,0,'TO HOP'!$G$134*$D64/SUMSQ($D$56:$D$75)))/9.81))</f>
        <v>448.37587713741868</v>
      </c>
      <c r="AG88" s="8">
        <f>IF($B88="",0,IF(USE_TSPILE=1,AG161,('TO HOP'!$E$135/ncoc+IF(SUMSQ($E$56:$E$75)=0,0,'TO HOP'!$F$135*$E64/SUMSQ($E$56:$E$75))+IF(SUMSQ($D$56:$D$75)=0,0,'TO HOP'!$G$135*$D64/SUMSQ($D$56:$D$75)))/9.81))</f>
        <v>527.76547215325559</v>
      </c>
      <c r="AH88" s="8">
        <f>IF($B88="",0,IF(USE_TSPILE=1,AH161,('TO HOP'!$E$136/ncoc+IF(SUMSQ($E$56:$E$75)=0,0,'TO HOP'!$F$136*$E64/SUMSQ($E$56:$E$75))+IF(SUMSQ($D$56:$D$75)=0,0,'TO HOP'!$G$136*$D64/SUMSQ($D$56:$D$75)))/9.81))</f>
        <v>354.52695955327022</v>
      </c>
      <c r="AI88" s="8">
        <f>IF($B88="",0,IF(USE_TSPILE=1,AI161,('TO HOP'!$E$137/ncoc+IF(SUMSQ($E$56:$E$75)=0,0,'TO HOP'!$F$137*$E64/SUMSQ($E$56:$E$75))+IF(SUMSQ($D$56:$D$75)=0,0,'TO HOP'!$G$137*$D64/SUMSQ($D$56:$D$75)))/9.81))</f>
        <v>578.63058317760442</v>
      </c>
      <c r="AJ88" s="8">
        <f>IF($B88="",0,IF(USE_TSPILE=1,AJ161,('TO HOP'!$E$138/ncoc+IF(SUMSQ($E$56:$E$75)=0,0,'TO HOP'!$F$138*$E64/SUMSQ($E$56:$E$75))+IF(SUMSQ($D$56:$D$75)=0,0,'TO HOP'!$G$138*$D64/SUMSQ($D$56:$D$75)))/9.81))</f>
        <v>584.13195757924632</v>
      </c>
      <c r="AK88" s="8">
        <f>IF($B88="",0,IF(USE_TSPILE=1,AK161,('TO HOP'!$E$139/ncoc+IF(SUMSQ($E$56:$E$75)=0,0,'TO HOP'!$F$139*$E64/SUMSQ($E$56:$E$75))+IF(SUMSQ($D$56:$D$75)=0,0,'TO HOP'!$G$139*$D64/SUMSQ($D$56:$D$75)))/9.81))</f>
        <v>588.62461274610678</v>
      </c>
      <c r="AL88" s="8">
        <f>IF($B88="",0,IF(USE_TSPILE=1,AL161,('TO HOP'!$E$140/ncoc+IF(SUMSQ($E$56:$E$75)=0,0,'TO HOP'!$F$140*$E64/SUMSQ($E$56:$E$75))+IF(SUMSQ($D$56:$D$75)=0,0,'TO HOP'!$G$140*$D64/SUMSQ($D$56:$D$75)))/9.81))</f>
        <v>590.02899078201199</v>
      </c>
      <c r="AM88" s="8">
        <f>IF($B88="",0,IF(USE_TSPILE=1,AM161,('TO HOP'!$E$141/ncoc+IF(SUMSQ($E$56:$E$75)=0,0,'TO HOP'!$F$141*$E64/SUMSQ($E$56:$E$75))+IF(SUMSQ($D$56:$D$75)=0,0,'TO HOP'!$G$141*$D64/SUMSQ($D$56:$D$75)))/9.81))</f>
        <v>595.97126064276119</v>
      </c>
      <c r="AN88" s="8">
        <f>IF($B88="",0,IF(USE_TSPILE=1,AN161,('TO HOP'!$E$142/ncoc+IF(SUMSQ($E$56:$E$75)=0,0,'TO HOP'!$F$142*$E64/SUMSQ($E$56:$E$75))+IF(SUMSQ($D$56:$D$75)=0,0,'TO HOP'!$G$142*$D64/SUMSQ($D$56:$D$75)))/9.81))</f>
        <v>602.44894983420704</v>
      </c>
      <c r="AO88" s="8">
        <f>IF($B88="",0,IF(USE_TSPILE=1,AO161,('TO HOP'!$E$143/ncoc+IF(SUMSQ($E$56:$E$75)=0,0,'TO HOP'!$F$143*$E64/SUMSQ($E$56:$E$75))+IF(SUMSQ($D$56:$D$75)=0,0,'TO HOP'!$G$143*$D64/SUMSQ($D$56:$D$75)))/9.81))</f>
        <v>405.39207057761917</v>
      </c>
      <c r="AP88" s="8">
        <f>IF($B88="",0,IF(USE_TSPILE=1,AP161,('TO HOP'!$E$144/ncoc+IF(SUMSQ($E$56:$E$75)=0,0,'TO HOP'!$F$144*$E64/SUMSQ($E$56:$E$75))+IF(SUMSQ($D$56:$D$75)=0,0,'TO HOP'!$G$144*$D64/SUMSQ($D$56:$D$75)))/9.81))</f>
        <v>410.89344497926095</v>
      </c>
      <c r="AQ88" s="8">
        <f>IF($B88="",0,IF(USE_TSPILE=1,AQ161,('TO HOP'!$E$145/ncoc+IF(SUMSQ($E$56:$E$75)=0,0,'TO HOP'!$F$145*$E64/SUMSQ($E$56:$E$75))+IF(SUMSQ($D$56:$D$75)=0,0,'TO HOP'!$G$145*$D64/SUMSQ($D$56:$D$75)))/9.81))</f>
        <v>415.38610014612152</v>
      </c>
      <c r="AR88" s="8">
        <f>IF($B88="",0,IF(USE_TSPILE=1,AR161,('TO HOP'!$E$146/ncoc+IF(SUMSQ($E$56:$E$75)=0,0,'TO HOP'!$F$146*$E64/SUMSQ($E$56:$E$75))+IF(SUMSQ($D$56:$D$75)=0,0,'TO HOP'!$G$146*$D64/SUMSQ($D$56:$D$75)))/9.81))</f>
        <v>416.79047818202673</v>
      </c>
      <c r="AS88" s="8">
        <f>IF($B88="",0,IF(USE_TSPILE=1,AS161,('TO HOP'!$E$147/ncoc+IF(SUMSQ($E$56:$E$75)=0,0,'TO HOP'!$F$147*$E64/SUMSQ($E$56:$E$75))+IF(SUMSQ($D$56:$D$75)=0,0,'TO HOP'!$G$147*$D64/SUMSQ($D$56:$D$75)))/9.81))</f>
        <v>422.73274804277588</v>
      </c>
      <c r="AT88" s="8">
        <f>IF($B88="",0,IF(USE_TSPILE=1,AT161,('TO HOP'!$E$148/ncoc+IF(SUMSQ($E$56:$E$75)=0,0,'TO HOP'!$F$148*$E64/SUMSQ($E$56:$E$75))+IF(SUMSQ($D$56:$D$75)=0,0,'TO HOP'!$G$148*$D64/SUMSQ($D$56:$D$75)))/9.81))</f>
        <v>429.21043723422167</v>
      </c>
      <c r="AU88" s="8">
        <f>IF($B88="",0,IF(USE_TSPILE=1,AU161,('TO HOP'!$E$149/ncoc+IF(SUMSQ($E$56:$E$75)=0,0,'TO HOP'!$F$149*$E64/SUMSQ($E$56:$E$75))+IF(SUMSQ($D$56:$D$75)=0,0,'TO HOP'!$G$149*$D64/SUMSQ($D$56:$D$75)))/9.81))</f>
        <v>625.50419118502691</v>
      </c>
      <c r="AV88" s="8">
        <f>IF($B88="",0,IF(USE_TSPILE=1,AV161,('TO HOP'!$E$150/ncoc+IF(SUMSQ($E$56:$E$75)=0,0,'TO HOP'!$F$150*$E64/SUMSQ($E$56:$E$75))+IF(SUMSQ($D$56:$D$75)=0,0,'TO HOP'!$G$150*$D64/SUMSQ($D$56:$D$75)))/9.81))</f>
        <v>498.93459609761766</v>
      </c>
    </row>
    <row r="89" spans="2:48" x14ac:dyDescent="0.3">
      <c r="B89" s="10">
        <f>IF(10&lt;=ncoc,10,"")</f>
        <v>10</v>
      </c>
      <c r="C89" s="8">
        <f>IF($B89="",0,IF(USE_TSPILE=1,C162,('TO HOP'!$E$105/ncoc+IF(SUMSQ($E$56:$E$75)=0,0,'TO HOP'!$F$105*$E65/SUMSQ($E$56:$E$75))+IF(SUMSQ($D$56:$D$75)=0,0,'TO HOP'!$G$105*$D65/SUMSQ($D$56:$D$75)))/9.81))</f>
        <v>425.32107252173012</v>
      </c>
      <c r="D89" s="8">
        <f>IF($B89="",0,IF(USE_TSPILE=1,D162,('TO HOP'!$E$106/ncoc+IF(SUMSQ($E$56:$E$75)=0,0,'TO HOP'!$F$106*$E65/SUMSQ($E$56:$E$75))+IF(SUMSQ($D$56:$D$75)=0,0,'TO HOP'!$G$106*$D65/SUMSQ($D$56:$D$75)))/9.81))</f>
        <v>427.4029607049689</v>
      </c>
      <c r="E89" s="8">
        <f>IF($B89="",0,IF(USE_TSPILE=1,E162,('TO HOP'!$E$107/ncoc+IF(SUMSQ($E$56:$E$75)=0,0,'TO HOP'!$F$107*$E65/SUMSQ($E$56:$E$75))+IF(SUMSQ($D$56:$D$75)=0,0,'TO HOP'!$G$107*$D65/SUMSQ($D$56:$D$75)))/9.81))</f>
        <v>430.41305942146073</v>
      </c>
      <c r="F89" s="8">
        <f>IF($B89="",0,IF(USE_TSPILE=1,F162,('TO HOP'!$E$108/ncoc+IF(SUMSQ($E$56:$E$75)=0,0,'TO HOP'!$F$108*$E65/SUMSQ($E$56:$E$75))+IF(SUMSQ($D$56:$D$75)=0,0,'TO HOP'!$G$108*$D65/SUMSQ($D$56:$D$75)))/9.81))</f>
        <v>432.89993773469678</v>
      </c>
      <c r="G89" s="8">
        <f>IF($B89="",0,IF(USE_TSPILE=1,G162,('TO HOP'!$E$109/ncoc+IF(SUMSQ($E$56:$E$75)=0,0,'TO HOP'!$F$109*$E65/SUMSQ($E$56:$E$75))+IF(SUMSQ($D$56:$D$75)=0,0,'TO HOP'!$G$109*$D65/SUMSQ($D$56:$D$75)))/9.81))</f>
        <v>437.86347890450116</v>
      </c>
      <c r="H89" s="8">
        <f>IF($B89="",0,IF(USE_TSPILE=1,H162,('TO HOP'!$E$110/ncoc+IF(SUMSQ($E$56:$E$75)=0,0,'TO HOP'!$F$110*$E65/SUMSQ($E$56:$E$75))+IF(SUMSQ($D$56:$D$75)=0,0,'TO HOP'!$G$110*$D65/SUMSQ($D$56:$D$75)))/9.81))</f>
        <v>444.01684080918653</v>
      </c>
      <c r="I89" s="8">
        <f>IF($B89="",0,IF(USE_TSPILE=1,I162,('TO HOP'!$E$111/ncoc+IF(SUMSQ($E$56:$E$75)=0,0,'TO HOP'!$F$111*$E65/SUMSQ($E$56:$E$75))+IF(SUMSQ($D$56:$D$75)=0,0,'TO HOP'!$G$111*$D65/SUMSQ($D$56:$D$75)))/9.81))</f>
        <v>432.55152160293034</v>
      </c>
      <c r="J89" s="8">
        <f>IF($B89="",0,IF(USE_TSPILE=1,J162,('TO HOP'!$E$112/ncoc+IF(SUMSQ($E$56:$E$75)=0,0,'TO HOP'!$F$112*$E65/SUMSQ($E$56:$E$75))+IF(SUMSQ($D$56:$D$75)=0,0,'TO HOP'!$G$112*$D65/SUMSQ($D$56:$D$75)))/9.81))</f>
        <v>437.62321573535735</v>
      </c>
      <c r="K89" s="8">
        <f>IF($B89="",0,IF(USE_TSPILE=1,K162,('TO HOP'!$E$113/ncoc+IF(SUMSQ($E$56:$E$75)=0,0,'TO HOP'!$F$113*$E65/SUMSQ($E$56:$E$75))+IF(SUMSQ($D$56:$D$75)=0,0,'TO HOP'!$G$113*$D65/SUMSQ($D$56:$D$75)))/9.81))</f>
        <v>441.11000545140092</v>
      </c>
      <c r="L89" s="8">
        <f>IF($B89="",0,IF(USE_TSPILE=1,L162,('TO HOP'!$E$114/ncoc+IF(SUMSQ($E$56:$E$75)=0,0,'TO HOP'!$F$114*$E65/SUMSQ($E$56:$E$75))+IF(SUMSQ($D$56:$D$75)=0,0,'TO HOP'!$G$114*$D65/SUMSQ($D$56:$D$75)))/9.81))</f>
        <v>441.42698633467762</v>
      </c>
      <c r="M89" s="8">
        <f>IF($B89="",0,IF(USE_TSPILE=1,M162,('TO HOP'!$E$115/ncoc+IF(SUMSQ($E$56:$E$75)=0,0,'TO HOP'!$F$115*$E65/SUMSQ($E$56:$E$75))+IF(SUMSQ($D$56:$D$75)=0,0,'TO HOP'!$G$115*$D65/SUMSQ($D$56:$D$75)))/9.81))</f>
        <v>445.54773781727459</v>
      </c>
      <c r="N89" s="8">
        <f>IF($B89="",0,IF(USE_TSPILE=1,N162,('TO HOP'!$E$116/ncoc+IF(SUMSQ($E$56:$E$75)=0,0,'TO HOP'!$F$116*$E65/SUMSQ($E$56:$E$75))+IF(SUMSQ($D$56:$D$75)=0,0,'TO HOP'!$G$116*$D65/SUMSQ($D$56:$D$75)))/9.81))</f>
        <v>449.66848929987151</v>
      </c>
      <c r="O89" s="8">
        <f>IF($B89="",0,IF(USE_TSPILE=1,O162,('TO HOP'!$E$117/ncoc+IF(SUMSQ($E$56:$E$75)=0,0,'TO HOP'!$F$117*$E65/SUMSQ($E$56:$E$75))+IF(SUMSQ($D$56:$D$75)=0,0,'TO HOP'!$G$117*$D65/SUMSQ($D$56:$D$75)))/9.81))</f>
        <v>582.30320532855637</v>
      </c>
      <c r="P89" s="8">
        <f>IF($B89="",0,IF(USE_TSPILE=1,P162,('TO HOP'!$E$118/ncoc+IF(SUMSQ($E$56:$E$75)=0,0,'TO HOP'!$F$118*$E65/SUMSQ($E$56:$E$75))+IF(SUMSQ($D$56:$D$75)=0,0,'TO HOP'!$G$118*$D65/SUMSQ($D$56:$D$75)))/9.81))</f>
        <v>585.94650964922403</v>
      </c>
      <c r="Q89" s="8">
        <f>IF($B89="",0,IF(USE_TSPILE=1,Q162,('TO HOP'!$E$119/ncoc+IF(SUMSQ($E$56:$E$75)=0,0,'TO HOP'!$F$119*$E65/SUMSQ($E$56:$E$75))+IF(SUMSQ($D$56:$D$75)=0,0,'TO HOP'!$G$119*$D65/SUMSQ($D$56:$D$75)))/9.81))</f>
        <v>591.21418240308481</v>
      </c>
      <c r="R89" s="8">
        <f>IF($B89="",0,IF(USE_TSPILE=1,R162,('TO HOP'!$E$120/ncoc+IF(SUMSQ($E$56:$E$75)=0,0,'TO HOP'!$F$120*$E65/SUMSQ($E$56:$E$75))+IF(SUMSQ($D$56:$D$75)=0,0,'TO HOP'!$G$120*$D65/SUMSQ($D$56:$D$75)))/9.81))</f>
        <v>595.56621945124789</v>
      </c>
      <c r="S89" s="8">
        <f>IF($B89="",0,IF(USE_TSPILE=1,S162,('TO HOP'!$E$121/ncoc+IF(SUMSQ($E$56:$E$75)=0,0,'TO HOP'!$F$121*$E65/SUMSQ($E$56:$E$75))+IF(SUMSQ($D$56:$D$75)=0,0,'TO HOP'!$G$121*$D65/SUMSQ($D$56:$D$75)))/9.81))</f>
        <v>604.25241649840564</v>
      </c>
      <c r="T89" s="8">
        <f>IF($B89="",0,IF(USE_TSPILE=1,T162,('TO HOP'!$E$122/ncoc+IF(SUMSQ($E$56:$E$75)=0,0,'TO HOP'!$F$122*$E65/SUMSQ($E$56:$E$75))+IF(SUMSQ($D$56:$D$75)=0,0,'TO HOP'!$G$122*$D65/SUMSQ($D$56:$D$75)))/9.81))</f>
        <v>615.02079983160502</v>
      </c>
      <c r="U89" s="8">
        <f>IF($B89="",0,IF(USE_TSPILE=1,U162,('TO HOP'!$E$123/ncoc+IF(SUMSQ($E$56:$E$75)=0,0,'TO HOP'!$F$123*$E65/SUMSQ($E$56:$E$75))+IF(SUMSQ($D$56:$D$75)=0,0,'TO HOP'!$G$123*$D65/SUMSQ($D$56:$D$75)))/9.81))</f>
        <v>594.95649122065674</v>
      </c>
      <c r="V89" s="8">
        <f>IF($B89="",0,IF(USE_TSPILE=1,V162,('TO HOP'!$E$124/ncoc+IF(SUMSQ($E$56:$E$75)=0,0,'TO HOP'!$F$124*$E65/SUMSQ($E$56:$E$75))+IF(SUMSQ($D$56:$D$75)=0,0,'TO HOP'!$G$124*$D65/SUMSQ($D$56:$D$75)))/9.81))</f>
        <v>603.83195595240386</v>
      </c>
      <c r="W89" s="8">
        <f>IF($B89="",0,IF(USE_TSPILE=1,W162,('TO HOP'!$E$125/ncoc+IF(SUMSQ($E$56:$E$75)=0,0,'TO HOP'!$F$125*$E65/SUMSQ($E$56:$E$75))+IF(SUMSQ($D$56:$D$75)=0,0,'TO HOP'!$G$125*$D65/SUMSQ($D$56:$D$75)))/9.81))</f>
        <v>609.93383795548016</v>
      </c>
      <c r="X89" s="8">
        <f>IF($B89="",0,IF(USE_TSPILE=1,X162,('TO HOP'!$E$126/ncoc+IF(SUMSQ($E$56:$E$75)=0,0,'TO HOP'!$F$126*$E65/SUMSQ($E$56:$E$75))+IF(SUMSQ($D$56:$D$75)=0,0,'TO HOP'!$G$126*$D65/SUMSQ($D$56:$D$75)))/9.81))</f>
        <v>610.48855450121437</v>
      </c>
      <c r="Y89" s="8">
        <f>IF($B89="",0,IF(USE_TSPILE=1,Y162,('TO HOP'!$E$127/ncoc+IF(SUMSQ($E$56:$E$75)=0,0,'TO HOP'!$F$127*$E65/SUMSQ($E$56:$E$75))+IF(SUMSQ($D$56:$D$75)=0,0,'TO HOP'!$G$127*$D65/SUMSQ($D$56:$D$75)))/9.81))</f>
        <v>617.69986959575908</v>
      </c>
      <c r="Z89" s="8">
        <f>IF($B89="",0,IF(USE_TSPILE=1,Z162,('TO HOP'!$E$128/ncoc+IF(SUMSQ($E$56:$E$75)=0,0,'TO HOP'!$F$128*$E65/SUMSQ($E$56:$E$75))+IF(SUMSQ($D$56:$D$75)=0,0,'TO HOP'!$G$128*$D65/SUMSQ($D$56:$D$75)))/9.81))</f>
        <v>624.9111846903038</v>
      </c>
      <c r="AA89" s="8">
        <f>IF($B89="",0,IF(USE_TSPILE=1,AA162,('TO HOP'!$E$129/ncoc+IF(SUMSQ($E$56:$E$75)=0,0,'TO HOP'!$F$129*$E65/SUMSQ($E$56:$E$75))+IF(SUMSQ($D$56:$D$75)=0,0,'TO HOP'!$G$129*$D65/SUMSQ($D$56:$D$75)))/9.81))</f>
        <v>409.06469272857083</v>
      </c>
      <c r="AB89" s="8">
        <f>IF($B89="",0,IF(USE_TSPILE=1,AB162,('TO HOP'!$E$130/ncoc+IF(SUMSQ($E$56:$E$75)=0,0,'TO HOP'!$F$130*$E65/SUMSQ($E$56:$E$75))+IF(SUMSQ($D$56:$D$75)=0,0,'TO HOP'!$G$130*$D65/SUMSQ($D$56:$D$75)))/9.81))</f>
        <v>412.70799704923866</v>
      </c>
      <c r="AC89" s="8">
        <f>IF($B89="",0,IF(USE_TSPILE=1,AC162,('TO HOP'!$E$131/ncoc+IF(SUMSQ($E$56:$E$75)=0,0,'TO HOP'!$F$131*$E65/SUMSQ($E$56:$E$75))+IF(SUMSQ($D$56:$D$75)=0,0,'TO HOP'!$G$131*$D65/SUMSQ($D$56:$D$75)))/9.81))</f>
        <v>417.97566980309949</v>
      </c>
      <c r="AD89" s="8">
        <f>IF($B89="",0,IF(USE_TSPILE=1,AD162,('TO HOP'!$E$132/ncoc+IF(SUMSQ($E$56:$E$75)=0,0,'TO HOP'!$F$132*$E65/SUMSQ($E$56:$E$75))+IF(SUMSQ($D$56:$D$75)=0,0,'TO HOP'!$G$132*$D65/SUMSQ($D$56:$D$75)))/9.81))</f>
        <v>422.32770685126252</v>
      </c>
      <c r="AE89" s="8">
        <f>IF($B89="",0,IF(USE_TSPILE=1,AE162,('TO HOP'!$E$133/ncoc+IF(SUMSQ($E$56:$E$75)=0,0,'TO HOP'!$F$133*$E65/SUMSQ($E$56:$E$75))+IF(SUMSQ($D$56:$D$75)=0,0,'TO HOP'!$G$133*$D65/SUMSQ($D$56:$D$75)))/9.81))</f>
        <v>431.01390389842015</v>
      </c>
      <c r="AF89" s="8">
        <f>IF($B89="",0,IF(USE_TSPILE=1,AF162,('TO HOP'!$E$134/ncoc+IF(SUMSQ($E$56:$E$75)=0,0,'TO HOP'!$F$134*$E65/SUMSQ($E$56:$E$75))+IF(SUMSQ($D$56:$D$75)=0,0,'TO HOP'!$G$134*$D65/SUMSQ($D$56:$D$75)))/9.81))</f>
        <v>441.78228723161953</v>
      </c>
      <c r="AG89" s="8">
        <f>IF($B89="",0,IF(USE_TSPILE=1,AG162,('TO HOP'!$E$135/ncoc+IF(SUMSQ($E$56:$E$75)=0,0,'TO HOP'!$F$135*$E65/SUMSQ($E$56:$E$75))+IF(SUMSQ($D$56:$D$75)=0,0,'TO HOP'!$G$135*$D65/SUMSQ($D$56:$D$75)))/9.81))</f>
        <v>526.90719931029923</v>
      </c>
      <c r="AH89" s="8">
        <f>IF($B89="",0,IF(USE_TSPILE=1,AH162,('TO HOP'!$E$136/ncoc+IF(SUMSQ($E$56:$E$75)=0,0,'TO HOP'!$F$136*$E65/SUMSQ($E$56:$E$75))+IF(SUMSQ($D$56:$D$75)=0,0,'TO HOP'!$G$136*$D65/SUMSQ($D$56:$D$75)))/9.81))</f>
        <v>353.66868671031398</v>
      </c>
      <c r="AI89" s="8">
        <f>IF($B89="",0,IF(USE_TSPILE=1,AI162,('TO HOP'!$E$137/ncoc+IF(SUMSQ($E$56:$E$75)=0,0,'TO HOP'!$F$137*$E65/SUMSQ($E$56:$E$75))+IF(SUMSQ($D$56:$D$75)=0,0,'TO HOP'!$G$137*$D65/SUMSQ($D$56:$D$75)))/9.81))</f>
        <v>571.72465100125703</v>
      </c>
      <c r="AJ89" s="8">
        <f>IF($B89="",0,IF(USE_TSPILE=1,AJ162,('TO HOP'!$E$138/ncoc+IF(SUMSQ($E$56:$E$75)=0,0,'TO HOP'!$F$138*$E65/SUMSQ($E$56:$E$75))+IF(SUMSQ($D$56:$D$75)=0,0,'TO HOP'!$G$138*$D65/SUMSQ($D$56:$D$75)))/9.81))</f>
        <v>574.53520004862958</v>
      </c>
      <c r="AK89" s="8">
        <f>IF($B89="",0,IF(USE_TSPILE=1,AK162,('TO HOP'!$E$139/ncoc+IF(SUMSQ($E$56:$E$75)=0,0,'TO HOP'!$F$139*$E65/SUMSQ($E$56:$E$75))+IF(SUMSQ($D$56:$D$75)=0,0,'TO HOP'!$G$139*$D65/SUMSQ($D$56:$D$75)))/9.81))</f>
        <v>578.59883331589356</v>
      </c>
      <c r="AL89" s="8">
        <f>IF($B89="",0,IF(USE_TSPILE=1,AL162,('TO HOP'!$E$140/ncoc+IF(SUMSQ($E$56:$E$75)=0,0,'TO HOP'!$F$140*$E65/SUMSQ($E$56:$E$75))+IF(SUMSQ($D$56:$D$75)=0,0,'TO HOP'!$G$140*$D65/SUMSQ($D$56:$D$75)))/9.81))</f>
        <v>581.95611903876215</v>
      </c>
      <c r="AM89" s="8">
        <f>IF($B89="",0,IF(USE_TSPILE=1,AM162,('TO HOP'!$E$141/ncoc+IF(SUMSQ($E$56:$E$75)=0,0,'TO HOP'!$F$141*$E65/SUMSQ($E$56:$E$75))+IF(SUMSQ($D$56:$D$75)=0,0,'TO HOP'!$G$141*$D65/SUMSQ($D$56:$D$75)))/9.81))</f>
        <v>588.65689961799808</v>
      </c>
      <c r="AN89" s="8">
        <f>IF($B89="",0,IF(USE_TSPILE=1,AN162,('TO HOP'!$E$142/ncoc+IF(SUMSQ($E$56:$E$75)=0,0,'TO HOP'!$F$142*$E65/SUMSQ($E$56:$E$75))+IF(SUMSQ($D$56:$D$75)=0,0,'TO HOP'!$G$142*$D65/SUMSQ($D$56:$D$75)))/9.81))</f>
        <v>596.96393818932336</v>
      </c>
      <c r="AO89" s="8">
        <f>IF($B89="",0,IF(USE_TSPILE=1,AO162,('TO HOP'!$E$143/ncoc+IF(SUMSQ($E$56:$E$75)=0,0,'TO HOP'!$F$143*$E65/SUMSQ($E$56:$E$75))+IF(SUMSQ($D$56:$D$75)=0,0,'TO HOP'!$G$143*$D65/SUMSQ($D$56:$D$75)))/9.81))</f>
        <v>398.48613840127183</v>
      </c>
      <c r="AP89" s="8">
        <f>IF($B89="",0,IF(USE_TSPILE=1,AP162,('TO HOP'!$E$144/ncoc+IF(SUMSQ($E$56:$E$75)=0,0,'TO HOP'!$F$144*$E65/SUMSQ($E$56:$E$75))+IF(SUMSQ($D$56:$D$75)=0,0,'TO HOP'!$G$144*$D65/SUMSQ($D$56:$D$75)))/9.81))</f>
        <v>401.29668744864421</v>
      </c>
      <c r="AQ89" s="8">
        <f>IF($B89="",0,IF(USE_TSPILE=1,AQ162,('TO HOP'!$E$145/ncoc+IF(SUMSQ($E$56:$E$75)=0,0,'TO HOP'!$F$145*$E65/SUMSQ($E$56:$E$75))+IF(SUMSQ($D$56:$D$75)=0,0,'TO HOP'!$G$145*$D65/SUMSQ($D$56:$D$75)))/9.81))</f>
        <v>405.36032071590819</v>
      </c>
      <c r="AR89" s="8">
        <f>IF($B89="",0,IF(USE_TSPILE=1,AR162,('TO HOP'!$E$146/ncoc+IF(SUMSQ($E$56:$E$75)=0,0,'TO HOP'!$F$146*$E65/SUMSQ($E$56:$E$75))+IF(SUMSQ($D$56:$D$75)=0,0,'TO HOP'!$G$146*$D65/SUMSQ($D$56:$D$75)))/9.81))</f>
        <v>408.7176064387769</v>
      </c>
      <c r="AS89" s="8">
        <f>IF($B89="",0,IF(USE_TSPILE=1,AS162,('TO HOP'!$E$147/ncoc+IF(SUMSQ($E$56:$E$75)=0,0,'TO HOP'!$F$147*$E65/SUMSQ($E$56:$E$75))+IF(SUMSQ($D$56:$D$75)=0,0,'TO HOP'!$G$147*$D65/SUMSQ($D$56:$D$75)))/9.81))</f>
        <v>415.41838701801271</v>
      </c>
      <c r="AT89" s="8">
        <f>IF($B89="",0,IF(USE_TSPILE=1,AT162,('TO HOP'!$E$148/ncoc+IF(SUMSQ($E$56:$E$75)=0,0,'TO HOP'!$F$148*$E65/SUMSQ($E$56:$E$75))+IF(SUMSQ($D$56:$D$75)=0,0,'TO HOP'!$G$148*$D65/SUMSQ($D$56:$D$75)))/9.81))</f>
        <v>423.72542558933804</v>
      </c>
      <c r="AU89" s="8">
        <f>IF($B89="",0,IF(USE_TSPILE=1,AU162,('TO HOP'!$E$149/ncoc+IF(SUMSQ($E$56:$E$75)=0,0,'TO HOP'!$F$149*$E65/SUMSQ($E$56:$E$75))+IF(SUMSQ($D$56:$D$75)=0,0,'TO HOP'!$G$149*$D65/SUMSQ($D$56:$D$75)))/9.81))</f>
        <v>620.50210045484675</v>
      </c>
      <c r="AV89" s="8">
        <f>IF($B89="",0,IF(USE_TSPILE=1,AV162,('TO HOP'!$E$150/ncoc+IF(SUMSQ($E$56:$E$75)=0,0,'TO HOP'!$F$150*$E65/SUMSQ($E$56:$E$75))+IF(SUMSQ($D$56:$D$75)=0,0,'TO HOP'!$G$150*$D65/SUMSQ($D$56:$D$75)))/9.81))</f>
        <v>491.05241353808276</v>
      </c>
    </row>
    <row r="90" spans="2:48" x14ac:dyDescent="0.3">
      <c r="B90" s="10">
        <f>IF(11&lt;=ncoc,11,"")</f>
        <v>11</v>
      </c>
      <c r="C90" s="8">
        <f>IF($B90="",0,IF(USE_TSPILE=1,C163,('TO HOP'!$E$105/ncoc+IF(SUMSQ($E$56:$E$75)=0,0,'TO HOP'!$F$105*$E66/SUMSQ($E$56:$E$75))+IF(SUMSQ($D$56:$D$75)=0,0,'TO HOP'!$G$105*$D66/SUMSQ($D$56:$D$75)))/9.81))</f>
        <v>420.16343351682758</v>
      </c>
      <c r="D90" s="8">
        <f>IF($B90="",0,IF(USE_TSPILE=1,D163,('TO HOP'!$E$106/ncoc+IF(SUMSQ($E$56:$E$75)=0,0,'TO HOP'!$F$106*$E66/SUMSQ($E$56:$E$75))+IF(SUMSQ($D$56:$D$75)=0,0,'TO HOP'!$G$106*$D66/SUMSQ($D$56:$D$75)))/9.81))</f>
        <v>420.25211773394085</v>
      </c>
      <c r="E90" s="8">
        <f>IF($B90="",0,IF(USE_TSPILE=1,E163,('TO HOP'!$E$107/ncoc+IF(SUMSQ($E$56:$E$75)=0,0,'TO HOP'!$F$107*$E66/SUMSQ($E$56:$E$75))+IF(SUMSQ($D$56:$D$75)=0,0,'TO HOP'!$G$107*$D66/SUMSQ($D$56:$D$75)))/9.81))</f>
        <v>422.94442245073151</v>
      </c>
      <c r="F90" s="8">
        <f>IF($B90="",0,IF(USE_TSPILE=1,F163,('TO HOP'!$E$108/ncoc+IF(SUMSQ($E$56:$E$75)=0,0,'TO HOP'!$F$108*$E66/SUMSQ($E$56:$E$75))+IF(SUMSQ($D$56:$D$75)=0,0,'TO HOP'!$G$108*$D66/SUMSQ($D$56:$D$75)))/9.81))</f>
        <v>426.8778990506072</v>
      </c>
      <c r="G90" s="8">
        <f>IF($B90="",0,IF(USE_TSPILE=1,G163,('TO HOP'!$E$109/ncoc+IF(SUMSQ($E$56:$E$75)=0,0,'TO HOP'!$F$109*$E66/SUMSQ($E$56:$E$75))+IF(SUMSQ($D$56:$D$75)=0,0,'TO HOP'!$G$109*$D66/SUMSQ($D$56:$D$75)))/9.81))</f>
        <v>432.40330001188312</v>
      </c>
      <c r="H90" s="8">
        <f>IF($B90="",0,IF(USE_TSPILE=1,H163,('TO HOP'!$E$110/ncoc+IF(SUMSQ($E$56:$E$75)=0,0,'TO HOP'!$F$110*$E66/SUMSQ($E$56:$E$75))+IF(SUMSQ($D$56:$D$75)=0,0,'TO HOP'!$G$110*$D66/SUMSQ($D$56:$D$75)))/9.81))</f>
        <v>439.91173553129414</v>
      </c>
      <c r="I90" s="8">
        <f>IF($B90="",0,IF(USE_TSPILE=1,I163,('TO HOP'!$E$111/ncoc+IF(SUMSQ($E$56:$E$75)=0,0,'TO HOP'!$F$111*$E66/SUMSQ($E$56:$E$75))+IF(SUMSQ($D$56:$D$75)=0,0,'TO HOP'!$G$111*$D66/SUMSQ($D$56:$D$75)))/9.81))</f>
        <v>432.21418198549458</v>
      </c>
      <c r="J90" s="8">
        <f>IF($B90="",0,IF(USE_TSPILE=1,J163,('TO HOP'!$E$112/ncoc+IF(SUMSQ($E$56:$E$75)=0,0,'TO HOP'!$F$112*$E66/SUMSQ($E$56:$E$75))+IF(SUMSQ($D$56:$D$75)=0,0,'TO HOP'!$G$112*$D66/SUMSQ($D$56:$D$75)))/9.81))</f>
        <v>437.28587611792159</v>
      </c>
      <c r="K90" s="8">
        <f>IF($B90="",0,IF(USE_TSPILE=1,K163,('TO HOP'!$E$113/ncoc+IF(SUMSQ($E$56:$E$75)=0,0,'TO HOP'!$F$113*$E66/SUMSQ($E$56:$E$75))+IF(SUMSQ($D$56:$D$75)=0,0,'TO HOP'!$G$113*$D66/SUMSQ($D$56:$D$75)))/9.81))</f>
        <v>440.77266583396516</v>
      </c>
      <c r="L90" s="8">
        <f>IF($B90="",0,IF(USE_TSPILE=1,L163,('TO HOP'!$E$114/ncoc+IF(SUMSQ($E$56:$E$75)=0,0,'TO HOP'!$F$114*$E66/SUMSQ($E$56:$E$75))+IF(SUMSQ($D$56:$D$75)=0,0,'TO HOP'!$G$114*$D66/SUMSQ($D$56:$D$75)))/9.81))</f>
        <v>441.08964671724186</v>
      </c>
      <c r="M90" s="8">
        <f>IF($B90="",0,IF(USE_TSPILE=1,M163,('TO HOP'!$E$115/ncoc+IF(SUMSQ($E$56:$E$75)=0,0,'TO HOP'!$F$115*$E66/SUMSQ($E$56:$E$75))+IF(SUMSQ($D$56:$D$75)=0,0,'TO HOP'!$G$115*$D66/SUMSQ($D$56:$D$75)))/9.81))</f>
        <v>445.21039819983883</v>
      </c>
      <c r="N90" s="8">
        <f>IF($B90="",0,IF(USE_TSPILE=1,N163,('TO HOP'!$E$116/ncoc+IF(SUMSQ($E$56:$E$75)=0,0,'TO HOP'!$F$116*$E66/SUMSQ($E$56:$E$75))+IF(SUMSQ($D$56:$D$75)=0,0,'TO HOP'!$G$116*$D66/SUMSQ($D$56:$D$75)))/9.81))</f>
        <v>449.33114968243575</v>
      </c>
      <c r="O90" s="8">
        <f>IF($B90="",0,IF(USE_TSPILE=1,O163,('TO HOP'!$E$117/ncoc+IF(SUMSQ($E$56:$E$75)=0,0,'TO HOP'!$F$117*$E66/SUMSQ($E$56:$E$75))+IF(SUMSQ($D$56:$D$75)=0,0,'TO HOP'!$G$117*$D66/SUMSQ($D$56:$D$75)))/9.81))</f>
        <v>573.86768140048946</v>
      </c>
      <c r="P90" s="8">
        <f>IF($B90="",0,IF(USE_TSPILE=1,P163,('TO HOP'!$E$118/ncoc+IF(SUMSQ($E$56:$E$75)=0,0,'TO HOP'!$F$118*$E66/SUMSQ($E$56:$E$75))+IF(SUMSQ($D$56:$D$75)=0,0,'TO HOP'!$G$118*$D66/SUMSQ($D$56:$D$75)))/9.81))</f>
        <v>574.0228787804374</v>
      </c>
      <c r="Q90" s="8">
        <f>IF($B90="",0,IF(USE_TSPILE=1,Q163,('TO HOP'!$E$119/ncoc+IF(SUMSQ($E$56:$E$75)=0,0,'TO HOP'!$F$119*$E66/SUMSQ($E$56:$E$75))+IF(SUMSQ($D$56:$D$75)=0,0,'TO HOP'!$G$119*$D66/SUMSQ($D$56:$D$75)))/9.81))</f>
        <v>578.73441203482128</v>
      </c>
      <c r="R90" s="8">
        <f>IF($B90="",0,IF(USE_TSPILE=1,R163,('TO HOP'!$E$120/ncoc+IF(SUMSQ($E$56:$E$75)=0,0,'TO HOP'!$F$120*$E66/SUMSQ($E$56:$E$75))+IF(SUMSQ($D$56:$D$75)=0,0,'TO HOP'!$G$120*$D66/SUMSQ($D$56:$D$75)))/9.81))</f>
        <v>585.61799608460365</v>
      </c>
      <c r="S90" s="8">
        <f>IF($B90="",0,IF(USE_TSPILE=1,S163,('TO HOP'!$E$121/ncoc+IF(SUMSQ($E$56:$E$75)=0,0,'TO HOP'!$F$121*$E66/SUMSQ($E$56:$E$75))+IF(SUMSQ($D$56:$D$75)=0,0,'TO HOP'!$G$121*$D66/SUMSQ($D$56:$D$75)))/9.81))</f>
        <v>595.28744776683664</v>
      </c>
      <c r="T90" s="8">
        <f>IF($B90="",0,IF(USE_TSPILE=1,T163,('TO HOP'!$E$122/ncoc+IF(SUMSQ($E$56:$E$75)=0,0,'TO HOP'!$F$122*$E66/SUMSQ($E$56:$E$75))+IF(SUMSQ($D$56:$D$75)=0,0,'TO HOP'!$G$122*$D66/SUMSQ($D$56:$D$75)))/9.81))</f>
        <v>608.42720992580598</v>
      </c>
      <c r="U90" s="8">
        <f>IF($B90="",0,IF(USE_TSPILE=1,U163,('TO HOP'!$E$123/ncoc+IF(SUMSQ($E$56:$E$75)=0,0,'TO HOP'!$F$123*$E66/SUMSQ($E$56:$E$75))+IF(SUMSQ($D$56:$D$75)=0,0,'TO HOP'!$G$123*$D66/SUMSQ($D$56:$D$75)))/9.81))</f>
        <v>594.95649122065674</v>
      </c>
      <c r="V90" s="8">
        <f>IF($B90="",0,IF(USE_TSPILE=1,V163,('TO HOP'!$E$124/ncoc+IF(SUMSQ($E$56:$E$75)=0,0,'TO HOP'!$F$124*$E66/SUMSQ($E$56:$E$75))+IF(SUMSQ($D$56:$D$75)=0,0,'TO HOP'!$G$124*$D66/SUMSQ($D$56:$D$75)))/9.81))</f>
        <v>603.83195595240386</v>
      </c>
      <c r="W90" s="8">
        <f>IF($B90="",0,IF(USE_TSPILE=1,W163,('TO HOP'!$E$125/ncoc+IF(SUMSQ($E$56:$E$75)=0,0,'TO HOP'!$F$125*$E66/SUMSQ($E$56:$E$75))+IF(SUMSQ($D$56:$D$75)=0,0,'TO HOP'!$G$125*$D66/SUMSQ($D$56:$D$75)))/9.81))</f>
        <v>609.93383795548016</v>
      </c>
      <c r="X90" s="8">
        <f>IF($B90="",0,IF(USE_TSPILE=1,X163,('TO HOP'!$E$126/ncoc+IF(SUMSQ($E$56:$E$75)=0,0,'TO HOP'!$F$126*$E66/SUMSQ($E$56:$E$75))+IF(SUMSQ($D$56:$D$75)=0,0,'TO HOP'!$G$126*$D66/SUMSQ($D$56:$D$75)))/9.81))</f>
        <v>610.48855450121437</v>
      </c>
      <c r="Y90" s="8">
        <f>IF($B90="",0,IF(USE_TSPILE=1,Y163,('TO HOP'!$E$127/ncoc+IF(SUMSQ($E$56:$E$75)=0,0,'TO HOP'!$F$127*$E66/SUMSQ($E$56:$E$75))+IF(SUMSQ($D$56:$D$75)=0,0,'TO HOP'!$G$127*$D66/SUMSQ($D$56:$D$75)))/9.81))</f>
        <v>617.69986959575908</v>
      </c>
      <c r="Z90" s="8">
        <f>IF($B90="",0,IF(USE_TSPILE=1,Z163,('TO HOP'!$E$128/ncoc+IF(SUMSQ($E$56:$E$75)=0,0,'TO HOP'!$F$128*$E66/SUMSQ($E$56:$E$75))+IF(SUMSQ($D$56:$D$75)=0,0,'TO HOP'!$G$128*$D66/SUMSQ($D$56:$D$75)))/9.81))</f>
        <v>624.9111846903038</v>
      </c>
      <c r="AA90" s="8">
        <f>IF($B90="",0,IF(USE_TSPILE=1,AA163,('TO HOP'!$E$129/ncoc+IF(SUMSQ($E$56:$E$75)=0,0,'TO HOP'!$F$129*$E66/SUMSQ($E$56:$E$75))+IF(SUMSQ($D$56:$D$75)=0,0,'TO HOP'!$G$129*$D66/SUMSQ($D$56:$D$75)))/9.81))</f>
        <v>400.62916880050392</v>
      </c>
      <c r="AB90" s="8">
        <f>IF($B90="",0,IF(USE_TSPILE=1,AB163,('TO HOP'!$E$130/ncoc+IF(SUMSQ($E$56:$E$75)=0,0,'TO HOP'!$F$130*$E66/SUMSQ($E$56:$E$75))+IF(SUMSQ($D$56:$D$75)=0,0,'TO HOP'!$G$130*$D66/SUMSQ($D$56:$D$75)))/9.81))</f>
        <v>400.78436618045203</v>
      </c>
      <c r="AC90" s="8">
        <f>IF($B90="",0,IF(USE_TSPILE=1,AC163,('TO HOP'!$E$131/ncoc+IF(SUMSQ($E$56:$E$75)=0,0,'TO HOP'!$F$131*$E66/SUMSQ($E$56:$E$75))+IF(SUMSQ($D$56:$D$75)=0,0,'TO HOP'!$G$131*$D66/SUMSQ($D$56:$D$75)))/9.81))</f>
        <v>405.49589943483596</v>
      </c>
      <c r="AD90" s="8">
        <f>IF($B90="",0,IF(USE_TSPILE=1,AD163,('TO HOP'!$E$132/ncoc+IF(SUMSQ($E$56:$E$75)=0,0,'TO HOP'!$F$132*$E66/SUMSQ($E$56:$E$75))+IF(SUMSQ($D$56:$D$75)=0,0,'TO HOP'!$G$132*$D66/SUMSQ($D$56:$D$75)))/9.81))</f>
        <v>412.37948348461816</v>
      </c>
      <c r="AE90" s="8">
        <f>IF($B90="",0,IF(USE_TSPILE=1,AE163,('TO HOP'!$E$133/ncoc+IF(SUMSQ($E$56:$E$75)=0,0,'TO HOP'!$F$133*$E66/SUMSQ($E$56:$E$75))+IF(SUMSQ($D$56:$D$75)=0,0,'TO HOP'!$G$133*$D66/SUMSQ($D$56:$D$75)))/9.81))</f>
        <v>422.04893516685115</v>
      </c>
      <c r="AF90" s="8">
        <f>IF($B90="",0,IF(USE_TSPILE=1,AF163,('TO HOP'!$E$134/ncoc+IF(SUMSQ($E$56:$E$75)=0,0,'TO HOP'!$F$134*$E66/SUMSQ($E$56:$E$75))+IF(SUMSQ($D$56:$D$75)=0,0,'TO HOP'!$G$134*$D66/SUMSQ($D$56:$D$75)))/9.81))</f>
        <v>435.1886973258205</v>
      </c>
      <c r="AG90" s="8">
        <f>IF($B90="",0,IF(USE_TSPILE=1,AG163,('TO HOP'!$E$135/ncoc+IF(SUMSQ($E$56:$E$75)=0,0,'TO HOP'!$F$135*$E66/SUMSQ($E$56:$E$75))+IF(SUMSQ($D$56:$D$75)=0,0,'TO HOP'!$G$135*$D66/SUMSQ($D$56:$D$75)))/9.81))</f>
        <v>526.04892646734299</v>
      </c>
      <c r="AH90" s="8">
        <f>IF($B90="",0,IF(USE_TSPILE=1,AH163,('TO HOP'!$E$136/ncoc+IF(SUMSQ($E$56:$E$75)=0,0,'TO HOP'!$F$136*$E66/SUMSQ($E$56:$E$75))+IF(SUMSQ($D$56:$D$75)=0,0,'TO HOP'!$G$136*$D66/SUMSQ($D$56:$D$75)))/9.81))</f>
        <v>352.81041386735762</v>
      </c>
      <c r="AI90" s="8">
        <f>IF($B90="",0,IF(USE_TSPILE=1,AI163,('TO HOP'!$E$137/ncoc+IF(SUMSQ($E$56:$E$75)=0,0,'TO HOP'!$F$137*$E66/SUMSQ($E$56:$E$75))+IF(SUMSQ($D$56:$D$75)=0,0,'TO HOP'!$G$137*$D66/SUMSQ($D$56:$D$75)))/9.81))</f>
        <v>564.81871882490975</v>
      </c>
      <c r="AJ90" s="8">
        <f>IF($B90="",0,IF(USE_TSPILE=1,AJ163,('TO HOP'!$E$138/ncoc+IF(SUMSQ($E$56:$E$75)=0,0,'TO HOP'!$F$138*$E66/SUMSQ($E$56:$E$75))+IF(SUMSQ($D$56:$D$75)=0,0,'TO HOP'!$G$138*$D66/SUMSQ($D$56:$D$75)))/9.81))</f>
        <v>564.93844251801283</v>
      </c>
      <c r="AK90" s="8">
        <f>IF($B90="",0,IF(USE_TSPILE=1,AK163,('TO HOP'!$E$139/ncoc+IF(SUMSQ($E$56:$E$75)=0,0,'TO HOP'!$F$139*$E66/SUMSQ($E$56:$E$75))+IF(SUMSQ($D$56:$D$75)=0,0,'TO HOP'!$G$139*$D66/SUMSQ($D$56:$D$75)))/9.81))</f>
        <v>568.57305388568034</v>
      </c>
      <c r="AL90" s="8">
        <f>IF($B90="",0,IF(USE_TSPILE=1,AL163,('TO HOP'!$E$140/ncoc+IF(SUMSQ($E$56:$E$75)=0,0,'TO HOP'!$F$140*$E66/SUMSQ($E$56:$E$75))+IF(SUMSQ($D$56:$D$75)=0,0,'TO HOP'!$G$140*$D66/SUMSQ($D$56:$D$75)))/9.81))</f>
        <v>573.88324729551232</v>
      </c>
      <c r="AM90" s="8">
        <f>IF($B90="",0,IF(USE_TSPILE=1,AM163,('TO HOP'!$E$141/ncoc+IF(SUMSQ($E$56:$E$75)=0,0,'TO HOP'!$F$141*$E66/SUMSQ($E$56:$E$75))+IF(SUMSQ($D$56:$D$75)=0,0,'TO HOP'!$G$141*$D66/SUMSQ($D$56:$D$75)))/9.81))</f>
        <v>581.34253859323485</v>
      </c>
      <c r="AN90" s="8">
        <f>IF($B90="",0,IF(USE_TSPILE=1,AN163,('TO HOP'!$E$142/ncoc+IF(SUMSQ($E$56:$E$75)=0,0,'TO HOP'!$F$142*$E66/SUMSQ($E$56:$E$75))+IF(SUMSQ($D$56:$D$75)=0,0,'TO HOP'!$G$142*$D66/SUMSQ($D$56:$D$75)))/9.81))</f>
        <v>591.47892654443979</v>
      </c>
      <c r="AO90" s="8">
        <f>IF($B90="",0,IF(USE_TSPILE=1,AO163,('TO HOP'!$E$143/ncoc+IF(SUMSQ($E$56:$E$75)=0,0,'TO HOP'!$F$143*$E66/SUMSQ($E$56:$E$75))+IF(SUMSQ($D$56:$D$75)=0,0,'TO HOP'!$G$143*$D66/SUMSQ($D$56:$D$75)))/9.81))</f>
        <v>391.5802062249245</v>
      </c>
      <c r="AP90" s="8">
        <f>IF($B90="",0,IF(USE_TSPILE=1,AP163,('TO HOP'!$E$144/ncoc+IF(SUMSQ($E$56:$E$75)=0,0,'TO HOP'!$F$144*$E66/SUMSQ($E$56:$E$75))+IF(SUMSQ($D$56:$D$75)=0,0,'TO HOP'!$G$144*$D66/SUMSQ($D$56:$D$75)))/9.81))</f>
        <v>391.69992991802741</v>
      </c>
      <c r="AQ90" s="8">
        <f>IF($B90="",0,IF(USE_TSPILE=1,AQ163,('TO HOP'!$E$145/ncoc+IF(SUMSQ($E$56:$E$75)=0,0,'TO HOP'!$F$145*$E66/SUMSQ($E$56:$E$75))+IF(SUMSQ($D$56:$D$75)=0,0,'TO HOP'!$G$145*$D66/SUMSQ($D$56:$D$75)))/9.81))</f>
        <v>395.33454128569497</v>
      </c>
      <c r="AR90" s="8">
        <f>IF($B90="",0,IF(USE_TSPILE=1,AR163,('TO HOP'!$E$146/ncoc+IF(SUMSQ($E$56:$E$75)=0,0,'TO HOP'!$F$146*$E66/SUMSQ($E$56:$E$75))+IF(SUMSQ($D$56:$D$75)=0,0,'TO HOP'!$G$146*$D66/SUMSQ($D$56:$D$75)))/9.81))</f>
        <v>400.64473469552706</v>
      </c>
      <c r="AS90" s="8">
        <f>IF($B90="",0,IF(USE_TSPILE=1,AS163,('TO HOP'!$E$147/ncoc+IF(SUMSQ($E$56:$E$75)=0,0,'TO HOP'!$F$147*$E66/SUMSQ($E$56:$E$75))+IF(SUMSQ($D$56:$D$75)=0,0,'TO HOP'!$G$147*$D66/SUMSQ($D$56:$D$75)))/9.81))</f>
        <v>408.10402599324948</v>
      </c>
      <c r="AT90" s="8">
        <f>IF($B90="",0,IF(USE_TSPILE=1,AT163,('TO HOP'!$E$148/ncoc+IF(SUMSQ($E$56:$E$75)=0,0,'TO HOP'!$F$148*$E66/SUMSQ($E$56:$E$75))+IF(SUMSQ($D$56:$D$75)=0,0,'TO HOP'!$G$148*$D66/SUMSQ($D$56:$D$75)))/9.81))</f>
        <v>418.24041394445447</v>
      </c>
      <c r="AU90" s="8">
        <f>IF($B90="",0,IF(USE_TSPILE=1,AU163,('TO HOP'!$E$149/ncoc+IF(SUMSQ($E$56:$E$75)=0,0,'TO HOP'!$F$149*$E66/SUMSQ($E$56:$E$75))+IF(SUMSQ($D$56:$D$75)=0,0,'TO HOP'!$G$149*$D66/SUMSQ($D$56:$D$75)))/9.81))</f>
        <v>615.5000097246666</v>
      </c>
      <c r="AV90" s="8">
        <f>IF($B90="",0,IF(USE_TSPILE=1,AV163,('TO HOP'!$E$150/ncoc+IF(SUMSQ($E$56:$E$75)=0,0,'TO HOP'!$F$150*$E66/SUMSQ($E$56:$E$75))+IF(SUMSQ($D$56:$D$75)=0,0,'TO HOP'!$G$150*$D66/SUMSQ($D$56:$D$75)))/9.81))</f>
        <v>483.17023097854781</v>
      </c>
    </row>
    <row r="91" spans="2:48" x14ac:dyDescent="0.3">
      <c r="B91" s="10" t="str">
        <f>IF(12&lt;=ncoc,12,"")</f>
        <v/>
      </c>
      <c r="C91" s="8">
        <f>IF($B91="",0,IF(USE_TSPILE=1,C164,('TO HOP'!$E$105/ncoc+IF(SUMSQ($E$56:$E$75)=0,0,'TO HOP'!$F$105*$E67/SUMSQ($E$56:$E$75))+IF(SUMSQ($D$56:$D$75)=0,0,'TO HOP'!$G$105*$D67/SUMSQ($D$56:$D$75)))/9.81))</f>
        <v>0</v>
      </c>
      <c r="D91" s="8">
        <f>IF($B91="",0,IF(USE_TSPILE=1,D164,('TO HOP'!$E$106/ncoc+IF(SUMSQ($E$56:$E$75)=0,0,'TO HOP'!$F$106*$E67/SUMSQ($E$56:$E$75))+IF(SUMSQ($D$56:$D$75)=0,0,'TO HOP'!$G$106*$D67/SUMSQ($D$56:$D$75)))/9.81))</f>
        <v>0</v>
      </c>
      <c r="E91" s="8">
        <f>IF($B91="",0,IF(USE_TSPILE=1,E164,('TO HOP'!$E$107/ncoc+IF(SUMSQ($E$56:$E$75)=0,0,'TO HOP'!$F$107*$E67/SUMSQ($E$56:$E$75))+IF(SUMSQ($D$56:$D$75)=0,0,'TO HOP'!$G$107*$D67/SUMSQ($D$56:$D$75)))/9.81))</f>
        <v>0</v>
      </c>
      <c r="F91" s="8">
        <f>IF($B91="",0,IF(USE_TSPILE=1,F164,('TO HOP'!$E$108/ncoc+IF(SUMSQ($E$56:$E$75)=0,0,'TO HOP'!$F$108*$E67/SUMSQ($E$56:$E$75))+IF(SUMSQ($D$56:$D$75)=0,0,'TO HOP'!$G$108*$D67/SUMSQ($D$56:$D$75)))/9.81))</f>
        <v>0</v>
      </c>
      <c r="G91" s="8">
        <f>IF($B91="",0,IF(USE_TSPILE=1,G164,('TO HOP'!$E$109/ncoc+IF(SUMSQ($E$56:$E$75)=0,0,'TO HOP'!$F$109*$E67/SUMSQ($E$56:$E$75))+IF(SUMSQ($D$56:$D$75)=0,0,'TO HOP'!$G$109*$D67/SUMSQ($D$56:$D$75)))/9.81))</f>
        <v>0</v>
      </c>
      <c r="H91" s="8">
        <f>IF($B91="",0,IF(USE_TSPILE=1,H164,('TO HOP'!$E$110/ncoc+IF(SUMSQ($E$56:$E$75)=0,0,'TO HOP'!$F$110*$E67/SUMSQ($E$56:$E$75))+IF(SUMSQ($D$56:$D$75)=0,0,'TO HOP'!$G$110*$D67/SUMSQ($D$56:$D$75)))/9.81))</f>
        <v>0</v>
      </c>
      <c r="I91" s="8">
        <f>IF($B91="",0,IF(USE_TSPILE=1,I164,('TO HOP'!$E$111/ncoc+IF(SUMSQ($E$56:$E$75)=0,0,'TO HOP'!$F$111*$E67/SUMSQ($E$56:$E$75))+IF(SUMSQ($D$56:$D$75)=0,0,'TO HOP'!$G$111*$D67/SUMSQ($D$56:$D$75)))/9.81))</f>
        <v>0</v>
      </c>
      <c r="J91" s="8">
        <f>IF($B91="",0,IF(USE_TSPILE=1,J164,('TO HOP'!$E$112/ncoc+IF(SUMSQ($E$56:$E$75)=0,0,'TO HOP'!$F$112*$E67/SUMSQ($E$56:$E$75))+IF(SUMSQ($D$56:$D$75)=0,0,'TO HOP'!$G$112*$D67/SUMSQ($D$56:$D$75)))/9.81))</f>
        <v>0</v>
      </c>
      <c r="K91" s="8">
        <f>IF($B91="",0,IF(USE_TSPILE=1,K164,('TO HOP'!$E$113/ncoc+IF(SUMSQ($E$56:$E$75)=0,0,'TO HOP'!$F$113*$E67/SUMSQ($E$56:$E$75))+IF(SUMSQ($D$56:$D$75)=0,0,'TO HOP'!$G$113*$D67/SUMSQ($D$56:$D$75)))/9.81))</f>
        <v>0</v>
      </c>
      <c r="L91" s="8">
        <f>IF($B91="",0,IF(USE_TSPILE=1,L164,('TO HOP'!$E$114/ncoc+IF(SUMSQ($E$56:$E$75)=0,0,'TO HOP'!$F$114*$E67/SUMSQ($E$56:$E$75))+IF(SUMSQ($D$56:$D$75)=0,0,'TO HOP'!$G$114*$D67/SUMSQ($D$56:$D$75)))/9.81))</f>
        <v>0</v>
      </c>
      <c r="M91" s="8">
        <f>IF($B91="",0,IF(USE_TSPILE=1,M164,('TO HOP'!$E$115/ncoc+IF(SUMSQ($E$56:$E$75)=0,0,'TO HOP'!$F$115*$E67/SUMSQ($E$56:$E$75))+IF(SUMSQ($D$56:$D$75)=0,0,'TO HOP'!$G$115*$D67/SUMSQ($D$56:$D$75)))/9.81))</f>
        <v>0</v>
      </c>
      <c r="N91" s="8">
        <f>IF($B91="",0,IF(USE_TSPILE=1,N164,('TO HOP'!$E$116/ncoc+IF(SUMSQ($E$56:$E$75)=0,0,'TO HOP'!$F$116*$E67/SUMSQ($E$56:$E$75))+IF(SUMSQ($D$56:$D$75)=0,0,'TO HOP'!$G$116*$D67/SUMSQ($D$56:$D$75)))/9.81))</f>
        <v>0</v>
      </c>
      <c r="O91" s="8">
        <f>IF($B91="",0,IF(USE_TSPILE=1,O164,('TO HOP'!$E$117/ncoc+IF(SUMSQ($E$56:$E$75)=0,0,'TO HOP'!$F$117*$E67/SUMSQ($E$56:$E$75))+IF(SUMSQ($D$56:$D$75)=0,0,'TO HOP'!$G$117*$D67/SUMSQ($D$56:$D$75)))/9.81))</f>
        <v>0</v>
      </c>
      <c r="P91" s="8">
        <f>IF($B91="",0,IF(USE_TSPILE=1,P164,('TO HOP'!$E$118/ncoc+IF(SUMSQ($E$56:$E$75)=0,0,'TO HOP'!$F$118*$E67/SUMSQ($E$56:$E$75))+IF(SUMSQ($D$56:$D$75)=0,0,'TO HOP'!$G$118*$D67/SUMSQ($D$56:$D$75)))/9.81))</f>
        <v>0</v>
      </c>
      <c r="Q91" s="8">
        <f>IF($B91="",0,IF(USE_TSPILE=1,Q164,('TO HOP'!$E$119/ncoc+IF(SUMSQ($E$56:$E$75)=0,0,'TO HOP'!$F$119*$E67/SUMSQ($E$56:$E$75))+IF(SUMSQ($D$56:$D$75)=0,0,'TO HOP'!$G$119*$D67/SUMSQ($D$56:$D$75)))/9.81))</f>
        <v>0</v>
      </c>
      <c r="R91" s="8">
        <f>IF($B91="",0,IF(USE_TSPILE=1,R164,('TO HOP'!$E$120/ncoc+IF(SUMSQ($E$56:$E$75)=0,0,'TO HOP'!$F$120*$E67/SUMSQ($E$56:$E$75))+IF(SUMSQ($D$56:$D$75)=0,0,'TO HOP'!$G$120*$D67/SUMSQ($D$56:$D$75)))/9.81))</f>
        <v>0</v>
      </c>
      <c r="S91" s="8">
        <f>IF($B91="",0,IF(USE_TSPILE=1,S164,('TO HOP'!$E$121/ncoc+IF(SUMSQ($E$56:$E$75)=0,0,'TO HOP'!$F$121*$E67/SUMSQ($E$56:$E$75))+IF(SUMSQ($D$56:$D$75)=0,0,'TO HOP'!$G$121*$D67/SUMSQ($D$56:$D$75)))/9.81))</f>
        <v>0</v>
      </c>
      <c r="T91" s="8">
        <f>IF($B91="",0,IF(USE_TSPILE=1,T164,('TO HOP'!$E$122/ncoc+IF(SUMSQ($E$56:$E$75)=0,0,'TO HOP'!$F$122*$E67/SUMSQ($E$56:$E$75))+IF(SUMSQ($D$56:$D$75)=0,0,'TO HOP'!$G$122*$D67/SUMSQ($D$56:$D$75)))/9.81))</f>
        <v>0</v>
      </c>
      <c r="U91" s="8">
        <f>IF($B91="",0,IF(USE_TSPILE=1,U164,('TO HOP'!$E$123/ncoc+IF(SUMSQ($E$56:$E$75)=0,0,'TO HOP'!$F$123*$E67/SUMSQ($E$56:$E$75))+IF(SUMSQ($D$56:$D$75)=0,0,'TO HOP'!$G$123*$D67/SUMSQ($D$56:$D$75)))/9.81))</f>
        <v>0</v>
      </c>
      <c r="V91" s="8">
        <f>IF($B91="",0,IF(USE_TSPILE=1,V164,('TO HOP'!$E$124/ncoc+IF(SUMSQ($E$56:$E$75)=0,0,'TO HOP'!$F$124*$E67/SUMSQ($E$56:$E$75))+IF(SUMSQ($D$56:$D$75)=0,0,'TO HOP'!$G$124*$D67/SUMSQ($D$56:$D$75)))/9.81))</f>
        <v>0</v>
      </c>
      <c r="W91" s="8">
        <f>IF($B91="",0,IF(USE_TSPILE=1,W164,('TO HOP'!$E$125/ncoc+IF(SUMSQ($E$56:$E$75)=0,0,'TO HOP'!$F$125*$E67/SUMSQ($E$56:$E$75))+IF(SUMSQ($D$56:$D$75)=0,0,'TO HOP'!$G$125*$D67/SUMSQ($D$56:$D$75)))/9.81))</f>
        <v>0</v>
      </c>
      <c r="X91" s="8">
        <f>IF($B91="",0,IF(USE_TSPILE=1,X164,('TO HOP'!$E$126/ncoc+IF(SUMSQ($E$56:$E$75)=0,0,'TO HOP'!$F$126*$E67/SUMSQ($E$56:$E$75))+IF(SUMSQ($D$56:$D$75)=0,0,'TO HOP'!$G$126*$D67/SUMSQ($D$56:$D$75)))/9.81))</f>
        <v>0</v>
      </c>
      <c r="Y91" s="8">
        <f>IF($B91="",0,IF(USE_TSPILE=1,Y164,('TO HOP'!$E$127/ncoc+IF(SUMSQ($E$56:$E$75)=0,0,'TO HOP'!$F$127*$E67/SUMSQ($E$56:$E$75))+IF(SUMSQ($D$56:$D$75)=0,0,'TO HOP'!$G$127*$D67/SUMSQ($D$56:$D$75)))/9.81))</f>
        <v>0</v>
      </c>
      <c r="Z91" s="8">
        <f>IF($B91="",0,IF(USE_TSPILE=1,Z164,('TO HOP'!$E$128/ncoc+IF(SUMSQ($E$56:$E$75)=0,0,'TO HOP'!$F$128*$E67/SUMSQ($E$56:$E$75))+IF(SUMSQ($D$56:$D$75)=0,0,'TO HOP'!$G$128*$D67/SUMSQ($D$56:$D$75)))/9.81))</f>
        <v>0</v>
      </c>
      <c r="AA91" s="8">
        <f>IF($B91="",0,IF(USE_TSPILE=1,AA164,('TO HOP'!$E$129/ncoc+IF(SUMSQ($E$56:$E$75)=0,0,'TO HOP'!$F$129*$E67/SUMSQ($E$56:$E$75))+IF(SUMSQ($D$56:$D$75)=0,0,'TO HOP'!$G$129*$D67/SUMSQ($D$56:$D$75)))/9.81))</f>
        <v>0</v>
      </c>
      <c r="AB91" s="8">
        <f>IF($B91="",0,IF(USE_TSPILE=1,AB164,('TO HOP'!$E$130/ncoc+IF(SUMSQ($E$56:$E$75)=0,0,'TO HOP'!$F$130*$E67/SUMSQ($E$56:$E$75))+IF(SUMSQ($D$56:$D$75)=0,0,'TO HOP'!$G$130*$D67/SUMSQ($D$56:$D$75)))/9.81))</f>
        <v>0</v>
      </c>
      <c r="AC91" s="8">
        <f>IF($B91="",0,IF(USE_TSPILE=1,AC164,('TO HOP'!$E$131/ncoc+IF(SUMSQ($E$56:$E$75)=0,0,'TO HOP'!$F$131*$E67/SUMSQ($E$56:$E$75))+IF(SUMSQ($D$56:$D$75)=0,0,'TO HOP'!$G$131*$D67/SUMSQ($D$56:$D$75)))/9.81))</f>
        <v>0</v>
      </c>
      <c r="AD91" s="8">
        <f>IF($B91="",0,IF(USE_TSPILE=1,AD164,('TO HOP'!$E$132/ncoc+IF(SUMSQ($E$56:$E$75)=0,0,'TO HOP'!$F$132*$E67/SUMSQ($E$56:$E$75))+IF(SUMSQ($D$56:$D$75)=0,0,'TO HOP'!$G$132*$D67/SUMSQ($D$56:$D$75)))/9.81))</f>
        <v>0</v>
      </c>
      <c r="AE91" s="8">
        <f>IF($B91="",0,IF(USE_TSPILE=1,AE164,('TO HOP'!$E$133/ncoc+IF(SUMSQ($E$56:$E$75)=0,0,'TO HOP'!$F$133*$E67/SUMSQ($E$56:$E$75))+IF(SUMSQ($D$56:$D$75)=0,0,'TO HOP'!$G$133*$D67/SUMSQ($D$56:$D$75)))/9.81))</f>
        <v>0</v>
      </c>
      <c r="AF91" s="8">
        <f>IF($B91="",0,IF(USE_TSPILE=1,AF164,('TO HOP'!$E$134/ncoc+IF(SUMSQ($E$56:$E$75)=0,0,'TO HOP'!$F$134*$E67/SUMSQ($E$56:$E$75))+IF(SUMSQ($D$56:$D$75)=0,0,'TO HOP'!$G$134*$D67/SUMSQ($D$56:$D$75)))/9.81))</f>
        <v>0</v>
      </c>
      <c r="AG91" s="8">
        <f>IF($B91="",0,IF(USE_TSPILE=1,AG164,('TO HOP'!$E$135/ncoc+IF(SUMSQ($E$56:$E$75)=0,0,'TO HOP'!$F$135*$E67/SUMSQ($E$56:$E$75))+IF(SUMSQ($D$56:$D$75)=0,0,'TO HOP'!$G$135*$D67/SUMSQ($D$56:$D$75)))/9.81))</f>
        <v>0</v>
      </c>
      <c r="AH91" s="8">
        <f>IF($B91="",0,IF(USE_TSPILE=1,AH164,('TO HOP'!$E$136/ncoc+IF(SUMSQ($E$56:$E$75)=0,0,'TO HOP'!$F$136*$E67/SUMSQ($E$56:$E$75))+IF(SUMSQ($D$56:$D$75)=0,0,'TO HOP'!$G$136*$D67/SUMSQ($D$56:$D$75)))/9.81))</f>
        <v>0</v>
      </c>
      <c r="AI91" s="8">
        <f>IF($B91="",0,IF(USE_TSPILE=1,AI164,('TO HOP'!$E$137/ncoc+IF(SUMSQ($E$56:$E$75)=0,0,'TO HOP'!$F$137*$E67/SUMSQ($E$56:$E$75))+IF(SUMSQ($D$56:$D$75)=0,0,'TO HOP'!$G$137*$D67/SUMSQ($D$56:$D$75)))/9.81))</f>
        <v>0</v>
      </c>
      <c r="AJ91" s="8">
        <f>IF($B91="",0,IF(USE_TSPILE=1,AJ164,('TO HOP'!$E$138/ncoc+IF(SUMSQ($E$56:$E$75)=0,0,'TO HOP'!$F$138*$E67/SUMSQ($E$56:$E$75))+IF(SUMSQ($D$56:$D$75)=0,0,'TO HOP'!$G$138*$D67/SUMSQ($D$56:$D$75)))/9.81))</f>
        <v>0</v>
      </c>
      <c r="AK91" s="8">
        <f>IF($B91="",0,IF(USE_TSPILE=1,AK164,('TO HOP'!$E$139/ncoc+IF(SUMSQ($E$56:$E$75)=0,0,'TO HOP'!$F$139*$E67/SUMSQ($E$56:$E$75))+IF(SUMSQ($D$56:$D$75)=0,0,'TO HOP'!$G$139*$D67/SUMSQ($D$56:$D$75)))/9.81))</f>
        <v>0</v>
      </c>
      <c r="AL91" s="8">
        <f>IF($B91="",0,IF(USE_TSPILE=1,AL164,('TO HOP'!$E$140/ncoc+IF(SUMSQ($E$56:$E$75)=0,0,'TO HOP'!$F$140*$E67/SUMSQ($E$56:$E$75))+IF(SUMSQ($D$56:$D$75)=0,0,'TO HOP'!$G$140*$D67/SUMSQ($D$56:$D$75)))/9.81))</f>
        <v>0</v>
      </c>
      <c r="AM91" s="8">
        <f>IF($B91="",0,IF(USE_TSPILE=1,AM164,('TO HOP'!$E$141/ncoc+IF(SUMSQ($E$56:$E$75)=0,0,'TO HOP'!$F$141*$E67/SUMSQ($E$56:$E$75))+IF(SUMSQ($D$56:$D$75)=0,0,'TO HOP'!$G$141*$D67/SUMSQ($D$56:$D$75)))/9.81))</f>
        <v>0</v>
      </c>
      <c r="AN91" s="8">
        <f>IF($B91="",0,IF(USE_TSPILE=1,AN164,('TO HOP'!$E$142/ncoc+IF(SUMSQ($E$56:$E$75)=0,0,'TO HOP'!$F$142*$E67/SUMSQ($E$56:$E$75))+IF(SUMSQ($D$56:$D$75)=0,0,'TO HOP'!$G$142*$D67/SUMSQ($D$56:$D$75)))/9.81))</f>
        <v>0</v>
      </c>
      <c r="AO91" s="8">
        <f>IF($B91="",0,IF(USE_TSPILE=1,AO164,('TO HOP'!$E$143/ncoc+IF(SUMSQ($E$56:$E$75)=0,0,'TO HOP'!$F$143*$E67/SUMSQ($E$56:$E$75))+IF(SUMSQ($D$56:$D$75)=0,0,'TO HOP'!$G$143*$D67/SUMSQ($D$56:$D$75)))/9.81))</f>
        <v>0</v>
      </c>
      <c r="AP91" s="8">
        <f>IF($B91="",0,IF(USE_TSPILE=1,AP164,('TO HOP'!$E$144/ncoc+IF(SUMSQ($E$56:$E$75)=0,0,'TO HOP'!$F$144*$E67/SUMSQ($E$56:$E$75))+IF(SUMSQ($D$56:$D$75)=0,0,'TO HOP'!$G$144*$D67/SUMSQ($D$56:$D$75)))/9.81))</f>
        <v>0</v>
      </c>
      <c r="AQ91" s="8">
        <f>IF($B91="",0,IF(USE_TSPILE=1,AQ164,('TO HOP'!$E$145/ncoc+IF(SUMSQ($E$56:$E$75)=0,0,'TO HOP'!$F$145*$E67/SUMSQ($E$56:$E$75))+IF(SUMSQ($D$56:$D$75)=0,0,'TO HOP'!$G$145*$D67/SUMSQ($D$56:$D$75)))/9.81))</f>
        <v>0</v>
      </c>
      <c r="AR91" s="8">
        <f>IF($B91="",0,IF(USE_TSPILE=1,AR164,('TO HOP'!$E$146/ncoc+IF(SUMSQ($E$56:$E$75)=0,0,'TO HOP'!$F$146*$E67/SUMSQ($E$56:$E$75))+IF(SUMSQ($D$56:$D$75)=0,0,'TO HOP'!$G$146*$D67/SUMSQ($D$56:$D$75)))/9.81))</f>
        <v>0</v>
      </c>
      <c r="AS91" s="8">
        <f>IF($B91="",0,IF(USE_TSPILE=1,AS164,('TO HOP'!$E$147/ncoc+IF(SUMSQ($E$56:$E$75)=0,0,'TO HOP'!$F$147*$E67/SUMSQ($E$56:$E$75))+IF(SUMSQ($D$56:$D$75)=0,0,'TO HOP'!$G$147*$D67/SUMSQ($D$56:$D$75)))/9.81))</f>
        <v>0</v>
      </c>
      <c r="AT91" s="8">
        <f>IF($B91="",0,IF(USE_TSPILE=1,AT164,('TO HOP'!$E$148/ncoc+IF(SUMSQ($E$56:$E$75)=0,0,'TO HOP'!$F$148*$E67/SUMSQ($E$56:$E$75))+IF(SUMSQ($D$56:$D$75)=0,0,'TO HOP'!$G$148*$D67/SUMSQ($D$56:$D$75)))/9.81))</f>
        <v>0</v>
      </c>
      <c r="AU91" s="8">
        <f>IF($B91="",0,IF(USE_TSPILE=1,AU164,('TO HOP'!$E$149/ncoc+IF(SUMSQ($E$56:$E$75)=0,0,'TO HOP'!$F$149*$E67/SUMSQ($E$56:$E$75))+IF(SUMSQ($D$56:$D$75)=0,0,'TO HOP'!$G$149*$D67/SUMSQ($D$56:$D$75)))/9.81))</f>
        <v>0</v>
      </c>
      <c r="AV91" s="8">
        <f>IF($B91="",0,IF(USE_TSPILE=1,AV164,('TO HOP'!$E$150/ncoc+IF(SUMSQ($E$56:$E$75)=0,0,'TO HOP'!$F$150*$E67/SUMSQ($E$56:$E$75))+IF(SUMSQ($D$56:$D$75)=0,0,'TO HOP'!$G$150*$D67/SUMSQ($D$56:$D$75)))/9.81))</f>
        <v>0</v>
      </c>
    </row>
    <row r="92" spans="2:48" x14ac:dyDescent="0.3">
      <c r="B92" s="10" t="str">
        <f>IF(13&lt;=ncoc,13,"")</f>
        <v/>
      </c>
      <c r="C92" s="8">
        <f>IF($B92="",0,IF(USE_TSPILE=1,C165,('TO HOP'!$E$105/ncoc+IF(SUMSQ($E$56:$E$75)=0,0,'TO HOP'!$F$105*$E68/SUMSQ($E$56:$E$75))+IF(SUMSQ($D$56:$D$75)=0,0,'TO HOP'!$G$105*$D68/SUMSQ($D$56:$D$75)))/9.81))</f>
        <v>0</v>
      </c>
      <c r="D92" s="8">
        <f>IF($B92="",0,IF(USE_TSPILE=1,D165,('TO HOP'!$E$106/ncoc+IF(SUMSQ($E$56:$E$75)=0,0,'TO HOP'!$F$106*$E68/SUMSQ($E$56:$E$75))+IF(SUMSQ($D$56:$D$75)=0,0,'TO HOP'!$G$106*$D68/SUMSQ($D$56:$D$75)))/9.81))</f>
        <v>0</v>
      </c>
      <c r="E92" s="8">
        <f>IF($B92="",0,IF(USE_TSPILE=1,E165,('TO HOP'!$E$107/ncoc+IF(SUMSQ($E$56:$E$75)=0,0,'TO HOP'!$F$107*$E68/SUMSQ($E$56:$E$75))+IF(SUMSQ($D$56:$D$75)=0,0,'TO HOP'!$G$107*$D68/SUMSQ($D$56:$D$75)))/9.81))</f>
        <v>0</v>
      </c>
      <c r="F92" s="8">
        <f>IF($B92="",0,IF(USE_TSPILE=1,F165,('TO HOP'!$E$108/ncoc+IF(SUMSQ($E$56:$E$75)=0,0,'TO HOP'!$F$108*$E68/SUMSQ($E$56:$E$75))+IF(SUMSQ($D$56:$D$75)=0,0,'TO HOP'!$G$108*$D68/SUMSQ($D$56:$D$75)))/9.81))</f>
        <v>0</v>
      </c>
      <c r="G92" s="8">
        <f>IF($B92="",0,IF(USE_TSPILE=1,G165,('TO HOP'!$E$109/ncoc+IF(SUMSQ($E$56:$E$75)=0,0,'TO HOP'!$F$109*$E68/SUMSQ($E$56:$E$75))+IF(SUMSQ($D$56:$D$75)=0,0,'TO HOP'!$G$109*$D68/SUMSQ($D$56:$D$75)))/9.81))</f>
        <v>0</v>
      </c>
      <c r="H92" s="8">
        <f>IF($B92="",0,IF(USE_TSPILE=1,H165,('TO HOP'!$E$110/ncoc+IF(SUMSQ($E$56:$E$75)=0,0,'TO HOP'!$F$110*$E68/SUMSQ($E$56:$E$75))+IF(SUMSQ($D$56:$D$75)=0,0,'TO HOP'!$G$110*$D68/SUMSQ($D$56:$D$75)))/9.81))</f>
        <v>0</v>
      </c>
      <c r="I92" s="8">
        <f>IF($B92="",0,IF(USE_TSPILE=1,I165,('TO HOP'!$E$111/ncoc+IF(SUMSQ($E$56:$E$75)=0,0,'TO HOP'!$F$111*$E68/SUMSQ($E$56:$E$75))+IF(SUMSQ($D$56:$D$75)=0,0,'TO HOP'!$G$111*$D68/SUMSQ($D$56:$D$75)))/9.81))</f>
        <v>0</v>
      </c>
      <c r="J92" s="8">
        <f>IF($B92="",0,IF(USE_TSPILE=1,J165,('TO HOP'!$E$112/ncoc+IF(SUMSQ($E$56:$E$75)=0,0,'TO HOP'!$F$112*$E68/SUMSQ($E$56:$E$75))+IF(SUMSQ($D$56:$D$75)=0,0,'TO HOP'!$G$112*$D68/SUMSQ($D$56:$D$75)))/9.81))</f>
        <v>0</v>
      </c>
      <c r="K92" s="8">
        <f>IF($B92="",0,IF(USE_TSPILE=1,K165,('TO HOP'!$E$113/ncoc+IF(SUMSQ($E$56:$E$75)=0,0,'TO HOP'!$F$113*$E68/SUMSQ($E$56:$E$75))+IF(SUMSQ($D$56:$D$75)=0,0,'TO HOP'!$G$113*$D68/SUMSQ($D$56:$D$75)))/9.81))</f>
        <v>0</v>
      </c>
      <c r="L92" s="8">
        <f>IF($B92="",0,IF(USE_TSPILE=1,L165,('TO HOP'!$E$114/ncoc+IF(SUMSQ($E$56:$E$75)=0,0,'TO HOP'!$F$114*$E68/SUMSQ($E$56:$E$75))+IF(SUMSQ($D$56:$D$75)=0,0,'TO HOP'!$G$114*$D68/SUMSQ($D$56:$D$75)))/9.81))</f>
        <v>0</v>
      </c>
      <c r="M92" s="8">
        <f>IF($B92="",0,IF(USE_TSPILE=1,M165,('TO HOP'!$E$115/ncoc+IF(SUMSQ($E$56:$E$75)=0,0,'TO HOP'!$F$115*$E68/SUMSQ($E$56:$E$75))+IF(SUMSQ($D$56:$D$75)=0,0,'TO HOP'!$G$115*$D68/SUMSQ($D$56:$D$75)))/9.81))</f>
        <v>0</v>
      </c>
      <c r="N92" s="8">
        <f>IF($B92="",0,IF(USE_TSPILE=1,N165,('TO HOP'!$E$116/ncoc+IF(SUMSQ($E$56:$E$75)=0,0,'TO HOP'!$F$116*$E68/SUMSQ($E$56:$E$75))+IF(SUMSQ($D$56:$D$75)=0,0,'TO HOP'!$G$116*$D68/SUMSQ($D$56:$D$75)))/9.81))</f>
        <v>0</v>
      </c>
      <c r="O92" s="8">
        <f>IF($B92="",0,IF(USE_TSPILE=1,O165,('TO HOP'!$E$117/ncoc+IF(SUMSQ($E$56:$E$75)=0,0,'TO HOP'!$F$117*$E68/SUMSQ($E$56:$E$75))+IF(SUMSQ($D$56:$D$75)=0,0,'TO HOP'!$G$117*$D68/SUMSQ($D$56:$D$75)))/9.81))</f>
        <v>0</v>
      </c>
      <c r="P92" s="8">
        <f>IF($B92="",0,IF(USE_TSPILE=1,P165,('TO HOP'!$E$118/ncoc+IF(SUMSQ($E$56:$E$75)=0,0,'TO HOP'!$F$118*$E68/SUMSQ($E$56:$E$75))+IF(SUMSQ($D$56:$D$75)=0,0,'TO HOP'!$G$118*$D68/SUMSQ($D$56:$D$75)))/9.81))</f>
        <v>0</v>
      </c>
      <c r="Q92" s="8">
        <f>IF($B92="",0,IF(USE_TSPILE=1,Q165,('TO HOP'!$E$119/ncoc+IF(SUMSQ($E$56:$E$75)=0,0,'TO HOP'!$F$119*$E68/SUMSQ($E$56:$E$75))+IF(SUMSQ($D$56:$D$75)=0,0,'TO HOP'!$G$119*$D68/SUMSQ($D$56:$D$75)))/9.81))</f>
        <v>0</v>
      </c>
      <c r="R92" s="8">
        <f>IF($B92="",0,IF(USE_TSPILE=1,R165,('TO HOP'!$E$120/ncoc+IF(SUMSQ($E$56:$E$75)=0,0,'TO HOP'!$F$120*$E68/SUMSQ($E$56:$E$75))+IF(SUMSQ($D$56:$D$75)=0,0,'TO HOP'!$G$120*$D68/SUMSQ($D$56:$D$75)))/9.81))</f>
        <v>0</v>
      </c>
      <c r="S92" s="8">
        <f>IF($B92="",0,IF(USE_TSPILE=1,S165,('TO HOP'!$E$121/ncoc+IF(SUMSQ($E$56:$E$75)=0,0,'TO HOP'!$F$121*$E68/SUMSQ($E$56:$E$75))+IF(SUMSQ($D$56:$D$75)=0,0,'TO HOP'!$G$121*$D68/SUMSQ($D$56:$D$75)))/9.81))</f>
        <v>0</v>
      </c>
      <c r="T92" s="8">
        <f>IF($B92="",0,IF(USE_TSPILE=1,T165,('TO HOP'!$E$122/ncoc+IF(SUMSQ($E$56:$E$75)=0,0,'TO HOP'!$F$122*$E68/SUMSQ($E$56:$E$75))+IF(SUMSQ($D$56:$D$75)=0,0,'TO HOP'!$G$122*$D68/SUMSQ($D$56:$D$75)))/9.81))</f>
        <v>0</v>
      </c>
      <c r="U92" s="8">
        <f>IF($B92="",0,IF(USE_TSPILE=1,U165,('TO HOP'!$E$123/ncoc+IF(SUMSQ($E$56:$E$75)=0,0,'TO HOP'!$F$123*$E68/SUMSQ($E$56:$E$75))+IF(SUMSQ($D$56:$D$75)=0,0,'TO HOP'!$G$123*$D68/SUMSQ($D$56:$D$75)))/9.81))</f>
        <v>0</v>
      </c>
      <c r="V92" s="8">
        <f>IF($B92="",0,IF(USE_TSPILE=1,V165,('TO HOP'!$E$124/ncoc+IF(SUMSQ($E$56:$E$75)=0,0,'TO HOP'!$F$124*$E68/SUMSQ($E$56:$E$75))+IF(SUMSQ($D$56:$D$75)=0,0,'TO HOP'!$G$124*$D68/SUMSQ($D$56:$D$75)))/9.81))</f>
        <v>0</v>
      </c>
      <c r="W92" s="8">
        <f>IF($B92="",0,IF(USE_TSPILE=1,W165,('TO HOP'!$E$125/ncoc+IF(SUMSQ($E$56:$E$75)=0,0,'TO HOP'!$F$125*$E68/SUMSQ($E$56:$E$75))+IF(SUMSQ($D$56:$D$75)=0,0,'TO HOP'!$G$125*$D68/SUMSQ($D$56:$D$75)))/9.81))</f>
        <v>0</v>
      </c>
      <c r="X92" s="8">
        <f>IF($B92="",0,IF(USE_TSPILE=1,X165,('TO HOP'!$E$126/ncoc+IF(SUMSQ($E$56:$E$75)=0,0,'TO HOP'!$F$126*$E68/SUMSQ($E$56:$E$75))+IF(SUMSQ($D$56:$D$75)=0,0,'TO HOP'!$G$126*$D68/SUMSQ($D$56:$D$75)))/9.81))</f>
        <v>0</v>
      </c>
      <c r="Y92" s="8">
        <f>IF($B92="",0,IF(USE_TSPILE=1,Y165,('TO HOP'!$E$127/ncoc+IF(SUMSQ($E$56:$E$75)=0,0,'TO HOP'!$F$127*$E68/SUMSQ($E$56:$E$75))+IF(SUMSQ($D$56:$D$75)=0,0,'TO HOP'!$G$127*$D68/SUMSQ($D$56:$D$75)))/9.81))</f>
        <v>0</v>
      </c>
      <c r="Z92" s="8">
        <f>IF($B92="",0,IF(USE_TSPILE=1,Z165,('TO HOP'!$E$128/ncoc+IF(SUMSQ($E$56:$E$75)=0,0,'TO HOP'!$F$128*$E68/SUMSQ($E$56:$E$75))+IF(SUMSQ($D$56:$D$75)=0,0,'TO HOP'!$G$128*$D68/SUMSQ($D$56:$D$75)))/9.81))</f>
        <v>0</v>
      </c>
      <c r="AA92" s="8">
        <f>IF($B92="",0,IF(USE_TSPILE=1,AA165,('TO HOP'!$E$129/ncoc+IF(SUMSQ($E$56:$E$75)=0,0,'TO HOP'!$F$129*$E68/SUMSQ($E$56:$E$75))+IF(SUMSQ($D$56:$D$75)=0,0,'TO HOP'!$G$129*$D68/SUMSQ($D$56:$D$75)))/9.81))</f>
        <v>0</v>
      </c>
      <c r="AB92" s="8">
        <f>IF($B92="",0,IF(USE_TSPILE=1,AB165,('TO HOP'!$E$130/ncoc+IF(SUMSQ($E$56:$E$75)=0,0,'TO HOP'!$F$130*$E68/SUMSQ($E$56:$E$75))+IF(SUMSQ($D$56:$D$75)=0,0,'TO HOP'!$G$130*$D68/SUMSQ($D$56:$D$75)))/9.81))</f>
        <v>0</v>
      </c>
      <c r="AC92" s="8">
        <f>IF($B92="",0,IF(USE_TSPILE=1,AC165,('TO HOP'!$E$131/ncoc+IF(SUMSQ($E$56:$E$75)=0,0,'TO HOP'!$F$131*$E68/SUMSQ($E$56:$E$75))+IF(SUMSQ($D$56:$D$75)=0,0,'TO HOP'!$G$131*$D68/SUMSQ($D$56:$D$75)))/9.81))</f>
        <v>0</v>
      </c>
      <c r="AD92" s="8">
        <f>IF($B92="",0,IF(USE_TSPILE=1,AD165,('TO HOP'!$E$132/ncoc+IF(SUMSQ($E$56:$E$75)=0,0,'TO HOP'!$F$132*$E68/SUMSQ($E$56:$E$75))+IF(SUMSQ($D$56:$D$75)=0,0,'TO HOP'!$G$132*$D68/SUMSQ($D$56:$D$75)))/9.81))</f>
        <v>0</v>
      </c>
      <c r="AE92" s="8">
        <f>IF($B92="",0,IF(USE_TSPILE=1,AE165,('TO HOP'!$E$133/ncoc+IF(SUMSQ($E$56:$E$75)=0,0,'TO HOP'!$F$133*$E68/SUMSQ($E$56:$E$75))+IF(SUMSQ($D$56:$D$75)=0,0,'TO HOP'!$G$133*$D68/SUMSQ($D$56:$D$75)))/9.81))</f>
        <v>0</v>
      </c>
      <c r="AF92" s="8">
        <f>IF($B92="",0,IF(USE_TSPILE=1,AF165,('TO HOP'!$E$134/ncoc+IF(SUMSQ($E$56:$E$75)=0,0,'TO HOP'!$F$134*$E68/SUMSQ($E$56:$E$75))+IF(SUMSQ($D$56:$D$75)=0,0,'TO HOP'!$G$134*$D68/SUMSQ($D$56:$D$75)))/9.81))</f>
        <v>0</v>
      </c>
      <c r="AG92" s="8">
        <f>IF($B92="",0,IF(USE_TSPILE=1,AG165,('TO HOP'!$E$135/ncoc+IF(SUMSQ($E$56:$E$75)=0,0,'TO HOP'!$F$135*$E68/SUMSQ($E$56:$E$75))+IF(SUMSQ($D$56:$D$75)=0,0,'TO HOP'!$G$135*$D68/SUMSQ($D$56:$D$75)))/9.81))</f>
        <v>0</v>
      </c>
      <c r="AH92" s="8">
        <f>IF($B92="",0,IF(USE_TSPILE=1,AH165,('TO HOP'!$E$136/ncoc+IF(SUMSQ($E$56:$E$75)=0,0,'TO HOP'!$F$136*$E68/SUMSQ($E$56:$E$75))+IF(SUMSQ($D$56:$D$75)=0,0,'TO HOP'!$G$136*$D68/SUMSQ($D$56:$D$75)))/9.81))</f>
        <v>0</v>
      </c>
      <c r="AI92" s="8">
        <f>IF($B92="",0,IF(USE_TSPILE=1,AI165,('TO HOP'!$E$137/ncoc+IF(SUMSQ($E$56:$E$75)=0,0,'TO HOP'!$F$137*$E68/SUMSQ($E$56:$E$75))+IF(SUMSQ($D$56:$D$75)=0,0,'TO HOP'!$G$137*$D68/SUMSQ($D$56:$D$75)))/9.81))</f>
        <v>0</v>
      </c>
      <c r="AJ92" s="8">
        <f>IF($B92="",0,IF(USE_TSPILE=1,AJ165,('TO HOP'!$E$138/ncoc+IF(SUMSQ($E$56:$E$75)=0,0,'TO HOP'!$F$138*$E68/SUMSQ($E$56:$E$75))+IF(SUMSQ($D$56:$D$75)=0,0,'TO HOP'!$G$138*$D68/SUMSQ($D$56:$D$75)))/9.81))</f>
        <v>0</v>
      </c>
      <c r="AK92" s="8">
        <f>IF($B92="",0,IF(USE_TSPILE=1,AK165,('TO HOP'!$E$139/ncoc+IF(SUMSQ($E$56:$E$75)=0,0,'TO HOP'!$F$139*$E68/SUMSQ($E$56:$E$75))+IF(SUMSQ($D$56:$D$75)=0,0,'TO HOP'!$G$139*$D68/SUMSQ($D$56:$D$75)))/9.81))</f>
        <v>0</v>
      </c>
      <c r="AL92" s="8">
        <f>IF($B92="",0,IF(USE_TSPILE=1,AL165,('TO HOP'!$E$140/ncoc+IF(SUMSQ($E$56:$E$75)=0,0,'TO HOP'!$F$140*$E68/SUMSQ($E$56:$E$75))+IF(SUMSQ($D$56:$D$75)=0,0,'TO HOP'!$G$140*$D68/SUMSQ($D$56:$D$75)))/9.81))</f>
        <v>0</v>
      </c>
      <c r="AM92" s="8">
        <f>IF($B92="",0,IF(USE_TSPILE=1,AM165,('TO HOP'!$E$141/ncoc+IF(SUMSQ($E$56:$E$75)=0,0,'TO HOP'!$F$141*$E68/SUMSQ($E$56:$E$75))+IF(SUMSQ($D$56:$D$75)=0,0,'TO HOP'!$G$141*$D68/SUMSQ($D$56:$D$75)))/9.81))</f>
        <v>0</v>
      </c>
      <c r="AN92" s="8">
        <f>IF($B92="",0,IF(USE_TSPILE=1,AN165,('TO HOP'!$E$142/ncoc+IF(SUMSQ($E$56:$E$75)=0,0,'TO HOP'!$F$142*$E68/SUMSQ($E$56:$E$75))+IF(SUMSQ($D$56:$D$75)=0,0,'TO HOP'!$G$142*$D68/SUMSQ($D$56:$D$75)))/9.81))</f>
        <v>0</v>
      </c>
      <c r="AO92" s="8">
        <f>IF($B92="",0,IF(USE_TSPILE=1,AO165,('TO HOP'!$E$143/ncoc+IF(SUMSQ($E$56:$E$75)=0,0,'TO HOP'!$F$143*$E68/SUMSQ($E$56:$E$75))+IF(SUMSQ($D$56:$D$75)=0,0,'TO HOP'!$G$143*$D68/SUMSQ($D$56:$D$75)))/9.81))</f>
        <v>0</v>
      </c>
      <c r="AP92" s="8">
        <f>IF($B92="",0,IF(USE_TSPILE=1,AP165,('TO HOP'!$E$144/ncoc+IF(SUMSQ($E$56:$E$75)=0,0,'TO HOP'!$F$144*$E68/SUMSQ($E$56:$E$75))+IF(SUMSQ($D$56:$D$75)=0,0,'TO HOP'!$G$144*$D68/SUMSQ($D$56:$D$75)))/9.81))</f>
        <v>0</v>
      </c>
      <c r="AQ92" s="8">
        <f>IF($B92="",0,IF(USE_TSPILE=1,AQ165,('TO HOP'!$E$145/ncoc+IF(SUMSQ($E$56:$E$75)=0,0,'TO HOP'!$F$145*$E68/SUMSQ($E$56:$E$75))+IF(SUMSQ($D$56:$D$75)=0,0,'TO HOP'!$G$145*$D68/SUMSQ($D$56:$D$75)))/9.81))</f>
        <v>0</v>
      </c>
      <c r="AR92" s="8">
        <f>IF($B92="",0,IF(USE_TSPILE=1,AR165,('TO HOP'!$E$146/ncoc+IF(SUMSQ($E$56:$E$75)=0,0,'TO HOP'!$F$146*$E68/SUMSQ($E$56:$E$75))+IF(SUMSQ($D$56:$D$75)=0,0,'TO HOP'!$G$146*$D68/SUMSQ($D$56:$D$75)))/9.81))</f>
        <v>0</v>
      </c>
      <c r="AS92" s="8">
        <f>IF($B92="",0,IF(USE_TSPILE=1,AS165,('TO HOP'!$E$147/ncoc+IF(SUMSQ($E$56:$E$75)=0,0,'TO HOP'!$F$147*$E68/SUMSQ($E$56:$E$75))+IF(SUMSQ($D$56:$D$75)=0,0,'TO HOP'!$G$147*$D68/SUMSQ($D$56:$D$75)))/9.81))</f>
        <v>0</v>
      </c>
      <c r="AT92" s="8">
        <f>IF($B92="",0,IF(USE_TSPILE=1,AT165,('TO HOP'!$E$148/ncoc+IF(SUMSQ($E$56:$E$75)=0,0,'TO HOP'!$F$148*$E68/SUMSQ($E$56:$E$75))+IF(SUMSQ($D$56:$D$75)=0,0,'TO HOP'!$G$148*$D68/SUMSQ($D$56:$D$75)))/9.81))</f>
        <v>0</v>
      </c>
      <c r="AU92" s="8">
        <f>IF($B92="",0,IF(USE_TSPILE=1,AU165,('TO HOP'!$E$149/ncoc+IF(SUMSQ($E$56:$E$75)=0,0,'TO HOP'!$F$149*$E68/SUMSQ($E$56:$E$75))+IF(SUMSQ($D$56:$D$75)=0,0,'TO HOP'!$G$149*$D68/SUMSQ($D$56:$D$75)))/9.81))</f>
        <v>0</v>
      </c>
      <c r="AV92" s="8">
        <f>IF($B92="",0,IF(USE_TSPILE=1,AV165,('TO HOP'!$E$150/ncoc+IF(SUMSQ($E$56:$E$75)=0,0,'TO HOP'!$F$150*$E68/SUMSQ($E$56:$E$75))+IF(SUMSQ($D$56:$D$75)=0,0,'TO HOP'!$G$150*$D68/SUMSQ($D$56:$D$75)))/9.81))</f>
        <v>0</v>
      </c>
    </row>
    <row r="93" spans="2:48" x14ac:dyDescent="0.3">
      <c r="B93" s="10" t="str">
        <f>IF(14&lt;=ncoc,14,"")</f>
        <v/>
      </c>
      <c r="C93" s="8">
        <f>IF($B93="",0,IF(USE_TSPILE=1,C166,('TO HOP'!$E$105/ncoc+IF(SUMSQ($E$56:$E$75)=0,0,'TO HOP'!$F$105*$E69/SUMSQ($E$56:$E$75))+IF(SUMSQ($D$56:$D$75)=0,0,'TO HOP'!$G$105*$D69/SUMSQ($D$56:$D$75)))/9.81))</f>
        <v>0</v>
      </c>
      <c r="D93" s="8">
        <f>IF($B93="",0,IF(USE_TSPILE=1,D166,('TO HOP'!$E$106/ncoc+IF(SUMSQ($E$56:$E$75)=0,0,'TO HOP'!$F$106*$E69/SUMSQ($E$56:$E$75))+IF(SUMSQ($D$56:$D$75)=0,0,'TO HOP'!$G$106*$D69/SUMSQ($D$56:$D$75)))/9.81))</f>
        <v>0</v>
      </c>
      <c r="E93" s="8">
        <f>IF($B93="",0,IF(USE_TSPILE=1,E166,('TO HOP'!$E$107/ncoc+IF(SUMSQ($E$56:$E$75)=0,0,'TO HOP'!$F$107*$E69/SUMSQ($E$56:$E$75))+IF(SUMSQ($D$56:$D$75)=0,0,'TO HOP'!$G$107*$D69/SUMSQ($D$56:$D$75)))/9.81))</f>
        <v>0</v>
      </c>
      <c r="F93" s="8">
        <f>IF($B93="",0,IF(USE_TSPILE=1,F166,('TO HOP'!$E$108/ncoc+IF(SUMSQ($E$56:$E$75)=0,0,'TO HOP'!$F$108*$E69/SUMSQ($E$56:$E$75))+IF(SUMSQ($D$56:$D$75)=0,0,'TO HOP'!$G$108*$D69/SUMSQ($D$56:$D$75)))/9.81))</f>
        <v>0</v>
      </c>
      <c r="G93" s="8">
        <f>IF($B93="",0,IF(USE_TSPILE=1,G166,('TO HOP'!$E$109/ncoc+IF(SUMSQ($E$56:$E$75)=0,0,'TO HOP'!$F$109*$E69/SUMSQ($E$56:$E$75))+IF(SUMSQ($D$56:$D$75)=0,0,'TO HOP'!$G$109*$D69/SUMSQ($D$56:$D$75)))/9.81))</f>
        <v>0</v>
      </c>
      <c r="H93" s="8">
        <f>IF($B93="",0,IF(USE_TSPILE=1,H166,('TO HOP'!$E$110/ncoc+IF(SUMSQ($E$56:$E$75)=0,0,'TO HOP'!$F$110*$E69/SUMSQ($E$56:$E$75))+IF(SUMSQ($D$56:$D$75)=0,0,'TO HOP'!$G$110*$D69/SUMSQ($D$56:$D$75)))/9.81))</f>
        <v>0</v>
      </c>
      <c r="I93" s="8">
        <f>IF($B93="",0,IF(USE_TSPILE=1,I166,('TO HOP'!$E$111/ncoc+IF(SUMSQ($E$56:$E$75)=0,0,'TO HOP'!$F$111*$E69/SUMSQ($E$56:$E$75))+IF(SUMSQ($D$56:$D$75)=0,0,'TO HOP'!$G$111*$D69/SUMSQ($D$56:$D$75)))/9.81))</f>
        <v>0</v>
      </c>
      <c r="J93" s="8">
        <f>IF($B93="",0,IF(USE_TSPILE=1,J166,('TO HOP'!$E$112/ncoc+IF(SUMSQ($E$56:$E$75)=0,0,'TO HOP'!$F$112*$E69/SUMSQ($E$56:$E$75))+IF(SUMSQ($D$56:$D$75)=0,0,'TO HOP'!$G$112*$D69/SUMSQ($D$56:$D$75)))/9.81))</f>
        <v>0</v>
      </c>
      <c r="K93" s="8">
        <f>IF($B93="",0,IF(USE_TSPILE=1,K166,('TO HOP'!$E$113/ncoc+IF(SUMSQ($E$56:$E$75)=0,0,'TO HOP'!$F$113*$E69/SUMSQ($E$56:$E$75))+IF(SUMSQ($D$56:$D$75)=0,0,'TO HOP'!$G$113*$D69/SUMSQ($D$56:$D$75)))/9.81))</f>
        <v>0</v>
      </c>
      <c r="L93" s="8">
        <f>IF($B93="",0,IF(USE_TSPILE=1,L166,('TO HOP'!$E$114/ncoc+IF(SUMSQ($E$56:$E$75)=0,0,'TO HOP'!$F$114*$E69/SUMSQ($E$56:$E$75))+IF(SUMSQ($D$56:$D$75)=0,0,'TO HOP'!$G$114*$D69/SUMSQ($D$56:$D$75)))/9.81))</f>
        <v>0</v>
      </c>
      <c r="M93" s="8">
        <f>IF($B93="",0,IF(USE_TSPILE=1,M166,('TO HOP'!$E$115/ncoc+IF(SUMSQ($E$56:$E$75)=0,0,'TO HOP'!$F$115*$E69/SUMSQ($E$56:$E$75))+IF(SUMSQ($D$56:$D$75)=0,0,'TO HOP'!$G$115*$D69/SUMSQ($D$56:$D$75)))/9.81))</f>
        <v>0</v>
      </c>
      <c r="N93" s="8">
        <f>IF($B93="",0,IF(USE_TSPILE=1,N166,('TO HOP'!$E$116/ncoc+IF(SUMSQ($E$56:$E$75)=0,0,'TO HOP'!$F$116*$E69/SUMSQ($E$56:$E$75))+IF(SUMSQ($D$56:$D$75)=0,0,'TO HOP'!$G$116*$D69/SUMSQ($D$56:$D$75)))/9.81))</f>
        <v>0</v>
      </c>
      <c r="O93" s="8">
        <f>IF($B93="",0,IF(USE_TSPILE=1,O166,('TO HOP'!$E$117/ncoc+IF(SUMSQ($E$56:$E$75)=0,0,'TO HOP'!$F$117*$E69/SUMSQ($E$56:$E$75))+IF(SUMSQ($D$56:$D$75)=0,0,'TO HOP'!$G$117*$D69/SUMSQ($D$56:$D$75)))/9.81))</f>
        <v>0</v>
      </c>
      <c r="P93" s="8">
        <f>IF($B93="",0,IF(USE_TSPILE=1,P166,('TO HOP'!$E$118/ncoc+IF(SUMSQ($E$56:$E$75)=0,0,'TO HOP'!$F$118*$E69/SUMSQ($E$56:$E$75))+IF(SUMSQ($D$56:$D$75)=0,0,'TO HOP'!$G$118*$D69/SUMSQ($D$56:$D$75)))/9.81))</f>
        <v>0</v>
      </c>
      <c r="Q93" s="8">
        <f>IF($B93="",0,IF(USE_TSPILE=1,Q166,('TO HOP'!$E$119/ncoc+IF(SUMSQ($E$56:$E$75)=0,0,'TO HOP'!$F$119*$E69/SUMSQ($E$56:$E$75))+IF(SUMSQ($D$56:$D$75)=0,0,'TO HOP'!$G$119*$D69/SUMSQ($D$56:$D$75)))/9.81))</f>
        <v>0</v>
      </c>
      <c r="R93" s="8">
        <f>IF($B93="",0,IF(USE_TSPILE=1,R166,('TO HOP'!$E$120/ncoc+IF(SUMSQ($E$56:$E$75)=0,0,'TO HOP'!$F$120*$E69/SUMSQ($E$56:$E$75))+IF(SUMSQ($D$56:$D$75)=0,0,'TO HOP'!$G$120*$D69/SUMSQ($D$56:$D$75)))/9.81))</f>
        <v>0</v>
      </c>
      <c r="S93" s="8">
        <f>IF($B93="",0,IF(USE_TSPILE=1,S166,('TO HOP'!$E$121/ncoc+IF(SUMSQ($E$56:$E$75)=0,0,'TO HOP'!$F$121*$E69/SUMSQ($E$56:$E$75))+IF(SUMSQ($D$56:$D$75)=0,0,'TO HOP'!$G$121*$D69/SUMSQ($D$56:$D$75)))/9.81))</f>
        <v>0</v>
      </c>
      <c r="T93" s="8">
        <f>IF($B93="",0,IF(USE_TSPILE=1,T166,('TO HOP'!$E$122/ncoc+IF(SUMSQ($E$56:$E$75)=0,0,'TO HOP'!$F$122*$E69/SUMSQ($E$56:$E$75))+IF(SUMSQ($D$56:$D$75)=0,0,'TO HOP'!$G$122*$D69/SUMSQ($D$56:$D$75)))/9.81))</f>
        <v>0</v>
      </c>
      <c r="U93" s="8">
        <f>IF($B93="",0,IF(USE_TSPILE=1,U166,('TO HOP'!$E$123/ncoc+IF(SUMSQ($E$56:$E$75)=0,0,'TO HOP'!$F$123*$E69/SUMSQ($E$56:$E$75))+IF(SUMSQ($D$56:$D$75)=0,0,'TO HOP'!$G$123*$D69/SUMSQ($D$56:$D$75)))/9.81))</f>
        <v>0</v>
      </c>
      <c r="V93" s="8">
        <f>IF($B93="",0,IF(USE_TSPILE=1,V166,('TO HOP'!$E$124/ncoc+IF(SUMSQ($E$56:$E$75)=0,0,'TO HOP'!$F$124*$E69/SUMSQ($E$56:$E$75))+IF(SUMSQ($D$56:$D$75)=0,0,'TO HOP'!$G$124*$D69/SUMSQ($D$56:$D$75)))/9.81))</f>
        <v>0</v>
      </c>
      <c r="W93" s="8">
        <f>IF($B93="",0,IF(USE_TSPILE=1,W166,('TO HOP'!$E$125/ncoc+IF(SUMSQ($E$56:$E$75)=0,0,'TO HOP'!$F$125*$E69/SUMSQ($E$56:$E$75))+IF(SUMSQ($D$56:$D$75)=0,0,'TO HOP'!$G$125*$D69/SUMSQ($D$56:$D$75)))/9.81))</f>
        <v>0</v>
      </c>
      <c r="X93" s="8">
        <f>IF($B93="",0,IF(USE_TSPILE=1,X166,('TO HOP'!$E$126/ncoc+IF(SUMSQ($E$56:$E$75)=0,0,'TO HOP'!$F$126*$E69/SUMSQ($E$56:$E$75))+IF(SUMSQ($D$56:$D$75)=0,0,'TO HOP'!$G$126*$D69/SUMSQ($D$56:$D$75)))/9.81))</f>
        <v>0</v>
      </c>
      <c r="Y93" s="8">
        <f>IF($B93="",0,IF(USE_TSPILE=1,Y166,('TO HOP'!$E$127/ncoc+IF(SUMSQ($E$56:$E$75)=0,0,'TO HOP'!$F$127*$E69/SUMSQ($E$56:$E$75))+IF(SUMSQ($D$56:$D$75)=0,0,'TO HOP'!$G$127*$D69/SUMSQ($D$56:$D$75)))/9.81))</f>
        <v>0</v>
      </c>
      <c r="Z93" s="8">
        <f>IF($B93="",0,IF(USE_TSPILE=1,Z166,('TO HOP'!$E$128/ncoc+IF(SUMSQ($E$56:$E$75)=0,0,'TO HOP'!$F$128*$E69/SUMSQ($E$56:$E$75))+IF(SUMSQ($D$56:$D$75)=0,0,'TO HOP'!$G$128*$D69/SUMSQ($D$56:$D$75)))/9.81))</f>
        <v>0</v>
      </c>
      <c r="AA93" s="8">
        <f>IF($B93="",0,IF(USE_TSPILE=1,AA166,('TO HOP'!$E$129/ncoc+IF(SUMSQ($E$56:$E$75)=0,0,'TO HOP'!$F$129*$E69/SUMSQ($E$56:$E$75))+IF(SUMSQ($D$56:$D$75)=0,0,'TO HOP'!$G$129*$D69/SUMSQ($D$56:$D$75)))/9.81))</f>
        <v>0</v>
      </c>
      <c r="AB93" s="8">
        <f>IF($B93="",0,IF(USE_TSPILE=1,AB166,('TO HOP'!$E$130/ncoc+IF(SUMSQ($E$56:$E$75)=0,0,'TO HOP'!$F$130*$E69/SUMSQ($E$56:$E$75))+IF(SUMSQ($D$56:$D$75)=0,0,'TO HOP'!$G$130*$D69/SUMSQ($D$56:$D$75)))/9.81))</f>
        <v>0</v>
      </c>
      <c r="AC93" s="8">
        <f>IF($B93="",0,IF(USE_TSPILE=1,AC166,('TO HOP'!$E$131/ncoc+IF(SUMSQ($E$56:$E$75)=0,0,'TO HOP'!$F$131*$E69/SUMSQ($E$56:$E$75))+IF(SUMSQ($D$56:$D$75)=0,0,'TO HOP'!$G$131*$D69/SUMSQ($D$56:$D$75)))/9.81))</f>
        <v>0</v>
      </c>
      <c r="AD93" s="8">
        <f>IF($B93="",0,IF(USE_TSPILE=1,AD166,('TO HOP'!$E$132/ncoc+IF(SUMSQ($E$56:$E$75)=0,0,'TO HOP'!$F$132*$E69/SUMSQ($E$56:$E$75))+IF(SUMSQ($D$56:$D$75)=0,0,'TO HOP'!$G$132*$D69/SUMSQ($D$56:$D$75)))/9.81))</f>
        <v>0</v>
      </c>
      <c r="AE93" s="8">
        <f>IF($B93="",0,IF(USE_TSPILE=1,AE166,('TO HOP'!$E$133/ncoc+IF(SUMSQ($E$56:$E$75)=0,0,'TO HOP'!$F$133*$E69/SUMSQ($E$56:$E$75))+IF(SUMSQ($D$56:$D$75)=0,0,'TO HOP'!$G$133*$D69/SUMSQ($D$56:$D$75)))/9.81))</f>
        <v>0</v>
      </c>
      <c r="AF93" s="8">
        <f>IF($B93="",0,IF(USE_TSPILE=1,AF166,('TO HOP'!$E$134/ncoc+IF(SUMSQ($E$56:$E$75)=0,0,'TO HOP'!$F$134*$E69/SUMSQ($E$56:$E$75))+IF(SUMSQ($D$56:$D$75)=0,0,'TO HOP'!$G$134*$D69/SUMSQ($D$56:$D$75)))/9.81))</f>
        <v>0</v>
      </c>
      <c r="AG93" s="8">
        <f>IF($B93="",0,IF(USE_TSPILE=1,AG166,('TO HOP'!$E$135/ncoc+IF(SUMSQ($E$56:$E$75)=0,0,'TO HOP'!$F$135*$E69/SUMSQ($E$56:$E$75))+IF(SUMSQ($D$56:$D$75)=0,0,'TO HOP'!$G$135*$D69/SUMSQ($D$56:$D$75)))/9.81))</f>
        <v>0</v>
      </c>
      <c r="AH93" s="8">
        <f>IF($B93="",0,IF(USE_TSPILE=1,AH166,('TO HOP'!$E$136/ncoc+IF(SUMSQ($E$56:$E$75)=0,0,'TO HOP'!$F$136*$E69/SUMSQ($E$56:$E$75))+IF(SUMSQ($D$56:$D$75)=0,0,'TO HOP'!$G$136*$D69/SUMSQ($D$56:$D$75)))/9.81))</f>
        <v>0</v>
      </c>
      <c r="AI93" s="8">
        <f>IF($B93="",0,IF(USE_TSPILE=1,AI166,('TO HOP'!$E$137/ncoc+IF(SUMSQ($E$56:$E$75)=0,0,'TO HOP'!$F$137*$E69/SUMSQ($E$56:$E$75))+IF(SUMSQ($D$56:$D$75)=0,0,'TO HOP'!$G$137*$D69/SUMSQ($D$56:$D$75)))/9.81))</f>
        <v>0</v>
      </c>
      <c r="AJ93" s="8">
        <f>IF($B93="",0,IF(USE_TSPILE=1,AJ166,('TO HOP'!$E$138/ncoc+IF(SUMSQ($E$56:$E$75)=0,0,'TO HOP'!$F$138*$E69/SUMSQ($E$56:$E$75))+IF(SUMSQ($D$56:$D$75)=0,0,'TO HOP'!$G$138*$D69/SUMSQ($D$56:$D$75)))/9.81))</f>
        <v>0</v>
      </c>
      <c r="AK93" s="8">
        <f>IF($B93="",0,IF(USE_TSPILE=1,AK166,('TO HOP'!$E$139/ncoc+IF(SUMSQ($E$56:$E$75)=0,0,'TO HOP'!$F$139*$E69/SUMSQ($E$56:$E$75))+IF(SUMSQ($D$56:$D$75)=0,0,'TO HOP'!$G$139*$D69/SUMSQ($D$56:$D$75)))/9.81))</f>
        <v>0</v>
      </c>
      <c r="AL93" s="8">
        <f>IF($B93="",0,IF(USE_TSPILE=1,AL166,('TO HOP'!$E$140/ncoc+IF(SUMSQ($E$56:$E$75)=0,0,'TO HOP'!$F$140*$E69/SUMSQ($E$56:$E$75))+IF(SUMSQ($D$56:$D$75)=0,0,'TO HOP'!$G$140*$D69/SUMSQ($D$56:$D$75)))/9.81))</f>
        <v>0</v>
      </c>
      <c r="AM93" s="8">
        <f>IF($B93="",0,IF(USE_TSPILE=1,AM166,('TO HOP'!$E$141/ncoc+IF(SUMSQ($E$56:$E$75)=0,0,'TO HOP'!$F$141*$E69/SUMSQ($E$56:$E$75))+IF(SUMSQ($D$56:$D$75)=0,0,'TO HOP'!$G$141*$D69/SUMSQ($D$56:$D$75)))/9.81))</f>
        <v>0</v>
      </c>
      <c r="AN93" s="8">
        <f>IF($B93="",0,IF(USE_TSPILE=1,AN166,('TO HOP'!$E$142/ncoc+IF(SUMSQ($E$56:$E$75)=0,0,'TO HOP'!$F$142*$E69/SUMSQ($E$56:$E$75))+IF(SUMSQ($D$56:$D$75)=0,0,'TO HOP'!$G$142*$D69/SUMSQ($D$56:$D$75)))/9.81))</f>
        <v>0</v>
      </c>
      <c r="AO93" s="8">
        <f>IF($B93="",0,IF(USE_TSPILE=1,AO166,('TO HOP'!$E$143/ncoc+IF(SUMSQ($E$56:$E$75)=0,0,'TO HOP'!$F$143*$E69/SUMSQ($E$56:$E$75))+IF(SUMSQ($D$56:$D$75)=0,0,'TO HOP'!$G$143*$D69/SUMSQ($D$56:$D$75)))/9.81))</f>
        <v>0</v>
      </c>
      <c r="AP93" s="8">
        <f>IF($B93="",0,IF(USE_TSPILE=1,AP166,('TO HOP'!$E$144/ncoc+IF(SUMSQ($E$56:$E$75)=0,0,'TO HOP'!$F$144*$E69/SUMSQ($E$56:$E$75))+IF(SUMSQ($D$56:$D$75)=0,0,'TO HOP'!$G$144*$D69/SUMSQ($D$56:$D$75)))/9.81))</f>
        <v>0</v>
      </c>
      <c r="AQ93" s="8">
        <f>IF($B93="",0,IF(USE_TSPILE=1,AQ166,('TO HOP'!$E$145/ncoc+IF(SUMSQ($E$56:$E$75)=0,0,'TO HOP'!$F$145*$E69/SUMSQ($E$56:$E$75))+IF(SUMSQ($D$56:$D$75)=0,0,'TO HOP'!$G$145*$D69/SUMSQ($D$56:$D$75)))/9.81))</f>
        <v>0</v>
      </c>
      <c r="AR93" s="8">
        <f>IF($B93="",0,IF(USE_TSPILE=1,AR166,('TO HOP'!$E$146/ncoc+IF(SUMSQ($E$56:$E$75)=0,0,'TO HOP'!$F$146*$E69/SUMSQ($E$56:$E$75))+IF(SUMSQ($D$56:$D$75)=0,0,'TO HOP'!$G$146*$D69/SUMSQ($D$56:$D$75)))/9.81))</f>
        <v>0</v>
      </c>
      <c r="AS93" s="8">
        <f>IF($B93="",0,IF(USE_TSPILE=1,AS166,('TO HOP'!$E$147/ncoc+IF(SUMSQ($E$56:$E$75)=0,0,'TO HOP'!$F$147*$E69/SUMSQ($E$56:$E$75))+IF(SUMSQ($D$56:$D$75)=0,0,'TO HOP'!$G$147*$D69/SUMSQ($D$56:$D$75)))/9.81))</f>
        <v>0</v>
      </c>
      <c r="AT93" s="8">
        <f>IF($B93="",0,IF(USE_TSPILE=1,AT166,('TO HOP'!$E$148/ncoc+IF(SUMSQ($E$56:$E$75)=0,0,'TO HOP'!$F$148*$E69/SUMSQ($E$56:$E$75))+IF(SUMSQ($D$56:$D$75)=0,0,'TO HOP'!$G$148*$D69/SUMSQ($D$56:$D$75)))/9.81))</f>
        <v>0</v>
      </c>
      <c r="AU93" s="8">
        <f>IF($B93="",0,IF(USE_TSPILE=1,AU166,('TO HOP'!$E$149/ncoc+IF(SUMSQ($E$56:$E$75)=0,0,'TO HOP'!$F$149*$E69/SUMSQ($E$56:$E$75))+IF(SUMSQ($D$56:$D$75)=0,0,'TO HOP'!$G$149*$D69/SUMSQ($D$56:$D$75)))/9.81))</f>
        <v>0</v>
      </c>
      <c r="AV93" s="8">
        <f>IF($B93="",0,IF(USE_TSPILE=1,AV166,('TO HOP'!$E$150/ncoc+IF(SUMSQ($E$56:$E$75)=0,0,'TO HOP'!$F$150*$E69/SUMSQ($E$56:$E$75))+IF(SUMSQ($D$56:$D$75)=0,0,'TO HOP'!$G$150*$D69/SUMSQ($D$56:$D$75)))/9.81))</f>
        <v>0</v>
      </c>
    </row>
    <row r="94" spans="2:48" x14ac:dyDescent="0.3">
      <c r="B94" s="10" t="str">
        <f>IF(15&lt;=ncoc,15,"")</f>
        <v/>
      </c>
      <c r="C94" s="8">
        <f>IF($B94="",0,IF(USE_TSPILE=1,C167,('TO HOP'!$E$105/ncoc+IF(SUMSQ($E$56:$E$75)=0,0,'TO HOP'!$F$105*$E70/SUMSQ($E$56:$E$75))+IF(SUMSQ($D$56:$D$75)=0,0,'TO HOP'!$G$105*$D70/SUMSQ($D$56:$D$75)))/9.81))</f>
        <v>0</v>
      </c>
      <c r="D94" s="8">
        <f>IF($B94="",0,IF(USE_TSPILE=1,D167,('TO HOP'!$E$106/ncoc+IF(SUMSQ($E$56:$E$75)=0,0,'TO HOP'!$F$106*$E70/SUMSQ($E$56:$E$75))+IF(SUMSQ($D$56:$D$75)=0,0,'TO HOP'!$G$106*$D70/SUMSQ($D$56:$D$75)))/9.81))</f>
        <v>0</v>
      </c>
      <c r="E94" s="8">
        <f>IF($B94="",0,IF(USE_TSPILE=1,E167,('TO HOP'!$E$107/ncoc+IF(SUMSQ($E$56:$E$75)=0,0,'TO HOP'!$F$107*$E70/SUMSQ($E$56:$E$75))+IF(SUMSQ($D$56:$D$75)=0,0,'TO HOP'!$G$107*$D70/SUMSQ($D$56:$D$75)))/9.81))</f>
        <v>0</v>
      </c>
      <c r="F94" s="8">
        <f>IF($B94="",0,IF(USE_TSPILE=1,F167,('TO HOP'!$E$108/ncoc+IF(SUMSQ($E$56:$E$75)=0,0,'TO HOP'!$F$108*$E70/SUMSQ($E$56:$E$75))+IF(SUMSQ($D$56:$D$75)=0,0,'TO HOP'!$G$108*$D70/SUMSQ($D$56:$D$75)))/9.81))</f>
        <v>0</v>
      </c>
      <c r="G94" s="8">
        <f>IF($B94="",0,IF(USE_TSPILE=1,G167,('TO HOP'!$E$109/ncoc+IF(SUMSQ($E$56:$E$75)=0,0,'TO HOP'!$F$109*$E70/SUMSQ($E$56:$E$75))+IF(SUMSQ($D$56:$D$75)=0,0,'TO HOP'!$G$109*$D70/SUMSQ($D$56:$D$75)))/9.81))</f>
        <v>0</v>
      </c>
      <c r="H94" s="8">
        <f>IF($B94="",0,IF(USE_TSPILE=1,H167,('TO HOP'!$E$110/ncoc+IF(SUMSQ($E$56:$E$75)=0,0,'TO HOP'!$F$110*$E70/SUMSQ($E$56:$E$75))+IF(SUMSQ($D$56:$D$75)=0,0,'TO HOP'!$G$110*$D70/SUMSQ($D$56:$D$75)))/9.81))</f>
        <v>0</v>
      </c>
      <c r="I94" s="8">
        <f>IF($B94="",0,IF(USE_TSPILE=1,I167,('TO HOP'!$E$111/ncoc+IF(SUMSQ($E$56:$E$75)=0,0,'TO HOP'!$F$111*$E70/SUMSQ($E$56:$E$75))+IF(SUMSQ($D$56:$D$75)=0,0,'TO HOP'!$G$111*$D70/SUMSQ($D$56:$D$75)))/9.81))</f>
        <v>0</v>
      </c>
      <c r="J94" s="8">
        <f>IF($B94="",0,IF(USE_TSPILE=1,J167,('TO HOP'!$E$112/ncoc+IF(SUMSQ($E$56:$E$75)=0,0,'TO HOP'!$F$112*$E70/SUMSQ($E$56:$E$75))+IF(SUMSQ($D$56:$D$75)=0,0,'TO HOP'!$G$112*$D70/SUMSQ($D$56:$D$75)))/9.81))</f>
        <v>0</v>
      </c>
      <c r="K94" s="8">
        <f>IF($B94="",0,IF(USE_TSPILE=1,K167,('TO HOP'!$E$113/ncoc+IF(SUMSQ($E$56:$E$75)=0,0,'TO HOP'!$F$113*$E70/SUMSQ($E$56:$E$75))+IF(SUMSQ($D$56:$D$75)=0,0,'TO HOP'!$G$113*$D70/SUMSQ($D$56:$D$75)))/9.81))</f>
        <v>0</v>
      </c>
      <c r="L94" s="8">
        <f>IF($B94="",0,IF(USE_TSPILE=1,L167,('TO HOP'!$E$114/ncoc+IF(SUMSQ($E$56:$E$75)=0,0,'TO HOP'!$F$114*$E70/SUMSQ($E$56:$E$75))+IF(SUMSQ($D$56:$D$75)=0,0,'TO HOP'!$G$114*$D70/SUMSQ($D$56:$D$75)))/9.81))</f>
        <v>0</v>
      </c>
      <c r="M94" s="8">
        <f>IF($B94="",0,IF(USE_TSPILE=1,M167,('TO HOP'!$E$115/ncoc+IF(SUMSQ($E$56:$E$75)=0,0,'TO HOP'!$F$115*$E70/SUMSQ($E$56:$E$75))+IF(SUMSQ($D$56:$D$75)=0,0,'TO HOP'!$G$115*$D70/SUMSQ($D$56:$D$75)))/9.81))</f>
        <v>0</v>
      </c>
      <c r="N94" s="8">
        <f>IF($B94="",0,IF(USE_TSPILE=1,N167,('TO HOP'!$E$116/ncoc+IF(SUMSQ($E$56:$E$75)=0,0,'TO HOP'!$F$116*$E70/SUMSQ($E$56:$E$75))+IF(SUMSQ($D$56:$D$75)=0,0,'TO HOP'!$G$116*$D70/SUMSQ($D$56:$D$75)))/9.81))</f>
        <v>0</v>
      </c>
      <c r="O94" s="8">
        <f>IF($B94="",0,IF(USE_TSPILE=1,O167,('TO HOP'!$E$117/ncoc+IF(SUMSQ($E$56:$E$75)=0,0,'TO HOP'!$F$117*$E70/SUMSQ($E$56:$E$75))+IF(SUMSQ($D$56:$D$75)=0,0,'TO HOP'!$G$117*$D70/SUMSQ($D$56:$D$75)))/9.81))</f>
        <v>0</v>
      </c>
      <c r="P94" s="8">
        <f>IF($B94="",0,IF(USE_TSPILE=1,P167,('TO HOP'!$E$118/ncoc+IF(SUMSQ($E$56:$E$75)=0,0,'TO HOP'!$F$118*$E70/SUMSQ($E$56:$E$75))+IF(SUMSQ($D$56:$D$75)=0,0,'TO HOP'!$G$118*$D70/SUMSQ($D$56:$D$75)))/9.81))</f>
        <v>0</v>
      </c>
      <c r="Q94" s="8">
        <f>IF($B94="",0,IF(USE_TSPILE=1,Q167,('TO HOP'!$E$119/ncoc+IF(SUMSQ($E$56:$E$75)=0,0,'TO HOP'!$F$119*$E70/SUMSQ($E$56:$E$75))+IF(SUMSQ($D$56:$D$75)=0,0,'TO HOP'!$G$119*$D70/SUMSQ($D$56:$D$75)))/9.81))</f>
        <v>0</v>
      </c>
      <c r="R94" s="8">
        <f>IF($B94="",0,IF(USE_TSPILE=1,R167,('TO HOP'!$E$120/ncoc+IF(SUMSQ($E$56:$E$75)=0,0,'TO HOP'!$F$120*$E70/SUMSQ($E$56:$E$75))+IF(SUMSQ($D$56:$D$75)=0,0,'TO HOP'!$G$120*$D70/SUMSQ($D$56:$D$75)))/9.81))</f>
        <v>0</v>
      </c>
      <c r="S94" s="8">
        <f>IF($B94="",0,IF(USE_TSPILE=1,S167,('TO HOP'!$E$121/ncoc+IF(SUMSQ($E$56:$E$75)=0,0,'TO HOP'!$F$121*$E70/SUMSQ($E$56:$E$75))+IF(SUMSQ($D$56:$D$75)=0,0,'TO HOP'!$G$121*$D70/SUMSQ($D$56:$D$75)))/9.81))</f>
        <v>0</v>
      </c>
      <c r="T94" s="8">
        <f>IF($B94="",0,IF(USE_TSPILE=1,T167,('TO HOP'!$E$122/ncoc+IF(SUMSQ($E$56:$E$75)=0,0,'TO HOP'!$F$122*$E70/SUMSQ($E$56:$E$75))+IF(SUMSQ($D$56:$D$75)=0,0,'TO HOP'!$G$122*$D70/SUMSQ($D$56:$D$75)))/9.81))</f>
        <v>0</v>
      </c>
      <c r="U94" s="8">
        <f>IF($B94="",0,IF(USE_TSPILE=1,U167,('TO HOP'!$E$123/ncoc+IF(SUMSQ($E$56:$E$75)=0,0,'TO HOP'!$F$123*$E70/SUMSQ($E$56:$E$75))+IF(SUMSQ($D$56:$D$75)=0,0,'TO HOP'!$G$123*$D70/SUMSQ($D$56:$D$75)))/9.81))</f>
        <v>0</v>
      </c>
      <c r="V94" s="8">
        <f>IF($B94="",0,IF(USE_TSPILE=1,V167,('TO HOP'!$E$124/ncoc+IF(SUMSQ($E$56:$E$75)=0,0,'TO HOP'!$F$124*$E70/SUMSQ($E$56:$E$75))+IF(SUMSQ($D$56:$D$75)=0,0,'TO HOP'!$G$124*$D70/SUMSQ($D$56:$D$75)))/9.81))</f>
        <v>0</v>
      </c>
      <c r="W94" s="8">
        <f>IF($B94="",0,IF(USE_TSPILE=1,W167,('TO HOP'!$E$125/ncoc+IF(SUMSQ($E$56:$E$75)=0,0,'TO HOP'!$F$125*$E70/SUMSQ($E$56:$E$75))+IF(SUMSQ($D$56:$D$75)=0,0,'TO HOP'!$G$125*$D70/SUMSQ($D$56:$D$75)))/9.81))</f>
        <v>0</v>
      </c>
      <c r="X94" s="8">
        <f>IF($B94="",0,IF(USE_TSPILE=1,X167,('TO HOP'!$E$126/ncoc+IF(SUMSQ($E$56:$E$75)=0,0,'TO HOP'!$F$126*$E70/SUMSQ($E$56:$E$75))+IF(SUMSQ($D$56:$D$75)=0,0,'TO HOP'!$G$126*$D70/SUMSQ($D$56:$D$75)))/9.81))</f>
        <v>0</v>
      </c>
      <c r="Y94" s="8">
        <f>IF($B94="",0,IF(USE_TSPILE=1,Y167,('TO HOP'!$E$127/ncoc+IF(SUMSQ($E$56:$E$75)=0,0,'TO HOP'!$F$127*$E70/SUMSQ($E$56:$E$75))+IF(SUMSQ($D$56:$D$75)=0,0,'TO HOP'!$G$127*$D70/SUMSQ($D$56:$D$75)))/9.81))</f>
        <v>0</v>
      </c>
      <c r="Z94" s="8">
        <f>IF($B94="",0,IF(USE_TSPILE=1,Z167,('TO HOP'!$E$128/ncoc+IF(SUMSQ($E$56:$E$75)=0,0,'TO HOP'!$F$128*$E70/SUMSQ($E$56:$E$75))+IF(SUMSQ($D$56:$D$75)=0,0,'TO HOP'!$G$128*$D70/SUMSQ($D$56:$D$75)))/9.81))</f>
        <v>0</v>
      </c>
      <c r="AA94" s="8">
        <f>IF($B94="",0,IF(USE_TSPILE=1,AA167,('TO HOP'!$E$129/ncoc+IF(SUMSQ($E$56:$E$75)=0,0,'TO HOP'!$F$129*$E70/SUMSQ($E$56:$E$75))+IF(SUMSQ($D$56:$D$75)=0,0,'TO HOP'!$G$129*$D70/SUMSQ($D$56:$D$75)))/9.81))</f>
        <v>0</v>
      </c>
      <c r="AB94" s="8">
        <f>IF($B94="",0,IF(USE_TSPILE=1,AB167,('TO HOP'!$E$130/ncoc+IF(SUMSQ($E$56:$E$75)=0,0,'TO HOP'!$F$130*$E70/SUMSQ($E$56:$E$75))+IF(SUMSQ($D$56:$D$75)=0,0,'TO HOP'!$G$130*$D70/SUMSQ($D$56:$D$75)))/9.81))</f>
        <v>0</v>
      </c>
      <c r="AC94" s="8">
        <f>IF($B94="",0,IF(USE_TSPILE=1,AC167,('TO HOP'!$E$131/ncoc+IF(SUMSQ($E$56:$E$75)=0,0,'TO HOP'!$F$131*$E70/SUMSQ($E$56:$E$75))+IF(SUMSQ($D$56:$D$75)=0,0,'TO HOP'!$G$131*$D70/SUMSQ($D$56:$D$75)))/9.81))</f>
        <v>0</v>
      </c>
      <c r="AD94" s="8">
        <f>IF($B94="",0,IF(USE_TSPILE=1,AD167,('TO HOP'!$E$132/ncoc+IF(SUMSQ($E$56:$E$75)=0,0,'TO HOP'!$F$132*$E70/SUMSQ($E$56:$E$75))+IF(SUMSQ($D$56:$D$75)=0,0,'TO HOP'!$G$132*$D70/SUMSQ($D$56:$D$75)))/9.81))</f>
        <v>0</v>
      </c>
      <c r="AE94" s="8">
        <f>IF($B94="",0,IF(USE_TSPILE=1,AE167,('TO HOP'!$E$133/ncoc+IF(SUMSQ($E$56:$E$75)=0,0,'TO HOP'!$F$133*$E70/SUMSQ($E$56:$E$75))+IF(SUMSQ($D$56:$D$75)=0,0,'TO HOP'!$G$133*$D70/SUMSQ($D$56:$D$75)))/9.81))</f>
        <v>0</v>
      </c>
      <c r="AF94" s="8">
        <f>IF($B94="",0,IF(USE_TSPILE=1,AF167,('TO HOP'!$E$134/ncoc+IF(SUMSQ($E$56:$E$75)=0,0,'TO HOP'!$F$134*$E70/SUMSQ($E$56:$E$75))+IF(SUMSQ($D$56:$D$75)=0,0,'TO HOP'!$G$134*$D70/SUMSQ($D$56:$D$75)))/9.81))</f>
        <v>0</v>
      </c>
      <c r="AG94" s="8">
        <f>IF($B94="",0,IF(USE_TSPILE=1,AG167,('TO HOP'!$E$135/ncoc+IF(SUMSQ($E$56:$E$75)=0,0,'TO HOP'!$F$135*$E70/SUMSQ($E$56:$E$75))+IF(SUMSQ($D$56:$D$75)=0,0,'TO HOP'!$G$135*$D70/SUMSQ($D$56:$D$75)))/9.81))</f>
        <v>0</v>
      </c>
      <c r="AH94" s="8">
        <f>IF($B94="",0,IF(USE_TSPILE=1,AH167,('TO HOP'!$E$136/ncoc+IF(SUMSQ($E$56:$E$75)=0,0,'TO HOP'!$F$136*$E70/SUMSQ($E$56:$E$75))+IF(SUMSQ($D$56:$D$75)=0,0,'TO HOP'!$G$136*$D70/SUMSQ($D$56:$D$75)))/9.81))</f>
        <v>0</v>
      </c>
      <c r="AI94" s="8">
        <f>IF($B94="",0,IF(USE_TSPILE=1,AI167,('TO HOP'!$E$137/ncoc+IF(SUMSQ($E$56:$E$75)=0,0,'TO HOP'!$F$137*$E70/SUMSQ($E$56:$E$75))+IF(SUMSQ($D$56:$D$75)=0,0,'TO HOP'!$G$137*$D70/SUMSQ($D$56:$D$75)))/9.81))</f>
        <v>0</v>
      </c>
      <c r="AJ94" s="8">
        <f>IF($B94="",0,IF(USE_TSPILE=1,AJ167,('TO HOP'!$E$138/ncoc+IF(SUMSQ($E$56:$E$75)=0,0,'TO HOP'!$F$138*$E70/SUMSQ($E$56:$E$75))+IF(SUMSQ($D$56:$D$75)=0,0,'TO HOP'!$G$138*$D70/SUMSQ($D$56:$D$75)))/9.81))</f>
        <v>0</v>
      </c>
      <c r="AK94" s="8">
        <f>IF($B94="",0,IF(USE_TSPILE=1,AK167,('TO HOP'!$E$139/ncoc+IF(SUMSQ($E$56:$E$75)=0,0,'TO HOP'!$F$139*$E70/SUMSQ($E$56:$E$75))+IF(SUMSQ($D$56:$D$75)=0,0,'TO HOP'!$G$139*$D70/SUMSQ($D$56:$D$75)))/9.81))</f>
        <v>0</v>
      </c>
      <c r="AL94" s="8">
        <f>IF($B94="",0,IF(USE_TSPILE=1,AL167,('TO HOP'!$E$140/ncoc+IF(SUMSQ($E$56:$E$75)=0,0,'TO HOP'!$F$140*$E70/SUMSQ($E$56:$E$75))+IF(SUMSQ($D$56:$D$75)=0,0,'TO HOP'!$G$140*$D70/SUMSQ($D$56:$D$75)))/9.81))</f>
        <v>0</v>
      </c>
      <c r="AM94" s="8">
        <f>IF($B94="",0,IF(USE_TSPILE=1,AM167,('TO HOP'!$E$141/ncoc+IF(SUMSQ($E$56:$E$75)=0,0,'TO HOP'!$F$141*$E70/SUMSQ($E$56:$E$75))+IF(SUMSQ($D$56:$D$75)=0,0,'TO HOP'!$G$141*$D70/SUMSQ($D$56:$D$75)))/9.81))</f>
        <v>0</v>
      </c>
      <c r="AN94" s="8">
        <f>IF($B94="",0,IF(USE_TSPILE=1,AN167,('TO HOP'!$E$142/ncoc+IF(SUMSQ($E$56:$E$75)=0,0,'TO HOP'!$F$142*$E70/SUMSQ($E$56:$E$75))+IF(SUMSQ($D$56:$D$75)=0,0,'TO HOP'!$G$142*$D70/SUMSQ($D$56:$D$75)))/9.81))</f>
        <v>0</v>
      </c>
      <c r="AO94" s="8">
        <f>IF($B94="",0,IF(USE_TSPILE=1,AO167,('TO HOP'!$E$143/ncoc+IF(SUMSQ($E$56:$E$75)=0,0,'TO HOP'!$F$143*$E70/SUMSQ($E$56:$E$75))+IF(SUMSQ($D$56:$D$75)=0,0,'TO HOP'!$G$143*$D70/SUMSQ($D$56:$D$75)))/9.81))</f>
        <v>0</v>
      </c>
      <c r="AP94" s="8">
        <f>IF($B94="",0,IF(USE_TSPILE=1,AP167,('TO HOP'!$E$144/ncoc+IF(SUMSQ($E$56:$E$75)=0,0,'TO HOP'!$F$144*$E70/SUMSQ($E$56:$E$75))+IF(SUMSQ($D$56:$D$75)=0,0,'TO HOP'!$G$144*$D70/SUMSQ($D$56:$D$75)))/9.81))</f>
        <v>0</v>
      </c>
      <c r="AQ94" s="8">
        <f>IF($B94="",0,IF(USE_TSPILE=1,AQ167,('TO HOP'!$E$145/ncoc+IF(SUMSQ($E$56:$E$75)=0,0,'TO HOP'!$F$145*$E70/SUMSQ($E$56:$E$75))+IF(SUMSQ($D$56:$D$75)=0,0,'TO HOP'!$G$145*$D70/SUMSQ($D$56:$D$75)))/9.81))</f>
        <v>0</v>
      </c>
      <c r="AR94" s="8">
        <f>IF($B94="",0,IF(USE_TSPILE=1,AR167,('TO HOP'!$E$146/ncoc+IF(SUMSQ($E$56:$E$75)=0,0,'TO HOP'!$F$146*$E70/SUMSQ($E$56:$E$75))+IF(SUMSQ($D$56:$D$75)=0,0,'TO HOP'!$G$146*$D70/SUMSQ($D$56:$D$75)))/9.81))</f>
        <v>0</v>
      </c>
      <c r="AS94" s="8">
        <f>IF($B94="",0,IF(USE_TSPILE=1,AS167,('TO HOP'!$E$147/ncoc+IF(SUMSQ($E$56:$E$75)=0,0,'TO HOP'!$F$147*$E70/SUMSQ($E$56:$E$75))+IF(SUMSQ($D$56:$D$75)=0,0,'TO HOP'!$G$147*$D70/SUMSQ($D$56:$D$75)))/9.81))</f>
        <v>0</v>
      </c>
      <c r="AT94" s="8">
        <f>IF($B94="",0,IF(USE_TSPILE=1,AT167,('TO HOP'!$E$148/ncoc+IF(SUMSQ($E$56:$E$75)=0,0,'TO HOP'!$F$148*$E70/SUMSQ($E$56:$E$75))+IF(SUMSQ($D$56:$D$75)=0,0,'TO HOP'!$G$148*$D70/SUMSQ($D$56:$D$75)))/9.81))</f>
        <v>0</v>
      </c>
      <c r="AU94" s="8">
        <f>IF($B94="",0,IF(USE_TSPILE=1,AU167,('TO HOP'!$E$149/ncoc+IF(SUMSQ($E$56:$E$75)=0,0,'TO HOP'!$F$149*$E70/SUMSQ($E$56:$E$75))+IF(SUMSQ($D$56:$D$75)=0,0,'TO HOP'!$G$149*$D70/SUMSQ($D$56:$D$75)))/9.81))</f>
        <v>0</v>
      </c>
      <c r="AV94" s="8">
        <f>IF($B94="",0,IF(USE_TSPILE=1,AV167,('TO HOP'!$E$150/ncoc+IF(SUMSQ($E$56:$E$75)=0,0,'TO HOP'!$F$150*$E70/SUMSQ($E$56:$E$75))+IF(SUMSQ($D$56:$D$75)=0,0,'TO HOP'!$G$150*$D70/SUMSQ($D$56:$D$75)))/9.81))</f>
        <v>0</v>
      </c>
    </row>
    <row r="95" spans="2:48" x14ac:dyDescent="0.3">
      <c r="B95" s="10" t="str">
        <f>IF(16&lt;=ncoc,16,"")</f>
        <v/>
      </c>
      <c r="C95" s="8">
        <f>IF($B95="",0,IF(USE_TSPILE=1,C168,('TO HOP'!$E$105/ncoc+IF(SUMSQ($E$56:$E$75)=0,0,'TO HOP'!$F$105*$E71/SUMSQ($E$56:$E$75))+IF(SUMSQ($D$56:$D$75)=0,0,'TO HOP'!$G$105*$D71/SUMSQ($D$56:$D$75)))/9.81))</f>
        <v>0</v>
      </c>
      <c r="D95" s="8">
        <f>IF($B95="",0,IF(USE_TSPILE=1,D168,('TO HOP'!$E$106/ncoc+IF(SUMSQ($E$56:$E$75)=0,0,'TO HOP'!$F$106*$E71/SUMSQ($E$56:$E$75))+IF(SUMSQ($D$56:$D$75)=0,0,'TO HOP'!$G$106*$D71/SUMSQ($D$56:$D$75)))/9.81))</f>
        <v>0</v>
      </c>
      <c r="E95" s="8">
        <f>IF($B95="",0,IF(USE_TSPILE=1,E168,('TO HOP'!$E$107/ncoc+IF(SUMSQ($E$56:$E$75)=0,0,'TO HOP'!$F$107*$E71/SUMSQ($E$56:$E$75))+IF(SUMSQ($D$56:$D$75)=0,0,'TO HOP'!$G$107*$D71/SUMSQ($D$56:$D$75)))/9.81))</f>
        <v>0</v>
      </c>
      <c r="F95" s="8">
        <f>IF($B95="",0,IF(USE_TSPILE=1,F168,('TO HOP'!$E$108/ncoc+IF(SUMSQ($E$56:$E$75)=0,0,'TO HOP'!$F$108*$E71/SUMSQ($E$56:$E$75))+IF(SUMSQ($D$56:$D$75)=0,0,'TO HOP'!$G$108*$D71/SUMSQ($D$56:$D$75)))/9.81))</f>
        <v>0</v>
      </c>
      <c r="G95" s="8">
        <f>IF($B95="",0,IF(USE_TSPILE=1,G168,('TO HOP'!$E$109/ncoc+IF(SUMSQ($E$56:$E$75)=0,0,'TO HOP'!$F$109*$E71/SUMSQ($E$56:$E$75))+IF(SUMSQ($D$56:$D$75)=0,0,'TO HOP'!$G$109*$D71/SUMSQ($D$56:$D$75)))/9.81))</f>
        <v>0</v>
      </c>
      <c r="H95" s="8">
        <f>IF($B95="",0,IF(USE_TSPILE=1,H168,('TO HOP'!$E$110/ncoc+IF(SUMSQ($E$56:$E$75)=0,0,'TO HOP'!$F$110*$E71/SUMSQ($E$56:$E$75))+IF(SUMSQ($D$56:$D$75)=0,0,'TO HOP'!$G$110*$D71/SUMSQ($D$56:$D$75)))/9.81))</f>
        <v>0</v>
      </c>
      <c r="I95" s="8">
        <f>IF($B95="",0,IF(USE_TSPILE=1,I168,('TO HOP'!$E$111/ncoc+IF(SUMSQ($E$56:$E$75)=0,0,'TO HOP'!$F$111*$E71/SUMSQ($E$56:$E$75))+IF(SUMSQ($D$56:$D$75)=0,0,'TO HOP'!$G$111*$D71/SUMSQ($D$56:$D$75)))/9.81))</f>
        <v>0</v>
      </c>
      <c r="J95" s="8">
        <f>IF($B95="",0,IF(USE_TSPILE=1,J168,('TO HOP'!$E$112/ncoc+IF(SUMSQ($E$56:$E$75)=0,0,'TO HOP'!$F$112*$E71/SUMSQ($E$56:$E$75))+IF(SUMSQ($D$56:$D$75)=0,0,'TO HOP'!$G$112*$D71/SUMSQ($D$56:$D$75)))/9.81))</f>
        <v>0</v>
      </c>
      <c r="K95" s="8">
        <f>IF($B95="",0,IF(USE_TSPILE=1,K168,('TO HOP'!$E$113/ncoc+IF(SUMSQ($E$56:$E$75)=0,0,'TO HOP'!$F$113*$E71/SUMSQ($E$56:$E$75))+IF(SUMSQ($D$56:$D$75)=0,0,'TO HOP'!$G$113*$D71/SUMSQ($D$56:$D$75)))/9.81))</f>
        <v>0</v>
      </c>
      <c r="L95" s="8">
        <f>IF($B95="",0,IF(USE_TSPILE=1,L168,('TO HOP'!$E$114/ncoc+IF(SUMSQ($E$56:$E$75)=0,0,'TO HOP'!$F$114*$E71/SUMSQ($E$56:$E$75))+IF(SUMSQ($D$56:$D$75)=0,0,'TO HOP'!$G$114*$D71/SUMSQ($D$56:$D$75)))/9.81))</f>
        <v>0</v>
      </c>
      <c r="M95" s="8">
        <f>IF($B95="",0,IF(USE_TSPILE=1,M168,('TO HOP'!$E$115/ncoc+IF(SUMSQ($E$56:$E$75)=0,0,'TO HOP'!$F$115*$E71/SUMSQ($E$56:$E$75))+IF(SUMSQ($D$56:$D$75)=0,0,'TO HOP'!$G$115*$D71/SUMSQ($D$56:$D$75)))/9.81))</f>
        <v>0</v>
      </c>
      <c r="N95" s="8">
        <f>IF($B95="",0,IF(USE_TSPILE=1,N168,('TO HOP'!$E$116/ncoc+IF(SUMSQ($E$56:$E$75)=0,0,'TO HOP'!$F$116*$E71/SUMSQ($E$56:$E$75))+IF(SUMSQ($D$56:$D$75)=0,0,'TO HOP'!$G$116*$D71/SUMSQ($D$56:$D$75)))/9.81))</f>
        <v>0</v>
      </c>
      <c r="O95" s="8">
        <f>IF($B95="",0,IF(USE_TSPILE=1,O168,('TO HOP'!$E$117/ncoc+IF(SUMSQ($E$56:$E$75)=0,0,'TO HOP'!$F$117*$E71/SUMSQ($E$56:$E$75))+IF(SUMSQ($D$56:$D$75)=0,0,'TO HOP'!$G$117*$D71/SUMSQ($D$56:$D$75)))/9.81))</f>
        <v>0</v>
      </c>
      <c r="P95" s="8">
        <f>IF($B95="",0,IF(USE_TSPILE=1,P168,('TO HOP'!$E$118/ncoc+IF(SUMSQ($E$56:$E$75)=0,0,'TO HOP'!$F$118*$E71/SUMSQ($E$56:$E$75))+IF(SUMSQ($D$56:$D$75)=0,0,'TO HOP'!$G$118*$D71/SUMSQ($D$56:$D$75)))/9.81))</f>
        <v>0</v>
      </c>
      <c r="Q95" s="8">
        <f>IF($B95="",0,IF(USE_TSPILE=1,Q168,('TO HOP'!$E$119/ncoc+IF(SUMSQ($E$56:$E$75)=0,0,'TO HOP'!$F$119*$E71/SUMSQ($E$56:$E$75))+IF(SUMSQ($D$56:$D$75)=0,0,'TO HOP'!$G$119*$D71/SUMSQ($D$56:$D$75)))/9.81))</f>
        <v>0</v>
      </c>
      <c r="R95" s="8">
        <f>IF($B95="",0,IF(USE_TSPILE=1,R168,('TO HOP'!$E$120/ncoc+IF(SUMSQ($E$56:$E$75)=0,0,'TO HOP'!$F$120*$E71/SUMSQ($E$56:$E$75))+IF(SUMSQ($D$56:$D$75)=0,0,'TO HOP'!$G$120*$D71/SUMSQ($D$56:$D$75)))/9.81))</f>
        <v>0</v>
      </c>
      <c r="S95" s="8">
        <f>IF($B95="",0,IF(USE_TSPILE=1,S168,('TO HOP'!$E$121/ncoc+IF(SUMSQ($E$56:$E$75)=0,0,'TO HOP'!$F$121*$E71/SUMSQ($E$56:$E$75))+IF(SUMSQ($D$56:$D$75)=0,0,'TO HOP'!$G$121*$D71/SUMSQ($D$56:$D$75)))/9.81))</f>
        <v>0</v>
      </c>
      <c r="T95" s="8">
        <f>IF($B95="",0,IF(USE_TSPILE=1,T168,('TO HOP'!$E$122/ncoc+IF(SUMSQ($E$56:$E$75)=0,0,'TO HOP'!$F$122*$E71/SUMSQ($E$56:$E$75))+IF(SUMSQ($D$56:$D$75)=0,0,'TO HOP'!$G$122*$D71/SUMSQ($D$56:$D$75)))/9.81))</f>
        <v>0</v>
      </c>
      <c r="U95" s="8">
        <f>IF($B95="",0,IF(USE_TSPILE=1,U168,('TO HOP'!$E$123/ncoc+IF(SUMSQ($E$56:$E$75)=0,0,'TO HOP'!$F$123*$E71/SUMSQ($E$56:$E$75))+IF(SUMSQ($D$56:$D$75)=0,0,'TO HOP'!$G$123*$D71/SUMSQ($D$56:$D$75)))/9.81))</f>
        <v>0</v>
      </c>
      <c r="V95" s="8">
        <f>IF($B95="",0,IF(USE_TSPILE=1,V168,('TO HOP'!$E$124/ncoc+IF(SUMSQ($E$56:$E$75)=0,0,'TO HOP'!$F$124*$E71/SUMSQ($E$56:$E$75))+IF(SUMSQ($D$56:$D$75)=0,0,'TO HOP'!$G$124*$D71/SUMSQ($D$56:$D$75)))/9.81))</f>
        <v>0</v>
      </c>
      <c r="W95" s="8">
        <f>IF($B95="",0,IF(USE_TSPILE=1,W168,('TO HOP'!$E$125/ncoc+IF(SUMSQ($E$56:$E$75)=0,0,'TO HOP'!$F$125*$E71/SUMSQ($E$56:$E$75))+IF(SUMSQ($D$56:$D$75)=0,0,'TO HOP'!$G$125*$D71/SUMSQ($D$56:$D$75)))/9.81))</f>
        <v>0</v>
      </c>
      <c r="X95" s="8">
        <f>IF($B95="",0,IF(USE_TSPILE=1,X168,('TO HOP'!$E$126/ncoc+IF(SUMSQ($E$56:$E$75)=0,0,'TO HOP'!$F$126*$E71/SUMSQ($E$56:$E$75))+IF(SUMSQ($D$56:$D$75)=0,0,'TO HOP'!$G$126*$D71/SUMSQ($D$56:$D$75)))/9.81))</f>
        <v>0</v>
      </c>
      <c r="Y95" s="8">
        <f>IF($B95="",0,IF(USE_TSPILE=1,Y168,('TO HOP'!$E$127/ncoc+IF(SUMSQ($E$56:$E$75)=0,0,'TO HOP'!$F$127*$E71/SUMSQ($E$56:$E$75))+IF(SUMSQ($D$56:$D$75)=0,0,'TO HOP'!$G$127*$D71/SUMSQ($D$56:$D$75)))/9.81))</f>
        <v>0</v>
      </c>
      <c r="Z95" s="8">
        <f>IF($B95="",0,IF(USE_TSPILE=1,Z168,('TO HOP'!$E$128/ncoc+IF(SUMSQ($E$56:$E$75)=0,0,'TO HOP'!$F$128*$E71/SUMSQ($E$56:$E$75))+IF(SUMSQ($D$56:$D$75)=0,0,'TO HOP'!$G$128*$D71/SUMSQ($D$56:$D$75)))/9.81))</f>
        <v>0</v>
      </c>
      <c r="AA95" s="8">
        <f>IF($B95="",0,IF(USE_TSPILE=1,AA168,('TO HOP'!$E$129/ncoc+IF(SUMSQ($E$56:$E$75)=0,0,'TO HOP'!$F$129*$E71/SUMSQ($E$56:$E$75))+IF(SUMSQ($D$56:$D$75)=0,0,'TO HOP'!$G$129*$D71/SUMSQ($D$56:$D$75)))/9.81))</f>
        <v>0</v>
      </c>
      <c r="AB95" s="8">
        <f>IF($B95="",0,IF(USE_TSPILE=1,AB168,('TO HOP'!$E$130/ncoc+IF(SUMSQ($E$56:$E$75)=0,0,'TO HOP'!$F$130*$E71/SUMSQ($E$56:$E$75))+IF(SUMSQ($D$56:$D$75)=0,0,'TO HOP'!$G$130*$D71/SUMSQ($D$56:$D$75)))/9.81))</f>
        <v>0</v>
      </c>
      <c r="AC95" s="8">
        <f>IF($B95="",0,IF(USE_TSPILE=1,AC168,('TO HOP'!$E$131/ncoc+IF(SUMSQ($E$56:$E$75)=0,0,'TO HOP'!$F$131*$E71/SUMSQ($E$56:$E$75))+IF(SUMSQ($D$56:$D$75)=0,0,'TO HOP'!$G$131*$D71/SUMSQ($D$56:$D$75)))/9.81))</f>
        <v>0</v>
      </c>
      <c r="AD95" s="8">
        <f>IF($B95="",0,IF(USE_TSPILE=1,AD168,('TO HOP'!$E$132/ncoc+IF(SUMSQ($E$56:$E$75)=0,0,'TO HOP'!$F$132*$E71/SUMSQ($E$56:$E$75))+IF(SUMSQ($D$56:$D$75)=0,0,'TO HOP'!$G$132*$D71/SUMSQ($D$56:$D$75)))/9.81))</f>
        <v>0</v>
      </c>
      <c r="AE95" s="8">
        <f>IF($B95="",0,IF(USE_TSPILE=1,AE168,('TO HOP'!$E$133/ncoc+IF(SUMSQ($E$56:$E$75)=0,0,'TO HOP'!$F$133*$E71/SUMSQ($E$56:$E$75))+IF(SUMSQ($D$56:$D$75)=0,0,'TO HOP'!$G$133*$D71/SUMSQ($D$56:$D$75)))/9.81))</f>
        <v>0</v>
      </c>
      <c r="AF95" s="8">
        <f>IF($B95="",0,IF(USE_TSPILE=1,AF168,('TO HOP'!$E$134/ncoc+IF(SUMSQ($E$56:$E$75)=0,0,'TO HOP'!$F$134*$E71/SUMSQ($E$56:$E$75))+IF(SUMSQ($D$56:$D$75)=0,0,'TO HOP'!$G$134*$D71/SUMSQ($D$56:$D$75)))/9.81))</f>
        <v>0</v>
      </c>
      <c r="AG95" s="8">
        <f>IF($B95="",0,IF(USE_TSPILE=1,AG168,('TO HOP'!$E$135/ncoc+IF(SUMSQ($E$56:$E$75)=0,0,'TO HOP'!$F$135*$E71/SUMSQ($E$56:$E$75))+IF(SUMSQ($D$56:$D$75)=0,0,'TO HOP'!$G$135*$D71/SUMSQ($D$56:$D$75)))/9.81))</f>
        <v>0</v>
      </c>
      <c r="AH95" s="8">
        <f>IF($B95="",0,IF(USE_TSPILE=1,AH168,('TO HOP'!$E$136/ncoc+IF(SUMSQ($E$56:$E$75)=0,0,'TO HOP'!$F$136*$E71/SUMSQ($E$56:$E$75))+IF(SUMSQ($D$56:$D$75)=0,0,'TO HOP'!$G$136*$D71/SUMSQ($D$56:$D$75)))/9.81))</f>
        <v>0</v>
      </c>
      <c r="AI95" s="8">
        <f>IF($B95="",0,IF(USE_TSPILE=1,AI168,('TO HOP'!$E$137/ncoc+IF(SUMSQ($E$56:$E$75)=0,0,'TO HOP'!$F$137*$E71/SUMSQ($E$56:$E$75))+IF(SUMSQ($D$56:$D$75)=0,0,'TO HOP'!$G$137*$D71/SUMSQ($D$56:$D$75)))/9.81))</f>
        <v>0</v>
      </c>
      <c r="AJ95" s="8">
        <f>IF($B95="",0,IF(USE_TSPILE=1,AJ168,('TO HOP'!$E$138/ncoc+IF(SUMSQ($E$56:$E$75)=0,0,'TO HOP'!$F$138*$E71/SUMSQ($E$56:$E$75))+IF(SUMSQ($D$56:$D$75)=0,0,'TO HOP'!$G$138*$D71/SUMSQ($D$56:$D$75)))/9.81))</f>
        <v>0</v>
      </c>
      <c r="AK95" s="8">
        <f>IF($B95="",0,IF(USE_TSPILE=1,AK168,('TO HOP'!$E$139/ncoc+IF(SUMSQ($E$56:$E$75)=0,0,'TO HOP'!$F$139*$E71/SUMSQ($E$56:$E$75))+IF(SUMSQ($D$56:$D$75)=0,0,'TO HOP'!$G$139*$D71/SUMSQ($D$56:$D$75)))/9.81))</f>
        <v>0</v>
      </c>
      <c r="AL95" s="8">
        <f>IF($B95="",0,IF(USE_TSPILE=1,AL168,('TO HOP'!$E$140/ncoc+IF(SUMSQ($E$56:$E$75)=0,0,'TO HOP'!$F$140*$E71/SUMSQ($E$56:$E$75))+IF(SUMSQ($D$56:$D$75)=0,0,'TO HOP'!$G$140*$D71/SUMSQ($D$56:$D$75)))/9.81))</f>
        <v>0</v>
      </c>
      <c r="AM95" s="8">
        <f>IF($B95="",0,IF(USE_TSPILE=1,AM168,('TO HOP'!$E$141/ncoc+IF(SUMSQ($E$56:$E$75)=0,0,'TO HOP'!$F$141*$E71/SUMSQ($E$56:$E$75))+IF(SUMSQ($D$56:$D$75)=0,0,'TO HOP'!$G$141*$D71/SUMSQ($D$56:$D$75)))/9.81))</f>
        <v>0</v>
      </c>
      <c r="AN95" s="8">
        <f>IF($B95="",0,IF(USE_TSPILE=1,AN168,('TO HOP'!$E$142/ncoc+IF(SUMSQ($E$56:$E$75)=0,0,'TO HOP'!$F$142*$E71/SUMSQ($E$56:$E$75))+IF(SUMSQ($D$56:$D$75)=0,0,'TO HOP'!$G$142*$D71/SUMSQ($D$56:$D$75)))/9.81))</f>
        <v>0</v>
      </c>
      <c r="AO95" s="8">
        <f>IF($B95="",0,IF(USE_TSPILE=1,AO168,('TO HOP'!$E$143/ncoc+IF(SUMSQ($E$56:$E$75)=0,0,'TO HOP'!$F$143*$E71/SUMSQ($E$56:$E$75))+IF(SUMSQ($D$56:$D$75)=0,0,'TO HOP'!$G$143*$D71/SUMSQ($D$56:$D$75)))/9.81))</f>
        <v>0</v>
      </c>
      <c r="AP95" s="8">
        <f>IF($B95="",0,IF(USE_TSPILE=1,AP168,('TO HOP'!$E$144/ncoc+IF(SUMSQ($E$56:$E$75)=0,0,'TO HOP'!$F$144*$E71/SUMSQ($E$56:$E$75))+IF(SUMSQ($D$56:$D$75)=0,0,'TO HOP'!$G$144*$D71/SUMSQ($D$56:$D$75)))/9.81))</f>
        <v>0</v>
      </c>
      <c r="AQ95" s="8">
        <f>IF($B95="",0,IF(USE_TSPILE=1,AQ168,('TO HOP'!$E$145/ncoc+IF(SUMSQ($E$56:$E$75)=0,0,'TO HOP'!$F$145*$E71/SUMSQ($E$56:$E$75))+IF(SUMSQ($D$56:$D$75)=0,0,'TO HOP'!$G$145*$D71/SUMSQ($D$56:$D$75)))/9.81))</f>
        <v>0</v>
      </c>
      <c r="AR95" s="8">
        <f>IF($B95="",0,IF(USE_TSPILE=1,AR168,('TO HOP'!$E$146/ncoc+IF(SUMSQ($E$56:$E$75)=0,0,'TO HOP'!$F$146*$E71/SUMSQ($E$56:$E$75))+IF(SUMSQ($D$56:$D$75)=0,0,'TO HOP'!$G$146*$D71/SUMSQ($D$56:$D$75)))/9.81))</f>
        <v>0</v>
      </c>
      <c r="AS95" s="8">
        <f>IF($B95="",0,IF(USE_TSPILE=1,AS168,('TO HOP'!$E$147/ncoc+IF(SUMSQ($E$56:$E$75)=0,0,'TO HOP'!$F$147*$E71/SUMSQ($E$56:$E$75))+IF(SUMSQ($D$56:$D$75)=0,0,'TO HOP'!$G$147*$D71/SUMSQ($D$56:$D$75)))/9.81))</f>
        <v>0</v>
      </c>
      <c r="AT95" s="8">
        <f>IF($B95="",0,IF(USE_TSPILE=1,AT168,('TO HOP'!$E$148/ncoc+IF(SUMSQ($E$56:$E$75)=0,0,'TO HOP'!$F$148*$E71/SUMSQ($E$56:$E$75))+IF(SUMSQ($D$56:$D$75)=0,0,'TO HOP'!$G$148*$D71/SUMSQ($D$56:$D$75)))/9.81))</f>
        <v>0</v>
      </c>
      <c r="AU95" s="8">
        <f>IF($B95="",0,IF(USE_TSPILE=1,AU168,('TO HOP'!$E$149/ncoc+IF(SUMSQ($E$56:$E$75)=0,0,'TO HOP'!$F$149*$E71/SUMSQ($E$56:$E$75))+IF(SUMSQ($D$56:$D$75)=0,0,'TO HOP'!$G$149*$D71/SUMSQ($D$56:$D$75)))/9.81))</f>
        <v>0</v>
      </c>
      <c r="AV95" s="8">
        <f>IF($B95="",0,IF(USE_TSPILE=1,AV168,('TO HOP'!$E$150/ncoc+IF(SUMSQ($E$56:$E$75)=0,0,'TO HOP'!$F$150*$E71/SUMSQ($E$56:$E$75))+IF(SUMSQ($D$56:$D$75)=0,0,'TO HOP'!$G$150*$D71/SUMSQ($D$56:$D$75)))/9.81))</f>
        <v>0</v>
      </c>
    </row>
    <row r="96" spans="2:48" x14ac:dyDescent="0.3">
      <c r="B96" s="10" t="str">
        <f>IF(17&lt;=ncoc,17,"")</f>
        <v/>
      </c>
      <c r="C96" s="8">
        <f>IF($B96="",0,IF(USE_TSPILE=1,C169,('TO HOP'!$E$105/ncoc+IF(SUMSQ($E$56:$E$75)=0,0,'TO HOP'!$F$105*$E72/SUMSQ($E$56:$E$75))+IF(SUMSQ($D$56:$D$75)=0,0,'TO HOP'!$G$105*$D72/SUMSQ($D$56:$D$75)))/9.81))</f>
        <v>0</v>
      </c>
      <c r="D96" s="8">
        <f>IF($B96="",0,IF(USE_TSPILE=1,D169,('TO HOP'!$E$106/ncoc+IF(SUMSQ($E$56:$E$75)=0,0,'TO HOP'!$F$106*$E72/SUMSQ($E$56:$E$75))+IF(SUMSQ($D$56:$D$75)=0,0,'TO HOP'!$G$106*$D72/SUMSQ($D$56:$D$75)))/9.81))</f>
        <v>0</v>
      </c>
      <c r="E96" s="8">
        <f>IF($B96="",0,IF(USE_TSPILE=1,E169,('TO HOP'!$E$107/ncoc+IF(SUMSQ($E$56:$E$75)=0,0,'TO HOP'!$F$107*$E72/SUMSQ($E$56:$E$75))+IF(SUMSQ($D$56:$D$75)=0,0,'TO HOP'!$G$107*$D72/SUMSQ($D$56:$D$75)))/9.81))</f>
        <v>0</v>
      </c>
      <c r="F96" s="8">
        <f>IF($B96="",0,IF(USE_TSPILE=1,F169,('TO HOP'!$E$108/ncoc+IF(SUMSQ($E$56:$E$75)=0,0,'TO HOP'!$F$108*$E72/SUMSQ($E$56:$E$75))+IF(SUMSQ($D$56:$D$75)=0,0,'TO HOP'!$G$108*$D72/SUMSQ($D$56:$D$75)))/9.81))</f>
        <v>0</v>
      </c>
      <c r="G96" s="8">
        <f>IF($B96="",0,IF(USE_TSPILE=1,G169,('TO HOP'!$E$109/ncoc+IF(SUMSQ($E$56:$E$75)=0,0,'TO HOP'!$F$109*$E72/SUMSQ($E$56:$E$75))+IF(SUMSQ($D$56:$D$75)=0,0,'TO HOP'!$G$109*$D72/SUMSQ($D$56:$D$75)))/9.81))</f>
        <v>0</v>
      </c>
      <c r="H96" s="8">
        <f>IF($B96="",0,IF(USE_TSPILE=1,H169,('TO HOP'!$E$110/ncoc+IF(SUMSQ($E$56:$E$75)=0,0,'TO HOP'!$F$110*$E72/SUMSQ($E$56:$E$75))+IF(SUMSQ($D$56:$D$75)=0,0,'TO HOP'!$G$110*$D72/SUMSQ($D$56:$D$75)))/9.81))</f>
        <v>0</v>
      </c>
      <c r="I96" s="8">
        <f>IF($B96="",0,IF(USE_TSPILE=1,I169,('TO HOP'!$E$111/ncoc+IF(SUMSQ($E$56:$E$75)=0,0,'TO HOP'!$F$111*$E72/SUMSQ($E$56:$E$75))+IF(SUMSQ($D$56:$D$75)=0,0,'TO HOP'!$G$111*$D72/SUMSQ($D$56:$D$75)))/9.81))</f>
        <v>0</v>
      </c>
      <c r="J96" s="8">
        <f>IF($B96="",0,IF(USE_TSPILE=1,J169,('TO HOP'!$E$112/ncoc+IF(SUMSQ($E$56:$E$75)=0,0,'TO HOP'!$F$112*$E72/SUMSQ($E$56:$E$75))+IF(SUMSQ($D$56:$D$75)=0,0,'TO HOP'!$G$112*$D72/SUMSQ($D$56:$D$75)))/9.81))</f>
        <v>0</v>
      </c>
      <c r="K96" s="8">
        <f>IF($B96="",0,IF(USE_TSPILE=1,K169,('TO HOP'!$E$113/ncoc+IF(SUMSQ($E$56:$E$75)=0,0,'TO HOP'!$F$113*$E72/SUMSQ($E$56:$E$75))+IF(SUMSQ($D$56:$D$75)=0,0,'TO HOP'!$G$113*$D72/SUMSQ($D$56:$D$75)))/9.81))</f>
        <v>0</v>
      </c>
      <c r="L96" s="8">
        <f>IF($B96="",0,IF(USE_TSPILE=1,L169,('TO HOP'!$E$114/ncoc+IF(SUMSQ($E$56:$E$75)=0,0,'TO HOP'!$F$114*$E72/SUMSQ($E$56:$E$75))+IF(SUMSQ($D$56:$D$75)=0,0,'TO HOP'!$G$114*$D72/SUMSQ($D$56:$D$75)))/9.81))</f>
        <v>0</v>
      </c>
      <c r="M96" s="8">
        <f>IF($B96="",0,IF(USE_TSPILE=1,M169,('TO HOP'!$E$115/ncoc+IF(SUMSQ($E$56:$E$75)=0,0,'TO HOP'!$F$115*$E72/SUMSQ($E$56:$E$75))+IF(SUMSQ($D$56:$D$75)=0,0,'TO HOP'!$G$115*$D72/SUMSQ($D$56:$D$75)))/9.81))</f>
        <v>0</v>
      </c>
      <c r="N96" s="8">
        <f>IF($B96="",0,IF(USE_TSPILE=1,N169,('TO HOP'!$E$116/ncoc+IF(SUMSQ($E$56:$E$75)=0,0,'TO HOP'!$F$116*$E72/SUMSQ($E$56:$E$75))+IF(SUMSQ($D$56:$D$75)=0,0,'TO HOP'!$G$116*$D72/SUMSQ($D$56:$D$75)))/9.81))</f>
        <v>0</v>
      </c>
      <c r="O96" s="8">
        <f>IF($B96="",0,IF(USE_TSPILE=1,O169,('TO HOP'!$E$117/ncoc+IF(SUMSQ($E$56:$E$75)=0,0,'TO HOP'!$F$117*$E72/SUMSQ($E$56:$E$75))+IF(SUMSQ($D$56:$D$75)=0,0,'TO HOP'!$G$117*$D72/SUMSQ($D$56:$D$75)))/9.81))</f>
        <v>0</v>
      </c>
      <c r="P96" s="8">
        <f>IF($B96="",0,IF(USE_TSPILE=1,P169,('TO HOP'!$E$118/ncoc+IF(SUMSQ($E$56:$E$75)=0,0,'TO HOP'!$F$118*$E72/SUMSQ($E$56:$E$75))+IF(SUMSQ($D$56:$D$75)=0,0,'TO HOP'!$G$118*$D72/SUMSQ($D$56:$D$75)))/9.81))</f>
        <v>0</v>
      </c>
      <c r="Q96" s="8">
        <f>IF($B96="",0,IF(USE_TSPILE=1,Q169,('TO HOP'!$E$119/ncoc+IF(SUMSQ($E$56:$E$75)=0,0,'TO HOP'!$F$119*$E72/SUMSQ($E$56:$E$75))+IF(SUMSQ($D$56:$D$75)=0,0,'TO HOP'!$G$119*$D72/SUMSQ($D$56:$D$75)))/9.81))</f>
        <v>0</v>
      </c>
      <c r="R96" s="8">
        <f>IF($B96="",0,IF(USE_TSPILE=1,R169,('TO HOP'!$E$120/ncoc+IF(SUMSQ($E$56:$E$75)=0,0,'TO HOP'!$F$120*$E72/SUMSQ($E$56:$E$75))+IF(SUMSQ($D$56:$D$75)=0,0,'TO HOP'!$G$120*$D72/SUMSQ($D$56:$D$75)))/9.81))</f>
        <v>0</v>
      </c>
      <c r="S96" s="8">
        <f>IF($B96="",0,IF(USE_TSPILE=1,S169,('TO HOP'!$E$121/ncoc+IF(SUMSQ($E$56:$E$75)=0,0,'TO HOP'!$F$121*$E72/SUMSQ($E$56:$E$75))+IF(SUMSQ($D$56:$D$75)=0,0,'TO HOP'!$G$121*$D72/SUMSQ($D$56:$D$75)))/9.81))</f>
        <v>0</v>
      </c>
      <c r="T96" s="8">
        <f>IF($B96="",0,IF(USE_TSPILE=1,T169,('TO HOP'!$E$122/ncoc+IF(SUMSQ($E$56:$E$75)=0,0,'TO HOP'!$F$122*$E72/SUMSQ($E$56:$E$75))+IF(SUMSQ($D$56:$D$75)=0,0,'TO HOP'!$G$122*$D72/SUMSQ($D$56:$D$75)))/9.81))</f>
        <v>0</v>
      </c>
      <c r="U96" s="8">
        <f>IF($B96="",0,IF(USE_TSPILE=1,U169,('TO HOP'!$E$123/ncoc+IF(SUMSQ($E$56:$E$75)=0,0,'TO HOP'!$F$123*$E72/SUMSQ($E$56:$E$75))+IF(SUMSQ($D$56:$D$75)=0,0,'TO HOP'!$G$123*$D72/SUMSQ($D$56:$D$75)))/9.81))</f>
        <v>0</v>
      </c>
      <c r="V96" s="8">
        <f>IF($B96="",0,IF(USE_TSPILE=1,V169,('TO HOP'!$E$124/ncoc+IF(SUMSQ($E$56:$E$75)=0,0,'TO HOP'!$F$124*$E72/SUMSQ($E$56:$E$75))+IF(SUMSQ($D$56:$D$75)=0,0,'TO HOP'!$G$124*$D72/SUMSQ($D$56:$D$75)))/9.81))</f>
        <v>0</v>
      </c>
      <c r="W96" s="8">
        <f>IF($B96="",0,IF(USE_TSPILE=1,W169,('TO HOP'!$E$125/ncoc+IF(SUMSQ($E$56:$E$75)=0,0,'TO HOP'!$F$125*$E72/SUMSQ($E$56:$E$75))+IF(SUMSQ($D$56:$D$75)=0,0,'TO HOP'!$G$125*$D72/SUMSQ($D$56:$D$75)))/9.81))</f>
        <v>0</v>
      </c>
      <c r="X96" s="8">
        <f>IF($B96="",0,IF(USE_TSPILE=1,X169,('TO HOP'!$E$126/ncoc+IF(SUMSQ($E$56:$E$75)=0,0,'TO HOP'!$F$126*$E72/SUMSQ($E$56:$E$75))+IF(SUMSQ($D$56:$D$75)=0,0,'TO HOP'!$G$126*$D72/SUMSQ($D$56:$D$75)))/9.81))</f>
        <v>0</v>
      </c>
      <c r="Y96" s="8">
        <f>IF($B96="",0,IF(USE_TSPILE=1,Y169,('TO HOP'!$E$127/ncoc+IF(SUMSQ($E$56:$E$75)=0,0,'TO HOP'!$F$127*$E72/SUMSQ($E$56:$E$75))+IF(SUMSQ($D$56:$D$75)=0,0,'TO HOP'!$G$127*$D72/SUMSQ($D$56:$D$75)))/9.81))</f>
        <v>0</v>
      </c>
      <c r="Z96" s="8">
        <f>IF($B96="",0,IF(USE_TSPILE=1,Z169,('TO HOP'!$E$128/ncoc+IF(SUMSQ($E$56:$E$75)=0,0,'TO HOP'!$F$128*$E72/SUMSQ($E$56:$E$75))+IF(SUMSQ($D$56:$D$75)=0,0,'TO HOP'!$G$128*$D72/SUMSQ($D$56:$D$75)))/9.81))</f>
        <v>0</v>
      </c>
      <c r="AA96" s="8">
        <f>IF($B96="",0,IF(USE_TSPILE=1,AA169,('TO HOP'!$E$129/ncoc+IF(SUMSQ($E$56:$E$75)=0,0,'TO HOP'!$F$129*$E72/SUMSQ($E$56:$E$75))+IF(SUMSQ($D$56:$D$75)=0,0,'TO HOP'!$G$129*$D72/SUMSQ($D$56:$D$75)))/9.81))</f>
        <v>0</v>
      </c>
      <c r="AB96" s="8">
        <f>IF($B96="",0,IF(USE_TSPILE=1,AB169,('TO HOP'!$E$130/ncoc+IF(SUMSQ($E$56:$E$75)=0,0,'TO HOP'!$F$130*$E72/SUMSQ($E$56:$E$75))+IF(SUMSQ($D$56:$D$75)=0,0,'TO HOP'!$G$130*$D72/SUMSQ($D$56:$D$75)))/9.81))</f>
        <v>0</v>
      </c>
      <c r="AC96" s="8">
        <f>IF($B96="",0,IF(USE_TSPILE=1,AC169,('TO HOP'!$E$131/ncoc+IF(SUMSQ($E$56:$E$75)=0,0,'TO HOP'!$F$131*$E72/SUMSQ($E$56:$E$75))+IF(SUMSQ($D$56:$D$75)=0,0,'TO HOP'!$G$131*$D72/SUMSQ($D$56:$D$75)))/9.81))</f>
        <v>0</v>
      </c>
      <c r="AD96" s="8">
        <f>IF($B96="",0,IF(USE_TSPILE=1,AD169,('TO HOP'!$E$132/ncoc+IF(SUMSQ($E$56:$E$75)=0,0,'TO HOP'!$F$132*$E72/SUMSQ($E$56:$E$75))+IF(SUMSQ($D$56:$D$75)=0,0,'TO HOP'!$G$132*$D72/SUMSQ($D$56:$D$75)))/9.81))</f>
        <v>0</v>
      </c>
      <c r="AE96" s="8">
        <f>IF($B96="",0,IF(USE_TSPILE=1,AE169,('TO HOP'!$E$133/ncoc+IF(SUMSQ($E$56:$E$75)=0,0,'TO HOP'!$F$133*$E72/SUMSQ($E$56:$E$75))+IF(SUMSQ($D$56:$D$75)=0,0,'TO HOP'!$G$133*$D72/SUMSQ($D$56:$D$75)))/9.81))</f>
        <v>0</v>
      </c>
      <c r="AF96" s="8">
        <f>IF($B96="",0,IF(USE_TSPILE=1,AF169,('TO HOP'!$E$134/ncoc+IF(SUMSQ($E$56:$E$75)=0,0,'TO HOP'!$F$134*$E72/SUMSQ($E$56:$E$75))+IF(SUMSQ($D$56:$D$75)=0,0,'TO HOP'!$G$134*$D72/SUMSQ($D$56:$D$75)))/9.81))</f>
        <v>0</v>
      </c>
      <c r="AG96" s="8">
        <f>IF($B96="",0,IF(USE_TSPILE=1,AG169,('TO HOP'!$E$135/ncoc+IF(SUMSQ($E$56:$E$75)=0,0,'TO HOP'!$F$135*$E72/SUMSQ($E$56:$E$75))+IF(SUMSQ($D$56:$D$75)=0,0,'TO HOP'!$G$135*$D72/SUMSQ($D$56:$D$75)))/9.81))</f>
        <v>0</v>
      </c>
      <c r="AH96" s="8">
        <f>IF($B96="",0,IF(USE_TSPILE=1,AH169,('TO HOP'!$E$136/ncoc+IF(SUMSQ($E$56:$E$75)=0,0,'TO HOP'!$F$136*$E72/SUMSQ($E$56:$E$75))+IF(SUMSQ($D$56:$D$75)=0,0,'TO HOP'!$G$136*$D72/SUMSQ($D$56:$D$75)))/9.81))</f>
        <v>0</v>
      </c>
      <c r="AI96" s="8">
        <f>IF($B96="",0,IF(USE_TSPILE=1,AI169,('TO HOP'!$E$137/ncoc+IF(SUMSQ($E$56:$E$75)=0,0,'TO HOP'!$F$137*$E72/SUMSQ($E$56:$E$75))+IF(SUMSQ($D$56:$D$75)=0,0,'TO HOP'!$G$137*$D72/SUMSQ($D$56:$D$75)))/9.81))</f>
        <v>0</v>
      </c>
      <c r="AJ96" s="8">
        <f>IF($B96="",0,IF(USE_TSPILE=1,AJ169,('TO HOP'!$E$138/ncoc+IF(SUMSQ($E$56:$E$75)=0,0,'TO HOP'!$F$138*$E72/SUMSQ($E$56:$E$75))+IF(SUMSQ($D$56:$D$75)=0,0,'TO HOP'!$G$138*$D72/SUMSQ($D$56:$D$75)))/9.81))</f>
        <v>0</v>
      </c>
      <c r="AK96" s="8">
        <f>IF($B96="",0,IF(USE_TSPILE=1,AK169,('TO HOP'!$E$139/ncoc+IF(SUMSQ($E$56:$E$75)=0,0,'TO HOP'!$F$139*$E72/SUMSQ($E$56:$E$75))+IF(SUMSQ($D$56:$D$75)=0,0,'TO HOP'!$G$139*$D72/SUMSQ($D$56:$D$75)))/9.81))</f>
        <v>0</v>
      </c>
      <c r="AL96" s="8">
        <f>IF($B96="",0,IF(USE_TSPILE=1,AL169,('TO HOP'!$E$140/ncoc+IF(SUMSQ($E$56:$E$75)=0,0,'TO HOP'!$F$140*$E72/SUMSQ($E$56:$E$75))+IF(SUMSQ($D$56:$D$75)=0,0,'TO HOP'!$G$140*$D72/SUMSQ($D$56:$D$75)))/9.81))</f>
        <v>0</v>
      </c>
      <c r="AM96" s="8">
        <f>IF($B96="",0,IF(USE_TSPILE=1,AM169,('TO HOP'!$E$141/ncoc+IF(SUMSQ($E$56:$E$75)=0,0,'TO HOP'!$F$141*$E72/SUMSQ($E$56:$E$75))+IF(SUMSQ($D$56:$D$75)=0,0,'TO HOP'!$G$141*$D72/SUMSQ($D$56:$D$75)))/9.81))</f>
        <v>0</v>
      </c>
      <c r="AN96" s="8">
        <f>IF($B96="",0,IF(USE_TSPILE=1,AN169,('TO HOP'!$E$142/ncoc+IF(SUMSQ($E$56:$E$75)=0,0,'TO HOP'!$F$142*$E72/SUMSQ($E$56:$E$75))+IF(SUMSQ($D$56:$D$75)=0,0,'TO HOP'!$G$142*$D72/SUMSQ($D$56:$D$75)))/9.81))</f>
        <v>0</v>
      </c>
      <c r="AO96" s="8">
        <f>IF($B96="",0,IF(USE_TSPILE=1,AO169,('TO HOP'!$E$143/ncoc+IF(SUMSQ($E$56:$E$75)=0,0,'TO HOP'!$F$143*$E72/SUMSQ($E$56:$E$75))+IF(SUMSQ($D$56:$D$75)=0,0,'TO HOP'!$G$143*$D72/SUMSQ($D$56:$D$75)))/9.81))</f>
        <v>0</v>
      </c>
      <c r="AP96" s="8">
        <f>IF($B96="",0,IF(USE_TSPILE=1,AP169,('TO HOP'!$E$144/ncoc+IF(SUMSQ($E$56:$E$75)=0,0,'TO HOP'!$F$144*$E72/SUMSQ($E$56:$E$75))+IF(SUMSQ($D$56:$D$75)=0,0,'TO HOP'!$G$144*$D72/SUMSQ($D$56:$D$75)))/9.81))</f>
        <v>0</v>
      </c>
      <c r="AQ96" s="8">
        <f>IF($B96="",0,IF(USE_TSPILE=1,AQ169,('TO HOP'!$E$145/ncoc+IF(SUMSQ($E$56:$E$75)=0,0,'TO HOP'!$F$145*$E72/SUMSQ($E$56:$E$75))+IF(SUMSQ($D$56:$D$75)=0,0,'TO HOP'!$G$145*$D72/SUMSQ($D$56:$D$75)))/9.81))</f>
        <v>0</v>
      </c>
      <c r="AR96" s="8">
        <f>IF($B96="",0,IF(USE_TSPILE=1,AR169,('TO HOP'!$E$146/ncoc+IF(SUMSQ($E$56:$E$75)=0,0,'TO HOP'!$F$146*$E72/SUMSQ($E$56:$E$75))+IF(SUMSQ($D$56:$D$75)=0,0,'TO HOP'!$G$146*$D72/SUMSQ($D$56:$D$75)))/9.81))</f>
        <v>0</v>
      </c>
      <c r="AS96" s="8">
        <f>IF($B96="",0,IF(USE_TSPILE=1,AS169,('TO HOP'!$E$147/ncoc+IF(SUMSQ($E$56:$E$75)=0,0,'TO HOP'!$F$147*$E72/SUMSQ($E$56:$E$75))+IF(SUMSQ($D$56:$D$75)=0,0,'TO HOP'!$G$147*$D72/SUMSQ($D$56:$D$75)))/9.81))</f>
        <v>0</v>
      </c>
      <c r="AT96" s="8">
        <f>IF($B96="",0,IF(USE_TSPILE=1,AT169,('TO HOP'!$E$148/ncoc+IF(SUMSQ($E$56:$E$75)=0,0,'TO HOP'!$F$148*$E72/SUMSQ($E$56:$E$75))+IF(SUMSQ($D$56:$D$75)=0,0,'TO HOP'!$G$148*$D72/SUMSQ($D$56:$D$75)))/9.81))</f>
        <v>0</v>
      </c>
      <c r="AU96" s="8">
        <f>IF($B96="",0,IF(USE_TSPILE=1,AU169,('TO HOP'!$E$149/ncoc+IF(SUMSQ($E$56:$E$75)=0,0,'TO HOP'!$F$149*$E72/SUMSQ($E$56:$E$75))+IF(SUMSQ($D$56:$D$75)=0,0,'TO HOP'!$G$149*$D72/SUMSQ($D$56:$D$75)))/9.81))</f>
        <v>0</v>
      </c>
      <c r="AV96" s="8">
        <f>IF($B96="",0,IF(USE_TSPILE=1,AV169,('TO HOP'!$E$150/ncoc+IF(SUMSQ($E$56:$E$75)=0,0,'TO HOP'!$F$150*$E72/SUMSQ($E$56:$E$75))+IF(SUMSQ($D$56:$D$75)=0,0,'TO HOP'!$G$150*$D72/SUMSQ($D$56:$D$75)))/9.81))</f>
        <v>0</v>
      </c>
    </row>
    <row r="97" spans="2:48" x14ac:dyDescent="0.3">
      <c r="B97" s="10" t="str">
        <f>IF(18&lt;=ncoc,18,"")</f>
        <v/>
      </c>
      <c r="C97" s="8">
        <f>IF($B97="",0,IF(USE_TSPILE=1,C170,('TO HOP'!$E$105/ncoc+IF(SUMSQ($E$56:$E$75)=0,0,'TO HOP'!$F$105*$E73/SUMSQ($E$56:$E$75))+IF(SUMSQ($D$56:$D$75)=0,0,'TO HOP'!$G$105*$D73/SUMSQ($D$56:$D$75)))/9.81))</f>
        <v>0</v>
      </c>
      <c r="D97" s="8">
        <f>IF($B97="",0,IF(USE_TSPILE=1,D170,('TO HOP'!$E$106/ncoc+IF(SUMSQ($E$56:$E$75)=0,0,'TO HOP'!$F$106*$E73/SUMSQ($E$56:$E$75))+IF(SUMSQ($D$56:$D$75)=0,0,'TO HOP'!$G$106*$D73/SUMSQ($D$56:$D$75)))/9.81))</f>
        <v>0</v>
      </c>
      <c r="E97" s="8">
        <f>IF($B97="",0,IF(USE_TSPILE=1,E170,('TO HOP'!$E$107/ncoc+IF(SUMSQ($E$56:$E$75)=0,0,'TO HOP'!$F$107*$E73/SUMSQ($E$56:$E$75))+IF(SUMSQ($D$56:$D$75)=0,0,'TO HOP'!$G$107*$D73/SUMSQ($D$56:$D$75)))/9.81))</f>
        <v>0</v>
      </c>
      <c r="F97" s="8">
        <f>IF($B97="",0,IF(USE_TSPILE=1,F170,('TO HOP'!$E$108/ncoc+IF(SUMSQ($E$56:$E$75)=0,0,'TO HOP'!$F$108*$E73/SUMSQ($E$56:$E$75))+IF(SUMSQ($D$56:$D$75)=0,0,'TO HOP'!$G$108*$D73/SUMSQ($D$56:$D$75)))/9.81))</f>
        <v>0</v>
      </c>
      <c r="G97" s="8">
        <f>IF($B97="",0,IF(USE_TSPILE=1,G170,('TO HOP'!$E$109/ncoc+IF(SUMSQ($E$56:$E$75)=0,0,'TO HOP'!$F$109*$E73/SUMSQ($E$56:$E$75))+IF(SUMSQ($D$56:$D$75)=0,0,'TO HOP'!$G$109*$D73/SUMSQ($D$56:$D$75)))/9.81))</f>
        <v>0</v>
      </c>
      <c r="H97" s="8">
        <f>IF($B97="",0,IF(USE_TSPILE=1,H170,('TO HOP'!$E$110/ncoc+IF(SUMSQ($E$56:$E$75)=0,0,'TO HOP'!$F$110*$E73/SUMSQ($E$56:$E$75))+IF(SUMSQ($D$56:$D$75)=0,0,'TO HOP'!$G$110*$D73/SUMSQ($D$56:$D$75)))/9.81))</f>
        <v>0</v>
      </c>
      <c r="I97" s="8">
        <f>IF($B97="",0,IF(USE_TSPILE=1,I170,('TO HOP'!$E$111/ncoc+IF(SUMSQ($E$56:$E$75)=0,0,'TO HOP'!$F$111*$E73/SUMSQ($E$56:$E$75))+IF(SUMSQ($D$56:$D$75)=0,0,'TO HOP'!$G$111*$D73/SUMSQ($D$56:$D$75)))/9.81))</f>
        <v>0</v>
      </c>
      <c r="J97" s="8">
        <f>IF($B97="",0,IF(USE_TSPILE=1,J170,('TO HOP'!$E$112/ncoc+IF(SUMSQ($E$56:$E$75)=0,0,'TO HOP'!$F$112*$E73/SUMSQ($E$56:$E$75))+IF(SUMSQ($D$56:$D$75)=0,0,'TO HOP'!$G$112*$D73/SUMSQ($D$56:$D$75)))/9.81))</f>
        <v>0</v>
      </c>
      <c r="K97" s="8">
        <f>IF($B97="",0,IF(USE_TSPILE=1,K170,('TO HOP'!$E$113/ncoc+IF(SUMSQ($E$56:$E$75)=0,0,'TO HOP'!$F$113*$E73/SUMSQ($E$56:$E$75))+IF(SUMSQ($D$56:$D$75)=0,0,'TO HOP'!$G$113*$D73/SUMSQ($D$56:$D$75)))/9.81))</f>
        <v>0</v>
      </c>
      <c r="L97" s="8">
        <f>IF($B97="",0,IF(USE_TSPILE=1,L170,('TO HOP'!$E$114/ncoc+IF(SUMSQ($E$56:$E$75)=0,0,'TO HOP'!$F$114*$E73/SUMSQ($E$56:$E$75))+IF(SUMSQ($D$56:$D$75)=0,0,'TO HOP'!$G$114*$D73/SUMSQ($D$56:$D$75)))/9.81))</f>
        <v>0</v>
      </c>
      <c r="M97" s="8">
        <f>IF($B97="",0,IF(USE_TSPILE=1,M170,('TO HOP'!$E$115/ncoc+IF(SUMSQ($E$56:$E$75)=0,0,'TO HOP'!$F$115*$E73/SUMSQ($E$56:$E$75))+IF(SUMSQ($D$56:$D$75)=0,0,'TO HOP'!$G$115*$D73/SUMSQ($D$56:$D$75)))/9.81))</f>
        <v>0</v>
      </c>
      <c r="N97" s="8">
        <f>IF($B97="",0,IF(USE_TSPILE=1,N170,('TO HOP'!$E$116/ncoc+IF(SUMSQ($E$56:$E$75)=0,0,'TO HOP'!$F$116*$E73/SUMSQ($E$56:$E$75))+IF(SUMSQ($D$56:$D$75)=0,0,'TO HOP'!$G$116*$D73/SUMSQ($D$56:$D$75)))/9.81))</f>
        <v>0</v>
      </c>
      <c r="O97" s="8">
        <f>IF($B97="",0,IF(USE_TSPILE=1,O170,('TO HOP'!$E$117/ncoc+IF(SUMSQ($E$56:$E$75)=0,0,'TO HOP'!$F$117*$E73/SUMSQ($E$56:$E$75))+IF(SUMSQ($D$56:$D$75)=0,0,'TO HOP'!$G$117*$D73/SUMSQ($D$56:$D$75)))/9.81))</f>
        <v>0</v>
      </c>
      <c r="P97" s="8">
        <f>IF($B97="",0,IF(USE_TSPILE=1,P170,('TO HOP'!$E$118/ncoc+IF(SUMSQ($E$56:$E$75)=0,0,'TO HOP'!$F$118*$E73/SUMSQ($E$56:$E$75))+IF(SUMSQ($D$56:$D$75)=0,0,'TO HOP'!$G$118*$D73/SUMSQ($D$56:$D$75)))/9.81))</f>
        <v>0</v>
      </c>
      <c r="Q97" s="8">
        <f>IF($B97="",0,IF(USE_TSPILE=1,Q170,('TO HOP'!$E$119/ncoc+IF(SUMSQ($E$56:$E$75)=0,0,'TO HOP'!$F$119*$E73/SUMSQ($E$56:$E$75))+IF(SUMSQ($D$56:$D$75)=0,0,'TO HOP'!$G$119*$D73/SUMSQ($D$56:$D$75)))/9.81))</f>
        <v>0</v>
      </c>
      <c r="R97" s="8">
        <f>IF($B97="",0,IF(USE_TSPILE=1,R170,('TO HOP'!$E$120/ncoc+IF(SUMSQ($E$56:$E$75)=0,0,'TO HOP'!$F$120*$E73/SUMSQ($E$56:$E$75))+IF(SUMSQ($D$56:$D$75)=0,0,'TO HOP'!$G$120*$D73/SUMSQ($D$56:$D$75)))/9.81))</f>
        <v>0</v>
      </c>
      <c r="S97" s="8">
        <f>IF($B97="",0,IF(USE_TSPILE=1,S170,('TO HOP'!$E$121/ncoc+IF(SUMSQ($E$56:$E$75)=0,0,'TO HOP'!$F$121*$E73/SUMSQ($E$56:$E$75))+IF(SUMSQ($D$56:$D$75)=0,0,'TO HOP'!$G$121*$D73/SUMSQ($D$56:$D$75)))/9.81))</f>
        <v>0</v>
      </c>
      <c r="T97" s="8">
        <f>IF($B97="",0,IF(USE_TSPILE=1,T170,('TO HOP'!$E$122/ncoc+IF(SUMSQ($E$56:$E$75)=0,0,'TO HOP'!$F$122*$E73/SUMSQ($E$56:$E$75))+IF(SUMSQ($D$56:$D$75)=0,0,'TO HOP'!$G$122*$D73/SUMSQ($D$56:$D$75)))/9.81))</f>
        <v>0</v>
      </c>
      <c r="U97" s="8">
        <f>IF($B97="",0,IF(USE_TSPILE=1,U170,('TO HOP'!$E$123/ncoc+IF(SUMSQ($E$56:$E$75)=0,0,'TO HOP'!$F$123*$E73/SUMSQ($E$56:$E$75))+IF(SUMSQ($D$56:$D$75)=0,0,'TO HOP'!$G$123*$D73/SUMSQ($D$56:$D$75)))/9.81))</f>
        <v>0</v>
      </c>
      <c r="V97" s="8">
        <f>IF($B97="",0,IF(USE_TSPILE=1,V170,('TO HOP'!$E$124/ncoc+IF(SUMSQ($E$56:$E$75)=0,0,'TO HOP'!$F$124*$E73/SUMSQ($E$56:$E$75))+IF(SUMSQ($D$56:$D$75)=0,0,'TO HOP'!$G$124*$D73/SUMSQ($D$56:$D$75)))/9.81))</f>
        <v>0</v>
      </c>
      <c r="W97" s="8">
        <f>IF($B97="",0,IF(USE_TSPILE=1,W170,('TO HOP'!$E$125/ncoc+IF(SUMSQ($E$56:$E$75)=0,0,'TO HOP'!$F$125*$E73/SUMSQ($E$56:$E$75))+IF(SUMSQ($D$56:$D$75)=0,0,'TO HOP'!$G$125*$D73/SUMSQ($D$56:$D$75)))/9.81))</f>
        <v>0</v>
      </c>
      <c r="X97" s="8">
        <f>IF($B97="",0,IF(USE_TSPILE=1,X170,('TO HOP'!$E$126/ncoc+IF(SUMSQ($E$56:$E$75)=0,0,'TO HOP'!$F$126*$E73/SUMSQ($E$56:$E$75))+IF(SUMSQ($D$56:$D$75)=0,0,'TO HOP'!$G$126*$D73/SUMSQ($D$56:$D$75)))/9.81))</f>
        <v>0</v>
      </c>
      <c r="Y97" s="8">
        <f>IF($B97="",0,IF(USE_TSPILE=1,Y170,('TO HOP'!$E$127/ncoc+IF(SUMSQ($E$56:$E$75)=0,0,'TO HOP'!$F$127*$E73/SUMSQ($E$56:$E$75))+IF(SUMSQ($D$56:$D$75)=0,0,'TO HOP'!$G$127*$D73/SUMSQ($D$56:$D$75)))/9.81))</f>
        <v>0</v>
      </c>
      <c r="Z97" s="8">
        <f>IF($B97="",0,IF(USE_TSPILE=1,Z170,('TO HOP'!$E$128/ncoc+IF(SUMSQ($E$56:$E$75)=0,0,'TO HOP'!$F$128*$E73/SUMSQ($E$56:$E$75))+IF(SUMSQ($D$56:$D$75)=0,0,'TO HOP'!$G$128*$D73/SUMSQ($D$56:$D$75)))/9.81))</f>
        <v>0</v>
      </c>
      <c r="AA97" s="8">
        <f>IF($B97="",0,IF(USE_TSPILE=1,AA170,('TO HOP'!$E$129/ncoc+IF(SUMSQ($E$56:$E$75)=0,0,'TO HOP'!$F$129*$E73/SUMSQ($E$56:$E$75))+IF(SUMSQ($D$56:$D$75)=0,0,'TO HOP'!$G$129*$D73/SUMSQ($D$56:$D$75)))/9.81))</f>
        <v>0</v>
      </c>
      <c r="AB97" s="8">
        <f>IF($B97="",0,IF(USE_TSPILE=1,AB170,('TO HOP'!$E$130/ncoc+IF(SUMSQ($E$56:$E$75)=0,0,'TO HOP'!$F$130*$E73/SUMSQ($E$56:$E$75))+IF(SUMSQ($D$56:$D$75)=0,0,'TO HOP'!$G$130*$D73/SUMSQ($D$56:$D$75)))/9.81))</f>
        <v>0</v>
      </c>
      <c r="AC97" s="8">
        <f>IF($B97="",0,IF(USE_TSPILE=1,AC170,('TO HOP'!$E$131/ncoc+IF(SUMSQ($E$56:$E$75)=0,0,'TO HOP'!$F$131*$E73/SUMSQ($E$56:$E$75))+IF(SUMSQ($D$56:$D$75)=0,0,'TO HOP'!$G$131*$D73/SUMSQ($D$56:$D$75)))/9.81))</f>
        <v>0</v>
      </c>
      <c r="AD97" s="8">
        <f>IF($B97="",0,IF(USE_TSPILE=1,AD170,('TO HOP'!$E$132/ncoc+IF(SUMSQ($E$56:$E$75)=0,0,'TO HOP'!$F$132*$E73/SUMSQ($E$56:$E$75))+IF(SUMSQ($D$56:$D$75)=0,0,'TO HOP'!$G$132*$D73/SUMSQ($D$56:$D$75)))/9.81))</f>
        <v>0</v>
      </c>
      <c r="AE97" s="8">
        <f>IF($B97="",0,IF(USE_TSPILE=1,AE170,('TO HOP'!$E$133/ncoc+IF(SUMSQ($E$56:$E$75)=0,0,'TO HOP'!$F$133*$E73/SUMSQ($E$56:$E$75))+IF(SUMSQ($D$56:$D$75)=0,0,'TO HOP'!$G$133*$D73/SUMSQ($D$56:$D$75)))/9.81))</f>
        <v>0</v>
      </c>
      <c r="AF97" s="8">
        <f>IF($B97="",0,IF(USE_TSPILE=1,AF170,('TO HOP'!$E$134/ncoc+IF(SUMSQ($E$56:$E$75)=0,0,'TO HOP'!$F$134*$E73/SUMSQ($E$56:$E$75))+IF(SUMSQ($D$56:$D$75)=0,0,'TO HOP'!$G$134*$D73/SUMSQ($D$56:$D$75)))/9.81))</f>
        <v>0</v>
      </c>
      <c r="AG97" s="8">
        <f>IF($B97="",0,IF(USE_TSPILE=1,AG170,('TO HOP'!$E$135/ncoc+IF(SUMSQ($E$56:$E$75)=0,0,'TO HOP'!$F$135*$E73/SUMSQ($E$56:$E$75))+IF(SUMSQ($D$56:$D$75)=0,0,'TO HOP'!$G$135*$D73/SUMSQ($D$56:$D$75)))/9.81))</f>
        <v>0</v>
      </c>
      <c r="AH97" s="8">
        <f>IF($B97="",0,IF(USE_TSPILE=1,AH170,('TO HOP'!$E$136/ncoc+IF(SUMSQ($E$56:$E$75)=0,0,'TO HOP'!$F$136*$E73/SUMSQ($E$56:$E$75))+IF(SUMSQ($D$56:$D$75)=0,0,'TO HOP'!$G$136*$D73/SUMSQ($D$56:$D$75)))/9.81))</f>
        <v>0</v>
      </c>
      <c r="AI97" s="8">
        <f>IF($B97="",0,IF(USE_TSPILE=1,AI170,('TO HOP'!$E$137/ncoc+IF(SUMSQ($E$56:$E$75)=0,0,'TO HOP'!$F$137*$E73/SUMSQ($E$56:$E$75))+IF(SUMSQ($D$56:$D$75)=0,0,'TO HOP'!$G$137*$D73/SUMSQ($D$56:$D$75)))/9.81))</f>
        <v>0</v>
      </c>
      <c r="AJ97" s="8">
        <f>IF($B97="",0,IF(USE_TSPILE=1,AJ170,('TO HOP'!$E$138/ncoc+IF(SUMSQ($E$56:$E$75)=0,0,'TO HOP'!$F$138*$E73/SUMSQ($E$56:$E$75))+IF(SUMSQ($D$56:$D$75)=0,0,'TO HOP'!$G$138*$D73/SUMSQ($D$56:$D$75)))/9.81))</f>
        <v>0</v>
      </c>
      <c r="AK97" s="8">
        <f>IF($B97="",0,IF(USE_TSPILE=1,AK170,('TO HOP'!$E$139/ncoc+IF(SUMSQ($E$56:$E$75)=0,0,'TO HOP'!$F$139*$E73/SUMSQ($E$56:$E$75))+IF(SUMSQ($D$56:$D$75)=0,0,'TO HOP'!$G$139*$D73/SUMSQ($D$56:$D$75)))/9.81))</f>
        <v>0</v>
      </c>
      <c r="AL97" s="8">
        <f>IF($B97="",0,IF(USE_TSPILE=1,AL170,('TO HOP'!$E$140/ncoc+IF(SUMSQ($E$56:$E$75)=0,0,'TO HOP'!$F$140*$E73/SUMSQ($E$56:$E$75))+IF(SUMSQ($D$56:$D$75)=0,0,'TO HOP'!$G$140*$D73/SUMSQ($D$56:$D$75)))/9.81))</f>
        <v>0</v>
      </c>
      <c r="AM97" s="8">
        <f>IF($B97="",0,IF(USE_TSPILE=1,AM170,('TO HOP'!$E$141/ncoc+IF(SUMSQ($E$56:$E$75)=0,0,'TO HOP'!$F$141*$E73/SUMSQ($E$56:$E$75))+IF(SUMSQ($D$56:$D$75)=0,0,'TO HOP'!$G$141*$D73/SUMSQ($D$56:$D$75)))/9.81))</f>
        <v>0</v>
      </c>
      <c r="AN97" s="8">
        <f>IF($B97="",0,IF(USE_TSPILE=1,AN170,('TO HOP'!$E$142/ncoc+IF(SUMSQ($E$56:$E$75)=0,0,'TO HOP'!$F$142*$E73/SUMSQ($E$56:$E$75))+IF(SUMSQ($D$56:$D$75)=0,0,'TO HOP'!$G$142*$D73/SUMSQ($D$56:$D$75)))/9.81))</f>
        <v>0</v>
      </c>
      <c r="AO97" s="8">
        <f>IF($B97="",0,IF(USE_TSPILE=1,AO170,('TO HOP'!$E$143/ncoc+IF(SUMSQ($E$56:$E$75)=0,0,'TO HOP'!$F$143*$E73/SUMSQ($E$56:$E$75))+IF(SUMSQ($D$56:$D$75)=0,0,'TO HOP'!$G$143*$D73/SUMSQ($D$56:$D$75)))/9.81))</f>
        <v>0</v>
      </c>
      <c r="AP97" s="8">
        <f>IF($B97="",0,IF(USE_TSPILE=1,AP170,('TO HOP'!$E$144/ncoc+IF(SUMSQ($E$56:$E$75)=0,0,'TO HOP'!$F$144*$E73/SUMSQ($E$56:$E$75))+IF(SUMSQ($D$56:$D$75)=0,0,'TO HOP'!$G$144*$D73/SUMSQ($D$56:$D$75)))/9.81))</f>
        <v>0</v>
      </c>
      <c r="AQ97" s="8">
        <f>IF($B97="",0,IF(USE_TSPILE=1,AQ170,('TO HOP'!$E$145/ncoc+IF(SUMSQ($E$56:$E$75)=0,0,'TO HOP'!$F$145*$E73/SUMSQ($E$56:$E$75))+IF(SUMSQ($D$56:$D$75)=0,0,'TO HOP'!$G$145*$D73/SUMSQ($D$56:$D$75)))/9.81))</f>
        <v>0</v>
      </c>
      <c r="AR97" s="8">
        <f>IF($B97="",0,IF(USE_TSPILE=1,AR170,('TO HOP'!$E$146/ncoc+IF(SUMSQ($E$56:$E$75)=0,0,'TO HOP'!$F$146*$E73/SUMSQ($E$56:$E$75))+IF(SUMSQ($D$56:$D$75)=0,0,'TO HOP'!$G$146*$D73/SUMSQ($D$56:$D$75)))/9.81))</f>
        <v>0</v>
      </c>
      <c r="AS97" s="8">
        <f>IF($B97="",0,IF(USE_TSPILE=1,AS170,('TO HOP'!$E$147/ncoc+IF(SUMSQ($E$56:$E$75)=0,0,'TO HOP'!$F$147*$E73/SUMSQ($E$56:$E$75))+IF(SUMSQ($D$56:$D$75)=0,0,'TO HOP'!$G$147*$D73/SUMSQ($D$56:$D$75)))/9.81))</f>
        <v>0</v>
      </c>
      <c r="AT97" s="8">
        <f>IF($B97="",0,IF(USE_TSPILE=1,AT170,('TO HOP'!$E$148/ncoc+IF(SUMSQ($E$56:$E$75)=0,0,'TO HOP'!$F$148*$E73/SUMSQ($E$56:$E$75))+IF(SUMSQ($D$56:$D$75)=0,0,'TO HOP'!$G$148*$D73/SUMSQ($D$56:$D$75)))/9.81))</f>
        <v>0</v>
      </c>
      <c r="AU97" s="8">
        <f>IF($B97="",0,IF(USE_TSPILE=1,AU170,('TO HOP'!$E$149/ncoc+IF(SUMSQ($E$56:$E$75)=0,0,'TO HOP'!$F$149*$E73/SUMSQ($E$56:$E$75))+IF(SUMSQ($D$56:$D$75)=0,0,'TO HOP'!$G$149*$D73/SUMSQ($D$56:$D$75)))/9.81))</f>
        <v>0</v>
      </c>
      <c r="AV97" s="8">
        <f>IF($B97="",0,IF(USE_TSPILE=1,AV170,('TO HOP'!$E$150/ncoc+IF(SUMSQ($E$56:$E$75)=0,0,'TO HOP'!$F$150*$E73/SUMSQ($E$56:$E$75))+IF(SUMSQ($D$56:$D$75)=0,0,'TO HOP'!$G$150*$D73/SUMSQ($D$56:$D$75)))/9.81))</f>
        <v>0</v>
      </c>
    </row>
    <row r="98" spans="2:48" x14ac:dyDescent="0.3">
      <c r="B98" s="10" t="str">
        <f>IF(19&lt;=ncoc,19,"")</f>
        <v/>
      </c>
      <c r="C98" s="8">
        <f>IF($B98="",0,IF(USE_TSPILE=1,C171,('TO HOP'!$E$105/ncoc+IF(SUMSQ($E$56:$E$75)=0,0,'TO HOP'!$F$105*$E74/SUMSQ($E$56:$E$75))+IF(SUMSQ($D$56:$D$75)=0,0,'TO HOP'!$G$105*$D74/SUMSQ($D$56:$D$75)))/9.81))</f>
        <v>0</v>
      </c>
      <c r="D98" s="8">
        <f>IF($B98="",0,IF(USE_TSPILE=1,D171,('TO HOP'!$E$106/ncoc+IF(SUMSQ($E$56:$E$75)=0,0,'TO HOP'!$F$106*$E74/SUMSQ($E$56:$E$75))+IF(SUMSQ($D$56:$D$75)=0,0,'TO HOP'!$G$106*$D74/SUMSQ($D$56:$D$75)))/9.81))</f>
        <v>0</v>
      </c>
      <c r="E98" s="8">
        <f>IF($B98="",0,IF(USE_TSPILE=1,E171,('TO HOP'!$E$107/ncoc+IF(SUMSQ($E$56:$E$75)=0,0,'TO HOP'!$F$107*$E74/SUMSQ($E$56:$E$75))+IF(SUMSQ($D$56:$D$75)=0,0,'TO HOP'!$G$107*$D74/SUMSQ($D$56:$D$75)))/9.81))</f>
        <v>0</v>
      </c>
      <c r="F98" s="8">
        <f>IF($B98="",0,IF(USE_TSPILE=1,F171,('TO HOP'!$E$108/ncoc+IF(SUMSQ($E$56:$E$75)=0,0,'TO HOP'!$F$108*$E74/SUMSQ($E$56:$E$75))+IF(SUMSQ($D$56:$D$75)=0,0,'TO HOP'!$G$108*$D74/SUMSQ($D$56:$D$75)))/9.81))</f>
        <v>0</v>
      </c>
      <c r="G98" s="8">
        <f>IF($B98="",0,IF(USE_TSPILE=1,G171,('TO HOP'!$E$109/ncoc+IF(SUMSQ($E$56:$E$75)=0,0,'TO HOP'!$F$109*$E74/SUMSQ($E$56:$E$75))+IF(SUMSQ($D$56:$D$75)=0,0,'TO HOP'!$G$109*$D74/SUMSQ($D$56:$D$75)))/9.81))</f>
        <v>0</v>
      </c>
      <c r="H98" s="8">
        <f>IF($B98="",0,IF(USE_TSPILE=1,H171,('TO HOP'!$E$110/ncoc+IF(SUMSQ($E$56:$E$75)=0,0,'TO HOP'!$F$110*$E74/SUMSQ($E$56:$E$75))+IF(SUMSQ($D$56:$D$75)=0,0,'TO HOP'!$G$110*$D74/SUMSQ($D$56:$D$75)))/9.81))</f>
        <v>0</v>
      </c>
      <c r="I98" s="8">
        <f>IF($B98="",0,IF(USE_TSPILE=1,I171,('TO HOP'!$E$111/ncoc+IF(SUMSQ($E$56:$E$75)=0,0,'TO HOP'!$F$111*$E74/SUMSQ($E$56:$E$75))+IF(SUMSQ($D$56:$D$75)=0,0,'TO HOP'!$G$111*$D74/SUMSQ($D$56:$D$75)))/9.81))</f>
        <v>0</v>
      </c>
      <c r="J98" s="8">
        <f>IF($B98="",0,IF(USE_TSPILE=1,J171,('TO HOP'!$E$112/ncoc+IF(SUMSQ($E$56:$E$75)=0,0,'TO HOP'!$F$112*$E74/SUMSQ($E$56:$E$75))+IF(SUMSQ($D$56:$D$75)=0,0,'TO HOP'!$G$112*$D74/SUMSQ($D$56:$D$75)))/9.81))</f>
        <v>0</v>
      </c>
      <c r="K98" s="8">
        <f>IF($B98="",0,IF(USE_TSPILE=1,K171,('TO HOP'!$E$113/ncoc+IF(SUMSQ($E$56:$E$75)=0,0,'TO HOP'!$F$113*$E74/SUMSQ($E$56:$E$75))+IF(SUMSQ($D$56:$D$75)=0,0,'TO HOP'!$G$113*$D74/SUMSQ($D$56:$D$75)))/9.81))</f>
        <v>0</v>
      </c>
      <c r="L98" s="8">
        <f>IF($B98="",0,IF(USE_TSPILE=1,L171,('TO HOP'!$E$114/ncoc+IF(SUMSQ($E$56:$E$75)=0,0,'TO HOP'!$F$114*$E74/SUMSQ($E$56:$E$75))+IF(SUMSQ($D$56:$D$75)=0,0,'TO HOP'!$G$114*$D74/SUMSQ($D$56:$D$75)))/9.81))</f>
        <v>0</v>
      </c>
      <c r="M98" s="8">
        <f>IF($B98="",0,IF(USE_TSPILE=1,M171,('TO HOP'!$E$115/ncoc+IF(SUMSQ($E$56:$E$75)=0,0,'TO HOP'!$F$115*$E74/SUMSQ($E$56:$E$75))+IF(SUMSQ($D$56:$D$75)=0,0,'TO HOP'!$G$115*$D74/SUMSQ($D$56:$D$75)))/9.81))</f>
        <v>0</v>
      </c>
      <c r="N98" s="8">
        <f>IF($B98="",0,IF(USE_TSPILE=1,N171,('TO HOP'!$E$116/ncoc+IF(SUMSQ($E$56:$E$75)=0,0,'TO HOP'!$F$116*$E74/SUMSQ($E$56:$E$75))+IF(SUMSQ($D$56:$D$75)=0,0,'TO HOP'!$G$116*$D74/SUMSQ($D$56:$D$75)))/9.81))</f>
        <v>0</v>
      </c>
      <c r="O98" s="8">
        <f>IF($B98="",0,IF(USE_TSPILE=1,O171,('TO HOP'!$E$117/ncoc+IF(SUMSQ($E$56:$E$75)=0,0,'TO HOP'!$F$117*$E74/SUMSQ($E$56:$E$75))+IF(SUMSQ($D$56:$D$75)=0,0,'TO HOP'!$G$117*$D74/SUMSQ($D$56:$D$75)))/9.81))</f>
        <v>0</v>
      </c>
      <c r="P98" s="8">
        <f>IF($B98="",0,IF(USE_TSPILE=1,P171,('TO HOP'!$E$118/ncoc+IF(SUMSQ($E$56:$E$75)=0,0,'TO HOP'!$F$118*$E74/SUMSQ($E$56:$E$75))+IF(SUMSQ($D$56:$D$75)=0,0,'TO HOP'!$G$118*$D74/SUMSQ($D$56:$D$75)))/9.81))</f>
        <v>0</v>
      </c>
      <c r="Q98" s="8">
        <f>IF($B98="",0,IF(USE_TSPILE=1,Q171,('TO HOP'!$E$119/ncoc+IF(SUMSQ($E$56:$E$75)=0,0,'TO HOP'!$F$119*$E74/SUMSQ($E$56:$E$75))+IF(SUMSQ($D$56:$D$75)=0,0,'TO HOP'!$G$119*$D74/SUMSQ($D$56:$D$75)))/9.81))</f>
        <v>0</v>
      </c>
      <c r="R98" s="8">
        <f>IF($B98="",0,IF(USE_TSPILE=1,R171,('TO HOP'!$E$120/ncoc+IF(SUMSQ($E$56:$E$75)=0,0,'TO HOP'!$F$120*$E74/SUMSQ($E$56:$E$75))+IF(SUMSQ($D$56:$D$75)=0,0,'TO HOP'!$G$120*$D74/SUMSQ($D$56:$D$75)))/9.81))</f>
        <v>0</v>
      </c>
      <c r="S98" s="8">
        <f>IF($B98="",0,IF(USE_TSPILE=1,S171,('TO HOP'!$E$121/ncoc+IF(SUMSQ($E$56:$E$75)=0,0,'TO HOP'!$F$121*$E74/SUMSQ($E$56:$E$75))+IF(SUMSQ($D$56:$D$75)=0,0,'TO HOP'!$G$121*$D74/SUMSQ($D$56:$D$75)))/9.81))</f>
        <v>0</v>
      </c>
      <c r="T98" s="8">
        <f>IF($B98="",0,IF(USE_TSPILE=1,T171,('TO HOP'!$E$122/ncoc+IF(SUMSQ($E$56:$E$75)=0,0,'TO HOP'!$F$122*$E74/SUMSQ($E$56:$E$75))+IF(SUMSQ($D$56:$D$75)=0,0,'TO HOP'!$G$122*$D74/SUMSQ($D$56:$D$75)))/9.81))</f>
        <v>0</v>
      </c>
      <c r="U98" s="8">
        <f>IF($B98="",0,IF(USE_TSPILE=1,U171,('TO HOP'!$E$123/ncoc+IF(SUMSQ($E$56:$E$75)=0,0,'TO HOP'!$F$123*$E74/SUMSQ($E$56:$E$75))+IF(SUMSQ($D$56:$D$75)=0,0,'TO HOP'!$G$123*$D74/SUMSQ($D$56:$D$75)))/9.81))</f>
        <v>0</v>
      </c>
      <c r="V98" s="8">
        <f>IF($B98="",0,IF(USE_TSPILE=1,V171,('TO HOP'!$E$124/ncoc+IF(SUMSQ($E$56:$E$75)=0,0,'TO HOP'!$F$124*$E74/SUMSQ($E$56:$E$75))+IF(SUMSQ($D$56:$D$75)=0,0,'TO HOP'!$G$124*$D74/SUMSQ($D$56:$D$75)))/9.81))</f>
        <v>0</v>
      </c>
      <c r="W98" s="8">
        <f>IF($B98="",0,IF(USE_TSPILE=1,W171,('TO HOP'!$E$125/ncoc+IF(SUMSQ($E$56:$E$75)=0,0,'TO HOP'!$F$125*$E74/SUMSQ($E$56:$E$75))+IF(SUMSQ($D$56:$D$75)=0,0,'TO HOP'!$G$125*$D74/SUMSQ($D$56:$D$75)))/9.81))</f>
        <v>0</v>
      </c>
      <c r="X98" s="8">
        <f>IF($B98="",0,IF(USE_TSPILE=1,X171,('TO HOP'!$E$126/ncoc+IF(SUMSQ($E$56:$E$75)=0,0,'TO HOP'!$F$126*$E74/SUMSQ($E$56:$E$75))+IF(SUMSQ($D$56:$D$75)=0,0,'TO HOP'!$G$126*$D74/SUMSQ($D$56:$D$75)))/9.81))</f>
        <v>0</v>
      </c>
      <c r="Y98" s="8">
        <f>IF($B98="",0,IF(USE_TSPILE=1,Y171,('TO HOP'!$E$127/ncoc+IF(SUMSQ($E$56:$E$75)=0,0,'TO HOP'!$F$127*$E74/SUMSQ($E$56:$E$75))+IF(SUMSQ($D$56:$D$75)=0,0,'TO HOP'!$G$127*$D74/SUMSQ($D$56:$D$75)))/9.81))</f>
        <v>0</v>
      </c>
      <c r="Z98" s="8">
        <f>IF($B98="",0,IF(USE_TSPILE=1,Z171,('TO HOP'!$E$128/ncoc+IF(SUMSQ($E$56:$E$75)=0,0,'TO HOP'!$F$128*$E74/SUMSQ($E$56:$E$75))+IF(SUMSQ($D$56:$D$75)=0,0,'TO HOP'!$G$128*$D74/SUMSQ($D$56:$D$75)))/9.81))</f>
        <v>0</v>
      </c>
      <c r="AA98" s="8">
        <f>IF($B98="",0,IF(USE_TSPILE=1,AA171,('TO HOP'!$E$129/ncoc+IF(SUMSQ($E$56:$E$75)=0,0,'TO HOP'!$F$129*$E74/SUMSQ($E$56:$E$75))+IF(SUMSQ($D$56:$D$75)=0,0,'TO HOP'!$G$129*$D74/SUMSQ($D$56:$D$75)))/9.81))</f>
        <v>0</v>
      </c>
      <c r="AB98" s="8">
        <f>IF($B98="",0,IF(USE_TSPILE=1,AB171,('TO HOP'!$E$130/ncoc+IF(SUMSQ($E$56:$E$75)=0,0,'TO HOP'!$F$130*$E74/SUMSQ($E$56:$E$75))+IF(SUMSQ($D$56:$D$75)=0,0,'TO HOP'!$G$130*$D74/SUMSQ($D$56:$D$75)))/9.81))</f>
        <v>0</v>
      </c>
      <c r="AC98" s="8">
        <f>IF($B98="",0,IF(USE_TSPILE=1,AC171,('TO HOP'!$E$131/ncoc+IF(SUMSQ($E$56:$E$75)=0,0,'TO HOP'!$F$131*$E74/SUMSQ($E$56:$E$75))+IF(SUMSQ($D$56:$D$75)=0,0,'TO HOP'!$G$131*$D74/SUMSQ($D$56:$D$75)))/9.81))</f>
        <v>0</v>
      </c>
      <c r="AD98" s="8">
        <f>IF($B98="",0,IF(USE_TSPILE=1,AD171,('TO HOP'!$E$132/ncoc+IF(SUMSQ($E$56:$E$75)=0,0,'TO HOP'!$F$132*$E74/SUMSQ($E$56:$E$75))+IF(SUMSQ($D$56:$D$75)=0,0,'TO HOP'!$G$132*$D74/SUMSQ($D$56:$D$75)))/9.81))</f>
        <v>0</v>
      </c>
      <c r="AE98" s="8">
        <f>IF($B98="",0,IF(USE_TSPILE=1,AE171,('TO HOP'!$E$133/ncoc+IF(SUMSQ($E$56:$E$75)=0,0,'TO HOP'!$F$133*$E74/SUMSQ($E$56:$E$75))+IF(SUMSQ($D$56:$D$75)=0,0,'TO HOP'!$G$133*$D74/SUMSQ($D$56:$D$75)))/9.81))</f>
        <v>0</v>
      </c>
      <c r="AF98" s="8">
        <f>IF($B98="",0,IF(USE_TSPILE=1,AF171,('TO HOP'!$E$134/ncoc+IF(SUMSQ($E$56:$E$75)=0,0,'TO HOP'!$F$134*$E74/SUMSQ($E$56:$E$75))+IF(SUMSQ($D$56:$D$75)=0,0,'TO HOP'!$G$134*$D74/SUMSQ($D$56:$D$75)))/9.81))</f>
        <v>0</v>
      </c>
      <c r="AG98" s="8">
        <f>IF($B98="",0,IF(USE_TSPILE=1,AG171,('TO HOP'!$E$135/ncoc+IF(SUMSQ($E$56:$E$75)=0,0,'TO HOP'!$F$135*$E74/SUMSQ($E$56:$E$75))+IF(SUMSQ($D$56:$D$75)=0,0,'TO HOP'!$G$135*$D74/SUMSQ($D$56:$D$75)))/9.81))</f>
        <v>0</v>
      </c>
      <c r="AH98" s="8">
        <f>IF($B98="",0,IF(USE_TSPILE=1,AH171,('TO HOP'!$E$136/ncoc+IF(SUMSQ($E$56:$E$75)=0,0,'TO HOP'!$F$136*$E74/SUMSQ($E$56:$E$75))+IF(SUMSQ($D$56:$D$75)=0,0,'TO HOP'!$G$136*$D74/SUMSQ($D$56:$D$75)))/9.81))</f>
        <v>0</v>
      </c>
      <c r="AI98" s="8">
        <f>IF($B98="",0,IF(USE_TSPILE=1,AI171,('TO HOP'!$E$137/ncoc+IF(SUMSQ($E$56:$E$75)=0,0,'TO HOP'!$F$137*$E74/SUMSQ($E$56:$E$75))+IF(SUMSQ($D$56:$D$75)=0,0,'TO HOP'!$G$137*$D74/SUMSQ($D$56:$D$75)))/9.81))</f>
        <v>0</v>
      </c>
      <c r="AJ98" s="8">
        <f>IF($B98="",0,IF(USE_TSPILE=1,AJ171,('TO HOP'!$E$138/ncoc+IF(SUMSQ($E$56:$E$75)=0,0,'TO HOP'!$F$138*$E74/SUMSQ($E$56:$E$75))+IF(SUMSQ($D$56:$D$75)=0,0,'TO HOP'!$G$138*$D74/SUMSQ($D$56:$D$75)))/9.81))</f>
        <v>0</v>
      </c>
      <c r="AK98" s="8">
        <f>IF($B98="",0,IF(USE_TSPILE=1,AK171,('TO HOP'!$E$139/ncoc+IF(SUMSQ($E$56:$E$75)=0,0,'TO HOP'!$F$139*$E74/SUMSQ($E$56:$E$75))+IF(SUMSQ($D$56:$D$75)=0,0,'TO HOP'!$G$139*$D74/SUMSQ($D$56:$D$75)))/9.81))</f>
        <v>0</v>
      </c>
      <c r="AL98" s="8">
        <f>IF($B98="",0,IF(USE_TSPILE=1,AL171,('TO HOP'!$E$140/ncoc+IF(SUMSQ($E$56:$E$75)=0,0,'TO HOP'!$F$140*$E74/SUMSQ($E$56:$E$75))+IF(SUMSQ($D$56:$D$75)=0,0,'TO HOP'!$G$140*$D74/SUMSQ($D$56:$D$75)))/9.81))</f>
        <v>0</v>
      </c>
      <c r="AM98" s="8">
        <f>IF($B98="",0,IF(USE_TSPILE=1,AM171,('TO HOP'!$E$141/ncoc+IF(SUMSQ($E$56:$E$75)=0,0,'TO HOP'!$F$141*$E74/SUMSQ($E$56:$E$75))+IF(SUMSQ($D$56:$D$75)=0,0,'TO HOP'!$G$141*$D74/SUMSQ($D$56:$D$75)))/9.81))</f>
        <v>0</v>
      </c>
      <c r="AN98" s="8">
        <f>IF($B98="",0,IF(USE_TSPILE=1,AN171,('TO HOP'!$E$142/ncoc+IF(SUMSQ($E$56:$E$75)=0,0,'TO HOP'!$F$142*$E74/SUMSQ($E$56:$E$75))+IF(SUMSQ($D$56:$D$75)=0,0,'TO HOP'!$G$142*$D74/SUMSQ($D$56:$D$75)))/9.81))</f>
        <v>0</v>
      </c>
      <c r="AO98" s="8">
        <f>IF($B98="",0,IF(USE_TSPILE=1,AO171,('TO HOP'!$E$143/ncoc+IF(SUMSQ($E$56:$E$75)=0,0,'TO HOP'!$F$143*$E74/SUMSQ($E$56:$E$75))+IF(SUMSQ($D$56:$D$75)=0,0,'TO HOP'!$G$143*$D74/SUMSQ($D$56:$D$75)))/9.81))</f>
        <v>0</v>
      </c>
      <c r="AP98" s="8">
        <f>IF($B98="",0,IF(USE_TSPILE=1,AP171,('TO HOP'!$E$144/ncoc+IF(SUMSQ($E$56:$E$75)=0,0,'TO HOP'!$F$144*$E74/SUMSQ($E$56:$E$75))+IF(SUMSQ($D$56:$D$75)=0,0,'TO HOP'!$G$144*$D74/SUMSQ($D$56:$D$75)))/9.81))</f>
        <v>0</v>
      </c>
      <c r="AQ98" s="8">
        <f>IF($B98="",0,IF(USE_TSPILE=1,AQ171,('TO HOP'!$E$145/ncoc+IF(SUMSQ($E$56:$E$75)=0,0,'TO HOP'!$F$145*$E74/SUMSQ($E$56:$E$75))+IF(SUMSQ($D$56:$D$75)=0,0,'TO HOP'!$G$145*$D74/SUMSQ($D$56:$D$75)))/9.81))</f>
        <v>0</v>
      </c>
      <c r="AR98" s="8">
        <f>IF($B98="",0,IF(USE_TSPILE=1,AR171,('TO HOP'!$E$146/ncoc+IF(SUMSQ($E$56:$E$75)=0,0,'TO HOP'!$F$146*$E74/SUMSQ($E$56:$E$75))+IF(SUMSQ($D$56:$D$75)=0,0,'TO HOP'!$G$146*$D74/SUMSQ($D$56:$D$75)))/9.81))</f>
        <v>0</v>
      </c>
      <c r="AS98" s="8">
        <f>IF($B98="",0,IF(USE_TSPILE=1,AS171,('TO HOP'!$E$147/ncoc+IF(SUMSQ($E$56:$E$75)=0,0,'TO HOP'!$F$147*$E74/SUMSQ($E$56:$E$75))+IF(SUMSQ($D$56:$D$75)=0,0,'TO HOP'!$G$147*$D74/SUMSQ($D$56:$D$75)))/9.81))</f>
        <v>0</v>
      </c>
      <c r="AT98" s="8">
        <f>IF($B98="",0,IF(USE_TSPILE=1,AT171,('TO HOP'!$E$148/ncoc+IF(SUMSQ($E$56:$E$75)=0,0,'TO HOP'!$F$148*$E74/SUMSQ($E$56:$E$75))+IF(SUMSQ($D$56:$D$75)=0,0,'TO HOP'!$G$148*$D74/SUMSQ($D$56:$D$75)))/9.81))</f>
        <v>0</v>
      </c>
      <c r="AU98" s="8">
        <f>IF($B98="",0,IF(USE_TSPILE=1,AU171,('TO HOP'!$E$149/ncoc+IF(SUMSQ($E$56:$E$75)=0,0,'TO HOP'!$F$149*$E74/SUMSQ($E$56:$E$75))+IF(SUMSQ($D$56:$D$75)=0,0,'TO HOP'!$G$149*$D74/SUMSQ($D$56:$D$75)))/9.81))</f>
        <v>0</v>
      </c>
      <c r="AV98" s="8">
        <f>IF($B98="",0,IF(USE_TSPILE=1,AV171,('TO HOP'!$E$150/ncoc+IF(SUMSQ($E$56:$E$75)=0,0,'TO HOP'!$F$150*$E74/SUMSQ($E$56:$E$75))+IF(SUMSQ($D$56:$D$75)=0,0,'TO HOP'!$G$150*$D74/SUMSQ($D$56:$D$75)))/9.81))</f>
        <v>0</v>
      </c>
    </row>
    <row r="99" spans="2:48" x14ac:dyDescent="0.3">
      <c r="B99" s="10" t="str">
        <f>IF(20&lt;=ncoc,20,"")</f>
        <v/>
      </c>
      <c r="C99" s="8">
        <f>IF($B99="",0,IF(USE_TSPILE=1,C172,('TO HOP'!$E$105/ncoc+IF(SUMSQ($E$56:$E$75)=0,0,'TO HOP'!$F$105*$E75/SUMSQ($E$56:$E$75))+IF(SUMSQ($D$56:$D$75)=0,0,'TO HOP'!$G$105*$D75/SUMSQ($D$56:$D$75)))/9.81))</f>
        <v>0</v>
      </c>
      <c r="D99" s="8">
        <f>IF($B99="",0,IF(USE_TSPILE=1,D172,('TO HOP'!$E$106/ncoc+IF(SUMSQ($E$56:$E$75)=0,0,'TO HOP'!$F$106*$E75/SUMSQ($E$56:$E$75))+IF(SUMSQ($D$56:$D$75)=0,0,'TO HOP'!$G$106*$D75/SUMSQ($D$56:$D$75)))/9.81))</f>
        <v>0</v>
      </c>
      <c r="E99" s="8">
        <f>IF($B99="",0,IF(USE_TSPILE=1,E172,('TO HOP'!$E$107/ncoc+IF(SUMSQ($E$56:$E$75)=0,0,'TO HOP'!$F$107*$E75/SUMSQ($E$56:$E$75))+IF(SUMSQ($D$56:$D$75)=0,0,'TO HOP'!$G$107*$D75/SUMSQ($D$56:$D$75)))/9.81))</f>
        <v>0</v>
      </c>
      <c r="F99" s="8">
        <f>IF($B99="",0,IF(USE_TSPILE=1,F172,('TO HOP'!$E$108/ncoc+IF(SUMSQ($E$56:$E$75)=0,0,'TO HOP'!$F$108*$E75/SUMSQ($E$56:$E$75))+IF(SUMSQ($D$56:$D$75)=0,0,'TO HOP'!$G$108*$D75/SUMSQ($D$56:$D$75)))/9.81))</f>
        <v>0</v>
      </c>
      <c r="G99" s="8">
        <f>IF($B99="",0,IF(USE_TSPILE=1,G172,('TO HOP'!$E$109/ncoc+IF(SUMSQ($E$56:$E$75)=0,0,'TO HOP'!$F$109*$E75/SUMSQ($E$56:$E$75))+IF(SUMSQ($D$56:$D$75)=0,0,'TO HOP'!$G$109*$D75/SUMSQ($D$56:$D$75)))/9.81))</f>
        <v>0</v>
      </c>
      <c r="H99" s="8">
        <f>IF($B99="",0,IF(USE_TSPILE=1,H172,('TO HOP'!$E$110/ncoc+IF(SUMSQ($E$56:$E$75)=0,0,'TO HOP'!$F$110*$E75/SUMSQ($E$56:$E$75))+IF(SUMSQ($D$56:$D$75)=0,0,'TO HOP'!$G$110*$D75/SUMSQ($D$56:$D$75)))/9.81))</f>
        <v>0</v>
      </c>
      <c r="I99" s="8">
        <f>IF($B99="",0,IF(USE_TSPILE=1,I172,('TO HOP'!$E$111/ncoc+IF(SUMSQ($E$56:$E$75)=0,0,'TO HOP'!$F$111*$E75/SUMSQ($E$56:$E$75))+IF(SUMSQ($D$56:$D$75)=0,0,'TO HOP'!$G$111*$D75/SUMSQ($D$56:$D$75)))/9.81))</f>
        <v>0</v>
      </c>
      <c r="J99" s="8">
        <f>IF($B99="",0,IF(USE_TSPILE=1,J172,('TO HOP'!$E$112/ncoc+IF(SUMSQ($E$56:$E$75)=0,0,'TO HOP'!$F$112*$E75/SUMSQ($E$56:$E$75))+IF(SUMSQ($D$56:$D$75)=0,0,'TO HOP'!$G$112*$D75/SUMSQ($D$56:$D$75)))/9.81))</f>
        <v>0</v>
      </c>
      <c r="K99" s="8">
        <f>IF($B99="",0,IF(USE_TSPILE=1,K172,('TO HOP'!$E$113/ncoc+IF(SUMSQ($E$56:$E$75)=0,0,'TO HOP'!$F$113*$E75/SUMSQ($E$56:$E$75))+IF(SUMSQ($D$56:$D$75)=0,0,'TO HOP'!$G$113*$D75/SUMSQ($D$56:$D$75)))/9.81))</f>
        <v>0</v>
      </c>
      <c r="L99" s="8">
        <f>IF($B99="",0,IF(USE_TSPILE=1,L172,('TO HOP'!$E$114/ncoc+IF(SUMSQ($E$56:$E$75)=0,0,'TO HOP'!$F$114*$E75/SUMSQ($E$56:$E$75))+IF(SUMSQ($D$56:$D$75)=0,0,'TO HOP'!$G$114*$D75/SUMSQ($D$56:$D$75)))/9.81))</f>
        <v>0</v>
      </c>
      <c r="M99" s="8">
        <f>IF($B99="",0,IF(USE_TSPILE=1,M172,('TO HOP'!$E$115/ncoc+IF(SUMSQ($E$56:$E$75)=0,0,'TO HOP'!$F$115*$E75/SUMSQ($E$56:$E$75))+IF(SUMSQ($D$56:$D$75)=0,0,'TO HOP'!$G$115*$D75/SUMSQ($D$56:$D$75)))/9.81))</f>
        <v>0</v>
      </c>
      <c r="N99" s="8">
        <f>IF($B99="",0,IF(USE_TSPILE=1,N172,('TO HOP'!$E$116/ncoc+IF(SUMSQ($E$56:$E$75)=0,0,'TO HOP'!$F$116*$E75/SUMSQ($E$56:$E$75))+IF(SUMSQ($D$56:$D$75)=0,0,'TO HOP'!$G$116*$D75/SUMSQ($D$56:$D$75)))/9.81))</f>
        <v>0</v>
      </c>
      <c r="O99" s="8">
        <f>IF($B99="",0,IF(USE_TSPILE=1,O172,('TO HOP'!$E$117/ncoc+IF(SUMSQ($E$56:$E$75)=0,0,'TO HOP'!$F$117*$E75/SUMSQ($E$56:$E$75))+IF(SUMSQ($D$56:$D$75)=0,0,'TO HOP'!$G$117*$D75/SUMSQ($D$56:$D$75)))/9.81))</f>
        <v>0</v>
      </c>
      <c r="P99" s="8">
        <f>IF($B99="",0,IF(USE_TSPILE=1,P172,('TO HOP'!$E$118/ncoc+IF(SUMSQ($E$56:$E$75)=0,0,'TO HOP'!$F$118*$E75/SUMSQ($E$56:$E$75))+IF(SUMSQ($D$56:$D$75)=0,0,'TO HOP'!$G$118*$D75/SUMSQ($D$56:$D$75)))/9.81))</f>
        <v>0</v>
      </c>
      <c r="Q99" s="8">
        <f>IF($B99="",0,IF(USE_TSPILE=1,Q172,('TO HOP'!$E$119/ncoc+IF(SUMSQ($E$56:$E$75)=0,0,'TO HOP'!$F$119*$E75/SUMSQ($E$56:$E$75))+IF(SUMSQ($D$56:$D$75)=0,0,'TO HOP'!$G$119*$D75/SUMSQ($D$56:$D$75)))/9.81))</f>
        <v>0</v>
      </c>
      <c r="R99" s="8">
        <f>IF($B99="",0,IF(USE_TSPILE=1,R172,('TO HOP'!$E$120/ncoc+IF(SUMSQ($E$56:$E$75)=0,0,'TO HOP'!$F$120*$E75/SUMSQ($E$56:$E$75))+IF(SUMSQ($D$56:$D$75)=0,0,'TO HOP'!$G$120*$D75/SUMSQ($D$56:$D$75)))/9.81))</f>
        <v>0</v>
      </c>
      <c r="S99" s="8">
        <f>IF($B99="",0,IF(USE_TSPILE=1,S172,('TO HOP'!$E$121/ncoc+IF(SUMSQ($E$56:$E$75)=0,0,'TO HOP'!$F$121*$E75/SUMSQ($E$56:$E$75))+IF(SUMSQ($D$56:$D$75)=0,0,'TO HOP'!$G$121*$D75/SUMSQ($D$56:$D$75)))/9.81))</f>
        <v>0</v>
      </c>
      <c r="T99" s="8">
        <f>IF($B99="",0,IF(USE_TSPILE=1,T172,('TO HOP'!$E$122/ncoc+IF(SUMSQ($E$56:$E$75)=0,0,'TO HOP'!$F$122*$E75/SUMSQ($E$56:$E$75))+IF(SUMSQ($D$56:$D$75)=0,0,'TO HOP'!$G$122*$D75/SUMSQ($D$56:$D$75)))/9.81))</f>
        <v>0</v>
      </c>
      <c r="U99" s="8">
        <f>IF($B99="",0,IF(USE_TSPILE=1,U172,('TO HOP'!$E$123/ncoc+IF(SUMSQ($E$56:$E$75)=0,0,'TO HOP'!$F$123*$E75/SUMSQ($E$56:$E$75))+IF(SUMSQ($D$56:$D$75)=0,0,'TO HOP'!$G$123*$D75/SUMSQ($D$56:$D$75)))/9.81))</f>
        <v>0</v>
      </c>
      <c r="V99" s="8">
        <f>IF($B99="",0,IF(USE_TSPILE=1,V172,('TO HOP'!$E$124/ncoc+IF(SUMSQ($E$56:$E$75)=0,0,'TO HOP'!$F$124*$E75/SUMSQ($E$56:$E$75))+IF(SUMSQ($D$56:$D$75)=0,0,'TO HOP'!$G$124*$D75/SUMSQ($D$56:$D$75)))/9.81))</f>
        <v>0</v>
      </c>
      <c r="W99" s="8">
        <f>IF($B99="",0,IF(USE_TSPILE=1,W172,('TO HOP'!$E$125/ncoc+IF(SUMSQ($E$56:$E$75)=0,0,'TO HOP'!$F$125*$E75/SUMSQ($E$56:$E$75))+IF(SUMSQ($D$56:$D$75)=0,0,'TO HOP'!$G$125*$D75/SUMSQ($D$56:$D$75)))/9.81))</f>
        <v>0</v>
      </c>
      <c r="X99" s="8">
        <f>IF($B99="",0,IF(USE_TSPILE=1,X172,('TO HOP'!$E$126/ncoc+IF(SUMSQ($E$56:$E$75)=0,0,'TO HOP'!$F$126*$E75/SUMSQ($E$56:$E$75))+IF(SUMSQ($D$56:$D$75)=0,0,'TO HOP'!$G$126*$D75/SUMSQ($D$56:$D$75)))/9.81))</f>
        <v>0</v>
      </c>
      <c r="Y99" s="8">
        <f>IF($B99="",0,IF(USE_TSPILE=1,Y172,('TO HOP'!$E$127/ncoc+IF(SUMSQ($E$56:$E$75)=0,0,'TO HOP'!$F$127*$E75/SUMSQ($E$56:$E$75))+IF(SUMSQ($D$56:$D$75)=0,0,'TO HOP'!$G$127*$D75/SUMSQ($D$56:$D$75)))/9.81))</f>
        <v>0</v>
      </c>
      <c r="Z99" s="8">
        <f>IF($B99="",0,IF(USE_TSPILE=1,Z172,('TO HOP'!$E$128/ncoc+IF(SUMSQ($E$56:$E$75)=0,0,'TO HOP'!$F$128*$E75/SUMSQ($E$56:$E$75))+IF(SUMSQ($D$56:$D$75)=0,0,'TO HOP'!$G$128*$D75/SUMSQ($D$56:$D$75)))/9.81))</f>
        <v>0</v>
      </c>
      <c r="AA99" s="8">
        <f>IF($B99="",0,IF(USE_TSPILE=1,AA172,('TO HOP'!$E$129/ncoc+IF(SUMSQ($E$56:$E$75)=0,0,'TO HOP'!$F$129*$E75/SUMSQ($E$56:$E$75))+IF(SUMSQ($D$56:$D$75)=0,0,'TO HOP'!$G$129*$D75/SUMSQ($D$56:$D$75)))/9.81))</f>
        <v>0</v>
      </c>
      <c r="AB99" s="8">
        <f>IF($B99="",0,IF(USE_TSPILE=1,AB172,('TO HOP'!$E$130/ncoc+IF(SUMSQ($E$56:$E$75)=0,0,'TO HOP'!$F$130*$E75/SUMSQ($E$56:$E$75))+IF(SUMSQ($D$56:$D$75)=0,0,'TO HOP'!$G$130*$D75/SUMSQ($D$56:$D$75)))/9.81))</f>
        <v>0</v>
      </c>
      <c r="AC99" s="8">
        <f>IF($B99="",0,IF(USE_TSPILE=1,AC172,('TO HOP'!$E$131/ncoc+IF(SUMSQ($E$56:$E$75)=0,0,'TO HOP'!$F$131*$E75/SUMSQ($E$56:$E$75))+IF(SUMSQ($D$56:$D$75)=0,0,'TO HOP'!$G$131*$D75/SUMSQ($D$56:$D$75)))/9.81))</f>
        <v>0</v>
      </c>
      <c r="AD99" s="8">
        <f>IF($B99="",0,IF(USE_TSPILE=1,AD172,('TO HOP'!$E$132/ncoc+IF(SUMSQ($E$56:$E$75)=0,0,'TO HOP'!$F$132*$E75/SUMSQ($E$56:$E$75))+IF(SUMSQ($D$56:$D$75)=0,0,'TO HOP'!$G$132*$D75/SUMSQ($D$56:$D$75)))/9.81))</f>
        <v>0</v>
      </c>
      <c r="AE99" s="8">
        <f>IF($B99="",0,IF(USE_TSPILE=1,AE172,('TO HOP'!$E$133/ncoc+IF(SUMSQ($E$56:$E$75)=0,0,'TO HOP'!$F$133*$E75/SUMSQ($E$56:$E$75))+IF(SUMSQ($D$56:$D$75)=0,0,'TO HOP'!$G$133*$D75/SUMSQ($D$56:$D$75)))/9.81))</f>
        <v>0</v>
      </c>
      <c r="AF99" s="8">
        <f>IF($B99="",0,IF(USE_TSPILE=1,AF172,('TO HOP'!$E$134/ncoc+IF(SUMSQ($E$56:$E$75)=0,0,'TO HOP'!$F$134*$E75/SUMSQ($E$56:$E$75))+IF(SUMSQ($D$56:$D$75)=0,0,'TO HOP'!$G$134*$D75/SUMSQ($D$56:$D$75)))/9.81))</f>
        <v>0</v>
      </c>
      <c r="AG99" s="8">
        <f>IF($B99="",0,IF(USE_TSPILE=1,AG172,('TO HOP'!$E$135/ncoc+IF(SUMSQ($E$56:$E$75)=0,0,'TO HOP'!$F$135*$E75/SUMSQ($E$56:$E$75))+IF(SUMSQ($D$56:$D$75)=0,0,'TO HOP'!$G$135*$D75/SUMSQ($D$56:$D$75)))/9.81))</f>
        <v>0</v>
      </c>
      <c r="AH99" s="8">
        <f>IF($B99="",0,IF(USE_TSPILE=1,AH172,('TO HOP'!$E$136/ncoc+IF(SUMSQ($E$56:$E$75)=0,0,'TO HOP'!$F$136*$E75/SUMSQ($E$56:$E$75))+IF(SUMSQ($D$56:$D$75)=0,0,'TO HOP'!$G$136*$D75/SUMSQ($D$56:$D$75)))/9.81))</f>
        <v>0</v>
      </c>
      <c r="AI99" s="8">
        <f>IF($B99="",0,IF(USE_TSPILE=1,AI172,('TO HOP'!$E$137/ncoc+IF(SUMSQ($E$56:$E$75)=0,0,'TO HOP'!$F$137*$E75/SUMSQ($E$56:$E$75))+IF(SUMSQ($D$56:$D$75)=0,0,'TO HOP'!$G$137*$D75/SUMSQ($D$56:$D$75)))/9.81))</f>
        <v>0</v>
      </c>
      <c r="AJ99" s="8">
        <f>IF($B99="",0,IF(USE_TSPILE=1,AJ172,('TO HOP'!$E$138/ncoc+IF(SUMSQ($E$56:$E$75)=0,0,'TO HOP'!$F$138*$E75/SUMSQ($E$56:$E$75))+IF(SUMSQ($D$56:$D$75)=0,0,'TO HOP'!$G$138*$D75/SUMSQ($D$56:$D$75)))/9.81))</f>
        <v>0</v>
      </c>
      <c r="AK99" s="8">
        <f>IF($B99="",0,IF(USE_TSPILE=1,AK172,('TO HOP'!$E$139/ncoc+IF(SUMSQ($E$56:$E$75)=0,0,'TO HOP'!$F$139*$E75/SUMSQ($E$56:$E$75))+IF(SUMSQ($D$56:$D$75)=0,0,'TO HOP'!$G$139*$D75/SUMSQ($D$56:$D$75)))/9.81))</f>
        <v>0</v>
      </c>
      <c r="AL99" s="8">
        <f>IF($B99="",0,IF(USE_TSPILE=1,AL172,('TO HOP'!$E$140/ncoc+IF(SUMSQ($E$56:$E$75)=0,0,'TO HOP'!$F$140*$E75/SUMSQ($E$56:$E$75))+IF(SUMSQ($D$56:$D$75)=0,0,'TO HOP'!$G$140*$D75/SUMSQ($D$56:$D$75)))/9.81))</f>
        <v>0</v>
      </c>
      <c r="AM99" s="8">
        <f>IF($B99="",0,IF(USE_TSPILE=1,AM172,('TO HOP'!$E$141/ncoc+IF(SUMSQ($E$56:$E$75)=0,0,'TO HOP'!$F$141*$E75/SUMSQ($E$56:$E$75))+IF(SUMSQ($D$56:$D$75)=0,0,'TO HOP'!$G$141*$D75/SUMSQ($D$56:$D$75)))/9.81))</f>
        <v>0</v>
      </c>
      <c r="AN99" s="8">
        <f>IF($B99="",0,IF(USE_TSPILE=1,AN172,('TO HOP'!$E$142/ncoc+IF(SUMSQ($E$56:$E$75)=0,0,'TO HOP'!$F$142*$E75/SUMSQ($E$56:$E$75))+IF(SUMSQ($D$56:$D$75)=0,0,'TO HOP'!$G$142*$D75/SUMSQ($D$56:$D$75)))/9.81))</f>
        <v>0</v>
      </c>
      <c r="AO99" s="8">
        <f>IF($B99="",0,IF(USE_TSPILE=1,AO172,('TO HOP'!$E$143/ncoc+IF(SUMSQ($E$56:$E$75)=0,0,'TO HOP'!$F$143*$E75/SUMSQ($E$56:$E$75))+IF(SUMSQ($D$56:$D$75)=0,0,'TO HOP'!$G$143*$D75/SUMSQ($D$56:$D$75)))/9.81))</f>
        <v>0</v>
      </c>
      <c r="AP99" s="8">
        <f>IF($B99="",0,IF(USE_TSPILE=1,AP172,('TO HOP'!$E$144/ncoc+IF(SUMSQ($E$56:$E$75)=0,0,'TO HOP'!$F$144*$E75/SUMSQ($E$56:$E$75))+IF(SUMSQ($D$56:$D$75)=0,0,'TO HOP'!$G$144*$D75/SUMSQ($D$56:$D$75)))/9.81))</f>
        <v>0</v>
      </c>
      <c r="AQ99" s="8">
        <f>IF($B99="",0,IF(USE_TSPILE=1,AQ172,('TO HOP'!$E$145/ncoc+IF(SUMSQ($E$56:$E$75)=0,0,'TO HOP'!$F$145*$E75/SUMSQ($E$56:$E$75))+IF(SUMSQ($D$56:$D$75)=0,0,'TO HOP'!$G$145*$D75/SUMSQ($D$56:$D$75)))/9.81))</f>
        <v>0</v>
      </c>
      <c r="AR99" s="8">
        <f>IF($B99="",0,IF(USE_TSPILE=1,AR172,('TO HOP'!$E$146/ncoc+IF(SUMSQ($E$56:$E$75)=0,0,'TO HOP'!$F$146*$E75/SUMSQ($E$56:$E$75))+IF(SUMSQ($D$56:$D$75)=0,0,'TO HOP'!$G$146*$D75/SUMSQ($D$56:$D$75)))/9.81))</f>
        <v>0</v>
      </c>
      <c r="AS99" s="8">
        <f>IF($B99="",0,IF(USE_TSPILE=1,AS172,('TO HOP'!$E$147/ncoc+IF(SUMSQ($E$56:$E$75)=0,0,'TO HOP'!$F$147*$E75/SUMSQ($E$56:$E$75))+IF(SUMSQ($D$56:$D$75)=0,0,'TO HOP'!$G$147*$D75/SUMSQ($D$56:$D$75)))/9.81))</f>
        <v>0</v>
      </c>
      <c r="AT99" s="8">
        <f>IF($B99="",0,IF(USE_TSPILE=1,AT172,('TO HOP'!$E$148/ncoc+IF(SUMSQ($E$56:$E$75)=0,0,'TO HOP'!$F$148*$E75/SUMSQ($E$56:$E$75))+IF(SUMSQ($D$56:$D$75)=0,0,'TO HOP'!$G$148*$D75/SUMSQ($D$56:$D$75)))/9.81))</f>
        <v>0</v>
      </c>
      <c r="AU99" s="8">
        <f>IF($B99="",0,IF(USE_TSPILE=1,AU172,('TO HOP'!$E$149/ncoc+IF(SUMSQ($E$56:$E$75)=0,0,'TO HOP'!$F$149*$E75/SUMSQ($E$56:$E$75))+IF(SUMSQ($D$56:$D$75)=0,0,'TO HOP'!$G$149*$D75/SUMSQ($D$56:$D$75)))/9.81))</f>
        <v>0</v>
      </c>
      <c r="AV99" s="8">
        <f>IF($B99="",0,IF(USE_TSPILE=1,AV172,('TO HOP'!$E$150/ncoc+IF(SUMSQ($E$56:$E$75)=0,0,'TO HOP'!$F$150*$E75/SUMSQ($E$56:$E$75))+IF(SUMSQ($D$56:$D$75)=0,0,'TO HOP'!$G$150*$D75/SUMSQ($D$56:$D$75)))/9.81))</f>
        <v>0</v>
      </c>
    </row>
    <row r="101" spans="2:48" x14ac:dyDescent="0.3">
      <c r="B101" s="6" t="s">
        <v>559</v>
      </c>
    </row>
    <row r="102" spans="2:48" x14ac:dyDescent="0.3">
      <c r="B102" s="18" t="s">
        <v>560</v>
      </c>
      <c r="C102" s="18" t="s">
        <v>561</v>
      </c>
      <c r="D102" s="18" t="s">
        <v>562</v>
      </c>
      <c r="E102" s="18" t="s">
        <v>563</v>
      </c>
    </row>
    <row r="103" spans="2:48" x14ac:dyDescent="0.3">
      <c r="B103" s="22" t="s">
        <v>564</v>
      </c>
      <c r="C103" s="28">
        <f>MAX(MAX($C$80:$N$99)*9.81,MAX('PILE NLAN'!$E$6:$E$243))</f>
        <v>4516.8895394426181</v>
      </c>
      <c r="D103" s="28">
        <f>MAX(MAX($O$80:$AT$99)*9.81,MAX('PILE NLAN'!$G$6:$G$243))</f>
        <v>6292.0865142516041</v>
      </c>
      <c r="E103" s="28">
        <f>MAX($AU$80:$AV$99)*9.81</f>
        <v>6283.4076457143155</v>
      </c>
    </row>
    <row r="104" spans="2:48" x14ac:dyDescent="0.3">
      <c r="B104" s="22" t="s">
        <v>565</v>
      </c>
      <c r="C104" s="28">
        <f>MIN(MIN($C$80:$N$99)*9.81,MIN('PILE NLAN'!$F$6:$F$243))</f>
        <v>0</v>
      </c>
      <c r="D104" s="28">
        <f>MIN(MIN($O$80:$AT$99)*9.81,MIN('PILE NLAN'!$H$6:$H$243))</f>
        <v>0</v>
      </c>
      <c r="E104" s="28">
        <f>MIN($AU$80:$AV$99)*9.81</f>
        <v>-1238.9311219846729</v>
      </c>
    </row>
    <row r="106" spans="2:48" x14ac:dyDescent="0.3">
      <c r="B106" s="6" t="s">
        <v>566</v>
      </c>
    </row>
    <row r="107" spans="2:48" x14ac:dyDescent="0.3">
      <c r="B107" s="18" t="s">
        <v>567</v>
      </c>
      <c r="C107" s="18" t="s">
        <v>513</v>
      </c>
      <c r="D107" s="18" t="s">
        <v>514</v>
      </c>
      <c r="E107" s="18" t="s">
        <v>515</v>
      </c>
      <c r="F107" s="18" t="s">
        <v>516</v>
      </c>
      <c r="G107" s="18" t="s">
        <v>517</v>
      </c>
      <c r="H107" s="18" t="s">
        <v>518</v>
      </c>
      <c r="I107" s="18" t="s">
        <v>519</v>
      </c>
      <c r="J107" s="18" t="s">
        <v>520</v>
      </c>
      <c r="K107" s="18" t="s">
        <v>521</v>
      </c>
      <c r="L107" s="18" t="s">
        <v>522</v>
      </c>
      <c r="M107" s="18" t="s">
        <v>523</v>
      </c>
      <c r="N107" s="18" t="s">
        <v>524</v>
      </c>
      <c r="O107" s="18" t="s">
        <v>525</v>
      </c>
      <c r="P107" s="18" t="s">
        <v>526</v>
      </c>
      <c r="Q107" s="18" t="s">
        <v>527</v>
      </c>
      <c r="R107" s="18" t="s">
        <v>528</v>
      </c>
      <c r="S107" s="18" t="s">
        <v>529</v>
      </c>
      <c r="T107" s="18" t="s">
        <v>530</v>
      </c>
      <c r="U107" s="18" t="s">
        <v>531</v>
      </c>
      <c r="V107" s="18" t="s">
        <v>532</v>
      </c>
      <c r="W107" s="18" t="s">
        <v>533</v>
      </c>
      <c r="X107" s="18" t="s">
        <v>534</v>
      </c>
      <c r="Y107" s="18" t="s">
        <v>535</v>
      </c>
      <c r="Z107" s="18" t="s">
        <v>536</v>
      </c>
      <c r="AA107" s="18" t="s">
        <v>537</v>
      </c>
      <c r="AB107" s="18" t="s">
        <v>538</v>
      </c>
      <c r="AC107" s="18" t="s">
        <v>539</v>
      </c>
      <c r="AD107" s="18" t="s">
        <v>540</v>
      </c>
      <c r="AE107" s="18" t="s">
        <v>541</v>
      </c>
      <c r="AF107" s="18" t="s">
        <v>542</v>
      </c>
      <c r="AG107" s="18" t="s">
        <v>543</v>
      </c>
      <c r="AH107" s="18" t="s">
        <v>544</v>
      </c>
      <c r="AI107" s="18" t="s">
        <v>545</v>
      </c>
      <c r="AJ107" s="18" t="s">
        <v>546</v>
      </c>
      <c r="AK107" s="18" t="s">
        <v>547</v>
      </c>
      <c r="AL107" s="18" t="s">
        <v>548</v>
      </c>
      <c r="AM107" s="18" t="s">
        <v>549</v>
      </c>
      <c r="AN107" s="18" t="s">
        <v>550</v>
      </c>
      <c r="AO107" s="18" t="s">
        <v>551</v>
      </c>
      <c r="AP107" s="18" t="s">
        <v>552</v>
      </c>
      <c r="AQ107" s="18" t="s">
        <v>553</v>
      </c>
      <c r="AR107" s="18" t="s">
        <v>554</v>
      </c>
      <c r="AS107" s="18" t="s">
        <v>555</v>
      </c>
      <c r="AT107" s="18" t="s">
        <v>556</v>
      </c>
      <c r="AU107" s="18" t="s">
        <v>557</v>
      </c>
      <c r="AV107" s="18" t="s">
        <v>558</v>
      </c>
    </row>
    <row r="108" spans="2:48" x14ac:dyDescent="0.3">
      <c r="B108" s="22" t="s">
        <v>568</v>
      </c>
      <c r="C108" s="17">
        <f t="shared" ref="C108:AV108" si="1">SUMPRODUCT(($C$56:$C$75=1)*1,C$80:C$99)*9.81</f>
        <v>4343.1284386281231</v>
      </c>
      <c r="D108" s="17">
        <f t="shared" si="1"/>
        <v>4503.6773753267998</v>
      </c>
      <c r="E108" s="17">
        <f t="shared" si="1"/>
        <v>4614.0547693071421</v>
      </c>
      <c r="F108" s="17">
        <f t="shared" si="1"/>
        <v>4624.089077850811</v>
      </c>
      <c r="G108" s="17">
        <f t="shared" si="1"/>
        <v>4754.5350889184883</v>
      </c>
      <c r="H108" s="17">
        <f t="shared" si="1"/>
        <v>4884.9810999861611</v>
      </c>
      <c r="I108" s="17">
        <f t="shared" si="1"/>
        <v>4343.1284386281231</v>
      </c>
      <c r="J108" s="17">
        <f t="shared" si="1"/>
        <v>4503.6773753267998</v>
      </c>
      <c r="K108" s="17">
        <f t="shared" si="1"/>
        <v>4614.0547693071421</v>
      </c>
      <c r="L108" s="17">
        <f t="shared" si="1"/>
        <v>4624.089077850811</v>
      </c>
      <c r="M108" s="17">
        <f t="shared" si="1"/>
        <v>4754.5350889184883</v>
      </c>
      <c r="N108" s="17">
        <f t="shared" si="1"/>
        <v>4884.9810999861611</v>
      </c>
      <c r="O108" s="17">
        <f t="shared" si="1"/>
        <v>4025.9830882521569</v>
      </c>
      <c r="P108" s="17">
        <f t="shared" si="1"/>
        <v>4306.9437274748443</v>
      </c>
      <c r="Q108" s="17">
        <f t="shared" si="1"/>
        <v>4500.1041669404403</v>
      </c>
      <c r="R108" s="17">
        <f t="shared" si="1"/>
        <v>4517.66420689186</v>
      </c>
      <c r="S108" s="17">
        <f t="shared" si="1"/>
        <v>4745.9447262602907</v>
      </c>
      <c r="T108" s="17">
        <f t="shared" si="1"/>
        <v>4974.225245628727</v>
      </c>
      <c r="U108" s="17">
        <f t="shared" si="1"/>
        <v>4025.9830882521569</v>
      </c>
      <c r="V108" s="17">
        <f t="shared" si="1"/>
        <v>4306.9437274748443</v>
      </c>
      <c r="W108" s="17">
        <f t="shared" si="1"/>
        <v>4500.1041669404403</v>
      </c>
      <c r="X108" s="17">
        <f t="shared" si="1"/>
        <v>4517.66420689186</v>
      </c>
      <c r="Y108" s="17">
        <f t="shared" si="1"/>
        <v>4745.9447262602907</v>
      </c>
      <c r="Z108" s="17">
        <f t="shared" si="1"/>
        <v>4974.225245628727</v>
      </c>
      <c r="AA108" s="17">
        <f t="shared" si="1"/>
        <v>3926.2391126372959</v>
      </c>
      <c r="AB108" s="17">
        <f t="shared" si="1"/>
        <v>4207.1997518599856</v>
      </c>
      <c r="AC108" s="17">
        <f t="shared" si="1"/>
        <v>4400.3601913255807</v>
      </c>
      <c r="AD108" s="17">
        <f t="shared" si="1"/>
        <v>4417.9202312769994</v>
      </c>
      <c r="AE108" s="17">
        <f t="shared" si="1"/>
        <v>4646.2007506454329</v>
      </c>
      <c r="AF108" s="17">
        <f t="shared" si="1"/>
        <v>4874.4812700138673</v>
      </c>
      <c r="AG108" s="17">
        <f t="shared" si="1"/>
        <v>4832.3258597067952</v>
      </c>
      <c r="AH108" s="17">
        <f t="shared" si="1"/>
        <v>4732.5818840919364</v>
      </c>
      <c r="AI108" s="17">
        <f t="shared" si="1"/>
        <v>4226.9544397162999</v>
      </c>
      <c r="AJ108" s="17">
        <f t="shared" si="1"/>
        <v>4443.6955042595182</v>
      </c>
      <c r="AK108" s="17">
        <f t="shared" si="1"/>
        <v>4592.7049861329797</v>
      </c>
      <c r="AL108" s="17">
        <f t="shared" si="1"/>
        <v>4606.2513026669258</v>
      </c>
      <c r="AM108" s="17">
        <f t="shared" si="1"/>
        <v>4782.3534176082931</v>
      </c>
      <c r="AN108" s="17">
        <f t="shared" si="1"/>
        <v>4958.4555325496576</v>
      </c>
      <c r="AO108" s="17">
        <f t="shared" si="1"/>
        <v>4127.2104641014403</v>
      </c>
      <c r="AP108" s="17">
        <f t="shared" si="1"/>
        <v>4343.9515286446604</v>
      </c>
      <c r="AQ108" s="17">
        <f t="shared" si="1"/>
        <v>4492.96101051812</v>
      </c>
      <c r="AR108" s="17">
        <f t="shared" si="1"/>
        <v>4506.5073270520716</v>
      </c>
      <c r="AS108" s="17">
        <f t="shared" si="1"/>
        <v>4682.6094419934334</v>
      </c>
      <c r="AT108" s="17">
        <f t="shared" si="1"/>
        <v>4858.7115569347952</v>
      </c>
      <c r="AU108" s="17">
        <f t="shared" si="1"/>
        <v>-5582.1361283398801</v>
      </c>
      <c r="AV108" s="17">
        <f t="shared" si="1"/>
        <v>1782.9891359671128</v>
      </c>
    </row>
    <row r="109" spans="2:48" x14ac:dyDescent="0.3">
      <c r="B109" s="22" t="s">
        <v>569</v>
      </c>
      <c r="C109" s="17">
        <f t="shared" ref="C109:AV109" si="2">SUMPRODUCT(($C$56:$C$75=2)*1,C$80:C$99)*9.81</f>
        <v>25489.76627637188</v>
      </c>
      <c r="D109" s="17">
        <f t="shared" si="2"/>
        <v>25788.286193006537</v>
      </c>
      <c r="E109" s="17">
        <f t="shared" si="2"/>
        <v>25993.518635692864</v>
      </c>
      <c r="F109" s="17">
        <f t="shared" si="2"/>
        <v>26012.176130482527</v>
      </c>
      <c r="G109" s="17">
        <f t="shared" si="2"/>
        <v>26254.723562748186</v>
      </c>
      <c r="H109" s="17">
        <f t="shared" si="2"/>
        <v>26497.270995013841</v>
      </c>
      <c r="I109" s="17">
        <f t="shared" si="2"/>
        <v>25489.766276371884</v>
      </c>
      <c r="J109" s="17">
        <f t="shared" si="2"/>
        <v>25788.286193006534</v>
      </c>
      <c r="K109" s="17">
        <f t="shared" si="2"/>
        <v>25993.518635692864</v>
      </c>
      <c r="L109" s="17">
        <f t="shared" si="2"/>
        <v>26012.176130482527</v>
      </c>
      <c r="M109" s="17">
        <f t="shared" si="2"/>
        <v>26254.723562748186</v>
      </c>
      <c r="N109" s="17">
        <f t="shared" si="2"/>
        <v>26497.270995013841</v>
      </c>
      <c r="O109" s="17">
        <f t="shared" si="2"/>
        <v>35019.139073247861</v>
      </c>
      <c r="P109" s="17">
        <f t="shared" si="2"/>
        <v>35541.54892735849</v>
      </c>
      <c r="Q109" s="17">
        <f t="shared" si="2"/>
        <v>35900.70570205956</v>
      </c>
      <c r="R109" s="17">
        <f t="shared" si="2"/>
        <v>35933.356317941478</v>
      </c>
      <c r="S109" s="17">
        <f t="shared" si="2"/>
        <v>36357.814324406383</v>
      </c>
      <c r="T109" s="17">
        <f t="shared" si="2"/>
        <v>36782.272330871281</v>
      </c>
      <c r="U109" s="17">
        <f t="shared" si="2"/>
        <v>35019.139073247861</v>
      </c>
      <c r="V109" s="17">
        <f t="shared" si="2"/>
        <v>35541.54892735849</v>
      </c>
      <c r="W109" s="17">
        <f t="shared" si="2"/>
        <v>35900.70570205956</v>
      </c>
      <c r="X109" s="17">
        <f t="shared" si="2"/>
        <v>35933.356317941478</v>
      </c>
      <c r="Y109" s="17">
        <f t="shared" si="2"/>
        <v>36357.814324406383</v>
      </c>
      <c r="Z109" s="17">
        <f t="shared" si="2"/>
        <v>36782.272330871281</v>
      </c>
      <c r="AA109" s="17">
        <f t="shared" si="2"/>
        <v>24822.32022161271</v>
      </c>
      <c r="AB109" s="17">
        <f t="shared" si="2"/>
        <v>25344.730075723353</v>
      </c>
      <c r="AC109" s="17">
        <f t="shared" si="2"/>
        <v>25703.886850424424</v>
      </c>
      <c r="AD109" s="17">
        <f t="shared" si="2"/>
        <v>25736.537466306334</v>
      </c>
      <c r="AE109" s="17">
        <f t="shared" si="2"/>
        <v>26160.995472771239</v>
      </c>
      <c r="AF109" s="17">
        <f t="shared" si="2"/>
        <v>26585.453479236134</v>
      </c>
      <c r="AG109" s="17">
        <f t="shared" si="2"/>
        <v>31089.534660708829</v>
      </c>
      <c r="AH109" s="17">
        <f t="shared" si="2"/>
        <v>20892.715809073692</v>
      </c>
      <c r="AI109" s="17">
        <f t="shared" si="2"/>
        <v>34261.437709783699</v>
      </c>
      <c r="AJ109" s="17">
        <f t="shared" si="2"/>
        <v>34664.439597240489</v>
      </c>
      <c r="AK109" s="17">
        <f t="shared" si="2"/>
        <v>34941.503394867024</v>
      </c>
      <c r="AL109" s="17">
        <f t="shared" si="2"/>
        <v>34966.691012833071</v>
      </c>
      <c r="AM109" s="17">
        <f t="shared" si="2"/>
        <v>35294.130046391707</v>
      </c>
      <c r="AN109" s="17">
        <f t="shared" si="2"/>
        <v>35621.56907995035</v>
      </c>
      <c r="AO109" s="17">
        <f t="shared" si="2"/>
        <v>24064.618858148566</v>
      </c>
      <c r="AP109" s="17">
        <f t="shared" si="2"/>
        <v>24467.620745605353</v>
      </c>
      <c r="AQ109" s="17">
        <f t="shared" si="2"/>
        <v>24744.684543231884</v>
      </c>
      <c r="AR109" s="17">
        <f t="shared" si="2"/>
        <v>24769.872161197938</v>
      </c>
      <c r="AS109" s="17">
        <f t="shared" si="2"/>
        <v>25097.311194756578</v>
      </c>
      <c r="AT109" s="17">
        <f t="shared" si="2"/>
        <v>25424.75022831521</v>
      </c>
      <c r="AU109" s="17">
        <f t="shared" si="2"/>
        <v>36964.388223339891</v>
      </c>
      <c r="AV109" s="17">
        <f t="shared" si="2"/>
        <v>29599.262959032887</v>
      </c>
    </row>
    <row r="110" spans="2:48" x14ac:dyDescent="0.3">
      <c r="B110" s="22" t="s">
        <v>570</v>
      </c>
      <c r="C110" s="17">
        <f t="shared" ref="C110:AV110" si="3">SUMPRODUCT(($C$56:$C$75=3)*1,C$80:C$99)*9.81</f>
        <v>0</v>
      </c>
      <c r="D110" s="17">
        <f t="shared" si="3"/>
        <v>0</v>
      </c>
      <c r="E110" s="17">
        <f t="shared" si="3"/>
        <v>0</v>
      </c>
      <c r="F110" s="17">
        <f t="shared" si="3"/>
        <v>0</v>
      </c>
      <c r="G110" s="17">
        <f t="shared" si="3"/>
        <v>0</v>
      </c>
      <c r="H110" s="17">
        <f t="shared" si="3"/>
        <v>0</v>
      </c>
      <c r="I110" s="17">
        <f t="shared" si="3"/>
        <v>0</v>
      </c>
      <c r="J110" s="17">
        <f t="shared" si="3"/>
        <v>0</v>
      </c>
      <c r="K110" s="17">
        <f t="shared" si="3"/>
        <v>0</v>
      </c>
      <c r="L110" s="17">
        <f t="shared" si="3"/>
        <v>0</v>
      </c>
      <c r="M110" s="17">
        <f t="shared" si="3"/>
        <v>0</v>
      </c>
      <c r="N110" s="17">
        <f t="shared" si="3"/>
        <v>0</v>
      </c>
      <c r="O110" s="17">
        <f t="shared" si="3"/>
        <v>0</v>
      </c>
      <c r="P110" s="17">
        <f t="shared" si="3"/>
        <v>0</v>
      </c>
      <c r="Q110" s="17">
        <f t="shared" si="3"/>
        <v>0</v>
      </c>
      <c r="R110" s="17">
        <f t="shared" si="3"/>
        <v>0</v>
      </c>
      <c r="S110" s="17">
        <f t="shared" si="3"/>
        <v>0</v>
      </c>
      <c r="T110" s="17">
        <f t="shared" si="3"/>
        <v>0</v>
      </c>
      <c r="U110" s="17">
        <f t="shared" si="3"/>
        <v>0</v>
      </c>
      <c r="V110" s="17">
        <f t="shared" si="3"/>
        <v>0</v>
      </c>
      <c r="W110" s="17">
        <f t="shared" si="3"/>
        <v>0</v>
      </c>
      <c r="X110" s="17">
        <f t="shared" si="3"/>
        <v>0</v>
      </c>
      <c r="Y110" s="17">
        <f t="shared" si="3"/>
        <v>0</v>
      </c>
      <c r="Z110" s="17">
        <f t="shared" si="3"/>
        <v>0</v>
      </c>
      <c r="AA110" s="17">
        <f t="shared" si="3"/>
        <v>0</v>
      </c>
      <c r="AB110" s="17">
        <f t="shared" si="3"/>
        <v>0</v>
      </c>
      <c r="AC110" s="17">
        <f t="shared" si="3"/>
        <v>0</v>
      </c>
      <c r="AD110" s="17">
        <f t="shared" si="3"/>
        <v>0</v>
      </c>
      <c r="AE110" s="17">
        <f t="shared" si="3"/>
        <v>0</v>
      </c>
      <c r="AF110" s="17">
        <f t="shared" si="3"/>
        <v>0</v>
      </c>
      <c r="AG110" s="17">
        <f t="shared" si="3"/>
        <v>0</v>
      </c>
      <c r="AH110" s="17">
        <f t="shared" si="3"/>
        <v>0</v>
      </c>
      <c r="AI110" s="17">
        <f t="shared" si="3"/>
        <v>0</v>
      </c>
      <c r="AJ110" s="17">
        <f t="shared" si="3"/>
        <v>0</v>
      </c>
      <c r="AK110" s="17">
        <f t="shared" si="3"/>
        <v>0</v>
      </c>
      <c r="AL110" s="17">
        <f t="shared" si="3"/>
        <v>0</v>
      </c>
      <c r="AM110" s="17">
        <f t="shared" si="3"/>
        <v>0</v>
      </c>
      <c r="AN110" s="17">
        <f t="shared" si="3"/>
        <v>0</v>
      </c>
      <c r="AO110" s="17">
        <f t="shared" si="3"/>
        <v>0</v>
      </c>
      <c r="AP110" s="17">
        <f t="shared" si="3"/>
        <v>0</v>
      </c>
      <c r="AQ110" s="17">
        <f t="shared" si="3"/>
        <v>0</v>
      </c>
      <c r="AR110" s="17">
        <f t="shared" si="3"/>
        <v>0</v>
      </c>
      <c r="AS110" s="17">
        <f t="shared" si="3"/>
        <v>0</v>
      </c>
      <c r="AT110" s="17">
        <f t="shared" si="3"/>
        <v>0</v>
      </c>
      <c r="AU110" s="17">
        <f t="shared" si="3"/>
        <v>0</v>
      </c>
      <c r="AV110" s="17">
        <f t="shared" si="3"/>
        <v>0</v>
      </c>
    </row>
    <row r="111" spans="2:48" x14ac:dyDescent="0.3">
      <c r="B111" s="22" t="s">
        <v>571</v>
      </c>
      <c r="C111" s="17">
        <f t="shared" ref="C111:AV111" si="4">SUMPRODUCT(($C$56:$C$75=4)*1,C$80:C$99)*9.81</f>
        <v>0</v>
      </c>
      <c r="D111" s="17">
        <f t="shared" si="4"/>
        <v>0</v>
      </c>
      <c r="E111" s="17">
        <f t="shared" si="4"/>
        <v>0</v>
      </c>
      <c r="F111" s="17">
        <f t="shared" si="4"/>
        <v>0</v>
      </c>
      <c r="G111" s="17">
        <f t="shared" si="4"/>
        <v>0</v>
      </c>
      <c r="H111" s="17">
        <f t="shared" si="4"/>
        <v>0</v>
      </c>
      <c r="I111" s="17">
        <f t="shared" si="4"/>
        <v>0</v>
      </c>
      <c r="J111" s="17">
        <f t="shared" si="4"/>
        <v>0</v>
      </c>
      <c r="K111" s="17">
        <f t="shared" si="4"/>
        <v>0</v>
      </c>
      <c r="L111" s="17">
        <f t="shared" si="4"/>
        <v>0</v>
      </c>
      <c r="M111" s="17">
        <f t="shared" si="4"/>
        <v>0</v>
      </c>
      <c r="N111" s="17">
        <f t="shared" si="4"/>
        <v>0</v>
      </c>
      <c r="O111" s="17">
        <f t="shared" si="4"/>
        <v>0</v>
      </c>
      <c r="P111" s="17">
        <f t="shared" si="4"/>
        <v>0</v>
      </c>
      <c r="Q111" s="17">
        <f t="shared" si="4"/>
        <v>0</v>
      </c>
      <c r="R111" s="17">
        <f t="shared" si="4"/>
        <v>0</v>
      </c>
      <c r="S111" s="17">
        <f t="shared" si="4"/>
        <v>0</v>
      </c>
      <c r="T111" s="17">
        <f t="shared" si="4"/>
        <v>0</v>
      </c>
      <c r="U111" s="17">
        <f t="shared" si="4"/>
        <v>0</v>
      </c>
      <c r="V111" s="17">
        <f t="shared" si="4"/>
        <v>0</v>
      </c>
      <c r="W111" s="17">
        <f t="shared" si="4"/>
        <v>0</v>
      </c>
      <c r="X111" s="17">
        <f t="shared" si="4"/>
        <v>0</v>
      </c>
      <c r="Y111" s="17">
        <f t="shared" si="4"/>
        <v>0</v>
      </c>
      <c r="Z111" s="17">
        <f t="shared" si="4"/>
        <v>0</v>
      </c>
      <c r="AA111" s="17">
        <f t="shared" si="4"/>
        <v>0</v>
      </c>
      <c r="AB111" s="17">
        <f t="shared" si="4"/>
        <v>0</v>
      </c>
      <c r="AC111" s="17">
        <f t="shared" si="4"/>
        <v>0</v>
      </c>
      <c r="AD111" s="17">
        <f t="shared" si="4"/>
        <v>0</v>
      </c>
      <c r="AE111" s="17">
        <f t="shared" si="4"/>
        <v>0</v>
      </c>
      <c r="AF111" s="17">
        <f t="shared" si="4"/>
        <v>0</v>
      </c>
      <c r="AG111" s="17">
        <f t="shared" si="4"/>
        <v>0</v>
      </c>
      <c r="AH111" s="17">
        <f t="shared" si="4"/>
        <v>0</v>
      </c>
      <c r="AI111" s="17">
        <f t="shared" si="4"/>
        <v>0</v>
      </c>
      <c r="AJ111" s="17">
        <f t="shared" si="4"/>
        <v>0</v>
      </c>
      <c r="AK111" s="17">
        <f t="shared" si="4"/>
        <v>0</v>
      </c>
      <c r="AL111" s="17">
        <f t="shared" si="4"/>
        <v>0</v>
      </c>
      <c r="AM111" s="17">
        <f t="shared" si="4"/>
        <v>0</v>
      </c>
      <c r="AN111" s="17">
        <f t="shared" si="4"/>
        <v>0</v>
      </c>
      <c r="AO111" s="17">
        <f t="shared" si="4"/>
        <v>0</v>
      </c>
      <c r="AP111" s="17">
        <f t="shared" si="4"/>
        <v>0</v>
      </c>
      <c r="AQ111" s="17">
        <f t="shared" si="4"/>
        <v>0</v>
      </c>
      <c r="AR111" s="17">
        <f t="shared" si="4"/>
        <v>0</v>
      </c>
      <c r="AS111" s="17">
        <f t="shared" si="4"/>
        <v>0</v>
      </c>
      <c r="AT111" s="17">
        <f t="shared" si="4"/>
        <v>0</v>
      </c>
      <c r="AU111" s="17">
        <f t="shared" si="4"/>
        <v>0</v>
      </c>
      <c r="AV111" s="17">
        <f t="shared" si="4"/>
        <v>0</v>
      </c>
    </row>
    <row r="113" spans="2:5" x14ac:dyDescent="0.3">
      <c r="B113" s="55" t="s">
        <v>911</v>
      </c>
    </row>
    <row r="114" spans="2:5" x14ac:dyDescent="0.3">
      <c r="B114" s="55" t="s">
        <v>912</v>
      </c>
    </row>
    <row r="115" spans="2:5" x14ac:dyDescent="0.3">
      <c r="B115" s="56" t="s">
        <v>913</v>
      </c>
      <c r="C115" s="56" t="s">
        <v>914</v>
      </c>
      <c r="D115" s="56" t="s">
        <v>262</v>
      </c>
      <c r="E115" s="56" t="s">
        <v>861</v>
      </c>
    </row>
    <row r="116" spans="2:5" x14ac:dyDescent="0.3">
      <c r="B116" t="s">
        <v>915</v>
      </c>
      <c r="C116" s="57">
        <v>1</v>
      </c>
      <c r="E116" s="59" t="s">
        <v>916</v>
      </c>
    </row>
    <row r="117" spans="2:5" x14ac:dyDescent="0.3">
      <c r="B117" t="s">
        <v>917</v>
      </c>
      <c r="C117" s="57">
        <v>40</v>
      </c>
      <c r="D117" t="s">
        <v>21</v>
      </c>
      <c r="E117" s="59" t="s">
        <v>918</v>
      </c>
    </row>
    <row r="118" spans="2:5" x14ac:dyDescent="0.3">
      <c r="B118" t="s">
        <v>919</v>
      </c>
      <c r="C118" s="57">
        <v>0</v>
      </c>
      <c r="D118" t="s">
        <v>21</v>
      </c>
      <c r="E118" s="59" t="s">
        <v>920</v>
      </c>
    </row>
    <row r="119" spans="2:5" x14ac:dyDescent="0.3">
      <c r="B119" t="s">
        <v>921</v>
      </c>
      <c r="C119" s="57">
        <v>30</v>
      </c>
      <c r="D119" t="s">
        <v>119</v>
      </c>
      <c r="E119" s="59" t="s">
        <v>922</v>
      </c>
    </row>
    <row r="120" spans="2:5" x14ac:dyDescent="0.3">
      <c r="B120" t="s">
        <v>923</v>
      </c>
      <c r="C120" s="57">
        <v>2450</v>
      </c>
      <c r="D120" t="s">
        <v>924</v>
      </c>
      <c r="E120" s="59"/>
    </row>
    <row r="121" spans="2:5" x14ac:dyDescent="0.3">
      <c r="B121" t="s">
        <v>925</v>
      </c>
      <c r="C121" s="57">
        <v>200</v>
      </c>
      <c r="D121" t="s">
        <v>926</v>
      </c>
      <c r="E121" s="59"/>
    </row>
    <row r="122" spans="2:5" x14ac:dyDescent="0.3">
      <c r="B122" t="s">
        <v>927</v>
      </c>
      <c r="C122" s="57">
        <v>400</v>
      </c>
      <c r="D122" t="s">
        <v>926</v>
      </c>
      <c r="E122" s="59"/>
    </row>
    <row r="123" spans="2:5" x14ac:dyDescent="0.3">
      <c r="B123" t="s">
        <v>928</v>
      </c>
      <c r="C123" s="57">
        <v>0</v>
      </c>
      <c r="E123" s="59"/>
    </row>
    <row r="124" spans="2:5" x14ac:dyDescent="0.3">
      <c r="B124" t="s">
        <v>929</v>
      </c>
      <c r="C124" s="57">
        <v>0</v>
      </c>
      <c r="E124" s="59"/>
    </row>
    <row r="125" spans="2:5" x14ac:dyDescent="0.3">
      <c r="B125" t="s">
        <v>956</v>
      </c>
      <c r="C125">
        <v>650</v>
      </c>
      <c r="D125" s="57" t="s">
        <v>957</v>
      </c>
      <c r="E125" t="s">
        <v>958</v>
      </c>
    </row>
    <row r="126" spans="2:5" x14ac:dyDescent="0.3">
      <c r="B126" t="s">
        <v>959</v>
      </c>
      <c r="C126">
        <v>1</v>
      </c>
      <c r="D126" s="57" t="s">
        <v>960</v>
      </c>
      <c r="E126" t="s">
        <v>961</v>
      </c>
    </row>
    <row r="127" spans="2:5" x14ac:dyDescent="0.3">
      <c r="B127" s="55" t="s">
        <v>930</v>
      </c>
    </row>
    <row r="128" spans="2:5" x14ac:dyDescent="0.3">
      <c r="B128" s="56" t="s">
        <v>913</v>
      </c>
      <c r="C128" s="56" t="s">
        <v>914</v>
      </c>
      <c r="D128" s="56" t="s">
        <v>262</v>
      </c>
    </row>
    <row r="129" spans="2:4" x14ac:dyDescent="0.3">
      <c r="B129" s="60" t="s">
        <v>931</v>
      </c>
      <c r="C129" s="59">
        <v>1.2</v>
      </c>
      <c r="D129" t="s">
        <v>21</v>
      </c>
    </row>
    <row r="130" spans="2:4" x14ac:dyDescent="0.3">
      <c r="B130" s="60" t="s">
        <v>932</v>
      </c>
      <c r="C130" s="59" t="s">
        <v>954</v>
      </c>
    </row>
    <row r="131" spans="2:4" x14ac:dyDescent="0.3">
      <c r="B131" s="60" t="s">
        <v>933</v>
      </c>
      <c r="C131" s="59">
        <v>40</v>
      </c>
      <c r="D131" t="s">
        <v>21</v>
      </c>
    </row>
    <row r="132" spans="2:4" x14ac:dyDescent="0.3">
      <c r="B132" s="60" t="s">
        <v>934</v>
      </c>
      <c r="C132" s="59">
        <v>1.1309733552923256</v>
      </c>
      <c r="D132" t="s">
        <v>935</v>
      </c>
    </row>
    <row r="133" spans="2:4" x14ac:dyDescent="0.3">
      <c r="B133" s="60" t="s">
        <v>936</v>
      </c>
      <c r="C133" s="59">
        <v>0.10178760197630929</v>
      </c>
      <c r="D133" t="s">
        <v>937</v>
      </c>
    </row>
    <row r="134" spans="2:4" x14ac:dyDescent="0.3">
      <c r="B134" s="60" t="s">
        <v>938</v>
      </c>
      <c r="C134" s="59">
        <v>1.9800000000000002</v>
      </c>
      <c r="D134" t="s">
        <v>21</v>
      </c>
    </row>
    <row r="135" spans="2:4" x14ac:dyDescent="0.3">
      <c r="B135" s="60" t="s">
        <v>939</v>
      </c>
      <c r="C135" s="59">
        <v>66666.666666666672</v>
      </c>
    </row>
    <row r="136" spans="2:4" x14ac:dyDescent="0.3">
      <c r="B136" s="60" t="s">
        <v>940</v>
      </c>
      <c r="C136" s="59">
        <v>33333.333333333336</v>
      </c>
    </row>
    <row r="137" spans="2:4" x14ac:dyDescent="0.3">
      <c r="B137" s="60" t="s">
        <v>941</v>
      </c>
      <c r="C137" s="59">
        <v>31349.535053009291</v>
      </c>
      <c r="D137" t="s">
        <v>119</v>
      </c>
    </row>
    <row r="138" spans="2:4" x14ac:dyDescent="0.3">
      <c r="B138" s="60" t="s">
        <v>942</v>
      </c>
      <c r="C138" s="59">
        <v>3196762.9162873453</v>
      </c>
      <c r="D138" t="s">
        <v>943</v>
      </c>
    </row>
    <row r="139" spans="2:4" x14ac:dyDescent="0.3">
      <c r="B139" s="60" t="s">
        <v>944</v>
      </c>
      <c r="C139" s="59">
        <v>2557410.3330298765</v>
      </c>
      <c r="D139" t="s">
        <v>943</v>
      </c>
    </row>
    <row r="140" spans="2:4" x14ac:dyDescent="0.3">
      <c r="B140" s="60" t="s">
        <v>945</v>
      </c>
      <c r="C140" s="59">
        <v>650</v>
      </c>
      <c r="D140" t="s">
        <v>946</v>
      </c>
    </row>
    <row r="141" spans="2:4" x14ac:dyDescent="0.3">
      <c r="B141" s="60" t="s">
        <v>947</v>
      </c>
      <c r="C141" s="59">
        <v>1</v>
      </c>
    </row>
    <row r="142" spans="2:4" x14ac:dyDescent="0.3">
      <c r="B142" s="60" t="s">
        <v>948</v>
      </c>
      <c r="C142" s="59">
        <v>0.27317438718290249</v>
      </c>
      <c r="D142" t="s">
        <v>949</v>
      </c>
    </row>
    <row r="143" spans="2:4" x14ac:dyDescent="0.3">
      <c r="B143" s="60" t="s">
        <v>950</v>
      </c>
      <c r="C143" s="59">
        <v>10.926975487316099</v>
      </c>
    </row>
    <row r="144" spans="2:4" x14ac:dyDescent="0.3">
      <c r="B144" s="60" t="s">
        <v>951</v>
      </c>
      <c r="C144" s="62" t="s">
        <v>955</v>
      </c>
    </row>
    <row r="145" spans="2:48" x14ac:dyDescent="0.3">
      <c r="B145" s="60" t="s">
        <v>952</v>
      </c>
      <c r="C145" s="62" t="s">
        <v>962</v>
      </c>
    </row>
    <row r="148" spans="2:48" x14ac:dyDescent="0.3">
      <c r="B148" s="55" t="s">
        <v>953</v>
      </c>
    </row>
    <row r="152" spans="2:48" x14ac:dyDescent="0.3">
      <c r="B152" s="56" t="s">
        <v>512</v>
      </c>
      <c r="C152" s="56" t="s">
        <v>513</v>
      </c>
      <c r="D152" s="56" t="s">
        <v>514</v>
      </c>
      <c r="E152" s="56" t="s">
        <v>515</v>
      </c>
      <c r="F152" s="56" t="s">
        <v>516</v>
      </c>
      <c r="G152" s="56" t="s">
        <v>517</v>
      </c>
      <c r="H152" s="56" t="s">
        <v>518</v>
      </c>
      <c r="I152" s="56" t="s">
        <v>519</v>
      </c>
      <c r="J152" s="56" t="s">
        <v>520</v>
      </c>
      <c r="K152" s="56" t="s">
        <v>521</v>
      </c>
      <c r="L152" s="56" t="s">
        <v>522</v>
      </c>
      <c r="M152" s="56" t="s">
        <v>523</v>
      </c>
      <c r="N152" s="56" t="s">
        <v>524</v>
      </c>
      <c r="O152" s="56" t="s">
        <v>525</v>
      </c>
      <c r="P152" s="56" t="s">
        <v>526</v>
      </c>
      <c r="Q152" s="56" t="s">
        <v>527</v>
      </c>
      <c r="R152" s="56" t="s">
        <v>528</v>
      </c>
      <c r="S152" s="56" t="s">
        <v>529</v>
      </c>
      <c r="T152" s="56" t="s">
        <v>530</v>
      </c>
      <c r="U152" s="56" t="s">
        <v>531</v>
      </c>
      <c r="V152" s="56" t="s">
        <v>532</v>
      </c>
      <c r="W152" s="56" t="s">
        <v>533</v>
      </c>
      <c r="X152" s="56" t="s">
        <v>534</v>
      </c>
      <c r="Y152" s="56" t="s">
        <v>535</v>
      </c>
      <c r="Z152" s="56" t="s">
        <v>536</v>
      </c>
      <c r="AA152" s="56" t="s">
        <v>537</v>
      </c>
      <c r="AB152" s="56" t="s">
        <v>538</v>
      </c>
      <c r="AC152" s="56" t="s">
        <v>539</v>
      </c>
      <c r="AD152" s="56" t="s">
        <v>540</v>
      </c>
      <c r="AE152" s="56" t="s">
        <v>541</v>
      </c>
      <c r="AF152" s="56" t="s">
        <v>542</v>
      </c>
      <c r="AG152" s="56" t="s">
        <v>543</v>
      </c>
      <c r="AH152" s="56" t="s">
        <v>544</v>
      </c>
      <c r="AI152" s="56" t="s">
        <v>545</v>
      </c>
      <c r="AJ152" s="56" t="s">
        <v>546</v>
      </c>
      <c r="AK152" s="56" t="s">
        <v>547</v>
      </c>
      <c r="AL152" s="56" t="s">
        <v>548</v>
      </c>
      <c r="AM152" s="56" t="s">
        <v>549</v>
      </c>
      <c r="AN152" s="56" t="s">
        <v>550</v>
      </c>
      <c r="AO152" s="56" t="s">
        <v>551</v>
      </c>
      <c r="AP152" s="56" t="s">
        <v>552</v>
      </c>
      <c r="AQ152" s="56" t="s">
        <v>553</v>
      </c>
      <c r="AR152" s="56" t="s">
        <v>554</v>
      </c>
      <c r="AS152" s="56" t="s">
        <v>555</v>
      </c>
      <c r="AT152" s="56" t="s">
        <v>556</v>
      </c>
      <c r="AU152" s="56" t="s">
        <v>557</v>
      </c>
      <c r="AV152" s="56" t="s">
        <v>558</v>
      </c>
    </row>
    <row r="153" spans="2:48" x14ac:dyDescent="0.3">
      <c r="B153" s="58">
        <v>1</v>
      </c>
      <c r="C153" s="61">
        <v>101.42090163864003</v>
      </c>
      <c r="D153" s="61">
        <v>109.67007861039278</v>
      </c>
      <c r="E153" s="61">
        <v>112.71375088621795</v>
      </c>
      <c r="F153" s="61">
        <v>109.30690995561557</v>
      </c>
      <c r="G153" s="61">
        <v>110.56368399020175</v>
      </c>
      <c r="H153" s="61">
        <v>109.840209932074</v>
      </c>
      <c r="I153" s="61">
        <v>89.387086305994558</v>
      </c>
      <c r="J153" s="61">
        <v>92.660255249902349</v>
      </c>
      <c r="K153" s="61">
        <v>94.910558898838985</v>
      </c>
      <c r="L153" s="61">
        <v>95.115131957833256</v>
      </c>
      <c r="M153" s="61">
        <v>97.774581724758377</v>
      </c>
      <c r="N153" s="61">
        <v>100.43403149168341</v>
      </c>
      <c r="O153" s="61">
        <v>103.1383427496047</v>
      </c>
      <c r="P153" s="61">
        <v>117.5744024501721</v>
      </c>
      <c r="Q153" s="61">
        <v>122.90082893286615</v>
      </c>
      <c r="R153" s="61">
        <v>116.93885730431191</v>
      </c>
      <c r="S153" s="61">
        <v>119.13821186483761</v>
      </c>
      <c r="T153" s="61">
        <v>117.87213226311428</v>
      </c>
      <c r="U153" s="61">
        <v>82.079165917475166</v>
      </c>
      <c r="V153" s="61">
        <v>87.807211569313836</v>
      </c>
      <c r="W153" s="61">
        <v>91.745242954952914</v>
      </c>
      <c r="X153" s="61">
        <v>92.103245808192867</v>
      </c>
      <c r="Y153" s="61">
        <v>96.757282900311736</v>
      </c>
      <c r="Z153" s="61">
        <v>101.41131999243072</v>
      </c>
      <c r="AA153" s="61">
        <v>101.10482642718148</v>
      </c>
      <c r="AB153" s="61">
        <v>115.54088612774891</v>
      </c>
      <c r="AC153" s="61">
        <v>120.86731261044289</v>
      </c>
      <c r="AD153" s="61">
        <v>114.90534098188866</v>
      </c>
      <c r="AE153" s="61">
        <v>117.10469554241442</v>
      </c>
      <c r="AF153" s="61">
        <v>115.83861594069103</v>
      </c>
      <c r="AG153" s="61">
        <v>100.66103324840876</v>
      </c>
      <c r="AH153" s="61">
        <v>98.62751692598556</v>
      </c>
      <c r="AI153" s="61">
        <v>103.41701190264601</v>
      </c>
      <c r="AJ153" s="61">
        <v>114.55340081451232</v>
      </c>
      <c r="AK153" s="61">
        <v>118.66235838687635</v>
      </c>
      <c r="AL153" s="61">
        <v>114.06312313056293</v>
      </c>
      <c r="AM153" s="61">
        <v>115.75976807725434</v>
      </c>
      <c r="AN153" s="61">
        <v>114.78307809878203</v>
      </c>
      <c r="AO153" s="61">
        <v>101.38349558022279</v>
      </c>
      <c r="AP153" s="61">
        <v>112.51988449208915</v>
      </c>
      <c r="AQ153" s="61">
        <v>116.62884206445307</v>
      </c>
      <c r="AR153" s="61">
        <v>112.02960680813982</v>
      </c>
      <c r="AS153" s="61">
        <v>113.72625175483108</v>
      </c>
      <c r="AT153" s="61">
        <v>112.74956177635875</v>
      </c>
      <c r="AU153" s="61">
        <v>-101.31736282887658</v>
      </c>
      <c r="AV153" s="61">
        <v>56.028208333184295</v>
      </c>
    </row>
    <row r="154" spans="2:48" x14ac:dyDescent="0.3">
      <c r="B154" s="58">
        <v>2</v>
      </c>
      <c r="C154" s="61">
        <v>94.982911967415021</v>
      </c>
      <c r="D154" s="61">
        <v>100.74408492524529</v>
      </c>
      <c r="E154" s="61">
        <v>103.39107288762619</v>
      </c>
      <c r="F154" s="61">
        <v>101.78993895182217</v>
      </c>
      <c r="G154" s="61">
        <v>103.74805085257782</v>
      </c>
      <c r="H154" s="61">
        <v>104.71603870697646</v>
      </c>
      <c r="I154" s="61">
        <v>88.966004301092312</v>
      </c>
      <c r="J154" s="61">
        <v>92.239173245000103</v>
      </c>
      <c r="K154" s="61">
        <v>94.48947689393674</v>
      </c>
      <c r="L154" s="61">
        <v>94.69404995293101</v>
      </c>
      <c r="M154" s="61">
        <v>97.353499719856131</v>
      </c>
      <c r="N154" s="61">
        <v>100.01294948678117</v>
      </c>
      <c r="O154" s="61">
        <v>92.608754333539935</v>
      </c>
      <c r="P154" s="61">
        <v>102.69080700974297</v>
      </c>
      <c r="Q154" s="61">
        <v>107.32303594390953</v>
      </c>
      <c r="R154" s="61">
        <v>104.52105155625242</v>
      </c>
      <c r="S154" s="61">
        <v>107.94774738257468</v>
      </c>
      <c r="T154" s="61">
        <v>109.64172612777247</v>
      </c>
      <c r="U154" s="61">
        <v>82.079165917475166</v>
      </c>
      <c r="V154" s="61">
        <v>87.807211569313836</v>
      </c>
      <c r="W154" s="61">
        <v>91.745242954952914</v>
      </c>
      <c r="X154" s="61">
        <v>92.103245808192867</v>
      </c>
      <c r="Y154" s="61">
        <v>96.757282900311736</v>
      </c>
      <c r="Z154" s="61">
        <v>101.41131999243072</v>
      </c>
      <c r="AA154" s="61">
        <v>90.575238011116653</v>
      </c>
      <c r="AB154" s="61">
        <v>100.65729068731977</v>
      </c>
      <c r="AC154" s="61">
        <v>105.28951962148628</v>
      </c>
      <c r="AD154" s="61">
        <v>102.48753523382916</v>
      </c>
      <c r="AE154" s="61">
        <v>105.91423106015148</v>
      </c>
      <c r="AF154" s="61">
        <v>107.60820980534922</v>
      </c>
      <c r="AG154" s="61">
        <v>99.58969969970687</v>
      </c>
      <c r="AH154" s="61">
        <v>97.556183377283674</v>
      </c>
      <c r="AI154" s="61">
        <v>94.79672653966449</v>
      </c>
      <c r="AJ154" s="61">
        <v>102.57431003273547</v>
      </c>
      <c r="AK154" s="61">
        <v>106.14774378194966</v>
      </c>
      <c r="AL154" s="61">
        <v>103.98621296861404</v>
      </c>
      <c r="AM154" s="61">
        <v>106.62966403463426</v>
      </c>
      <c r="AN154" s="61">
        <v>107.93644763807254</v>
      </c>
      <c r="AO154" s="61">
        <v>92.763210217241266</v>
      </c>
      <c r="AP154" s="61">
        <v>100.54079371031224</v>
      </c>
      <c r="AQ154" s="61">
        <v>104.11422745952643</v>
      </c>
      <c r="AR154" s="61">
        <v>101.95269664619093</v>
      </c>
      <c r="AS154" s="61">
        <v>104.59614771221101</v>
      </c>
      <c r="AT154" s="61">
        <v>105.90293131564925</v>
      </c>
      <c r="AU154" s="61">
        <v>-107.56119036795388</v>
      </c>
      <c r="AV154" s="61">
        <v>46.189324716715589</v>
      </c>
    </row>
    <row r="155" spans="2:48" x14ac:dyDescent="0.3">
      <c r="B155" s="58">
        <v>3</v>
      </c>
      <c r="C155" s="61">
        <v>88.544922296190066</v>
      </c>
      <c r="D155" s="61">
        <v>91.818091240097857</v>
      </c>
      <c r="E155" s="61">
        <v>94.068394889034494</v>
      </c>
      <c r="F155" s="61">
        <v>94.272967948028764</v>
      </c>
      <c r="G155" s="61">
        <v>96.932417714953885</v>
      </c>
      <c r="H155" s="61">
        <v>99.591867481878921</v>
      </c>
      <c r="I155" s="61">
        <v>88.544922296190066</v>
      </c>
      <c r="J155" s="61">
        <v>91.818091240097857</v>
      </c>
      <c r="K155" s="61">
        <v>94.068394889034494</v>
      </c>
      <c r="L155" s="61">
        <v>94.272967948028764</v>
      </c>
      <c r="M155" s="61">
        <v>96.932417714953885</v>
      </c>
      <c r="N155" s="61">
        <v>99.591867481878921</v>
      </c>
      <c r="O155" s="61">
        <v>82.079165917475166</v>
      </c>
      <c r="P155" s="61">
        <v>87.807211569313836</v>
      </c>
      <c r="Q155" s="61">
        <v>91.745242954952914</v>
      </c>
      <c r="R155" s="61">
        <v>92.103245808192867</v>
      </c>
      <c r="S155" s="61">
        <v>96.757282900311736</v>
      </c>
      <c r="T155" s="61">
        <v>101.41131999243072</v>
      </c>
      <c r="U155" s="61">
        <v>82.079165917475166</v>
      </c>
      <c r="V155" s="61">
        <v>87.807211569313836</v>
      </c>
      <c r="W155" s="61">
        <v>91.745242954952914</v>
      </c>
      <c r="X155" s="61">
        <v>92.103245808192867</v>
      </c>
      <c r="Y155" s="61">
        <v>96.757282900311736</v>
      </c>
      <c r="Z155" s="61">
        <v>101.41131999243072</v>
      </c>
      <c r="AA155" s="61">
        <v>80.045649595051884</v>
      </c>
      <c r="AB155" s="61">
        <v>85.77369524689064</v>
      </c>
      <c r="AC155" s="61">
        <v>89.711726632529661</v>
      </c>
      <c r="AD155" s="61">
        <v>90.069729485769614</v>
      </c>
      <c r="AE155" s="61">
        <v>94.72376657788854</v>
      </c>
      <c r="AF155" s="61">
        <v>99.377803670007467</v>
      </c>
      <c r="AG155" s="61">
        <v>98.518366151004983</v>
      </c>
      <c r="AH155" s="61">
        <v>96.484849828581787</v>
      </c>
      <c r="AI155" s="61">
        <v>86.176441176682971</v>
      </c>
      <c r="AJ155" s="61">
        <v>90.595219250958564</v>
      </c>
      <c r="AK155" s="61">
        <v>93.633129177023022</v>
      </c>
      <c r="AL155" s="61">
        <v>93.909302806665153</v>
      </c>
      <c r="AM155" s="61">
        <v>97.499559992014127</v>
      </c>
      <c r="AN155" s="61">
        <v>101.08981717736305</v>
      </c>
      <c r="AO155" s="61">
        <v>84.142924854259746</v>
      </c>
      <c r="AP155" s="61">
        <v>88.561702928535368</v>
      </c>
      <c r="AQ155" s="61">
        <v>91.599612854599798</v>
      </c>
      <c r="AR155" s="61">
        <v>91.875786484242042</v>
      </c>
      <c r="AS155" s="61">
        <v>95.466043669590874</v>
      </c>
      <c r="AT155" s="61">
        <v>99.056300854939764</v>
      </c>
      <c r="AU155" s="61">
        <v>-113.80501790703119</v>
      </c>
      <c r="AV155" s="61">
        <v>36.35044110024694</v>
      </c>
    </row>
    <row r="156" spans="2:48" x14ac:dyDescent="0.3">
      <c r="B156" s="58">
        <v>4</v>
      </c>
      <c r="C156" s="61">
        <v>82.106932624965083</v>
      </c>
      <c r="D156" s="61">
        <v>82.892097554950425</v>
      </c>
      <c r="E156" s="61">
        <v>84.745716890442793</v>
      </c>
      <c r="F156" s="61">
        <v>86.755996944235363</v>
      </c>
      <c r="G156" s="61">
        <v>90.116784577329952</v>
      </c>
      <c r="H156" s="61">
        <v>94.46769625678138</v>
      </c>
      <c r="I156" s="61">
        <v>88.12384029128782</v>
      </c>
      <c r="J156" s="61">
        <v>91.397009235195611</v>
      </c>
      <c r="K156" s="61">
        <v>93.647312884132248</v>
      </c>
      <c r="L156" s="61">
        <v>93.851885943126518</v>
      </c>
      <c r="M156" s="61">
        <v>96.51133571005164</v>
      </c>
      <c r="N156" s="61">
        <v>99.170785476976675</v>
      </c>
      <c r="O156" s="61">
        <v>71.549577501410397</v>
      </c>
      <c r="P156" s="61">
        <v>72.923616128884703</v>
      </c>
      <c r="Q156" s="61">
        <v>76.167449965996298</v>
      </c>
      <c r="R156" s="61">
        <v>79.685440060133317</v>
      </c>
      <c r="S156" s="61">
        <v>85.566818418048797</v>
      </c>
      <c r="T156" s="61">
        <v>93.180913857088967</v>
      </c>
      <c r="U156" s="61">
        <v>82.079165917475166</v>
      </c>
      <c r="V156" s="61">
        <v>87.807211569313836</v>
      </c>
      <c r="W156" s="61">
        <v>91.745242954952914</v>
      </c>
      <c r="X156" s="61">
        <v>92.103245808192867</v>
      </c>
      <c r="Y156" s="61">
        <v>96.757282900311736</v>
      </c>
      <c r="Z156" s="61">
        <v>101.41131999243072</v>
      </c>
      <c r="AA156" s="61">
        <v>69.516061178987115</v>
      </c>
      <c r="AB156" s="61">
        <v>70.890099806461507</v>
      </c>
      <c r="AC156" s="61">
        <v>74.133933643573044</v>
      </c>
      <c r="AD156" s="61">
        <v>77.651923737710092</v>
      </c>
      <c r="AE156" s="61">
        <v>83.533302095625601</v>
      </c>
      <c r="AF156" s="61">
        <v>91.147397534665714</v>
      </c>
      <c r="AG156" s="61">
        <v>97.447032602303096</v>
      </c>
      <c r="AH156" s="61">
        <v>95.4135162798799</v>
      </c>
      <c r="AI156" s="61">
        <v>77.556155813701452</v>
      </c>
      <c r="AJ156" s="61">
        <v>78.61612846918166</v>
      </c>
      <c r="AK156" s="61">
        <v>81.118514572096387</v>
      </c>
      <c r="AL156" s="61">
        <v>83.832392644716265</v>
      </c>
      <c r="AM156" s="61">
        <v>88.369455949393995</v>
      </c>
      <c r="AN156" s="61">
        <v>94.243186716653554</v>
      </c>
      <c r="AO156" s="61">
        <v>75.522639491278227</v>
      </c>
      <c r="AP156" s="61">
        <v>76.582612146758493</v>
      </c>
      <c r="AQ156" s="61">
        <v>79.084998249673163</v>
      </c>
      <c r="AR156" s="61">
        <v>81.798876322293154</v>
      </c>
      <c r="AS156" s="61">
        <v>86.33593962697077</v>
      </c>
      <c r="AT156" s="61">
        <v>92.209670394230272</v>
      </c>
      <c r="AU156" s="61">
        <v>-120.04884544610849</v>
      </c>
      <c r="AV156" s="61">
        <v>26.51155748377829</v>
      </c>
    </row>
    <row r="157" spans="2:48" x14ac:dyDescent="0.3">
      <c r="B157" s="58">
        <v>5</v>
      </c>
      <c r="C157" s="61">
        <v>75.668942953740128</v>
      </c>
      <c r="D157" s="61">
        <v>73.966103869802936</v>
      </c>
      <c r="E157" s="61">
        <v>75.423038891851036</v>
      </c>
      <c r="F157" s="61">
        <v>79.239025940441962</v>
      </c>
      <c r="G157" s="61">
        <v>83.301151439706018</v>
      </c>
      <c r="H157" s="61">
        <v>89.343525031683839</v>
      </c>
      <c r="I157" s="61">
        <v>87.702758286385574</v>
      </c>
      <c r="J157" s="61">
        <v>90.975927230293365</v>
      </c>
      <c r="K157" s="61">
        <v>93.226230879230002</v>
      </c>
      <c r="L157" s="61">
        <v>93.430803938224273</v>
      </c>
      <c r="M157" s="61">
        <v>96.090253705149394</v>
      </c>
      <c r="N157" s="61">
        <v>98.74970347207443</v>
      </c>
      <c r="O157" s="61">
        <v>61.019989085345628</v>
      </c>
      <c r="P157" s="61">
        <v>58.04002068845557</v>
      </c>
      <c r="Q157" s="61">
        <v>60.589656977039681</v>
      </c>
      <c r="R157" s="61">
        <v>67.267634312073824</v>
      </c>
      <c r="S157" s="61">
        <v>74.376353935785858</v>
      </c>
      <c r="T157" s="61">
        <v>84.950507721747158</v>
      </c>
      <c r="U157" s="61">
        <v>82.079165917475166</v>
      </c>
      <c r="V157" s="61">
        <v>87.807211569313836</v>
      </c>
      <c r="W157" s="61">
        <v>91.745242954952914</v>
      </c>
      <c r="X157" s="61">
        <v>92.103245808192867</v>
      </c>
      <c r="Y157" s="61">
        <v>96.757282900311736</v>
      </c>
      <c r="Z157" s="61">
        <v>101.41131999243072</v>
      </c>
      <c r="AA157" s="61">
        <v>58.986472762922318</v>
      </c>
      <c r="AB157" s="61">
        <v>56.006504366032374</v>
      </c>
      <c r="AC157" s="61">
        <v>58.556140654616456</v>
      </c>
      <c r="AD157" s="61">
        <v>65.234117989650571</v>
      </c>
      <c r="AE157" s="61">
        <v>72.342837613362633</v>
      </c>
      <c r="AF157" s="61">
        <v>82.916991399323905</v>
      </c>
      <c r="AG157" s="61">
        <v>96.37569905360121</v>
      </c>
      <c r="AH157" s="61">
        <v>94.342182731178013</v>
      </c>
      <c r="AI157" s="61">
        <v>68.935870450719932</v>
      </c>
      <c r="AJ157" s="61">
        <v>66.637037687404813</v>
      </c>
      <c r="AK157" s="61">
        <v>68.603899967169696</v>
      </c>
      <c r="AL157" s="61">
        <v>73.755482482767377</v>
      </c>
      <c r="AM157" s="61">
        <v>79.239351906773919</v>
      </c>
      <c r="AN157" s="61">
        <v>87.396556255944063</v>
      </c>
      <c r="AO157" s="61">
        <v>66.902354128296679</v>
      </c>
      <c r="AP157" s="61">
        <v>64.603521364981589</v>
      </c>
      <c r="AQ157" s="61">
        <v>66.570383644746499</v>
      </c>
      <c r="AR157" s="61">
        <v>71.721966160344238</v>
      </c>
      <c r="AS157" s="61">
        <v>77.205835584350666</v>
      </c>
      <c r="AT157" s="61">
        <v>85.363039933520781</v>
      </c>
      <c r="AU157" s="61">
        <v>-126.29267298518582</v>
      </c>
      <c r="AV157" s="61">
        <v>16.672673867309612</v>
      </c>
    </row>
    <row r="158" spans="2:48" x14ac:dyDescent="0.3">
      <c r="B158" s="58">
        <v>6</v>
      </c>
      <c r="C158" s="61">
        <v>445.95162854134037</v>
      </c>
      <c r="D158" s="61">
        <v>456.00633258908124</v>
      </c>
      <c r="E158" s="61">
        <v>460.28760730437756</v>
      </c>
      <c r="F158" s="61">
        <v>456.98809247105544</v>
      </c>
      <c r="G158" s="61">
        <v>459.70419447497335</v>
      </c>
      <c r="H158" s="61">
        <v>460.43726192075616</v>
      </c>
      <c r="I158" s="61">
        <v>433.90088007267337</v>
      </c>
      <c r="J158" s="61">
        <v>438.97257420510039</v>
      </c>
      <c r="K158" s="61">
        <v>442.45936392114396</v>
      </c>
      <c r="L158" s="61">
        <v>442.77634480442066</v>
      </c>
      <c r="M158" s="61">
        <v>446.89709628701763</v>
      </c>
      <c r="N158" s="61">
        <v>451.01784776961455</v>
      </c>
      <c r="O158" s="61">
        <v>616.04530104082403</v>
      </c>
      <c r="P158" s="61">
        <v>633.64103312437032</v>
      </c>
      <c r="Q158" s="61">
        <v>641.13326387613904</v>
      </c>
      <c r="R158" s="61">
        <v>635.3591129178252</v>
      </c>
      <c r="S158" s="61">
        <v>640.11229142468164</v>
      </c>
      <c r="T158" s="61">
        <v>641.39515945480161</v>
      </c>
      <c r="U158" s="61">
        <v>594.95649122065674</v>
      </c>
      <c r="V158" s="61">
        <v>603.83195595240386</v>
      </c>
      <c r="W158" s="61">
        <v>609.93383795548016</v>
      </c>
      <c r="X158" s="61">
        <v>610.48855450121437</v>
      </c>
      <c r="Y158" s="61">
        <v>617.69986959575908</v>
      </c>
      <c r="Z158" s="61">
        <v>624.9111846903038</v>
      </c>
      <c r="AA158" s="61">
        <v>442.80678844083849</v>
      </c>
      <c r="AB158" s="61">
        <v>460.40252052438484</v>
      </c>
      <c r="AC158" s="61">
        <v>467.89475127615367</v>
      </c>
      <c r="AD158" s="61">
        <v>462.12060031783972</v>
      </c>
      <c r="AE158" s="61">
        <v>466.87377882469616</v>
      </c>
      <c r="AF158" s="61">
        <v>468.15664685481613</v>
      </c>
      <c r="AG158" s="61">
        <v>530.34029068212453</v>
      </c>
      <c r="AH158" s="61">
        <v>357.10177808213916</v>
      </c>
      <c r="AI158" s="61">
        <v>599.34837970664626</v>
      </c>
      <c r="AJ158" s="61">
        <v>612.92223017109654</v>
      </c>
      <c r="AK158" s="61">
        <v>618.70195103674678</v>
      </c>
      <c r="AL158" s="61">
        <v>614.24760601176172</v>
      </c>
      <c r="AM158" s="61">
        <v>617.91434371705088</v>
      </c>
      <c r="AN158" s="61">
        <v>618.90398476885775</v>
      </c>
      <c r="AO158" s="61">
        <v>426.109867106661</v>
      </c>
      <c r="AP158" s="61">
        <v>439.68371757111117</v>
      </c>
      <c r="AQ158" s="61">
        <v>445.46343843676135</v>
      </c>
      <c r="AR158" s="61">
        <v>441.00909341177635</v>
      </c>
      <c r="AS158" s="61">
        <v>444.67583111706551</v>
      </c>
      <c r="AT158" s="61">
        <v>445.66547216887244</v>
      </c>
      <c r="AU158" s="61">
        <v>640.51046337556727</v>
      </c>
      <c r="AV158" s="61">
        <v>522.58114377622246</v>
      </c>
    </row>
    <row r="159" spans="2:48" x14ac:dyDescent="0.3">
      <c r="B159" s="58">
        <v>7</v>
      </c>
      <c r="C159" s="61">
        <v>440.79398953643783</v>
      </c>
      <c r="D159" s="61">
        <v>448.85548961805318</v>
      </c>
      <c r="E159" s="61">
        <v>452.81897033364839</v>
      </c>
      <c r="F159" s="61">
        <v>450.96605378696574</v>
      </c>
      <c r="G159" s="61">
        <v>454.2440155823553</v>
      </c>
      <c r="H159" s="61">
        <v>456.33215664286377</v>
      </c>
      <c r="I159" s="61">
        <v>433.56354045523761</v>
      </c>
      <c r="J159" s="61">
        <v>438.63523458766463</v>
      </c>
      <c r="K159" s="61">
        <v>442.1220243037082</v>
      </c>
      <c r="L159" s="61">
        <v>442.4390051869849</v>
      </c>
      <c r="M159" s="61">
        <v>446.55975666958187</v>
      </c>
      <c r="N159" s="61">
        <v>450.68050815217879</v>
      </c>
      <c r="O159" s="61">
        <v>607.60977711275711</v>
      </c>
      <c r="P159" s="61">
        <v>621.71740225558369</v>
      </c>
      <c r="Q159" s="61">
        <v>628.65349350787551</v>
      </c>
      <c r="R159" s="61">
        <v>625.41088955118084</v>
      </c>
      <c r="S159" s="61">
        <v>631.14732269311264</v>
      </c>
      <c r="T159" s="61">
        <v>634.80156954900247</v>
      </c>
      <c r="U159" s="61">
        <v>594.95649122065674</v>
      </c>
      <c r="V159" s="61">
        <v>603.83195595240386</v>
      </c>
      <c r="W159" s="61">
        <v>609.93383795548016</v>
      </c>
      <c r="X159" s="61">
        <v>610.48855450121437</v>
      </c>
      <c r="Y159" s="61">
        <v>617.69986959575908</v>
      </c>
      <c r="Z159" s="61">
        <v>624.9111846903038</v>
      </c>
      <c r="AA159" s="61">
        <v>434.37126451277157</v>
      </c>
      <c r="AB159" s="61">
        <v>448.47888965559832</v>
      </c>
      <c r="AC159" s="61">
        <v>455.41498090789014</v>
      </c>
      <c r="AD159" s="61">
        <v>452.17237695119547</v>
      </c>
      <c r="AE159" s="61">
        <v>457.90881009312716</v>
      </c>
      <c r="AF159" s="61">
        <v>461.56305694901698</v>
      </c>
      <c r="AG159" s="61">
        <v>529.48201783916818</v>
      </c>
      <c r="AH159" s="61">
        <v>356.24350523918281</v>
      </c>
      <c r="AI159" s="61">
        <v>592.44244753029898</v>
      </c>
      <c r="AJ159" s="61">
        <v>603.3254726404798</v>
      </c>
      <c r="AK159" s="61">
        <v>608.67617160653344</v>
      </c>
      <c r="AL159" s="61">
        <v>606.17473426851177</v>
      </c>
      <c r="AM159" s="61">
        <v>610.59998269228765</v>
      </c>
      <c r="AN159" s="61">
        <v>613.41897312397418</v>
      </c>
      <c r="AO159" s="61">
        <v>419.20393493031372</v>
      </c>
      <c r="AP159" s="61">
        <v>430.08696004049443</v>
      </c>
      <c r="AQ159" s="61">
        <v>435.43765900654807</v>
      </c>
      <c r="AR159" s="61">
        <v>432.93622166852651</v>
      </c>
      <c r="AS159" s="61">
        <v>437.36147009230228</v>
      </c>
      <c r="AT159" s="61">
        <v>440.18046052398887</v>
      </c>
      <c r="AU159" s="61">
        <v>635.50837264538723</v>
      </c>
      <c r="AV159" s="61">
        <v>514.69896121668751</v>
      </c>
    </row>
    <row r="160" spans="2:48" x14ac:dyDescent="0.3">
      <c r="B160" s="58">
        <v>8</v>
      </c>
      <c r="C160" s="61">
        <v>435.63635053153524</v>
      </c>
      <c r="D160" s="61">
        <v>441.70464664702502</v>
      </c>
      <c r="E160" s="61">
        <v>445.35033336291917</v>
      </c>
      <c r="F160" s="61">
        <v>444.94401510287616</v>
      </c>
      <c r="G160" s="61">
        <v>448.78383668973726</v>
      </c>
      <c r="H160" s="61">
        <v>452.22705136497137</v>
      </c>
      <c r="I160" s="61">
        <v>433.22620083780185</v>
      </c>
      <c r="J160" s="61">
        <v>438.29789497022887</v>
      </c>
      <c r="K160" s="61">
        <v>441.78468468627244</v>
      </c>
      <c r="L160" s="61">
        <v>442.10166556954914</v>
      </c>
      <c r="M160" s="61">
        <v>446.22241705214611</v>
      </c>
      <c r="N160" s="61">
        <v>450.34316853474303</v>
      </c>
      <c r="O160" s="61">
        <v>599.1742531846902</v>
      </c>
      <c r="P160" s="61">
        <v>609.79377138679706</v>
      </c>
      <c r="Q160" s="61">
        <v>616.17372313961187</v>
      </c>
      <c r="R160" s="61">
        <v>615.4626661845366</v>
      </c>
      <c r="S160" s="61">
        <v>622.18235396154364</v>
      </c>
      <c r="T160" s="61">
        <v>628.20797964320332</v>
      </c>
      <c r="U160" s="61">
        <v>594.95649122065674</v>
      </c>
      <c r="V160" s="61">
        <v>603.83195595240386</v>
      </c>
      <c r="W160" s="61">
        <v>609.93383795548016</v>
      </c>
      <c r="X160" s="61">
        <v>610.48855450121437</v>
      </c>
      <c r="Y160" s="61">
        <v>617.69986959575908</v>
      </c>
      <c r="Z160" s="61">
        <v>624.9111846903038</v>
      </c>
      <c r="AA160" s="61">
        <v>425.93574058470466</v>
      </c>
      <c r="AB160" s="61">
        <v>436.55525878681169</v>
      </c>
      <c r="AC160" s="61">
        <v>442.93521053962661</v>
      </c>
      <c r="AD160" s="61">
        <v>442.22415358455112</v>
      </c>
      <c r="AE160" s="61">
        <v>448.94384136155816</v>
      </c>
      <c r="AF160" s="61">
        <v>454.96946704321783</v>
      </c>
      <c r="AG160" s="61">
        <v>528.62374499621194</v>
      </c>
      <c r="AH160" s="61">
        <v>355.38523239622657</v>
      </c>
      <c r="AI160" s="61">
        <v>585.5365153539517</v>
      </c>
      <c r="AJ160" s="61">
        <v>593.72871510986306</v>
      </c>
      <c r="AK160" s="61">
        <v>598.65039217632011</v>
      </c>
      <c r="AL160" s="61">
        <v>598.10186252526182</v>
      </c>
      <c r="AM160" s="61">
        <v>603.28562166752442</v>
      </c>
      <c r="AN160" s="61">
        <v>607.93396147909061</v>
      </c>
      <c r="AO160" s="61">
        <v>412.29800275396644</v>
      </c>
      <c r="AP160" s="61">
        <v>420.49020250987769</v>
      </c>
      <c r="AQ160" s="61">
        <v>425.4118795763348</v>
      </c>
      <c r="AR160" s="61">
        <v>424.86334992527662</v>
      </c>
      <c r="AS160" s="61">
        <v>430.04710906753911</v>
      </c>
      <c r="AT160" s="61">
        <v>434.69544887910524</v>
      </c>
      <c r="AU160" s="61">
        <v>630.50628191520707</v>
      </c>
      <c r="AV160" s="61">
        <v>506.81677865715261</v>
      </c>
    </row>
    <row r="161" spans="2:48" x14ac:dyDescent="0.3">
      <c r="B161" s="58">
        <v>9</v>
      </c>
      <c r="C161" s="61">
        <v>430.47871152663271</v>
      </c>
      <c r="D161" s="61">
        <v>434.55380367599696</v>
      </c>
      <c r="E161" s="61">
        <v>437.88169639218995</v>
      </c>
      <c r="F161" s="61">
        <v>438.92197641878647</v>
      </c>
      <c r="G161" s="61">
        <v>443.32365779711921</v>
      </c>
      <c r="H161" s="61">
        <v>448.12194608707892</v>
      </c>
      <c r="I161" s="61">
        <v>432.8888612203661</v>
      </c>
      <c r="J161" s="61">
        <v>437.96055535279311</v>
      </c>
      <c r="K161" s="61">
        <v>441.44734506883668</v>
      </c>
      <c r="L161" s="61">
        <v>441.76432595211338</v>
      </c>
      <c r="M161" s="61">
        <v>445.88507743471035</v>
      </c>
      <c r="N161" s="61">
        <v>450.00582891730727</v>
      </c>
      <c r="O161" s="61">
        <v>590.73872925662329</v>
      </c>
      <c r="P161" s="61">
        <v>597.87014051801066</v>
      </c>
      <c r="Q161" s="61">
        <v>603.69395277134845</v>
      </c>
      <c r="R161" s="61">
        <v>605.51444281789225</v>
      </c>
      <c r="S161" s="61">
        <v>613.21738522997464</v>
      </c>
      <c r="T161" s="61">
        <v>621.61438973740417</v>
      </c>
      <c r="U161" s="61">
        <v>594.95649122065674</v>
      </c>
      <c r="V161" s="61">
        <v>603.83195595240386</v>
      </c>
      <c r="W161" s="61">
        <v>609.93383795548016</v>
      </c>
      <c r="X161" s="61">
        <v>610.48855450121437</v>
      </c>
      <c r="Y161" s="61">
        <v>617.69986959575908</v>
      </c>
      <c r="Z161" s="61">
        <v>624.9111846903038</v>
      </c>
      <c r="AA161" s="61">
        <v>417.50021665663775</v>
      </c>
      <c r="AB161" s="61">
        <v>424.63162791802517</v>
      </c>
      <c r="AC161" s="61">
        <v>430.45544017136308</v>
      </c>
      <c r="AD161" s="61">
        <v>432.27593021790676</v>
      </c>
      <c r="AE161" s="61">
        <v>439.97887262998916</v>
      </c>
      <c r="AF161" s="61">
        <v>448.37587713741868</v>
      </c>
      <c r="AG161" s="61">
        <v>527.76547215325559</v>
      </c>
      <c r="AH161" s="61">
        <v>354.52695955327022</v>
      </c>
      <c r="AI161" s="61">
        <v>578.63058317760442</v>
      </c>
      <c r="AJ161" s="61">
        <v>584.13195757924632</v>
      </c>
      <c r="AK161" s="61">
        <v>588.62461274610678</v>
      </c>
      <c r="AL161" s="61">
        <v>590.02899078201199</v>
      </c>
      <c r="AM161" s="61">
        <v>595.97126064276119</v>
      </c>
      <c r="AN161" s="61">
        <v>602.44894983420704</v>
      </c>
      <c r="AO161" s="61">
        <v>405.39207057761917</v>
      </c>
      <c r="AP161" s="61">
        <v>410.89344497926095</v>
      </c>
      <c r="AQ161" s="61">
        <v>415.38610014612152</v>
      </c>
      <c r="AR161" s="61">
        <v>416.79047818202673</v>
      </c>
      <c r="AS161" s="61">
        <v>422.73274804277588</v>
      </c>
      <c r="AT161" s="61">
        <v>429.21043723422167</v>
      </c>
      <c r="AU161" s="61">
        <v>625.50419118502691</v>
      </c>
      <c r="AV161" s="61">
        <v>498.93459609761766</v>
      </c>
    </row>
    <row r="162" spans="2:48" x14ac:dyDescent="0.3">
      <c r="B162" s="58">
        <v>10</v>
      </c>
      <c r="C162" s="61">
        <v>425.32107252173012</v>
      </c>
      <c r="D162" s="61">
        <v>427.4029607049689</v>
      </c>
      <c r="E162" s="61">
        <v>430.41305942146073</v>
      </c>
      <c r="F162" s="61">
        <v>432.89993773469678</v>
      </c>
      <c r="G162" s="61">
        <v>437.86347890450116</v>
      </c>
      <c r="H162" s="61">
        <v>444.01684080918653</v>
      </c>
      <c r="I162" s="61">
        <v>432.55152160293034</v>
      </c>
      <c r="J162" s="61">
        <v>437.62321573535735</v>
      </c>
      <c r="K162" s="61">
        <v>441.11000545140092</v>
      </c>
      <c r="L162" s="61">
        <v>441.42698633467762</v>
      </c>
      <c r="M162" s="61">
        <v>445.54773781727459</v>
      </c>
      <c r="N162" s="61">
        <v>449.66848929987151</v>
      </c>
      <c r="O162" s="61">
        <v>582.30320532855637</v>
      </c>
      <c r="P162" s="61">
        <v>585.94650964922403</v>
      </c>
      <c r="Q162" s="61">
        <v>591.21418240308481</v>
      </c>
      <c r="R162" s="61">
        <v>595.56621945124789</v>
      </c>
      <c r="S162" s="61">
        <v>604.25241649840564</v>
      </c>
      <c r="T162" s="61">
        <v>615.02079983160502</v>
      </c>
      <c r="U162" s="61">
        <v>594.95649122065674</v>
      </c>
      <c r="V162" s="61">
        <v>603.83195595240386</v>
      </c>
      <c r="W162" s="61">
        <v>609.93383795548016</v>
      </c>
      <c r="X162" s="61">
        <v>610.48855450121437</v>
      </c>
      <c r="Y162" s="61">
        <v>617.69986959575908</v>
      </c>
      <c r="Z162" s="61">
        <v>624.9111846903038</v>
      </c>
      <c r="AA162" s="61">
        <v>409.06469272857083</v>
      </c>
      <c r="AB162" s="61">
        <v>412.70799704923866</v>
      </c>
      <c r="AC162" s="61">
        <v>417.97566980309949</v>
      </c>
      <c r="AD162" s="61">
        <v>422.32770685126252</v>
      </c>
      <c r="AE162" s="61">
        <v>431.01390389842015</v>
      </c>
      <c r="AF162" s="61">
        <v>441.78228723161953</v>
      </c>
      <c r="AG162" s="61">
        <v>526.90719931029923</v>
      </c>
      <c r="AH162" s="61">
        <v>353.66868671031398</v>
      </c>
      <c r="AI162" s="61">
        <v>571.72465100125703</v>
      </c>
      <c r="AJ162" s="61">
        <v>574.53520004862958</v>
      </c>
      <c r="AK162" s="61">
        <v>578.59883331589356</v>
      </c>
      <c r="AL162" s="61">
        <v>581.95611903876215</v>
      </c>
      <c r="AM162" s="61">
        <v>588.65689961799808</v>
      </c>
      <c r="AN162" s="61">
        <v>596.96393818932336</v>
      </c>
      <c r="AO162" s="61">
        <v>398.48613840127183</v>
      </c>
      <c r="AP162" s="61">
        <v>401.29668744864421</v>
      </c>
      <c r="AQ162" s="61">
        <v>405.36032071590819</v>
      </c>
      <c r="AR162" s="61">
        <v>408.7176064387769</v>
      </c>
      <c r="AS162" s="61">
        <v>415.41838701801271</v>
      </c>
      <c r="AT162" s="61">
        <v>423.72542558933804</v>
      </c>
      <c r="AU162" s="61">
        <v>620.50210045484675</v>
      </c>
      <c r="AV162" s="61">
        <v>491.05241353808276</v>
      </c>
    </row>
    <row r="163" spans="2:48" x14ac:dyDescent="0.3">
      <c r="B163" s="58">
        <v>11</v>
      </c>
      <c r="C163" s="61">
        <v>420.16343351682758</v>
      </c>
      <c r="D163" s="61">
        <v>420.25211773394085</v>
      </c>
      <c r="E163" s="61">
        <v>422.94442245073151</v>
      </c>
      <c r="F163" s="61">
        <v>426.8778990506072</v>
      </c>
      <c r="G163" s="61">
        <v>432.40330001188312</v>
      </c>
      <c r="H163" s="61">
        <v>439.91173553129414</v>
      </c>
      <c r="I163" s="61">
        <v>432.21418198549458</v>
      </c>
      <c r="J163" s="61">
        <v>437.28587611792159</v>
      </c>
      <c r="K163" s="61">
        <v>440.77266583396516</v>
      </c>
      <c r="L163" s="61">
        <v>441.08964671724186</v>
      </c>
      <c r="M163" s="61">
        <v>445.21039819983883</v>
      </c>
      <c r="N163" s="61">
        <v>449.33114968243575</v>
      </c>
      <c r="O163" s="61">
        <v>573.86768140048946</v>
      </c>
      <c r="P163" s="61">
        <v>574.0228787804374</v>
      </c>
      <c r="Q163" s="61">
        <v>578.73441203482128</v>
      </c>
      <c r="R163" s="61">
        <v>585.61799608460365</v>
      </c>
      <c r="S163" s="61">
        <v>595.28744776683664</v>
      </c>
      <c r="T163" s="61">
        <v>608.42720992580598</v>
      </c>
      <c r="U163" s="61">
        <v>594.95649122065674</v>
      </c>
      <c r="V163" s="61">
        <v>603.83195595240386</v>
      </c>
      <c r="W163" s="61">
        <v>609.93383795548016</v>
      </c>
      <c r="X163" s="61">
        <v>610.48855450121437</v>
      </c>
      <c r="Y163" s="61">
        <v>617.69986959575908</v>
      </c>
      <c r="Z163" s="61">
        <v>624.9111846903038</v>
      </c>
      <c r="AA163" s="61">
        <v>400.62916880050392</v>
      </c>
      <c r="AB163" s="61">
        <v>400.78436618045203</v>
      </c>
      <c r="AC163" s="61">
        <v>405.49589943483596</v>
      </c>
      <c r="AD163" s="61">
        <v>412.37948348461816</v>
      </c>
      <c r="AE163" s="61">
        <v>422.04893516685115</v>
      </c>
      <c r="AF163" s="61">
        <v>435.1886973258205</v>
      </c>
      <c r="AG163" s="61">
        <v>526.04892646734299</v>
      </c>
      <c r="AH163" s="61">
        <v>352.81041386735762</v>
      </c>
      <c r="AI163" s="61">
        <v>564.81871882490975</v>
      </c>
      <c r="AJ163" s="61">
        <v>564.93844251801283</v>
      </c>
      <c r="AK163" s="61">
        <v>568.57305388568034</v>
      </c>
      <c r="AL163" s="61">
        <v>573.88324729551232</v>
      </c>
      <c r="AM163" s="61">
        <v>581.34253859323485</v>
      </c>
      <c r="AN163" s="61">
        <v>591.47892654443979</v>
      </c>
      <c r="AO163" s="61">
        <v>391.5802062249245</v>
      </c>
      <c r="AP163" s="61">
        <v>391.69992991802741</v>
      </c>
      <c r="AQ163" s="61">
        <v>395.33454128569497</v>
      </c>
      <c r="AR163" s="61">
        <v>400.64473469552706</v>
      </c>
      <c r="AS163" s="61">
        <v>408.10402599324948</v>
      </c>
      <c r="AT163" s="61">
        <v>418.24041394445447</v>
      </c>
      <c r="AU163" s="61">
        <v>615.5000097246666</v>
      </c>
      <c r="AV163" s="61">
        <v>483.17023097854781</v>
      </c>
    </row>
    <row r="164" spans="2:48" x14ac:dyDescent="0.3">
      <c r="B164" s="58">
        <v>12</v>
      </c>
      <c r="C164" s="61">
        <v>0</v>
      </c>
      <c r="D164" s="61">
        <v>0</v>
      </c>
      <c r="E164" s="61">
        <v>0</v>
      </c>
      <c r="F164" s="61">
        <v>0</v>
      </c>
      <c r="G164" s="61">
        <v>0</v>
      </c>
      <c r="H164" s="61">
        <v>0</v>
      </c>
      <c r="I164" s="61">
        <v>0</v>
      </c>
      <c r="J164" s="61">
        <v>0</v>
      </c>
      <c r="K164" s="61">
        <v>0</v>
      </c>
      <c r="L164" s="61">
        <v>0</v>
      </c>
      <c r="M164" s="61">
        <v>0</v>
      </c>
      <c r="N164" s="61">
        <v>0</v>
      </c>
      <c r="O164" s="61">
        <v>0</v>
      </c>
      <c r="P164" s="61">
        <v>0</v>
      </c>
      <c r="Q164" s="61">
        <v>0</v>
      </c>
      <c r="R164" s="61">
        <v>0</v>
      </c>
      <c r="S164" s="61">
        <v>0</v>
      </c>
      <c r="T164" s="61">
        <v>0</v>
      </c>
      <c r="U164" s="61">
        <v>0</v>
      </c>
      <c r="V164" s="61">
        <v>0</v>
      </c>
      <c r="W164" s="61">
        <v>0</v>
      </c>
      <c r="X164" s="61">
        <v>0</v>
      </c>
      <c r="Y164" s="61">
        <v>0</v>
      </c>
      <c r="Z164" s="61">
        <v>0</v>
      </c>
      <c r="AA164" s="61">
        <v>0</v>
      </c>
      <c r="AB164" s="61">
        <v>0</v>
      </c>
      <c r="AC164" s="61">
        <v>0</v>
      </c>
      <c r="AD164" s="61">
        <v>0</v>
      </c>
      <c r="AE164" s="61">
        <v>0</v>
      </c>
      <c r="AF164" s="61">
        <v>0</v>
      </c>
      <c r="AG164" s="61">
        <v>0</v>
      </c>
      <c r="AH164" s="61">
        <v>0</v>
      </c>
      <c r="AI164" s="61">
        <v>0</v>
      </c>
      <c r="AJ164" s="61">
        <v>0</v>
      </c>
      <c r="AK164" s="61">
        <v>0</v>
      </c>
      <c r="AL164" s="61">
        <v>0</v>
      </c>
      <c r="AM164" s="61">
        <v>0</v>
      </c>
      <c r="AN164" s="61">
        <v>0</v>
      </c>
      <c r="AO164" s="61">
        <v>0</v>
      </c>
      <c r="AP164" s="61">
        <v>0</v>
      </c>
      <c r="AQ164" s="61">
        <v>0</v>
      </c>
      <c r="AR164" s="61">
        <v>0</v>
      </c>
      <c r="AS164" s="61">
        <v>0</v>
      </c>
      <c r="AT164" s="61">
        <v>0</v>
      </c>
      <c r="AU164" s="61">
        <v>0</v>
      </c>
      <c r="AV164" s="61">
        <v>0</v>
      </c>
    </row>
    <row r="165" spans="2:48" x14ac:dyDescent="0.3">
      <c r="B165" s="58">
        <v>13</v>
      </c>
      <c r="C165" s="61">
        <v>0</v>
      </c>
      <c r="D165" s="61">
        <v>0</v>
      </c>
      <c r="E165" s="61">
        <v>0</v>
      </c>
      <c r="F165" s="61">
        <v>0</v>
      </c>
      <c r="G165" s="61">
        <v>0</v>
      </c>
      <c r="H165" s="61">
        <v>0</v>
      </c>
      <c r="I165" s="61">
        <v>0</v>
      </c>
      <c r="J165" s="61">
        <v>0</v>
      </c>
      <c r="K165" s="61">
        <v>0</v>
      </c>
      <c r="L165" s="61">
        <v>0</v>
      </c>
      <c r="M165" s="61">
        <v>0</v>
      </c>
      <c r="N165" s="61">
        <v>0</v>
      </c>
      <c r="O165" s="61">
        <v>0</v>
      </c>
      <c r="P165" s="61">
        <v>0</v>
      </c>
      <c r="Q165" s="61">
        <v>0</v>
      </c>
      <c r="R165" s="61">
        <v>0</v>
      </c>
      <c r="S165" s="61">
        <v>0</v>
      </c>
      <c r="T165" s="61">
        <v>0</v>
      </c>
      <c r="U165" s="61">
        <v>0</v>
      </c>
      <c r="V165" s="61">
        <v>0</v>
      </c>
      <c r="W165" s="61">
        <v>0</v>
      </c>
      <c r="X165" s="61">
        <v>0</v>
      </c>
      <c r="Y165" s="61">
        <v>0</v>
      </c>
      <c r="Z165" s="61">
        <v>0</v>
      </c>
      <c r="AA165" s="61">
        <v>0</v>
      </c>
      <c r="AB165" s="61">
        <v>0</v>
      </c>
      <c r="AC165" s="61">
        <v>0</v>
      </c>
      <c r="AD165" s="61">
        <v>0</v>
      </c>
      <c r="AE165" s="61">
        <v>0</v>
      </c>
      <c r="AF165" s="61">
        <v>0</v>
      </c>
      <c r="AG165" s="61">
        <v>0</v>
      </c>
      <c r="AH165" s="61">
        <v>0</v>
      </c>
      <c r="AI165" s="61">
        <v>0</v>
      </c>
      <c r="AJ165" s="61">
        <v>0</v>
      </c>
      <c r="AK165" s="61">
        <v>0</v>
      </c>
      <c r="AL165" s="61">
        <v>0</v>
      </c>
      <c r="AM165" s="61">
        <v>0</v>
      </c>
      <c r="AN165" s="61">
        <v>0</v>
      </c>
      <c r="AO165" s="61">
        <v>0</v>
      </c>
      <c r="AP165" s="61">
        <v>0</v>
      </c>
      <c r="AQ165" s="61">
        <v>0</v>
      </c>
      <c r="AR165" s="61">
        <v>0</v>
      </c>
      <c r="AS165" s="61">
        <v>0</v>
      </c>
      <c r="AT165" s="61">
        <v>0</v>
      </c>
      <c r="AU165" s="61">
        <v>0</v>
      </c>
      <c r="AV165" s="61">
        <v>0</v>
      </c>
    </row>
    <row r="166" spans="2:48" x14ac:dyDescent="0.3">
      <c r="B166" s="58">
        <v>14</v>
      </c>
      <c r="C166" s="61">
        <v>0</v>
      </c>
      <c r="D166" s="61">
        <v>0</v>
      </c>
      <c r="E166" s="61">
        <v>0</v>
      </c>
      <c r="F166" s="61">
        <v>0</v>
      </c>
      <c r="G166" s="61">
        <v>0</v>
      </c>
      <c r="H166" s="61">
        <v>0</v>
      </c>
      <c r="I166" s="61">
        <v>0</v>
      </c>
      <c r="J166" s="61">
        <v>0</v>
      </c>
      <c r="K166" s="61">
        <v>0</v>
      </c>
      <c r="L166" s="61">
        <v>0</v>
      </c>
      <c r="M166" s="61">
        <v>0</v>
      </c>
      <c r="N166" s="61">
        <v>0</v>
      </c>
      <c r="O166" s="61">
        <v>0</v>
      </c>
      <c r="P166" s="61">
        <v>0</v>
      </c>
      <c r="Q166" s="61">
        <v>0</v>
      </c>
      <c r="R166" s="61">
        <v>0</v>
      </c>
      <c r="S166" s="61">
        <v>0</v>
      </c>
      <c r="T166" s="61">
        <v>0</v>
      </c>
      <c r="U166" s="61">
        <v>0</v>
      </c>
      <c r="V166" s="61">
        <v>0</v>
      </c>
      <c r="W166" s="61">
        <v>0</v>
      </c>
      <c r="X166" s="61">
        <v>0</v>
      </c>
      <c r="Y166" s="61">
        <v>0</v>
      </c>
      <c r="Z166" s="61">
        <v>0</v>
      </c>
      <c r="AA166" s="61">
        <v>0</v>
      </c>
      <c r="AB166" s="61">
        <v>0</v>
      </c>
      <c r="AC166" s="61">
        <v>0</v>
      </c>
      <c r="AD166" s="61">
        <v>0</v>
      </c>
      <c r="AE166" s="61">
        <v>0</v>
      </c>
      <c r="AF166" s="61">
        <v>0</v>
      </c>
      <c r="AG166" s="61">
        <v>0</v>
      </c>
      <c r="AH166" s="61">
        <v>0</v>
      </c>
      <c r="AI166" s="61">
        <v>0</v>
      </c>
      <c r="AJ166" s="61">
        <v>0</v>
      </c>
      <c r="AK166" s="61">
        <v>0</v>
      </c>
      <c r="AL166" s="61">
        <v>0</v>
      </c>
      <c r="AM166" s="61">
        <v>0</v>
      </c>
      <c r="AN166" s="61">
        <v>0</v>
      </c>
      <c r="AO166" s="61">
        <v>0</v>
      </c>
      <c r="AP166" s="61">
        <v>0</v>
      </c>
      <c r="AQ166" s="61">
        <v>0</v>
      </c>
      <c r="AR166" s="61">
        <v>0</v>
      </c>
      <c r="AS166" s="61">
        <v>0</v>
      </c>
      <c r="AT166" s="61">
        <v>0</v>
      </c>
      <c r="AU166" s="61">
        <v>0</v>
      </c>
      <c r="AV166" s="61">
        <v>0</v>
      </c>
    </row>
    <row r="167" spans="2:48" x14ac:dyDescent="0.3">
      <c r="B167" s="58">
        <v>15</v>
      </c>
      <c r="C167" s="61">
        <v>0</v>
      </c>
      <c r="D167" s="61">
        <v>0</v>
      </c>
      <c r="E167" s="61">
        <v>0</v>
      </c>
      <c r="F167" s="61">
        <v>0</v>
      </c>
      <c r="G167" s="61">
        <v>0</v>
      </c>
      <c r="H167" s="61">
        <v>0</v>
      </c>
      <c r="I167" s="61">
        <v>0</v>
      </c>
      <c r="J167" s="61">
        <v>0</v>
      </c>
      <c r="K167" s="61">
        <v>0</v>
      </c>
      <c r="L167" s="61">
        <v>0</v>
      </c>
      <c r="M167" s="61">
        <v>0</v>
      </c>
      <c r="N167" s="61">
        <v>0</v>
      </c>
      <c r="O167" s="61">
        <v>0</v>
      </c>
      <c r="P167" s="61">
        <v>0</v>
      </c>
      <c r="Q167" s="61">
        <v>0</v>
      </c>
      <c r="R167" s="61">
        <v>0</v>
      </c>
      <c r="S167" s="61">
        <v>0</v>
      </c>
      <c r="T167" s="61">
        <v>0</v>
      </c>
      <c r="U167" s="61">
        <v>0</v>
      </c>
      <c r="V167" s="61">
        <v>0</v>
      </c>
      <c r="W167" s="61">
        <v>0</v>
      </c>
      <c r="X167" s="61">
        <v>0</v>
      </c>
      <c r="Y167" s="61">
        <v>0</v>
      </c>
      <c r="Z167" s="61">
        <v>0</v>
      </c>
      <c r="AA167" s="61">
        <v>0</v>
      </c>
      <c r="AB167" s="61">
        <v>0</v>
      </c>
      <c r="AC167" s="61">
        <v>0</v>
      </c>
      <c r="AD167" s="61">
        <v>0</v>
      </c>
      <c r="AE167" s="61">
        <v>0</v>
      </c>
      <c r="AF167" s="61">
        <v>0</v>
      </c>
      <c r="AG167" s="61">
        <v>0</v>
      </c>
      <c r="AH167" s="61">
        <v>0</v>
      </c>
      <c r="AI167" s="61">
        <v>0</v>
      </c>
      <c r="AJ167" s="61">
        <v>0</v>
      </c>
      <c r="AK167" s="61">
        <v>0</v>
      </c>
      <c r="AL167" s="61">
        <v>0</v>
      </c>
      <c r="AM167" s="61">
        <v>0</v>
      </c>
      <c r="AN167" s="61">
        <v>0</v>
      </c>
      <c r="AO167" s="61">
        <v>0</v>
      </c>
      <c r="AP167" s="61">
        <v>0</v>
      </c>
      <c r="AQ167" s="61">
        <v>0</v>
      </c>
      <c r="AR167" s="61">
        <v>0</v>
      </c>
      <c r="AS167" s="61">
        <v>0</v>
      </c>
      <c r="AT167" s="61">
        <v>0</v>
      </c>
      <c r="AU167" s="61">
        <v>0</v>
      </c>
      <c r="AV167" s="61">
        <v>0</v>
      </c>
    </row>
    <row r="168" spans="2:48" x14ac:dyDescent="0.3">
      <c r="B168" s="58">
        <v>16</v>
      </c>
      <c r="C168" s="61">
        <v>0</v>
      </c>
      <c r="D168" s="61">
        <v>0</v>
      </c>
      <c r="E168" s="61">
        <v>0</v>
      </c>
      <c r="F168" s="61">
        <v>0</v>
      </c>
      <c r="G168" s="61">
        <v>0</v>
      </c>
      <c r="H168" s="61">
        <v>0</v>
      </c>
      <c r="I168" s="61">
        <v>0</v>
      </c>
      <c r="J168" s="61">
        <v>0</v>
      </c>
      <c r="K168" s="61">
        <v>0</v>
      </c>
      <c r="L168" s="61">
        <v>0</v>
      </c>
      <c r="M168" s="61">
        <v>0</v>
      </c>
      <c r="N168" s="61">
        <v>0</v>
      </c>
      <c r="O168" s="61">
        <v>0</v>
      </c>
      <c r="P168" s="61">
        <v>0</v>
      </c>
      <c r="Q168" s="61">
        <v>0</v>
      </c>
      <c r="R168" s="61">
        <v>0</v>
      </c>
      <c r="S168" s="61">
        <v>0</v>
      </c>
      <c r="T168" s="61">
        <v>0</v>
      </c>
      <c r="U168" s="61">
        <v>0</v>
      </c>
      <c r="V168" s="61">
        <v>0</v>
      </c>
      <c r="W168" s="61">
        <v>0</v>
      </c>
      <c r="X168" s="61">
        <v>0</v>
      </c>
      <c r="Y168" s="61">
        <v>0</v>
      </c>
      <c r="Z168" s="61">
        <v>0</v>
      </c>
      <c r="AA168" s="61">
        <v>0</v>
      </c>
      <c r="AB168" s="61">
        <v>0</v>
      </c>
      <c r="AC168" s="61">
        <v>0</v>
      </c>
      <c r="AD168" s="61">
        <v>0</v>
      </c>
      <c r="AE168" s="61">
        <v>0</v>
      </c>
      <c r="AF168" s="61">
        <v>0</v>
      </c>
      <c r="AG168" s="61">
        <v>0</v>
      </c>
      <c r="AH168" s="61">
        <v>0</v>
      </c>
      <c r="AI168" s="61">
        <v>0</v>
      </c>
      <c r="AJ168" s="61">
        <v>0</v>
      </c>
      <c r="AK168" s="61">
        <v>0</v>
      </c>
      <c r="AL168" s="61">
        <v>0</v>
      </c>
      <c r="AM168" s="61">
        <v>0</v>
      </c>
      <c r="AN168" s="61">
        <v>0</v>
      </c>
      <c r="AO168" s="61">
        <v>0</v>
      </c>
      <c r="AP168" s="61">
        <v>0</v>
      </c>
      <c r="AQ168" s="61">
        <v>0</v>
      </c>
      <c r="AR168" s="61">
        <v>0</v>
      </c>
      <c r="AS168" s="61">
        <v>0</v>
      </c>
      <c r="AT168" s="61">
        <v>0</v>
      </c>
      <c r="AU168" s="61">
        <v>0</v>
      </c>
      <c r="AV168" s="61">
        <v>0</v>
      </c>
    </row>
    <row r="169" spans="2:48" x14ac:dyDescent="0.3">
      <c r="B169" s="58">
        <v>17</v>
      </c>
      <c r="C169" s="61">
        <v>0</v>
      </c>
      <c r="D169" s="61">
        <v>0</v>
      </c>
      <c r="E169" s="61">
        <v>0</v>
      </c>
      <c r="F169" s="61">
        <v>0</v>
      </c>
      <c r="G169" s="61">
        <v>0</v>
      </c>
      <c r="H169" s="61">
        <v>0</v>
      </c>
      <c r="I169" s="61">
        <v>0</v>
      </c>
      <c r="J169" s="61">
        <v>0</v>
      </c>
      <c r="K169" s="61">
        <v>0</v>
      </c>
      <c r="L169" s="61">
        <v>0</v>
      </c>
      <c r="M169" s="61">
        <v>0</v>
      </c>
      <c r="N169" s="61">
        <v>0</v>
      </c>
      <c r="O169" s="61">
        <v>0</v>
      </c>
      <c r="P169" s="61">
        <v>0</v>
      </c>
      <c r="Q169" s="61">
        <v>0</v>
      </c>
      <c r="R169" s="61">
        <v>0</v>
      </c>
      <c r="S169" s="61">
        <v>0</v>
      </c>
      <c r="T169" s="61">
        <v>0</v>
      </c>
      <c r="U169" s="61">
        <v>0</v>
      </c>
      <c r="V169" s="61">
        <v>0</v>
      </c>
      <c r="W169" s="61">
        <v>0</v>
      </c>
      <c r="X169" s="61">
        <v>0</v>
      </c>
      <c r="Y169" s="61">
        <v>0</v>
      </c>
      <c r="Z169" s="61">
        <v>0</v>
      </c>
      <c r="AA169" s="61">
        <v>0</v>
      </c>
      <c r="AB169" s="61">
        <v>0</v>
      </c>
      <c r="AC169" s="61">
        <v>0</v>
      </c>
      <c r="AD169" s="61">
        <v>0</v>
      </c>
      <c r="AE169" s="61">
        <v>0</v>
      </c>
      <c r="AF169" s="61">
        <v>0</v>
      </c>
      <c r="AG169" s="61">
        <v>0</v>
      </c>
      <c r="AH169" s="61">
        <v>0</v>
      </c>
      <c r="AI169" s="61">
        <v>0</v>
      </c>
      <c r="AJ169" s="61">
        <v>0</v>
      </c>
      <c r="AK169" s="61">
        <v>0</v>
      </c>
      <c r="AL169" s="61">
        <v>0</v>
      </c>
      <c r="AM169" s="61">
        <v>0</v>
      </c>
      <c r="AN169" s="61">
        <v>0</v>
      </c>
      <c r="AO169" s="61">
        <v>0</v>
      </c>
      <c r="AP169" s="61">
        <v>0</v>
      </c>
      <c r="AQ169" s="61">
        <v>0</v>
      </c>
      <c r="AR169" s="61">
        <v>0</v>
      </c>
      <c r="AS169" s="61">
        <v>0</v>
      </c>
      <c r="AT169" s="61">
        <v>0</v>
      </c>
      <c r="AU169" s="61">
        <v>0</v>
      </c>
      <c r="AV169" s="61">
        <v>0</v>
      </c>
    </row>
    <row r="170" spans="2:48" x14ac:dyDescent="0.3">
      <c r="B170" s="58">
        <v>18</v>
      </c>
      <c r="C170" s="61">
        <v>0</v>
      </c>
      <c r="D170" s="61">
        <v>0</v>
      </c>
      <c r="E170" s="61">
        <v>0</v>
      </c>
      <c r="F170" s="61">
        <v>0</v>
      </c>
      <c r="G170" s="61">
        <v>0</v>
      </c>
      <c r="H170" s="61">
        <v>0</v>
      </c>
      <c r="I170" s="61">
        <v>0</v>
      </c>
      <c r="J170" s="61">
        <v>0</v>
      </c>
      <c r="K170" s="61">
        <v>0</v>
      </c>
      <c r="L170" s="61">
        <v>0</v>
      </c>
      <c r="M170" s="61">
        <v>0</v>
      </c>
      <c r="N170" s="61">
        <v>0</v>
      </c>
      <c r="O170" s="61">
        <v>0</v>
      </c>
      <c r="P170" s="61">
        <v>0</v>
      </c>
      <c r="Q170" s="61">
        <v>0</v>
      </c>
      <c r="R170" s="61">
        <v>0</v>
      </c>
      <c r="S170" s="61">
        <v>0</v>
      </c>
      <c r="T170" s="61">
        <v>0</v>
      </c>
      <c r="U170" s="61">
        <v>0</v>
      </c>
      <c r="V170" s="61">
        <v>0</v>
      </c>
      <c r="W170" s="61">
        <v>0</v>
      </c>
      <c r="X170" s="61">
        <v>0</v>
      </c>
      <c r="Y170" s="61">
        <v>0</v>
      </c>
      <c r="Z170" s="61">
        <v>0</v>
      </c>
      <c r="AA170" s="61">
        <v>0</v>
      </c>
      <c r="AB170" s="61">
        <v>0</v>
      </c>
      <c r="AC170" s="61">
        <v>0</v>
      </c>
      <c r="AD170" s="61">
        <v>0</v>
      </c>
      <c r="AE170" s="61">
        <v>0</v>
      </c>
      <c r="AF170" s="61">
        <v>0</v>
      </c>
      <c r="AG170" s="61">
        <v>0</v>
      </c>
      <c r="AH170" s="61">
        <v>0</v>
      </c>
      <c r="AI170" s="61">
        <v>0</v>
      </c>
      <c r="AJ170" s="61">
        <v>0</v>
      </c>
      <c r="AK170" s="61">
        <v>0</v>
      </c>
      <c r="AL170" s="61">
        <v>0</v>
      </c>
      <c r="AM170" s="61">
        <v>0</v>
      </c>
      <c r="AN170" s="61">
        <v>0</v>
      </c>
      <c r="AO170" s="61">
        <v>0</v>
      </c>
      <c r="AP170" s="61">
        <v>0</v>
      </c>
      <c r="AQ170" s="61">
        <v>0</v>
      </c>
      <c r="AR170" s="61">
        <v>0</v>
      </c>
      <c r="AS170" s="61">
        <v>0</v>
      </c>
      <c r="AT170" s="61">
        <v>0</v>
      </c>
      <c r="AU170" s="61">
        <v>0</v>
      </c>
      <c r="AV170" s="61">
        <v>0</v>
      </c>
    </row>
    <row r="171" spans="2:48" x14ac:dyDescent="0.3">
      <c r="B171" s="58">
        <v>19</v>
      </c>
      <c r="C171" s="61">
        <v>0</v>
      </c>
      <c r="D171" s="61">
        <v>0</v>
      </c>
      <c r="E171" s="61">
        <v>0</v>
      </c>
      <c r="F171" s="61">
        <v>0</v>
      </c>
      <c r="G171" s="61">
        <v>0</v>
      </c>
      <c r="H171" s="61">
        <v>0</v>
      </c>
      <c r="I171" s="61">
        <v>0</v>
      </c>
      <c r="J171" s="61">
        <v>0</v>
      </c>
      <c r="K171" s="61">
        <v>0</v>
      </c>
      <c r="L171" s="61">
        <v>0</v>
      </c>
      <c r="M171" s="61">
        <v>0</v>
      </c>
      <c r="N171" s="61">
        <v>0</v>
      </c>
      <c r="O171" s="61">
        <v>0</v>
      </c>
      <c r="P171" s="61">
        <v>0</v>
      </c>
      <c r="Q171" s="61">
        <v>0</v>
      </c>
      <c r="R171" s="61">
        <v>0</v>
      </c>
      <c r="S171" s="61">
        <v>0</v>
      </c>
      <c r="T171" s="61">
        <v>0</v>
      </c>
      <c r="U171" s="61">
        <v>0</v>
      </c>
      <c r="V171" s="61">
        <v>0</v>
      </c>
      <c r="W171" s="61">
        <v>0</v>
      </c>
      <c r="X171" s="61">
        <v>0</v>
      </c>
      <c r="Y171" s="61">
        <v>0</v>
      </c>
      <c r="Z171" s="61">
        <v>0</v>
      </c>
      <c r="AA171" s="61">
        <v>0</v>
      </c>
      <c r="AB171" s="61">
        <v>0</v>
      </c>
      <c r="AC171" s="61">
        <v>0</v>
      </c>
      <c r="AD171" s="61">
        <v>0</v>
      </c>
      <c r="AE171" s="61">
        <v>0</v>
      </c>
      <c r="AF171" s="61">
        <v>0</v>
      </c>
      <c r="AG171" s="61">
        <v>0</v>
      </c>
      <c r="AH171" s="61">
        <v>0</v>
      </c>
      <c r="AI171" s="61">
        <v>0</v>
      </c>
      <c r="AJ171" s="61">
        <v>0</v>
      </c>
      <c r="AK171" s="61">
        <v>0</v>
      </c>
      <c r="AL171" s="61">
        <v>0</v>
      </c>
      <c r="AM171" s="61">
        <v>0</v>
      </c>
      <c r="AN171" s="61">
        <v>0</v>
      </c>
      <c r="AO171" s="61">
        <v>0</v>
      </c>
      <c r="AP171" s="61">
        <v>0</v>
      </c>
      <c r="AQ171" s="61">
        <v>0</v>
      </c>
      <c r="AR171" s="61">
        <v>0</v>
      </c>
      <c r="AS171" s="61">
        <v>0</v>
      </c>
      <c r="AT171" s="61">
        <v>0</v>
      </c>
      <c r="AU171" s="61">
        <v>0</v>
      </c>
      <c r="AV171" s="61">
        <v>0</v>
      </c>
    </row>
    <row r="172" spans="2:48" x14ac:dyDescent="0.3">
      <c r="B172" s="58">
        <v>20</v>
      </c>
      <c r="C172" s="61">
        <v>0</v>
      </c>
      <c r="D172" s="61">
        <v>0</v>
      </c>
      <c r="E172" s="61">
        <v>0</v>
      </c>
      <c r="F172" s="61">
        <v>0</v>
      </c>
      <c r="G172" s="61">
        <v>0</v>
      </c>
      <c r="H172" s="61">
        <v>0</v>
      </c>
      <c r="I172" s="61">
        <v>0</v>
      </c>
      <c r="J172" s="61">
        <v>0</v>
      </c>
      <c r="K172" s="61">
        <v>0</v>
      </c>
      <c r="L172" s="61">
        <v>0</v>
      </c>
      <c r="M172" s="61">
        <v>0</v>
      </c>
      <c r="N172" s="61">
        <v>0</v>
      </c>
      <c r="O172" s="61">
        <v>0</v>
      </c>
      <c r="P172" s="61">
        <v>0</v>
      </c>
      <c r="Q172" s="61">
        <v>0</v>
      </c>
      <c r="R172" s="61">
        <v>0</v>
      </c>
      <c r="S172" s="61">
        <v>0</v>
      </c>
      <c r="T172" s="61">
        <v>0</v>
      </c>
      <c r="U172" s="61">
        <v>0</v>
      </c>
      <c r="V172" s="61">
        <v>0</v>
      </c>
      <c r="W172" s="61">
        <v>0</v>
      </c>
      <c r="X172" s="61">
        <v>0</v>
      </c>
      <c r="Y172" s="61">
        <v>0</v>
      </c>
      <c r="Z172" s="61">
        <v>0</v>
      </c>
      <c r="AA172" s="61">
        <v>0</v>
      </c>
      <c r="AB172" s="61">
        <v>0</v>
      </c>
      <c r="AC172" s="61">
        <v>0</v>
      </c>
      <c r="AD172" s="61">
        <v>0</v>
      </c>
      <c r="AE172" s="61">
        <v>0</v>
      </c>
      <c r="AF172" s="61">
        <v>0</v>
      </c>
      <c r="AG172" s="61">
        <v>0</v>
      </c>
      <c r="AH172" s="61">
        <v>0</v>
      </c>
      <c r="AI172" s="61">
        <v>0</v>
      </c>
      <c r="AJ172" s="61">
        <v>0</v>
      </c>
      <c r="AK172" s="61">
        <v>0</v>
      </c>
      <c r="AL172" s="61">
        <v>0</v>
      </c>
      <c r="AM172" s="61">
        <v>0</v>
      </c>
      <c r="AN172" s="61">
        <v>0</v>
      </c>
      <c r="AO172" s="61">
        <v>0</v>
      </c>
      <c r="AP172" s="61">
        <v>0</v>
      </c>
      <c r="AQ172" s="61">
        <v>0</v>
      </c>
      <c r="AR172" s="61">
        <v>0</v>
      </c>
      <c r="AS172" s="61">
        <v>0</v>
      </c>
      <c r="AT172" s="61">
        <v>0</v>
      </c>
      <c r="AU172" s="61">
        <v>0</v>
      </c>
      <c r="AV172" s="61">
        <v>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2:F60"/>
  <sheetViews>
    <sheetView workbookViewId="0"/>
  </sheetViews>
  <sheetFormatPr defaultRowHeight="14.4" x14ac:dyDescent="0.3"/>
  <cols>
    <col min="1" max="1" width="2" customWidth="1"/>
    <col min="2" max="2" width="46" customWidth="1"/>
    <col min="3" max="3" width="4" customWidth="1"/>
    <col min="4" max="4" width="14" customWidth="1"/>
    <col min="5" max="5" width="10" customWidth="1"/>
    <col min="6" max="6" width="52" customWidth="1"/>
  </cols>
  <sheetData>
    <row r="2" spans="2:5" ht="16.8" x14ac:dyDescent="0.3">
      <c r="B2" s="1" t="s">
        <v>572</v>
      </c>
    </row>
    <row r="3" spans="2:5" x14ac:dyDescent="0.3">
      <c r="B3" s="11" t="s">
        <v>573</v>
      </c>
    </row>
    <row r="4" spans="2:5" x14ac:dyDescent="0.3">
      <c r="B4" s="4" t="s">
        <v>574</v>
      </c>
      <c r="E4" s="12">
        <v>1</v>
      </c>
    </row>
    <row r="6" spans="2:5" x14ac:dyDescent="0.3">
      <c r="B6" s="6" t="s">
        <v>575</v>
      </c>
    </row>
    <row r="7" spans="2:5" x14ac:dyDescent="0.3">
      <c r="B7" s="4" t="s">
        <v>576</v>
      </c>
      <c r="D7" s="20">
        <f>(Cd1_/SIN(RADIANS(askew))-IF($E$4=1,ntc*Cd3_,0))*1000</f>
        <v>24061.386541807733</v>
      </c>
    </row>
    <row r="8" spans="2:5" x14ac:dyDescent="0.3">
      <c r="B8" s="4" t="s">
        <v>577</v>
      </c>
      <c r="D8" s="20">
        <f>B3_*SIN(RADIANS(askew))*1000</f>
        <v>1221.6004070216809</v>
      </c>
    </row>
    <row r="9" spans="2:5" x14ac:dyDescent="0.3">
      <c r="B9" s="4" t="s">
        <v>578</v>
      </c>
      <c r="D9" s="12">
        <v>100</v>
      </c>
      <c r="E9" s="4" t="s">
        <v>579</v>
      </c>
    </row>
    <row r="10" spans="2:5" x14ac:dyDescent="0.3">
      <c r="B10" s="4" t="s">
        <v>580</v>
      </c>
      <c r="D10" s="12">
        <v>32</v>
      </c>
      <c r="E10" s="4" t="s">
        <v>579</v>
      </c>
    </row>
    <row r="11" spans="2:5" x14ac:dyDescent="0.3">
      <c r="B11" s="4" t="s">
        <v>581</v>
      </c>
      <c r="D11" s="12">
        <v>125</v>
      </c>
      <c r="E11" s="4" t="s">
        <v>579</v>
      </c>
    </row>
    <row r="12" spans="2:5" x14ac:dyDescent="0.3">
      <c r="B12" s="4" t="s">
        <v>582</v>
      </c>
      <c r="D12" s="20">
        <f>PI()*D10^2/4*D7/D11</f>
        <v>154810.52199921149</v>
      </c>
    </row>
    <row r="13" spans="2:5" x14ac:dyDescent="0.3">
      <c r="B13" s="4" t="s">
        <v>583</v>
      </c>
      <c r="D13" s="20">
        <f>D8-D9</f>
        <v>1121.6004070216809</v>
      </c>
    </row>
    <row r="14" spans="2:5" x14ac:dyDescent="0.3">
      <c r="B14" s="4" t="s">
        <v>584</v>
      </c>
      <c r="D14" s="23">
        <f>MAX(ABS('TO HOP'!L156),ABS('TO HOP'!L157),ABS('TO HOP'!L158),ABS('TO HOP'!L159))</f>
        <v>37130.619614203046</v>
      </c>
      <c r="E14" s="4" t="s">
        <v>585</v>
      </c>
    </row>
    <row r="15" spans="2:5" x14ac:dyDescent="0.3">
      <c r="B15" s="4" t="s">
        <v>586</v>
      </c>
      <c r="D15" s="23">
        <f>'CAT THAN'!C8</f>
        <v>8507.3145621069634</v>
      </c>
      <c r="E15" s="4" t="s">
        <v>51</v>
      </c>
    </row>
    <row r="16" spans="2:5" x14ac:dyDescent="0.3">
      <c r="B16" s="4" t="s">
        <v>587</v>
      </c>
      <c r="D16" s="23">
        <f>MAX(ABS('TO HOP'!L154),ABS('TO HOP'!L155))</f>
        <v>18855.013003307631</v>
      </c>
      <c r="E16" s="4" t="s">
        <v>585</v>
      </c>
    </row>
    <row r="17" spans="2:6" x14ac:dyDescent="0.3">
      <c r="B17" s="4" t="s">
        <v>588</v>
      </c>
      <c r="D17" s="15">
        <f>MAX(0.65,MIN(0.85,0.85-0.05*(fc_-28)/7))</f>
        <v>0.83571428571428574</v>
      </c>
    </row>
    <row r="18" spans="2:6" x14ac:dyDescent="0.3">
      <c r="B18" s="4" t="s">
        <v>589</v>
      </c>
      <c r="D18" s="23">
        <f>D12*fy_/(0.85*fc_*D7)</f>
        <v>100.92520399297091</v>
      </c>
    </row>
    <row r="19" spans="2:6" x14ac:dyDescent="0.3">
      <c r="B19" s="4" t="s">
        <v>590</v>
      </c>
      <c r="D19" s="23">
        <f>D18/D17</f>
        <v>120.76520135911048</v>
      </c>
    </row>
    <row r="20" spans="2:6" x14ac:dyDescent="0.3">
      <c r="B20" s="4" t="s">
        <v>591</v>
      </c>
      <c r="D20" s="29">
        <f>0.003*(D13-D19)/D19</f>
        <v>2.4862340998872551E-2</v>
      </c>
    </row>
    <row r="21" spans="2:6" x14ac:dyDescent="0.3">
      <c r="B21" s="4" t="s">
        <v>592</v>
      </c>
      <c r="D21" s="15">
        <f>MIN(0.9,MAX(0.75,0.75+0.15*(D20-0.002)/0.003))</f>
        <v>0.9</v>
      </c>
    </row>
    <row r="22" spans="2:6" x14ac:dyDescent="0.3">
      <c r="B22" s="4" t="s">
        <v>593</v>
      </c>
      <c r="D22" s="17">
        <f>D12*fy_*(D13-D18/2)/10^6</f>
        <v>66329.36109161604</v>
      </c>
      <c r="E22" s="4" t="s">
        <v>585</v>
      </c>
    </row>
    <row r="23" spans="2:6" x14ac:dyDescent="0.3">
      <c r="B23" s="4" t="s">
        <v>594</v>
      </c>
      <c r="D23" s="23">
        <f>D21*D22</f>
        <v>59696.424982454439</v>
      </c>
      <c r="E23" s="4" t="s">
        <v>585</v>
      </c>
    </row>
    <row r="24" spans="2:6" x14ac:dyDescent="0.3">
      <c r="B24" s="4" t="s">
        <v>595</v>
      </c>
      <c r="D24" s="22" t="str">
        <f>IF(D23&gt;=D14,"ĐẠT","KHÔNG ĐẠT")</f>
        <v>ĐẠT</v>
      </c>
      <c r="E24" s="9">
        <f>IF(D14=0,"",D23/D14)</f>
        <v>1.6077411474065362</v>
      </c>
    </row>
    <row r="25" spans="2:6" x14ac:dyDescent="0.3">
      <c r="B25" s="4" t="s">
        <v>596</v>
      </c>
      <c r="D25" s="17">
        <f>1.07*fr_*D7*D8^2/6/10^6</f>
        <v>22095.950669026217</v>
      </c>
      <c r="E25" s="4" t="s">
        <v>585</v>
      </c>
      <c r="F25" s="11" t="s">
        <v>597</v>
      </c>
    </row>
    <row r="26" spans="2:6" x14ac:dyDescent="0.3">
      <c r="B26" s="4" t="s">
        <v>598</v>
      </c>
      <c r="D26" s="22" t="str">
        <f>IF(D23&gt;=MIN(D25,1.33*D14),"ĐẠT","KHÔNG ĐẠT")</f>
        <v>ĐẠT</v>
      </c>
    </row>
    <row r="27" spans="2:6" x14ac:dyDescent="0.3">
      <c r="B27" s="4" t="s">
        <v>599</v>
      </c>
      <c r="D27" s="8">
        <v>1</v>
      </c>
    </row>
    <row r="28" spans="2:6" x14ac:dyDescent="0.3">
      <c r="B28" s="4" t="s">
        <v>600</v>
      </c>
      <c r="D28" s="9">
        <f>Es_/Ec_</f>
        <v>6.3796799429981235</v>
      </c>
    </row>
    <row r="29" spans="2:6" x14ac:dyDescent="0.3">
      <c r="B29" s="4" t="s">
        <v>601</v>
      </c>
      <c r="D29" s="29">
        <f>D12/(D7*D13)</f>
        <v>5.7364295824720796E-3</v>
      </c>
    </row>
    <row r="30" spans="2:6" x14ac:dyDescent="0.3">
      <c r="B30" s="4" t="s">
        <v>602</v>
      </c>
      <c r="D30" s="15">
        <f>SQRT(2*D29*D28+(D29*D28)^2)-D29*D28</f>
        <v>0.23640978791918871</v>
      </c>
    </row>
    <row r="31" spans="2:6" x14ac:dyDescent="0.3">
      <c r="B31" s="4" t="s">
        <v>603</v>
      </c>
      <c r="D31" s="15">
        <f>1-D30/3</f>
        <v>0.92119673736027041</v>
      </c>
    </row>
    <row r="32" spans="2:6" x14ac:dyDescent="0.3">
      <c r="B32" s="4" t="s">
        <v>1022</v>
      </c>
      <c r="D32" s="17">
        <f>D16*10^6/(D12*D31*D13)</f>
        <v>117.87882870669914</v>
      </c>
      <c r="E32" s="4" t="s">
        <v>119</v>
      </c>
    </row>
    <row r="33" spans="2:6" x14ac:dyDescent="0.3">
      <c r="B33" s="4" t="s">
        <v>604</v>
      </c>
      <c r="D33" s="15">
        <f>1+D9/(0.7*(D8-D9))</f>
        <v>1.127369018380163</v>
      </c>
    </row>
    <row r="34" spans="2:6" x14ac:dyDescent="0.3">
      <c r="B34" s="4" t="s">
        <v>605</v>
      </c>
      <c r="D34" s="17">
        <f>IF(D32&lt;=0,9999,123000*D27/(D33*D32)-2*D9)</f>
        <v>725.55707285105757</v>
      </c>
      <c r="E34" s="4" t="s">
        <v>579</v>
      </c>
      <c r="F34" s="11" t="s">
        <v>606</v>
      </c>
    </row>
    <row r="35" spans="2:6" x14ac:dyDescent="0.3">
      <c r="B35" s="4" t="s">
        <v>1023</v>
      </c>
      <c r="D35" s="22" t="str">
        <f>IF(AND(D32&lt;=0.6*fy_,D11&lt;=D34),"ĐẠT","KHÔNG ĐẠT")</f>
        <v>ĐẠT</v>
      </c>
    </row>
    <row r="36" spans="2:6" x14ac:dyDescent="0.3">
      <c r="B36" s="4" t="s">
        <v>607</v>
      </c>
      <c r="D36" s="12">
        <v>0</v>
      </c>
      <c r="E36" s="4" t="s">
        <v>608</v>
      </c>
      <c r="F36" s="11" t="s">
        <v>609</v>
      </c>
    </row>
    <row r="37" spans="2:6" x14ac:dyDescent="0.3">
      <c r="B37" s="4" t="s">
        <v>610</v>
      </c>
      <c r="D37" s="12">
        <v>16</v>
      </c>
      <c r="E37" s="4" t="s">
        <v>579</v>
      </c>
    </row>
    <row r="38" spans="2:6" x14ac:dyDescent="0.3">
      <c r="B38" s="4" t="s">
        <v>611</v>
      </c>
      <c r="D38" s="12">
        <v>600</v>
      </c>
      <c r="E38" s="4" t="s">
        <v>579</v>
      </c>
    </row>
    <row r="39" spans="2:6" x14ac:dyDescent="0.3">
      <c r="B39" s="4" t="s">
        <v>612</v>
      </c>
      <c r="D39" s="20">
        <f>D36*PI()*D37^2/4</f>
        <v>0</v>
      </c>
    </row>
    <row r="40" spans="2:6" x14ac:dyDescent="0.3">
      <c r="B40" s="4" t="s">
        <v>613</v>
      </c>
      <c r="D40" s="20">
        <f>0.083*SQRT(fc_)*D7*D38/fy_</f>
        <v>16407.810396380151</v>
      </c>
    </row>
    <row r="41" spans="2:6" x14ac:dyDescent="0.3">
      <c r="B41" s="4" t="s">
        <v>614</v>
      </c>
      <c r="D41" s="23">
        <f>MAX(D13-D18/2,0.9*D13,0.72*D8)</f>
        <v>1071.1378050251953</v>
      </c>
    </row>
    <row r="42" spans="2:6" x14ac:dyDescent="0.3">
      <c r="B42" s="4" t="s">
        <v>615</v>
      </c>
      <c r="D42" s="29">
        <f>'CAT THAN'!C9</f>
        <v>6.3057752890125092E-4</v>
      </c>
      <c r="E42" s="4" t="s">
        <v>616</v>
      </c>
      <c r="F42" t="s">
        <v>617</v>
      </c>
    </row>
    <row r="43" spans="2:6" x14ac:dyDescent="0.3">
      <c r="B43" s="4" t="s">
        <v>618</v>
      </c>
      <c r="D43" s="23">
        <f>MIN(2000,MAX(294,D41*35/(16+20)))</f>
        <v>1041.3839771078287</v>
      </c>
    </row>
    <row r="44" spans="2:6" x14ac:dyDescent="0.3">
      <c r="B44" s="4" t="s">
        <v>619</v>
      </c>
      <c r="D44" s="15">
        <f>'CAT THAN'!C10</f>
        <v>2.0752807251780183</v>
      </c>
    </row>
    <row r="45" spans="2:6" x14ac:dyDescent="0.3">
      <c r="B45" s="4" t="s">
        <v>620</v>
      </c>
      <c r="D45" s="23">
        <f>'CAT THAN'!C11</f>
        <v>31.207021351154378</v>
      </c>
    </row>
    <row r="46" spans="2:6" x14ac:dyDescent="0.3">
      <c r="B46" s="4" t="s">
        <v>621</v>
      </c>
      <c r="D46" s="17">
        <f>'CAT THAN'!C12</f>
        <v>24315.408486530854</v>
      </c>
      <c r="E46" s="4" t="s">
        <v>51</v>
      </c>
    </row>
    <row r="47" spans="2:6" x14ac:dyDescent="0.3">
      <c r="B47" s="4" t="s">
        <v>622</v>
      </c>
      <c r="D47" s="17">
        <f>'CAT THAN'!F5</f>
        <v>0</v>
      </c>
      <c r="E47" s="4" t="s">
        <v>51</v>
      </c>
      <c r="F47" s="11" t="s">
        <v>623</v>
      </c>
    </row>
    <row r="48" spans="2:6" x14ac:dyDescent="0.3">
      <c r="B48" s="4" t="s">
        <v>624</v>
      </c>
      <c r="D48" s="17">
        <f>'CAT THAN'!F6/0.9</f>
        <v>24315.408486530858</v>
      </c>
      <c r="E48" s="4" t="s">
        <v>51</v>
      </c>
    </row>
    <row r="49" spans="2:5" x14ac:dyDescent="0.3">
      <c r="B49" s="4" t="s">
        <v>625</v>
      </c>
      <c r="D49" s="23">
        <f>'CAT THAN'!F6</f>
        <v>21883.867637877771</v>
      </c>
      <c r="E49" s="4" t="s">
        <v>51</v>
      </c>
    </row>
    <row r="50" spans="2:5" x14ac:dyDescent="0.3">
      <c r="B50" s="4" t="s">
        <v>626</v>
      </c>
      <c r="D50" s="22" t="str">
        <f>'CAT THAN'!F12</f>
        <v>ĐẠT</v>
      </c>
      <c r="E50" s="9">
        <f>IF('CAT THAN'!F7=0,"",1/'CAT THAN'!F7)</f>
        <v>2.5723590538608114</v>
      </c>
    </row>
    <row r="51" spans="2:5" x14ac:dyDescent="0.3">
      <c r="B51" s="4" t="s">
        <v>627</v>
      </c>
      <c r="D51" s="30">
        <f>D15*1000/(0.9*D7*D41)</f>
        <v>0.366761706007805</v>
      </c>
    </row>
    <row r="52" spans="2:5" x14ac:dyDescent="0.3">
      <c r="B52" s="4" t="s">
        <v>628</v>
      </c>
      <c r="D52" s="23">
        <f>'CAT THAN'!F10</f>
        <v>600</v>
      </c>
      <c r="E52" s="4" t="s">
        <v>629</v>
      </c>
    </row>
    <row r="53" spans="2:5" ht="27.6" x14ac:dyDescent="0.3">
      <c r="B53" s="4" t="s">
        <v>630</v>
      </c>
      <c r="D53" s="22" t="str">
        <f>'CAT THAN'!F11</f>
        <v>KHÔNG YÊU CẦU</v>
      </c>
    </row>
    <row r="54" spans="2:5" x14ac:dyDescent="0.3">
      <c r="B54" s="4" t="s">
        <v>631</v>
      </c>
      <c r="D54" s="30">
        <f>MIN(1.27,MAX(0.233,0.75*D7*D8/(2*(D7+D8)*fy_)))</f>
        <v>1.0899152135065677</v>
      </c>
      <c r="E54" s="4" t="s">
        <v>632</v>
      </c>
    </row>
    <row r="55" spans="2:5" x14ac:dyDescent="0.3">
      <c r="B55" s="4" t="s">
        <v>633</v>
      </c>
      <c r="D55" s="12">
        <v>16</v>
      </c>
      <c r="E55" s="4" t="s">
        <v>579</v>
      </c>
    </row>
    <row r="56" spans="2:5" x14ac:dyDescent="0.3">
      <c r="B56" s="4" t="s">
        <v>634</v>
      </c>
      <c r="D56" s="12">
        <v>200</v>
      </c>
      <c r="E56" s="4" t="s">
        <v>579</v>
      </c>
    </row>
    <row r="57" spans="2:5" x14ac:dyDescent="0.3">
      <c r="B57" s="4" t="s">
        <v>635</v>
      </c>
      <c r="D57" s="22" t="str">
        <f>IF(PI()*D55^2/4/D56&gt;=D54,"ĐẠT","KHÔNG ĐẠT")</f>
        <v>KHÔNG ĐẠT</v>
      </c>
    </row>
    <row r="60" spans="2:5" x14ac:dyDescent="0.3">
      <c r="B60" s="11" t="s">
        <v>636</v>
      </c>
    </row>
  </sheetData>
  <conditionalFormatting sqref="D24">
    <cfRule type="cellIs" dxfId="70" priority="1" operator="equal">
      <formula>"ĐẠT"</formula>
    </cfRule>
    <cfRule type="cellIs" dxfId="69" priority="2" operator="equal">
      <formula>"KHÔNG ĐẠT"</formula>
    </cfRule>
  </conditionalFormatting>
  <conditionalFormatting sqref="D26">
    <cfRule type="cellIs" dxfId="68" priority="3" operator="equal">
      <formula>"ĐẠT"</formula>
    </cfRule>
    <cfRule type="cellIs" dxfId="67" priority="4" operator="equal">
      <formula>"KHÔNG ĐẠT"</formula>
    </cfRule>
  </conditionalFormatting>
  <conditionalFormatting sqref="D35">
    <cfRule type="cellIs" dxfId="66" priority="5" operator="equal">
      <formula>"ĐẠT"</formula>
    </cfRule>
    <cfRule type="cellIs" dxfId="65" priority="6" operator="equal">
      <formula>"KHÔNG ĐẠT"</formula>
    </cfRule>
  </conditionalFormatting>
  <conditionalFormatting sqref="D50">
    <cfRule type="cellIs" dxfId="64" priority="7" operator="equal">
      <formula>"ĐẠT"</formula>
    </cfRule>
    <cfRule type="cellIs" dxfId="63" priority="8" operator="equal">
      <formula>"KHÔNG ĐẠT"</formula>
    </cfRule>
  </conditionalFormatting>
  <conditionalFormatting sqref="D53">
    <cfRule type="cellIs" dxfId="62" priority="9" operator="equal">
      <formula>"ĐẠT"</formula>
    </cfRule>
    <cfRule type="cellIs" dxfId="61" priority="10" operator="equal">
      <formula>"KHÔNG ĐẠT"</formula>
    </cfRule>
  </conditionalFormatting>
  <conditionalFormatting sqref="D57">
    <cfRule type="cellIs" dxfId="60" priority="11" operator="equal">
      <formula>"ĐẠT"</formula>
    </cfRule>
    <cfRule type="cellIs" dxfId="59" priority="12" operator="equal">
      <formula>"KHÔNG ĐẠT"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2:F134"/>
  <sheetViews>
    <sheetView workbookViewId="0"/>
  </sheetViews>
  <sheetFormatPr defaultRowHeight="14.4" x14ac:dyDescent="0.3"/>
  <cols>
    <col min="1" max="1" width="2" customWidth="1"/>
    <col min="2" max="2" width="46" customWidth="1"/>
    <col min="3" max="3" width="4" customWidth="1"/>
    <col min="4" max="4" width="14" customWidth="1"/>
    <col min="5" max="5" width="10" customWidth="1"/>
    <col min="6" max="6" width="52" customWidth="1"/>
  </cols>
  <sheetData>
    <row r="2" spans="2:6" ht="16.8" x14ac:dyDescent="0.3">
      <c r="B2" s="1" t="s">
        <v>637</v>
      </c>
    </row>
    <row r="4" spans="2:6" x14ac:dyDescent="0.3">
      <c r="B4" s="6" t="s">
        <v>638</v>
      </c>
    </row>
    <row r="5" spans="2:6" x14ac:dyDescent="0.3">
      <c r="B5" s="4" t="s">
        <v>639</v>
      </c>
      <c r="D5" s="15">
        <f>B1_/2-B4_</f>
        <v>1</v>
      </c>
      <c r="E5" s="15">
        <f>B1_/2-B4_-B3_</f>
        <v>-0.30000000000000004</v>
      </c>
    </row>
    <row r="6" spans="2:6" x14ac:dyDescent="0.3">
      <c r="B6" s="4" t="s">
        <v>640</v>
      </c>
    </row>
    <row r="7" spans="2:6" ht="124.2" x14ac:dyDescent="0.3">
      <c r="B7" s="18" t="s">
        <v>499</v>
      </c>
      <c r="C7" s="18" t="s">
        <v>641</v>
      </c>
      <c r="D7" s="18" t="s">
        <v>642</v>
      </c>
      <c r="E7" s="18" t="s">
        <v>643</v>
      </c>
      <c r="F7" s="18" t="s">
        <v>644</v>
      </c>
    </row>
    <row r="8" spans="2:6" x14ac:dyDescent="0.3">
      <c r="B8" s="10">
        <f>1</f>
        <v>1</v>
      </c>
      <c r="C8" s="17">
        <f>SUMPRODUCT((INPUT!$C$102:$C$105&gt;$D$5)*'TS-PILE'!C108:C111)</f>
        <v>25489.76627637188</v>
      </c>
      <c r="D8" s="17">
        <f>SUMPRODUCT((INPUT!$C$102:$C$105&gt;$D$5)*(INPUT!$C$102:$C$105-$D$5)*'TS-PILE'!C108:C111)</f>
        <v>20391.813021097507</v>
      </c>
      <c r="E8" s="17">
        <f>SUMPRODUCT((INPUT!$C$102:$C$105&lt;$E$5)*'TS-PILE'!C108:C111)</f>
        <v>4343.1284386281231</v>
      </c>
      <c r="F8" s="17">
        <f>SUMPRODUCT((INPUT!$C$102:$C$105&lt;$E$5)*($E$5-INPUT!$C$102:$C$105)*'TS-PILE'!C108:C111)</f>
        <v>6514.6926579421852</v>
      </c>
    </row>
    <row r="9" spans="2:6" x14ac:dyDescent="0.3">
      <c r="B9" s="10">
        <f>2</f>
        <v>2</v>
      </c>
      <c r="C9" s="17">
        <f>SUMPRODUCT((INPUT!$C$102:$C$105&gt;$D$5)*'TS-PILE'!D108:D111)</f>
        <v>25788.286193006537</v>
      </c>
      <c r="D9" s="17">
        <f>SUMPRODUCT((INPUT!$C$102:$C$105&gt;$D$5)*(INPUT!$C$102:$C$105-$D$5)*'TS-PILE'!D108:D111)</f>
        <v>20630.628954405231</v>
      </c>
      <c r="E9" s="17">
        <f>SUMPRODUCT((INPUT!$C$102:$C$105&lt;$E$5)*'TS-PILE'!D108:D111)</f>
        <v>4503.6773753267998</v>
      </c>
      <c r="F9" s="17">
        <f>SUMPRODUCT((INPUT!$C$102:$C$105&lt;$E$5)*($E$5-INPUT!$C$102:$C$105)*'TS-PILE'!D108:D111)</f>
        <v>6755.5160629902002</v>
      </c>
    </row>
    <row r="10" spans="2:6" x14ac:dyDescent="0.3">
      <c r="B10" s="10">
        <f>3</f>
        <v>3</v>
      </c>
      <c r="C10" s="17">
        <f>SUMPRODUCT((INPUT!$C$102:$C$105&gt;$D$5)*'TS-PILE'!E108:E111)</f>
        <v>25993.518635692864</v>
      </c>
      <c r="D10" s="17">
        <f>SUMPRODUCT((INPUT!$C$102:$C$105&gt;$D$5)*(INPUT!$C$102:$C$105-$D$5)*'TS-PILE'!E108:E111)</f>
        <v>20794.814908554294</v>
      </c>
      <c r="E10" s="17">
        <f>SUMPRODUCT((INPUT!$C$102:$C$105&lt;$E$5)*'TS-PILE'!E108:E111)</f>
        <v>4614.0547693071421</v>
      </c>
      <c r="F10" s="17">
        <f>SUMPRODUCT((INPUT!$C$102:$C$105&lt;$E$5)*($E$5-INPUT!$C$102:$C$105)*'TS-PILE'!E108:E111)</f>
        <v>6921.0821539607132</v>
      </c>
    </row>
    <row r="11" spans="2:6" x14ac:dyDescent="0.3">
      <c r="B11" s="10">
        <f>4</f>
        <v>4</v>
      </c>
      <c r="C11" s="17">
        <f>SUMPRODUCT((INPUT!$C$102:$C$105&gt;$D$5)*'TS-PILE'!F108:F111)</f>
        <v>26012.176130482527</v>
      </c>
      <c r="D11" s="17">
        <f>SUMPRODUCT((INPUT!$C$102:$C$105&gt;$D$5)*(INPUT!$C$102:$C$105-$D$5)*'TS-PILE'!F108:F111)</f>
        <v>20809.740904386024</v>
      </c>
      <c r="E11" s="17">
        <f>SUMPRODUCT((INPUT!$C$102:$C$105&lt;$E$5)*'TS-PILE'!F108:F111)</f>
        <v>4624.089077850811</v>
      </c>
      <c r="F11" s="17">
        <f>SUMPRODUCT((INPUT!$C$102:$C$105&lt;$E$5)*($E$5-INPUT!$C$102:$C$105)*'TS-PILE'!F108:F111)</f>
        <v>6936.1336167762165</v>
      </c>
    </row>
    <row r="12" spans="2:6" x14ac:dyDescent="0.3">
      <c r="B12" s="10">
        <f>5</f>
        <v>5</v>
      </c>
      <c r="C12" s="17">
        <f>SUMPRODUCT((INPUT!$C$102:$C$105&gt;$D$5)*'TS-PILE'!G108:G111)</f>
        <v>26254.723562748186</v>
      </c>
      <c r="D12" s="17">
        <f>SUMPRODUCT((INPUT!$C$102:$C$105&gt;$D$5)*(INPUT!$C$102:$C$105-$D$5)*'TS-PILE'!G108:G111)</f>
        <v>21003.778850198549</v>
      </c>
      <c r="E12" s="17">
        <f>SUMPRODUCT((INPUT!$C$102:$C$105&lt;$E$5)*'TS-PILE'!G108:G111)</f>
        <v>4754.5350889184883</v>
      </c>
      <c r="F12" s="17">
        <f>SUMPRODUCT((INPUT!$C$102:$C$105&lt;$E$5)*($E$5-INPUT!$C$102:$C$105)*'TS-PILE'!G108:G111)</f>
        <v>7131.8026333777325</v>
      </c>
    </row>
    <row r="13" spans="2:6" x14ac:dyDescent="0.3">
      <c r="B13" s="10">
        <f>6</f>
        <v>6</v>
      </c>
      <c r="C13" s="17">
        <f>SUMPRODUCT((INPUT!$C$102:$C$105&gt;$D$5)*'TS-PILE'!H108:H111)</f>
        <v>26497.270995013841</v>
      </c>
      <c r="D13" s="17">
        <f>SUMPRODUCT((INPUT!$C$102:$C$105&gt;$D$5)*(INPUT!$C$102:$C$105-$D$5)*'TS-PILE'!H108:H111)</f>
        <v>21197.816796011073</v>
      </c>
      <c r="E13" s="17">
        <f>SUMPRODUCT((INPUT!$C$102:$C$105&lt;$E$5)*'TS-PILE'!H108:H111)</f>
        <v>4884.9810999861611</v>
      </c>
      <c r="F13" s="17">
        <f>SUMPRODUCT((INPUT!$C$102:$C$105&lt;$E$5)*($E$5-INPUT!$C$102:$C$105)*'TS-PILE'!H108:H111)</f>
        <v>7327.4716499792412</v>
      </c>
    </row>
    <row r="14" spans="2:6" x14ac:dyDescent="0.3">
      <c r="B14" s="10">
        <f>7</f>
        <v>7</v>
      </c>
      <c r="C14" s="17">
        <f>SUMPRODUCT((INPUT!$C$102:$C$105&gt;$D$5)*'TS-PILE'!I108:I111)</f>
        <v>25489.766276371884</v>
      </c>
      <c r="D14" s="17">
        <f>SUMPRODUCT((INPUT!$C$102:$C$105&gt;$D$5)*(INPUT!$C$102:$C$105-$D$5)*'TS-PILE'!I108:I111)</f>
        <v>20391.813021097507</v>
      </c>
      <c r="E14" s="17">
        <f>SUMPRODUCT((INPUT!$C$102:$C$105&lt;$E$5)*'TS-PILE'!I108:I111)</f>
        <v>4343.1284386281231</v>
      </c>
      <c r="F14" s="17">
        <f>SUMPRODUCT((INPUT!$C$102:$C$105&lt;$E$5)*($E$5-INPUT!$C$102:$C$105)*'TS-PILE'!I108:I111)</f>
        <v>6514.6926579421852</v>
      </c>
    </row>
    <row r="15" spans="2:6" x14ac:dyDescent="0.3">
      <c r="B15" s="10">
        <f>8</f>
        <v>8</v>
      </c>
      <c r="C15" s="17">
        <f>SUMPRODUCT((INPUT!$C$102:$C$105&gt;$D$5)*'TS-PILE'!J108:J111)</f>
        <v>25788.286193006534</v>
      </c>
      <c r="D15" s="17">
        <f>SUMPRODUCT((INPUT!$C$102:$C$105&gt;$D$5)*(INPUT!$C$102:$C$105-$D$5)*'TS-PILE'!J108:J111)</f>
        <v>20630.628954405227</v>
      </c>
      <c r="E15" s="17">
        <f>SUMPRODUCT((INPUT!$C$102:$C$105&lt;$E$5)*'TS-PILE'!J108:J111)</f>
        <v>4503.6773753267998</v>
      </c>
      <c r="F15" s="17">
        <f>SUMPRODUCT((INPUT!$C$102:$C$105&lt;$E$5)*($E$5-INPUT!$C$102:$C$105)*'TS-PILE'!J108:J111)</f>
        <v>6755.5160629902002</v>
      </c>
    </row>
    <row r="16" spans="2:6" x14ac:dyDescent="0.3">
      <c r="B16" s="10">
        <f>9</f>
        <v>9</v>
      </c>
      <c r="C16" s="17">
        <f>SUMPRODUCT((INPUT!$C$102:$C$105&gt;$D$5)*'TS-PILE'!K108:K111)</f>
        <v>25993.518635692864</v>
      </c>
      <c r="D16" s="17">
        <f>SUMPRODUCT((INPUT!$C$102:$C$105&gt;$D$5)*(INPUT!$C$102:$C$105-$D$5)*'TS-PILE'!K108:K111)</f>
        <v>20794.814908554294</v>
      </c>
      <c r="E16" s="17">
        <f>SUMPRODUCT((INPUT!$C$102:$C$105&lt;$E$5)*'TS-PILE'!K108:K111)</f>
        <v>4614.0547693071421</v>
      </c>
      <c r="F16" s="17">
        <f>SUMPRODUCT((INPUT!$C$102:$C$105&lt;$E$5)*($E$5-INPUT!$C$102:$C$105)*'TS-PILE'!K108:K111)</f>
        <v>6921.0821539607132</v>
      </c>
    </row>
    <row r="17" spans="2:6" x14ac:dyDescent="0.3">
      <c r="B17" s="10">
        <f>10</f>
        <v>10</v>
      </c>
      <c r="C17" s="17">
        <f>SUMPRODUCT((INPUT!$C$102:$C$105&gt;$D$5)*'TS-PILE'!L108:L111)</f>
        <v>26012.176130482527</v>
      </c>
      <c r="D17" s="17">
        <f>SUMPRODUCT((INPUT!$C$102:$C$105&gt;$D$5)*(INPUT!$C$102:$C$105-$D$5)*'TS-PILE'!L108:L111)</f>
        <v>20809.740904386024</v>
      </c>
      <c r="E17" s="17">
        <f>SUMPRODUCT((INPUT!$C$102:$C$105&lt;$E$5)*'TS-PILE'!L108:L111)</f>
        <v>4624.089077850811</v>
      </c>
      <c r="F17" s="17">
        <f>SUMPRODUCT((INPUT!$C$102:$C$105&lt;$E$5)*($E$5-INPUT!$C$102:$C$105)*'TS-PILE'!L108:L111)</f>
        <v>6936.1336167762165</v>
      </c>
    </row>
    <row r="18" spans="2:6" x14ac:dyDescent="0.3">
      <c r="B18" s="10">
        <f>11</f>
        <v>11</v>
      </c>
      <c r="C18" s="17">
        <f>SUMPRODUCT((INPUT!$C$102:$C$105&gt;$D$5)*'TS-PILE'!M108:M111)</f>
        <v>26254.723562748186</v>
      </c>
      <c r="D18" s="17">
        <f>SUMPRODUCT((INPUT!$C$102:$C$105&gt;$D$5)*(INPUT!$C$102:$C$105-$D$5)*'TS-PILE'!M108:M111)</f>
        <v>21003.778850198549</v>
      </c>
      <c r="E18" s="17">
        <f>SUMPRODUCT((INPUT!$C$102:$C$105&lt;$E$5)*'TS-PILE'!M108:M111)</f>
        <v>4754.5350889184883</v>
      </c>
      <c r="F18" s="17">
        <f>SUMPRODUCT((INPUT!$C$102:$C$105&lt;$E$5)*($E$5-INPUT!$C$102:$C$105)*'TS-PILE'!M108:M111)</f>
        <v>7131.8026333777325</v>
      </c>
    </row>
    <row r="19" spans="2:6" x14ac:dyDescent="0.3">
      <c r="B19" s="10">
        <f>12</f>
        <v>12</v>
      </c>
      <c r="C19" s="17">
        <f>SUMPRODUCT((INPUT!$C$102:$C$105&gt;$D$5)*'TS-PILE'!N108:N111)</f>
        <v>26497.270995013841</v>
      </c>
      <c r="D19" s="17">
        <f>SUMPRODUCT((INPUT!$C$102:$C$105&gt;$D$5)*(INPUT!$C$102:$C$105-$D$5)*'TS-PILE'!N108:N111)</f>
        <v>21197.816796011073</v>
      </c>
      <c r="E19" s="17">
        <f>SUMPRODUCT((INPUT!$C$102:$C$105&lt;$E$5)*'TS-PILE'!N108:N111)</f>
        <v>4884.9810999861611</v>
      </c>
      <c r="F19" s="17">
        <f>SUMPRODUCT((INPUT!$C$102:$C$105&lt;$E$5)*($E$5-INPUT!$C$102:$C$105)*'TS-PILE'!N108:N111)</f>
        <v>7327.4716499792412</v>
      </c>
    </row>
    <row r="20" spans="2:6" x14ac:dyDescent="0.3">
      <c r="B20" s="10">
        <f>13</f>
        <v>13</v>
      </c>
      <c r="C20" s="17">
        <f>SUMPRODUCT((INPUT!$C$102:$C$105&gt;$D$5)*'TS-PILE'!O108:O111)</f>
        <v>35019.139073247861</v>
      </c>
      <c r="D20" s="17">
        <f>SUMPRODUCT((INPUT!$C$102:$C$105&gt;$D$5)*(INPUT!$C$102:$C$105-$D$5)*'TS-PILE'!O108:O111)</f>
        <v>28015.311258598289</v>
      </c>
      <c r="E20" s="17">
        <f>SUMPRODUCT((INPUT!$C$102:$C$105&lt;$E$5)*'TS-PILE'!O108:O111)</f>
        <v>4025.9830882521569</v>
      </c>
      <c r="F20" s="17">
        <f>SUMPRODUCT((INPUT!$C$102:$C$105&lt;$E$5)*($E$5-INPUT!$C$102:$C$105)*'TS-PILE'!O108:O111)</f>
        <v>6038.9746323782356</v>
      </c>
    </row>
    <row r="21" spans="2:6" x14ac:dyDescent="0.3">
      <c r="B21" s="10">
        <f>14</f>
        <v>14</v>
      </c>
      <c r="C21" s="17">
        <f>SUMPRODUCT((INPUT!$C$102:$C$105&gt;$D$5)*'TS-PILE'!P108:P111)</f>
        <v>35541.54892735849</v>
      </c>
      <c r="D21" s="17">
        <f>SUMPRODUCT((INPUT!$C$102:$C$105&gt;$D$5)*(INPUT!$C$102:$C$105-$D$5)*'TS-PILE'!P108:P111)</f>
        <v>28433.239141886792</v>
      </c>
      <c r="E21" s="17">
        <f>SUMPRODUCT((INPUT!$C$102:$C$105&lt;$E$5)*'TS-PILE'!P108:P111)</f>
        <v>4306.9437274748443</v>
      </c>
      <c r="F21" s="17">
        <f>SUMPRODUCT((INPUT!$C$102:$C$105&lt;$E$5)*($E$5-INPUT!$C$102:$C$105)*'TS-PILE'!P108:P111)</f>
        <v>6460.415591212266</v>
      </c>
    </row>
    <row r="22" spans="2:6" x14ac:dyDescent="0.3">
      <c r="B22" s="10">
        <f>15</f>
        <v>15</v>
      </c>
      <c r="C22" s="17">
        <f>SUMPRODUCT((INPUT!$C$102:$C$105&gt;$D$5)*'TS-PILE'!Q108:Q111)</f>
        <v>35900.70570205956</v>
      </c>
      <c r="D22" s="17">
        <f>SUMPRODUCT((INPUT!$C$102:$C$105&gt;$D$5)*(INPUT!$C$102:$C$105-$D$5)*'TS-PILE'!Q108:Q111)</f>
        <v>28720.56456164765</v>
      </c>
      <c r="E22" s="17">
        <f>SUMPRODUCT((INPUT!$C$102:$C$105&lt;$E$5)*'TS-PILE'!Q108:Q111)</f>
        <v>4500.1041669404403</v>
      </c>
      <c r="F22" s="17">
        <f>SUMPRODUCT((INPUT!$C$102:$C$105&lt;$E$5)*($E$5-INPUT!$C$102:$C$105)*'TS-PILE'!Q108:Q111)</f>
        <v>6750.1562504106605</v>
      </c>
    </row>
    <row r="23" spans="2:6" x14ac:dyDescent="0.3">
      <c r="B23" s="10">
        <f>16</f>
        <v>16</v>
      </c>
      <c r="C23" s="17">
        <f>SUMPRODUCT((INPUT!$C$102:$C$105&gt;$D$5)*'TS-PILE'!R108:R111)</f>
        <v>35933.356317941478</v>
      </c>
      <c r="D23" s="17">
        <f>SUMPRODUCT((INPUT!$C$102:$C$105&gt;$D$5)*(INPUT!$C$102:$C$105-$D$5)*'TS-PILE'!R108:R111)</f>
        <v>28746.685054353184</v>
      </c>
      <c r="E23" s="17">
        <f>SUMPRODUCT((INPUT!$C$102:$C$105&lt;$E$5)*'TS-PILE'!R108:R111)</f>
        <v>4517.66420689186</v>
      </c>
      <c r="F23" s="17">
        <f>SUMPRODUCT((INPUT!$C$102:$C$105&lt;$E$5)*($E$5-INPUT!$C$102:$C$105)*'TS-PILE'!R108:R111)</f>
        <v>6776.4963103377904</v>
      </c>
    </row>
    <row r="24" spans="2:6" x14ac:dyDescent="0.3">
      <c r="B24" s="10">
        <f>17</f>
        <v>17</v>
      </c>
      <c r="C24" s="17">
        <f>SUMPRODUCT((INPUT!$C$102:$C$105&gt;$D$5)*'TS-PILE'!S108:S111)</f>
        <v>36357.814324406383</v>
      </c>
      <c r="D24" s="17">
        <f>SUMPRODUCT((INPUT!$C$102:$C$105&gt;$D$5)*(INPUT!$C$102:$C$105-$D$5)*'TS-PILE'!S108:S111)</f>
        <v>29086.251459525109</v>
      </c>
      <c r="E24" s="17">
        <f>SUMPRODUCT((INPUT!$C$102:$C$105&lt;$E$5)*'TS-PILE'!S108:S111)</f>
        <v>4745.9447262602907</v>
      </c>
      <c r="F24" s="17">
        <f>SUMPRODUCT((INPUT!$C$102:$C$105&lt;$E$5)*($E$5-INPUT!$C$102:$C$105)*'TS-PILE'!S108:S111)</f>
        <v>7118.9170893904356</v>
      </c>
    </row>
    <row r="25" spans="2:6" x14ac:dyDescent="0.3">
      <c r="B25" s="10">
        <f>18</f>
        <v>18</v>
      </c>
      <c r="C25" s="17">
        <f>SUMPRODUCT((INPUT!$C$102:$C$105&gt;$D$5)*'TS-PILE'!T108:T111)</f>
        <v>36782.272330871281</v>
      </c>
      <c r="D25" s="17">
        <f>SUMPRODUCT((INPUT!$C$102:$C$105&gt;$D$5)*(INPUT!$C$102:$C$105-$D$5)*'TS-PILE'!T108:T111)</f>
        <v>29425.817864697026</v>
      </c>
      <c r="E25" s="17">
        <f>SUMPRODUCT((INPUT!$C$102:$C$105&lt;$E$5)*'TS-PILE'!T108:T111)</f>
        <v>4974.225245628727</v>
      </c>
      <c r="F25" s="17">
        <f>SUMPRODUCT((INPUT!$C$102:$C$105&lt;$E$5)*($E$5-INPUT!$C$102:$C$105)*'TS-PILE'!T108:T111)</f>
        <v>7461.33786844309</v>
      </c>
    </row>
    <row r="26" spans="2:6" x14ac:dyDescent="0.3">
      <c r="B26" s="10">
        <f>19</f>
        <v>19</v>
      </c>
      <c r="C26" s="17">
        <f>SUMPRODUCT((INPUT!$C$102:$C$105&gt;$D$5)*'TS-PILE'!U108:U111)</f>
        <v>35019.139073247861</v>
      </c>
      <c r="D26" s="17">
        <f>SUMPRODUCT((INPUT!$C$102:$C$105&gt;$D$5)*(INPUT!$C$102:$C$105-$D$5)*'TS-PILE'!U108:U111)</f>
        <v>28015.311258598289</v>
      </c>
      <c r="E26" s="17">
        <f>SUMPRODUCT((INPUT!$C$102:$C$105&lt;$E$5)*'TS-PILE'!U108:U111)</f>
        <v>4025.9830882521569</v>
      </c>
      <c r="F26" s="17">
        <f>SUMPRODUCT((INPUT!$C$102:$C$105&lt;$E$5)*($E$5-INPUT!$C$102:$C$105)*'TS-PILE'!U108:U111)</f>
        <v>6038.9746323782356</v>
      </c>
    </row>
    <row r="27" spans="2:6" x14ac:dyDescent="0.3">
      <c r="B27" s="10">
        <f>20</f>
        <v>20</v>
      </c>
      <c r="C27" s="17">
        <f>SUMPRODUCT((INPUT!$C$102:$C$105&gt;$D$5)*'TS-PILE'!V108:V111)</f>
        <v>35541.54892735849</v>
      </c>
      <c r="D27" s="17">
        <f>SUMPRODUCT((INPUT!$C$102:$C$105&gt;$D$5)*(INPUT!$C$102:$C$105-$D$5)*'TS-PILE'!V108:V111)</f>
        <v>28433.239141886792</v>
      </c>
      <c r="E27" s="17">
        <f>SUMPRODUCT((INPUT!$C$102:$C$105&lt;$E$5)*'TS-PILE'!V108:V111)</f>
        <v>4306.9437274748443</v>
      </c>
      <c r="F27" s="17">
        <f>SUMPRODUCT((INPUT!$C$102:$C$105&lt;$E$5)*($E$5-INPUT!$C$102:$C$105)*'TS-PILE'!V108:V111)</f>
        <v>6460.415591212266</v>
      </c>
    </row>
    <row r="28" spans="2:6" x14ac:dyDescent="0.3">
      <c r="B28" s="10">
        <f>21</f>
        <v>21</v>
      </c>
      <c r="C28" s="17">
        <f>SUMPRODUCT((INPUT!$C$102:$C$105&gt;$D$5)*'TS-PILE'!W108:W111)</f>
        <v>35900.70570205956</v>
      </c>
      <c r="D28" s="17">
        <f>SUMPRODUCT((INPUT!$C$102:$C$105&gt;$D$5)*(INPUT!$C$102:$C$105-$D$5)*'TS-PILE'!W108:W111)</f>
        <v>28720.56456164765</v>
      </c>
      <c r="E28" s="17">
        <f>SUMPRODUCT((INPUT!$C$102:$C$105&lt;$E$5)*'TS-PILE'!W108:W111)</f>
        <v>4500.1041669404403</v>
      </c>
      <c r="F28" s="17">
        <f>SUMPRODUCT((INPUT!$C$102:$C$105&lt;$E$5)*($E$5-INPUT!$C$102:$C$105)*'TS-PILE'!W108:W111)</f>
        <v>6750.1562504106605</v>
      </c>
    </row>
    <row r="29" spans="2:6" x14ac:dyDescent="0.3">
      <c r="B29" s="10">
        <f>22</f>
        <v>22</v>
      </c>
      <c r="C29" s="17">
        <f>SUMPRODUCT((INPUT!$C$102:$C$105&gt;$D$5)*'TS-PILE'!X108:X111)</f>
        <v>35933.356317941478</v>
      </c>
      <c r="D29" s="17">
        <f>SUMPRODUCT((INPUT!$C$102:$C$105&gt;$D$5)*(INPUT!$C$102:$C$105-$D$5)*'TS-PILE'!X108:X111)</f>
        <v>28746.685054353184</v>
      </c>
      <c r="E29" s="17">
        <f>SUMPRODUCT((INPUT!$C$102:$C$105&lt;$E$5)*'TS-PILE'!X108:X111)</f>
        <v>4517.66420689186</v>
      </c>
      <c r="F29" s="17">
        <f>SUMPRODUCT((INPUT!$C$102:$C$105&lt;$E$5)*($E$5-INPUT!$C$102:$C$105)*'TS-PILE'!X108:X111)</f>
        <v>6776.4963103377904</v>
      </c>
    </row>
    <row r="30" spans="2:6" x14ac:dyDescent="0.3">
      <c r="B30" s="10">
        <f>23</f>
        <v>23</v>
      </c>
      <c r="C30" s="17">
        <f>SUMPRODUCT((INPUT!$C$102:$C$105&gt;$D$5)*'TS-PILE'!Y108:Y111)</f>
        <v>36357.814324406383</v>
      </c>
      <c r="D30" s="17">
        <f>SUMPRODUCT((INPUT!$C$102:$C$105&gt;$D$5)*(INPUT!$C$102:$C$105-$D$5)*'TS-PILE'!Y108:Y111)</f>
        <v>29086.251459525109</v>
      </c>
      <c r="E30" s="17">
        <f>SUMPRODUCT((INPUT!$C$102:$C$105&lt;$E$5)*'TS-PILE'!Y108:Y111)</f>
        <v>4745.9447262602907</v>
      </c>
      <c r="F30" s="17">
        <f>SUMPRODUCT((INPUT!$C$102:$C$105&lt;$E$5)*($E$5-INPUT!$C$102:$C$105)*'TS-PILE'!Y108:Y111)</f>
        <v>7118.9170893904356</v>
      </c>
    </row>
    <row r="31" spans="2:6" x14ac:dyDescent="0.3">
      <c r="B31" s="10">
        <f>24</f>
        <v>24</v>
      </c>
      <c r="C31" s="17">
        <f>SUMPRODUCT((INPUT!$C$102:$C$105&gt;$D$5)*'TS-PILE'!Z108:Z111)</f>
        <v>36782.272330871281</v>
      </c>
      <c r="D31" s="17">
        <f>SUMPRODUCT((INPUT!$C$102:$C$105&gt;$D$5)*(INPUT!$C$102:$C$105-$D$5)*'TS-PILE'!Z108:Z111)</f>
        <v>29425.817864697026</v>
      </c>
      <c r="E31" s="17">
        <f>SUMPRODUCT((INPUT!$C$102:$C$105&lt;$E$5)*'TS-PILE'!Z108:Z111)</f>
        <v>4974.225245628727</v>
      </c>
      <c r="F31" s="17">
        <f>SUMPRODUCT((INPUT!$C$102:$C$105&lt;$E$5)*($E$5-INPUT!$C$102:$C$105)*'TS-PILE'!Z108:Z111)</f>
        <v>7461.33786844309</v>
      </c>
    </row>
    <row r="32" spans="2:6" x14ac:dyDescent="0.3">
      <c r="B32" s="10">
        <f>25</f>
        <v>25</v>
      </c>
      <c r="C32" s="17">
        <f>SUMPRODUCT((INPUT!$C$102:$C$105&gt;$D$5)*'TS-PILE'!AA108:AA111)</f>
        <v>24822.32022161271</v>
      </c>
      <c r="D32" s="17">
        <f>SUMPRODUCT((INPUT!$C$102:$C$105&gt;$D$5)*(INPUT!$C$102:$C$105-$D$5)*'TS-PILE'!AA108:AA111)</f>
        <v>19857.85617729017</v>
      </c>
      <c r="E32" s="17">
        <f>SUMPRODUCT((INPUT!$C$102:$C$105&lt;$E$5)*'TS-PILE'!AA108:AA111)</f>
        <v>3926.2391126372959</v>
      </c>
      <c r="F32" s="17">
        <f>SUMPRODUCT((INPUT!$C$102:$C$105&lt;$E$5)*($E$5-INPUT!$C$102:$C$105)*'TS-PILE'!AA108:AA111)</f>
        <v>5889.3586689559434</v>
      </c>
    </row>
    <row r="33" spans="2:6" x14ac:dyDescent="0.3">
      <c r="B33" s="10">
        <f>26</f>
        <v>26</v>
      </c>
      <c r="C33" s="17">
        <f>SUMPRODUCT((INPUT!$C$102:$C$105&gt;$D$5)*'TS-PILE'!AB108:AB111)</f>
        <v>25344.730075723353</v>
      </c>
      <c r="D33" s="17">
        <f>SUMPRODUCT((INPUT!$C$102:$C$105&gt;$D$5)*(INPUT!$C$102:$C$105-$D$5)*'TS-PILE'!AB108:AB111)</f>
        <v>20275.784060578684</v>
      </c>
      <c r="E33" s="17">
        <f>SUMPRODUCT((INPUT!$C$102:$C$105&lt;$E$5)*'TS-PILE'!AB108:AB111)</f>
        <v>4207.1997518599856</v>
      </c>
      <c r="F33" s="17">
        <f>SUMPRODUCT((INPUT!$C$102:$C$105&lt;$E$5)*($E$5-INPUT!$C$102:$C$105)*'TS-PILE'!AB108:AB111)</f>
        <v>6310.7996277899783</v>
      </c>
    </row>
    <row r="34" spans="2:6" x14ac:dyDescent="0.3">
      <c r="B34" s="10">
        <f>27</f>
        <v>27</v>
      </c>
      <c r="C34" s="17">
        <f>SUMPRODUCT((INPUT!$C$102:$C$105&gt;$D$5)*'TS-PILE'!AC108:AC111)</f>
        <v>25703.886850424424</v>
      </c>
      <c r="D34" s="17">
        <f>SUMPRODUCT((INPUT!$C$102:$C$105&gt;$D$5)*(INPUT!$C$102:$C$105-$D$5)*'TS-PILE'!AC108:AC111)</f>
        <v>20563.109480339539</v>
      </c>
      <c r="E34" s="17">
        <f>SUMPRODUCT((INPUT!$C$102:$C$105&lt;$E$5)*'TS-PILE'!AC108:AC111)</f>
        <v>4400.3601913255807</v>
      </c>
      <c r="F34" s="17">
        <f>SUMPRODUCT((INPUT!$C$102:$C$105&lt;$E$5)*($E$5-INPUT!$C$102:$C$105)*'TS-PILE'!AC108:AC111)</f>
        <v>6600.540286988371</v>
      </c>
    </row>
    <row r="35" spans="2:6" x14ac:dyDescent="0.3">
      <c r="B35" s="10">
        <f>28</f>
        <v>28</v>
      </c>
      <c r="C35" s="17">
        <f>SUMPRODUCT((INPUT!$C$102:$C$105&gt;$D$5)*'TS-PILE'!AD108:AD111)</f>
        <v>25736.537466306334</v>
      </c>
      <c r="D35" s="17">
        <f>SUMPRODUCT((INPUT!$C$102:$C$105&gt;$D$5)*(INPUT!$C$102:$C$105-$D$5)*'TS-PILE'!AD108:AD111)</f>
        <v>20589.229973045069</v>
      </c>
      <c r="E35" s="17">
        <f>SUMPRODUCT((INPUT!$C$102:$C$105&lt;$E$5)*'TS-PILE'!AD108:AD111)</f>
        <v>4417.9202312769994</v>
      </c>
      <c r="F35" s="17">
        <f>SUMPRODUCT((INPUT!$C$102:$C$105&lt;$E$5)*($E$5-INPUT!$C$102:$C$105)*'TS-PILE'!AD108:AD111)</f>
        <v>6626.8803469154991</v>
      </c>
    </row>
    <row r="36" spans="2:6" x14ac:dyDescent="0.3">
      <c r="B36" s="10">
        <f>29</f>
        <v>29</v>
      </c>
      <c r="C36" s="17">
        <f>SUMPRODUCT((INPUT!$C$102:$C$105&gt;$D$5)*'TS-PILE'!AE108:AE111)</f>
        <v>26160.995472771239</v>
      </c>
      <c r="D36" s="17">
        <f>SUMPRODUCT((INPUT!$C$102:$C$105&gt;$D$5)*(INPUT!$C$102:$C$105-$D$5)*'TS-PILE'!AE108:AE111)</f>
        <v>20928.796378216994</v>
      </c>
      <c r="E36" s="17">
        <f>SUMPRODUCT((INPUT!$C$102:$C$105&lt;$E$5)*'TS-PILE'!AE108:AE111)</f>
        <v>4646.2007506454329</v>
      </c>
      <c r="F36" s="17">
        <f>SUMPRODUCT((INPUT!$C$102:$C$105&lt;$E$5)*($E$5-INPUT!$C$102:$C$105)*'TS-PILE'!AE108:AE111)</f>
        <v>6969.3011259681498</v>
      </c>
    </row>
    <row r="37" spans="2:6" x14ac:dyDescent="0.3">
      <c r="B37" s="10">
        <f>30</f>
        <v>30</v>
      </c>
      <c r="C37" s="17">
        <f>SUMPRODUCT((INPUT!$C$102:$C$105&gt;$D$5)*'TS-PILE'!AF108:AF111)</f>
        <v>26585.453479236134</v>
      </c>
      <c r="D37" s="17">
        <f>SUMPRODUCT((INPUT!$C$102:$C$105&gt;$D$5)*(INPUT!$C$102:$C$105-$D$5)*'TS-PILE'!AF108:AF111)</f>
        <v>21268.362783388908</v>
      </c>
      <c r="E37" s="17">
        <f>SUMPRODUCT((INPUT!$C$102:$C$105&lt;$E$5)*'TS-PILE'!AF108:AF111)</f>
        <v>4874.4812700138673</v>
      </c>
      <c r="F37" s="17">
        <f>SUMPRODUCT((INPUT!$C$102:$C$105&lt;$E$5)*($E$5-INPUT!$C$102:$C$105)*'TS-PILE'!AF108:AF111)</f>
        <v>7311.7219050208005</v>
      </c>
    </row>
    <row r="38" spans="2:6" x14ac:dyDescent="0.3">
      <c r="B38" s="10">
        <f>31</f>
        <v>31</v>
      </c>
      <c r="C38" s="17">
        <f>SUMPRODUCT((INPUT!$C$102:$C$105&gt;$D$5)*'TS-PILE'!AG108:AG111)</f>
        <v>31089.534660708829</v>
      </c>
      <c r="D38" s="17">
        <f>SUMPRODUCT((INPUT!$C$102:$C$105&gt;$D$5)*(INPUT!$C$102:$C$105-$D$5)*'TS-PILE'!AG108:AG111)</f>
        <v>24871.627728567066</v>
      </c>
      <c r="E38" s="17">
        <f>SUMPRODUCT((INPUT!$C$102:$C$105&lt;$E$5)*'TS-PILE'!AG108:AG111)</f>
        <v>4832.3258597067952</v>
      </c>
      <c r="F38" s="17">
        <f>SUMPRODUCT((INPUT!$C$102:$C$105&lt;$E$5)*($E$5-INPUT!$C$102:$C$105)*'TS-PILE'!AG108:AG111)</f>
        <v>7248.4887895601933</v>
      </c>
    </row>
    <row r="39" spans="2:6" x14ac:dyDescent="0.3">
      <c r="B39" s="10">
        <f>32</f>
        <v>32</v>
      </c>
      <c r="C39" s="17">
        <f>SUMPRODUCT((INPUT!$C$102:$C$105&gt;$D$5)*'TS-PILE'!AH108:AH111)</f>
        <v>20892.715809073692</v>
      </c>
      <c r="D39" s="17">
        <f>SUMPRODUCT((INPUT!$C$102:$C$105&gt;$D$5)*(INPUT!$C$102:$C$105-$D$5)*'TS-PILE'!AH108:AH111)</f>
        <v>16714.172647258954</v>
      </c>
      <c r="E39" s="17">
        <f>SUMPRODUCT((INPUT!$C$102:$C$105&lt;$E$5)*'TS-PILE'!AH108:AH111)</f>
        <v>4732.5818840919364</v>
      </c>
      <c r="F39" s="17">
        <f>SUMPRODUCT((INPUT!$C$102:$C$105&lt;$E$5)*($E$5-INPUT!$C$102:$C$105)*'TS-PILE'!AH108:AH111)</f>
        <v>7098.8728261379047</v>
      </c>
    </row>
    <row r="40" spans="2:6" x14ac:dyDescent="0.3">
      <c r="B40" s="10">
        <f>33</f>
        <v>33</v>
      </c>
      <c r="C40" s="17">
        <f>SUMPRODUCT((INPUT!$C$102:$C$105&gt;$D$5)*'TS-PILE'!AI108:AI111)</f>
        <v>34261.437709783699</v>
      </c>
      <c r="D40" s="17">
        <f>SUMPRODUCT((INPUT!$C$102:$C$105&gt;$D$5)*(INPUT!$C$102:$C$105-$D$5)*'TS-PILE'!AI108:AI111)</f>
        <v>27409.15016782696</v>
      </c>
      <c r="E40" s="17">
        <f>SUMPRODUCT((INPUT!$C$102:$C$105&lt;$E$5)*'TS-PILE'!AI108:AI111)</f>
        <v>4226.9544397162999</v>
      </c>
      <c r="F40" s="17">
        <f>SUMPRODUCT((INPUT!$C$102:$C$105&lt;$E$5)*($E$5-INPUT!$C$102:$C$105)*'TS-PILE'!AI108:AI111)</f>
        <v>6340.4316595744494</v>
      </c>
    </row>
    <row r="41" spans="2:6" x14ac:dyDescent="0.3">
      <c r="B41" s="10">
        <f>34</f>
        <v>34</v>
      </c>
      <c r="C41" s="17">
        <f>SUMPRODUCT((INPUT!$C$102:$C$105&gt;$D$5)*'TS-PILE'!AJ108:AJ111)</f>
        <v>34664.439597240489</v>
      </c>
      <c r="D41" s="17">
        <f>SUMPRODUCT((INPUT!$C$102:$C$105&gt;$D$5)*(INPUT!$C$102:$C$105-$D$5)*'TS-PILE'!AJ108:AJ111)</f>
        <v>27731.551677792391</v>
      </c>
      <c r="E41" s="17">
        <f>SUMPRODUCT((INPUT!$C$102:$C$105&lt;$E$5)*'TS-PILE'!AJ108:AJ111)</f>
        <v>4443.6955042595182</v>
      </c>
      <c r="F41" s="17">
        <f>SUMPRODUCT((INPUT!$C$102:$C$105&lt;$E$5)*($E$5-INPUT!$C$102:$C$105)*'TS-PILE'!AJ108:AJ111)</f>
        <v>6665.5432563892773</v>
      </c>
    </row>
    <row r="42" spans="2:6" x14ac:dyDescent="0.3">
      <c r="B42" s="10">
        <f>35</f>
        <v>35</v>
      </c>
      <c r="C42" s="17">
        <f>SUMPRODUCT((INPUT!$C$102:$C$105&gt;$D$5)*'TS-PILE'!AK108:AK111)</f>
        <v>34941.503394867024</v>
      </c>
      <c r="D42" s="17">
        <f>SUMPRODUCT((INPUT!$C$102:$C$105&gt;$D$5)*(INPUT!$C$102:$C$105-$D$5)*'TS-PILE'!AK108:AK111)</f>
        <v>27953.202715893622</v>
      </c>
      <c r="E42" s="17">
        <f>SUMPRODUCT((INPUT!$C$102:$C$105&lt;$E$5)*'TS-PILE'!AK108:AK111)</f>
        <v>4592.7049861329797</v>
      </c>
      <c r="F42" s="17">
        <f>SUMPRODUCT((INPUT!$C$102:$C$105&lt;$E$5)*($E$5-INPUT!$C$102:$C$105)*'TS-PILE'!AK108:AK111)</f>
        <v>6889.0574791994695</v>
      </c>
    </row>
    <row r="43" spans="2:6" x14ac:dyDescent="0.3">
      <c r="B43" s="10">
        <f>36</f>
        <v>36</v>
      </c>
      <c r="C43" s="17">
        <f>SUMPRODUCT((INPUT!$C$102:$C$105&gt;$D$5)*'TS-PILE'!AL108:AL111)</f>
        <v>34966.691012833071</v>
      </c>
      <c r="D43" s="17">
        <f>SUMPRODUCT((INPUT!$C$102:$C$105&gt;$D$5)*(INPUT!$C$102:$C$105-$D$5)*'TS-PILE'!AL108:AL111)</f>
        <v>27973.352810266457</v>
      </c>
      <c r="E43" s="17">
        <f>SUMPRODUCT((INPUT!$C$102:$C$105&lt;$E$5)*'TS-PILE'!AL108:AL111)</f>
        <v>4606.2513026669258</v>
      </c>
      <c r="F43" s="17">
        <f>SUMPRODUCT((INPUT!$C$102:$C$105&lt;$E$5)*($E$5-INPUT!$C$102:$C$105)*'TS-PILE'!AL108:AL111)</f>
        <v>6909.3769540003887</v>
      </c>
    </row>
    <row r="44" spans="2:6" x14ac:dyDescent="0.3">
      <c r="B44" s="10">
        <f>37</f>
        <v>37</v>
      </c>
      <c r="C44" s="17">
        <f>SUMPRODUCT((INPUT!$C$102:$C$105&gt;$D$5)*'TS-PILE'!AM108:AM111)</f>
        <v>35294.130046391707</v>
      </c>
      <c r="D44" s="17">
        <f>SUMPRODUCT((INPUT!$C$102:$C$105&gt;$D$5)*(INPUT!$C$102:$C$105-$D$5)*'TS-PILE'!AM108:AM111)</f>
        <v>28235.304037113368</v>
      </c>
      <c r="E44" s="17">
        <f>SUMPRODUCT((INPUT!$C$102:$C$105&lt;$E$5)*'TS-PILE'!AM108:AM111)</f>
        <v>4782.3534176082931</v>
      </c>
      <c r="F44" s="17">
        <f>SUMPRODUCT((INPUT!$C$102:$C$105&lt;$E$5)*($E$5-INPUT!$C$102:$C$105)*'TS-PILE'!AM108:AM111)</f>
        <v>7173.5301264124391</v>
      </c>
    </row>
    <row r="45" spans="2:6" x14ac:dyDescent="0.3">
      <c r="B45" s="10">
        <f>38</f>
        <v>38</v>
      </c>
      <c r="C45" s="17">
        <f>SUMPRODUCT((INPUT!$C$102:$C$105&gt;$D$5)*'TS-PILE'!AN108:AN111)</f>
        <v>35621.56907995035</v>
      </c>
      <c r="D45" s="17">
        <f>SUMPRODUCT((INPUT!$C$102:$C$105&gt;$D$5)*(INPUT!$C$102:$C$105-$D$5)*'TS-PILE'!AN108:AN111)</f>
        <v>28497.25526396028</v>
      </c>
      <c r="E45" s="17">
        <f>SUMPRODUCT((INPUT!$C$102:$C$105&lt;$E$5)*'TS-PILE'!AN108:AN111)</f>
        <v>4958.4555325496576</v>
      </c>
      <c r="F45" s="17">
        <f>SUMPRODUCT((INPUT!$C$102:$C$105&lt;$E$5)*($E$5-INPUT!$C$102:$C$105)*'TS-PILE'!AN108:AN111)</f>
        <v>7437.683298824486</v>
      </c>
    </row>
    <row r="46" spans="2:6" x14ac:dyDescent="0.3">
      <c r="B46" s="10">
        <f>39</f>
        <v>39</v>
      </c>
      <c r="C46" s="17">
        <f>SUMPRODUCT((INPUT!$C$102:$C$105&gt;$D$5)*'TS-PILE'!AO108:AO111)</f>
        <v>24064.618858148566</v>
      </c>
      <c r="D46" s="17">
        <f>SUMPRODUCT((INPUT!$C$102:$C$105&gt;$D$5)*(INPUT!$C$102:$C$105-$D$5)*'TS-PILE'!AO108:AO111)</f>
        <v>19251.695086518852</v>
      </c>
      <c r="E46" s="17">
        <f>SUMPRODUCT((INPUT!$C$102:$C$105&lt;$E$5)*'TS-PILE'!AO108:AO111)</f>
        <v>4127.2104641014403</v>
      </c>
      <c r="F46" s="17">
        <f>SUMPRODUCT((INPUT!$C$102:$C$105&lt;$E$5)*($E$5-INPUT!$C$102:$C$105)*'TS-PILE'!AO108:AO111)</f>
        <v>6190.8156961521599</v>
      </c>
    </row>
    <row r="47" spans="2:6" x14ac:dyDescent="0.3">
      <c r="B47" s="10">
        <f>40</f>
        <v>40</v>
      </c>
      <c r="C47" s="17">
        <f>SUMPRODUCT((INPUT!$C$102:$C$105&gt;$D$5)*'TS-PILE'!AP108:AP111)</f>
        <v>24467.620745605353</v>
      </c>
      <c r="D47" s="17">
        <f>SUMPRODUCT((INPUT!$C$102:$C$105&gt;$D$5)*(INPUT!$C$102:$C$105-$D$5)*'TS-PILE'!AP108:AP111)</f>
        <v>19574.096596484284</v>
      </c>
      <c r="E47" s="17">
        <f>SUMPRODUCT((INPUT!$C$102:$C$105&lt;$E$5)*'TS-PILE'!AP108:AP111)</f>
        <v>4343.9515286446604</v>
      </c>
      <c r="F47" s="17">
        <f>SUMPRODUCT((INPUT!$C$102:$C$105&lt;$E$5)*($E$5-INPUT!$C$102:$C$105)*'TS-PILE'!AP108:AP111)</f>
        <v>6515.9272929669905</v>
      </c>
    </row>
    <row r="48" spans="2:6" x14ac:dyDescent="0.3">
      <c r="B48" s="10">
        <f>41</f>
        <v>41</v>
      </c>
      <c r="C48" s="17">
        <f>SUMPRODUCT((INPUT!$C$102:$C$105&gt;$D$5)*'TS-PILE'!AQ108:AQ111)</f>
        <v>24744.684543231884</v>
      </c>
      <c r="D48" s="17">
        <f>SUMPRODUCT((INPUT!$C$102:$C$105&gt;$D$5)*(INPUT!$C$102:$C$105-$D$5)*'TS-PILE'!AQ108:AQ111)</f>
        <v>19795.74763458551</v>
      </c>
      <c r="E48" s="17">
        <f>SUMPRODUCT((INPUT!$C$102:$C$105&lt;$E$5)*'TS-PILE'!AQ108:AQ111)</f>
        <v>4492.96101051812</v>
      </c>
      <c r="F48" s="17">
        <f>SUMPRODUCT((INPUT!$C$102:$C$105&lt;$E$5)*($E$5-INPUT!$C$102:$C$105)*'TS-PILE'!AQ108:AQ111)</f>
        <v>6739.44151577718</v>
      </c>
    </row>
    <row r="49" spans="2:6" x14ac:dyDescent="0.3">
      <c r="B49" s="10">
        <f>42</f>
        <v>42</v>
      </c>
      <c r="C49" s="17">
        <f>SUMPRODUCT((INPUT!$C$102:$C$105&gt;$D$5)*'TS-PILE'!AR108:AR111)</f>
        <v>24769.872161197938</v>
      </c>
      <c r="D49" s="17">
        <f>SUMPRODUCT((INPUT!$C$102:$C$105&gt;$D$5)*(INPUT!$C$102:$C$105-$D$5)*'TS-PILE'!AR108:AR111)</f>
        <v>19815.897728958353</v>
      </c>
      <c r="E49" s="17">
        <f>SUMPRODUCT((INPUT!$C$102:$C$105&lt;$E$5)*'TS-PILE'!AR108:AR111)</f>
        <v>4506.5073270520716</v>
      </c>
      <c r="F49" s="17">
        <f>SUMPRODUCT((INPUT!$C$102:$C$105&lt;$E$5)*($E$5-INPUT!$C$102:$C$105)*'TS-PILE'!AR108:AR111)</f>
        <v>6759.7609905781073</v>
      </c>
    </row>
    <row r="50" spans="2:6" x14ac:dyDescent="0.3">
      <c r="B50" s="10">
        <f>43</f>
        <v>43</v>
      </c>
      <c r="C50" s="17">
        <f>SUMPRODUCT((INPUT!$C$102:$C$105&gt;$D$5)*'TS-PILE'!AS108:AS111)</f>
        <v>25097.311194756578</v>
      </c>
      <c r="D50" s="17">
        <f>SUMPRODUCT((INPUT!$C$102:$C$105&gt;$D$5)*(INPUT!$C$102:$C$105-$D$5)*'TS-PILE'!AS108:AS111)</f>
        <v>20077.848955805264</v>
      </c>
      <c r="E50" s="17">
        <f>SUMPRODUCT((INPUT!$C$102:$C$105&lt;$E$5)*'TS-PILE'!AS108:AS111)</f>
        <v>4682.6094419934334</v>
      </c>
      <c r="F50" s="17">
        <f>SUMPRODUCT((INPUT!$C$102:$C$105&lt;$E$5)*($E$5-INPUT!$C$102:$C$105)*'TS-PILE'!AS108:AS111)</f>
        <v>7023.9141629901496</v>
      </c>
    </row>
    <row r="51" spans="2:6" x14ac:dyDescent="0.3">
      <c r="B51" s="10">
        <f>44</f>
        <v>44</v>
      </c>
      <c r="C51" s="17">
        <f>SUMPRODUCT((INPUT!$C$102:$C$105&gt;$D$5)*'TS-PILE'!AT108:AT111)</f>
        <v>25424.75022831521</v>
      </c>
      <c r="D51" s="17">
        <f>SUMPRODUCT((INPUT!$C$102:$C$105&gt;$D$5)*(INPUT!$C$102:$C$105-$D$5)*'TS-PILE'!AT108:AT111)</f>
        <v>20339.800182652169</v>
      </c>
      <c r="E51" s="17">
        <f>SUMPRODUCT((INPUT!$C$102:$C$105&lt;$E$5)*'TS-PILE'!AT108:AT111)</f>
        <v>4858.7115569347952</v>
      </c>
      <c r="F51" s="17">
        <f>SUMPRODUCT((INPUT!$C$102:$C$105&lt;$E$5)*($E$5-INPUT!$C$102:$C$105)*'TS-PILE'!AT108:AT111)</f>
        <v>7288.0673354021928</v>
      </c>
    </row>
    <row r="52" spans="2:6" x14ac:dyDescent="0.3">
      <c r="B52" s="10">
        <f>45</f>
        <v>45</v>
      </c>
      <c r="C52" s="17">
        <f>SUMPRODUCT((INPUT!$C$102:$C$105&gt;$D$5)*'TS-PILE'!AU108:AU111)</f>
        <v>36964.388223339891</v>
      </c>
      <c r="D52" s="17">
        <f>SUMPRODUCT((INPUT!$C$102:$C$105&gt;$D$5)*(INPUT!$C$102:$C$105-$D$5)*'TS-PILE'!AU108:AU111)</f>
        <v>29571.510578671914</v>
      </c>
      <c r="E52" s="17">
        <f>SUMPRODUCT((INPUT!$C$102:$C$105&lt;$E$5)*'TS-PILE'!AU108:AU111)</f>
        <v>-5582.1361283398801</v>
      </c>
      <c r="F52" s="17">
        <f>SUMPRODUCT((INPUT!$C$102:$C$105&lt;$E$5)*($E$5-INPUT!$C$102:$C$105)*'TS-PILE'!AU108:AU111)</f>
        <v>-8373.2041925098201</v>
      </c>
    </row>
    <row r="53" spans="2:6" x14ac:dyDescent="0.3">
      <c r="B53" s="10">
        <f>46</f>
        <v>46</v>
      </c>
      <c r="C53" s="17">
        <f>SUMPRODUCT((INPUT!$C$102:$C$105&gt;$D$5)*'TS-PILE'!AV108:AV111)</f>
        <v>29599.262959032887</v>
      </c>
      <c r="D53" s="17">
        <f>SUMPRODUCT((INPUT!$C$102:$C$105&gt;$D$5)*(INPUT!$C$102:$C$105-$D$5)*'TS-PILE'!AV108:AV111)</f>
        <v>23679.410367226312</v>
      </c>
      <c r="E53" s="17">
        <f>SUMPRODUCT((INPUT!$C$102:$C$105&lt;$E$5)*'TS-PILE'!AV108:AV111)</f>
        <v>1782.9891359671128</v>
      </c>
      <c r="F53" s="17">
        <f>SUMPRODUCT((INPUT!$C$102:$C$105&lt;$E$5)*($E$5-INPUT!$C$102:$C$105)*'TS-PILE'!AV108:AV111)</f>
        <v>2674.4837039506692</v>
      </c>
    </row>
    <row r="55" spans="2:6" x14ac:dyDescent="0.3">
      <c r="B55" s="22" t="s">
        <v>645</v>
      </c>
      <c r="C55" s="23">
        <f>MAX(IF(AND(1&gt;=(2*nLan+1),1&lt;=(7*nLan+4)),C$8,-1E+99),IF(AND(2&gt;=(2*nLan+1),2&lt;=(7*nLan+4)),C$9,-1E+99),IF(AND(3&gt;=(2*nLan+1),3&lt;=(7*nLan+4)),C$10,-1E+99),IF(AND(4&gt;=(2*nLan+1),4&lt;=(7*nLan+4)),C$11,-1E+99),IF(AND(5&gt;=(2*nLan+1),5&lt;=(7*nLan+4)),C$12,-1E+99),IF(AND(6&gt;=(2*nLan+1),6&lt;=(7*nLan+4)),C$13,-1E+99),IF(AND(7&gt;=(2*nLan+1),7&lt;=(7*nLan+4)),C$14,-1E+99),IF(AND(8&gt;=(2*nLan+1),8&lt;=(7*nLan+4)),C$15,-1E+99),IF(AND(9&gt;=(2*nLan+1),9&lt;=(7*nLan+4)),C$16,-1E+99),IF(AND(10&gt;=(2*nLan+1),10&lt;=(7*nLan+4)),C$17,-1E+99),IF(AND(11&gt;=(2*nLan+1),11&lt;=(7*nLan+4)),C$18,-1E+99),IF(AND(12&gt;=(2*nLan+1),12&lt;=(7*nLan+4)),C$19,-1E+99),IF(AND(13&gt;=(2*nLan+1),13&lt;=(7*nLan+4)),C$20,-1E+99),IF(AND(14&gt;=(2*nLan+1),14&lt;=(7*nLan+4)),C$21,-1E+99),IF(AND(15&gt;=(2*nLan+1),15&lt;=(7*nLan+4)),C$22,-1E+99),IF(AND(16&gt;=(2*nLan+1),16&lt;=(7*nLan+4)),C$23,-1E+99),IF(AND(17&gt;=(2*nLan+1),17&lt;=(7*nLan+4)),C$24,-1E+99),IF(AND(18&gt;=(2*nLan+1),18&lt;=(7*nLan+4)),C$25,-1E+99),IF(AND(19&gt;=(2*nLan+1),19&lt;=(7*nLan+4)),C$26,-1E+99),IF(AND(20&gt;=(2*nLan+1),20&lt;=(7*nLan+4)),C$27,-1E+99),IF(AND(21&gt;=(2*nLan+1),21&lt;=(7*nLan+4)),C$28,-1E+99),IF(AND(22&gt;=(2*nLan+1),22&lt;=(7*nLan+4)),C$29,-1E+99),IF(AND(23&gt;=(2*nLan+1),23&lt;=(7*nLan+4)),C$30,-1E+99),IF(AND(24&gt;=(2*nLan+1),24&lt;=(7*nLan+4)),C$31,-1E+99),IF(AND(25&gt;=(2*nLan+1),25&lt;=(7*nLan+4)),C$32,-1E+99),IF(AND(26&gt;=(2*nLan+1),26&lt;=(7*nLan+4)),C$33,-1E+99),IF(AND(27&gt;=(2*nLan+1),27&lt;=(7*nLan+4)),C$34,-1E+99),IF(AND(28&gt;=(2*nLan+1),28&lt;=(7*nLan+4)),C$35,-1E+99),IF(AND(29&gt;=(2*nLan+1),29&lt;=(7*nLan+4)),C$36,-1E+99),IF(AND(30&gt;=(2*nLan+1),30&lt;=(7*nLan+4)),C$37,-1E+99),IF(AND(31&gt;=(2*nLan+1),31&lt;=(7*nLan+4)),C$38,-1E+99),IF(AND(32&gt;=(2*nLan+1),32&lt;=(7*nLan+4)),C$39,-1E+99),IF(AND(33&gt;=(2*nLan+1),33&lt;=(7*nLan+4)),C$40,-1E+99),IF(AND(34&gt;=(2*nLan+1),34&lt;=(7*nLan+4)),C$41,-1E+99),IF(AND(35&gt;=(2*nLan+1),35&lt;=(7*nLan+4)),C$42,-1E+99),IF(AND(36&gt;=(2*nLan+1),36&lt;=(7*nLan+4)),C$43,-1E+99),IF(AND(37&gt;=(2*nLan+1),37&lt;=(7*nLan+4)),C$44,-1E+99),IF(AND(38&gt;=(2*nLan+1),38&lt;=(7*nLan+4)),C$45,-1E+99),IF(AND(39&gt;=(2*nLan+1),39&lt;=(7*nLan+4)),C$46,-1E+99),IF(AND(40&gt;=(2*nLan+1),40&lt;=(7*nLan+4)),C$47,-1E+99),IF(AND(41&gt;=(2*nLan+1),41&lt;=(7*nLan+4)),C$48,-1E+99),IF(AND(42&gt;=(2*nLan+1),42&lt;=(7*nLan+4)),C$49,-1E+99),IF(AND(43&gt;=(2*nLan+1),43&lt;=(7*nLan+4)),C$50,-1E+99),IF(AND(44&gt;=(2*nLan+1),44&lt;=(7*nLan+4)),C$51,-1E+99),IF(AND(45&gt;=(2*nLan+1),45&lt;=(7*nLan+4)),C$52,-1E+99),IF(AND(46&gt;=(2*nLan+1),46&lt;=(7*nLan+4)),C$53,-1E+99))</f>
        <v>36964.388223339891</v>
      </c>
      <c r="D55" s="23">
        <f>MAX(IF(AND(1&gt;=(2*nLan+1),1&lt;=(7*nLan+4)),D$8,-1E+99),IF(AND(2&gt;=(2*nLan+1),2&lt;=(7*nLan+4)),D$9,-1E+99),IF(AND(3&gt;=(2*nLan+1),3&lt;=(7*nLan+4)),D$10,-1E+99),IF(AND(4&gt;=(2*nLan+1),4&lt;=(7*nLan+4)),D$11,-1E+99),IF(AND(5&gt;=(2*nLan+1),5&lt;=(7*nLan+4)),D$12,-1E+99),IF(AND(6&gt;=(2*nLan+1),6&lt;=(7*nLan+4)),D$13,-1E+99),IF(AND(7&gt;=(2*nLan+1),7&lt;=(7*nLan+4)),D$14,-1E+99),IF(AND(8&gt;=(2*nLan+1),8&lt;=(7*nLan+4)),D$15,-1E+99),IF(AND(9&gt;=(2*nLan+1),9&lt;=(7*nLan+4)),D$16,-1E+99),IF(AND(10&gt;=(2*nLan+1),10&lt;=(7*nLan+4)),D$17,-1E+99),IF(AND(11&gt;=(2*nLan+1),11&lt;=(7*nLan+4)),D$18,-1E+99),IF(AND(12&gt;=(2*nLan+1),12&lt;=(7*nLan+4)),D$19,-1E+99),IF(AND(13&gt;=(2*nLan+1),13&lt;=(7*nLan+4)),D$20,-1E+99),IF(AND(14&gt;=(2*nLan+1),14&lt;=(7*nLan+4)),D$21,-1E+99),IF(AND(15&gt;=(2*nLan+1),15&lt;=(7*nLan+4)),D$22,-1E+99),IF(AND(16&gt;=(2*nLan+1),16&lt;=(7*nLan+4)),D$23,-1E+99),IF(AND(17&gt;=(2*nLan+1),17&lt;=(7*nLan+4)),D$24,-1E+99),IF(AND(18&gt;=(2*nLan+1),18&lt;=(7*nLan+4)),D$25,-1E+99),IF(AND(19&gt;=(2*nLan+1),19&lt;=(7*nLan+4)),D$26,-1E+99),IF(AND(20&gt;=(2*nLan+1),20&lt;=(7*nLan+4)),D$27,-1E+99),IF(AND(21&gt;=(2*nLan+1),21&lt;=(7*nLan+4)),D$28,-1E+99),IF(AND(22&gt;=(2*nLan+1),22&lt;=(7*nLan+4)),D$29,-1E+99),IF(AND(23&gt;=(2*nLan+1),23&lt;=(7*nLan+4)),D$30,-1E+99),IF(AND(24&gt;=(2*nLan+1),24&lt;=(7*nLan+4)),D$31,-1E+99),IF(AND(25&gt;=(2*nLan+1),25&lt;=(7*nLan+4)),D$32,-1E+99),IF(AND(26&gt;=(2*nLan+1),26&lt;=(7*nLan+4)),D$33,-1E+99),IF(AND(27&gt;=(2*nLan+1),27&lt;=(7*nLan+4)),D$34,-1E+99),IF(AND(28&gt;=(2*nLan+1),28&lt;=(7*nLan+4)),D$35,-1E+99),IF(AND(29&gt;=(2*nLan+1),29&lt;=(7*nLan+4)),D$36,-1E+99),IF(AND(30&gt;=(2*nLan+1),30&lt;=(7*nLan+4)),D$37,-1E+99),IF(AND(31&gt;=(2*nLan+1),31&lt;=(7*nLan+4)),D$38,-1E+99),IF(AND(32&gt;=(2*nLan+1),32&lt;=(7*nLan+4)),D$39,-1E+99),IF(AND(33&gt;=(2*nLan+1),33&lt;=(7*nLan+4)),D$40,-1E+99),IF(AND(34&gt;=(2*nLan+1),34&lt;=(7*nLan+4)),D$41,-1E+99),IF(AND(35&gt;=(2*nLan+1),35&lt;=(7*nLan+4)),D$42,-1E+99),IF(AND(36&gt;=(2*nLan+1),36&lt;=(7*nLan+4)),D$43,-1E+99),IF(AND(37&gt;=(2*nLan+1),37&lt;=(7*nLan+4)),D$44,-1E+99),IF(AND(38&gt;=(2*nLan+1),38&lt;=(7*nLan+4)),D$45,-1E+99),IF(AND(39&gt;=(2*nLan+1),39&lt;=(7*nLan+4)),D$46,-1E+99),IF(AND(40&gt;=(2*nLan+1),40&lt;=(7*nLan+4)),D$47,-1E+99),IF(AND(41&gt;=(2*nLan+1),41&lt;=(7*nLan+4)),D$48,-1E+99),IF(AND(42&gt;=(2*nLan+1),42&lt;=(7*nLan+4)),D$49,-1E+99),IF(AND(43&gt;=(2*nLan+1),43&lt;=(7*nLan+4)),D$50,-1E+99),IF(AND(44&gt;=(2*nLan+1),44&lt;=(7*nLan+4)),D$51,-1E+99),IF(AND(45&gt;=(2*nLan+1),45&lt;=(7*nLan+4)),D$52,-1E+99),IF(AND(46&gt;=(2*nLan+1),46&lt;=(7*nLan+4)),D$53,-1E+99))</f>
        <v>29571.510578671914</v>
      </c>
      <c r="E55" s="23">
        <f>MAX(IF(AND(1&gt;=(2*nLan+1),1&lt;=(7*nLan+4)),E$8,-1E+99),IF(AND(2&gt;=(2*nLan+1),2&lt;=(7*nLan+4)),E$9,-1E+99),IF(AND(3&gt;=(2*nLan+1),3&lt;=(7*nLan+4)),E$10,-1E+99),IF(AND(4&gt;=(2*nLan+1),4&lt;=(7*nLan+4)),E$11,-1E+99),IF(AND(5&gt;=(2*nLan+1),5&lt;=(7*nLan+4)),E$12,-1E+99),IF(AND(6&gt;=(2*nLan+1),6&lt;=(7*nLan+4)),E$13,-1E+99),IF(AND(7&gt;=(2*nLan+1),7&lt;=(7*nLan+4)),E$14,-1E+99),IF(AND(8&gt;=(2*nLan+1),8&lt;=(7*nLan+4)),E$15,-1E+99),IF(AND(9&gt;=(2*nLan+1),9&lt;=(7*nLan+4)),E$16,-1E+99),IF(AND(10&gt;=(2*nLan+1),10&lt;=(7*nLan+4)),E$17,-1E+99),IF(AND(11&gt;=(2*nLan+1),11&lt;=(7*nLan+4)),E$18,-1E+99),IF(AND(12&gt;=(2*nLan+1),12&lt;=(7*nLan+4)),E$19,-1E+99),IF(AND(13&gt;=(2*nLan+1),13&lt;=(7*nLan+4)),E$20,-1E+99),IF(AND(14&gt;=(2*nLan+1),14&lt;=(7*nLan+4)),E$21,-1E+99),IF(AND(15&gt;=(2*nLan+1),15&lt;=(7*nLan+4)),E$22,-1E+99),IF(AND(16&gt;=(2*nLan+1),16&lt;=(7*nLan+4)),E$23,-1E+99),IF(AND(17&gt;=(2*nLan+1),17&lt;=(7*nLan+4)),E$24,-1E+99),IF(AND(18&gt;=(2*nLan+1),18&lt;=(7*nLan+4)),E$25,-1E+99),IF(AND(19&gt;=(2*nLan+1),19&lt;=(7*nLan+4)),E$26,-1E+99),IF(AND(20&gt;=(2*nLan+1),20&lt;=(7*nLan+4)),E$27,-1E+99),IF(AND(21&gt;=(2*nLan+1),21&lt;=(7*nLan+4)),E$28,-1E+99),IF(AND(22&gt;=(2*nLan+1),22&lt;=(7*nLan+4)),E$29,-1E+99),IF(AND(23&gt;=(2*nLan+1),23&lt;=(7*nLan+4)),E$30,-1E+99),IF(AND(24&gt;=(2*nLan+1),24&lt;=(7*nLan+4)),E$31,-1E+99),IF(AND(25&gt;=(2*nLan+1),25&lt;=(7*nLan+4)),E$32,-1E+99),IF(AND(26&gt;=(2*nLan+1),26&lt;=(7*nLan+4)),E$33,-1E+99),IF(AND(27&gt;=(2*nLan+1),27&lt;=(7*nLan+4)),E$34,-1E+99),IF(AND(28&gt;=(2*nLan+1),28&lt;=(7*nLan+4)),E$35,-1E+99),IF(AND(29&gt;=(2*nLan+1),29&lt;=(7*nLan+4)),E$36,-1E+99),IF(AND(30&gt;=(2*nLan+1),30&lt;=(7*nLan+4)),E$37,-1E+99),IF(AND(31&gt;=(2*nLan+1),31&lt;=(7*nLan+4)),E$38,-1E+99),IF(AND(32&gt;=(2*nLan+1),32&lt;=(7*nLan+4)),E$39,-1E+99),IF(AND(33&gt;=(2*nLan+1),33&lt;=(7*nLan+4)),E$40,-1E+99),IF(AND(34&gt;=(2*nLan+1),34&lt;=(7*nLan+4)),E$41,-1E+99),IF(AND(35&gt;=(2*nLan+1),35&lt;=(7*nLan+4)),E$42,-1E+99),IF(AND(36&gt;=(2*nLan+1),36&lt;=(7*nLan+4)),E$43,-1E+99),IF(AND(37&gt;=(2*nLan+1),37&lt;=(7*nLan+4)),E$44,-1E+99),IF(AND(38&gt;=(2*nLan+1),38&lt;=(7*nLan+4)),E$45,-1E+99),IF(AND(39&gt;=(2*nLan+1),39&lt;=(7*nLan+4)),E$46,-1E+99),IF(AND(40&gt;=(2*nLan+1),40&lt;=(7*nLan+4)),E$47,-1E+99),IF(AND(41&gt;=(2*nLan+1),41&lt;=(7*nLan+4)),E$48,-1E+99),IF(AND(42&gt;=(2*nLan+1),42&lt;=(7*nLan+4)),E$49,-1E+99),IF(AND(43&gt;=(2*nLan+1),43&lt;=(7*nLan+4)),E$50,-1E+99),IF(AND(44&gt;=(2*nLan+1),44&lt;=(7*nLan+4)),E$51,-1E+99),IF(AND(45&gt;=(2*nLan+1),45&lt;=(7*nLan+4)),E$52,-1E+99),IF(AND(46&gt;=(2*nLan+1),46&lt;=(7*nLan+4)),E$53,-1E+99))</f>
        <v>4974.225245628727</v>
      </c>
      <c r="F55" s="23">
        <f>MAX(IF(AND(1&gt;=(2*nLan+1),1&lt;=(7*nLan+4)),F$8,-1E+99),IF(AND(2&gt;=(2*nLan+1),2&lt;=(7*nLan+4)),F$9,-1E+99),IF(AND(3&gt;=(2*nLan+1),3&lt;=(7*nLan+4)),F$10,-1E+99),IF(AND(4&gt;=(2*nLan+1),4&lt;=(7*nLan+4)),F$11,-1E+99),IF(AND(5&gt;=(2*nLan+1),5&lt;=(7*nLan+4)),F$12,-1E+99),IF(AND(6&gt;=(2*nLan+1),6&lt;=(7*nLan+4)),F$13,-1E+99),IF(AND(7&gt;=(2*nLan+1),7&lt;=(7*nLan+4)),F$14,-1E+99),IF(AND(8&gt;=(2*nLan+1),8&lt;=(7*nLan+4)),F$15,-1E+99),IF(AND(9&gt;=(2*nLan+1),9&lt;=(7*nLan+4)),F$16,-1E+99),IF(AND(10&gt;=(2*nLan+1),10&lt;=(7*nLan+4)),F$17,-1E+99),IF(AND(11&gt;=(2*nLan+1),11&lt;=(7*nLan+4)),F$18,-1E+99),IF(AND(12&gt;=(2*nLan+1),12&lt;=(7*nLan+4)),F$19,-1E+99),IF(AND(13&gt;=(2*nLan+1),13&lt;=(7*nLan+4)),F$20,-1E+99),IF(AND(14&gt;=(2*nLan+1),14&lt;=(7*nLan+4)),F$21,-1E+99),IF(AND(15&gt;=(2*nLan+1),15&lt;=(7*nLan+4)),F$22,-1E+99),IF(AND(16&gt;=(2*nLan+1),16&lt;=(7*nLan+4)),F$23,-1E+99),IF(AND(17&gt;=(2*nLan+1),17&lt;=(7*nLan+4)),F$24,-1E+99),IF(AND(18&gt;=(2*nLan+1),18&lt;=(7*nLan+4)),F$25,-1E+99),IF(AND(19&gt;=(2*nLan+1),19&lt;=(7*nLan+4)),F$26,-1E+99),IF(AND(20&gt;=(2*nLan+1),20&lt;=(7*nLan+4)),F$27,-1E+99),IF(AND(21&gt;=(2*nLan+1),21&lt;=(7*nLan+4)),F$28,-1E+99),IF(AND(22&gt;=(2*nLan+1),22&lt;=(7*nLan+4)),F$29,-1E+99),IF(AND(23&gt;=(2*nLan+1),23&lt;=(7*nLan+4)),F$30,-1E+99),IF(AND(24&gt;=(2*nLan+1),24&lt;=(7*nLan+4)),F$31,-1E+99),IF(AND(25&gt;=(2*nLan+1),25&lt;=(7*nLan+4)),F$32,-1E+99),IF(AND(26&gt;=(2*nLan+1),26&lt;=(7*nLan+4)),F$33,-1E+99),IF(AND(27&gt;=(2*nLan+1),27&lt;=(7*nLan+4)),F$34,-1E+99),IF(AND(28&gt;=(2*nLan+1),28&lt;=(7*nLan+4)),F$35,-1E+99),IF(AND(29&gt;=(2*nLan+1),29&lt;=(7*nLan+4)),F$36,-1E+99),IF(AND(30&gt;=(2*nLan+1),30&lt;=(7*nLan+4)),F$37,-1E+99),IF(AND(31&gt;=(2*nLan+1),31&lt;=(7*nLan+4)),F$38,-1E+99),IF(AND(32&gt;=(2*nLan+1),32&lt;=(7*nLan+4)),F$39,-1E+99),IF(AND(33&gt;=(2*nLan+1),33&lt;=(7*nLan+4)),F$40,-1E+99),IF(AND(34&gt;=(2*nLan+1),34&lt;=(7*nLan+4)),F$41,-1E+99),IF(AND(35&gt;=(2*nLan+1),35&lt;=(7*nLan+4)),F$42,-1E+99),IF(AND(36&gt;=(2*nLan+1),36&lt;=(7*nLan+4)),F$43,-1E+99),IF(AND(37&gt;=(2*nLan+1),37&lt;=(7*nLan+4)),F$44,-1E+99),IF(AND(38&gt;=(2*nLan+1),38&lt;=(7*nLan+4)),F$45,-1E+99),IF(AND(39&gt;=(2*nLan+1),39&lt;=(7*nLan+4)),F$46,-1E+99),IF(AND(40&gt;=(2*nLan+1),40&lt;=(7*nLan+4)),F$47,-1E+99),IF(AND(41&gt;=(2*nLan+1),41&lt;=(7*nLan+4)),F$48,-1E+99),IF(AND(42&gt;=(2*nLan+1),42&lt;=(7*nLan+4)),F$49,-1E+99),IF(AND(43&gt;=(2*nLan+1),43&lt;=(7*nLan+4)),F$50,-1E+99),IF(AND(44&gt;=(2*nLan+1),44&lt;=(7*nLan+4)),F$51,-1E+99),IF(AND(45&gt;=(2*nLan+1),45&lt;=(7*nLan+4)),F$52,-1E+99),IF(AND(46&gt;=(2*nLan+1),46&lt;=(7*nLan+4)),F$53,-1E+99))</f>
        <v>7461.33786844309</v>
      </c>
    </row>
    <row r="56" spans="2:6" x14ac:dyDescent="0.3">
      <c r="B56" s="22" t="s">
        <v>646</v>
      </c>
      <c r="D56" s="23">
        <f>MAX(IF(AND(1&gt;=(1),1&lt;=(2*nLan)),D$8,-1E+99),IF(AND(2&gt;=(1),2&lt;=(2*nLan)),D$9,-1E+99),IF(AND(3&gt;=(1),3&lt;=(2*nLan)),D$10,-1E+99),IF(AND(4&gt;=(1),4&lt;=(2*nLan)),D$11,-1E+99),IF(AND(5&gt;=(1),5&lt;=(2*nLan)),D$12,-1E+99),IF(AND(6&gt;=(1),6&lt;=(2*nLan)),D$13,-1E+99),IF(AND(7&gt;=(1),7&lt;=(2*nLan)),D$14,-1E+99),IF(AND(8&gt;=(1),8&lt;=(2*nLan)),D$15,-1E+99),IF(AND(9&gt;=(1),9&lt;=(2*nLan)),D$16,-1E+99),IF(AND(10&gt;=(1),10&lt;=(2*nLan)),D$17,-1E+99),IF(AND(11&gt;=(1),11&lt;=(2*nLan)),D$18,-1E+99),IF(AND(12&gt;=(1),12&lt;=(2*nLan)),D$19,-1E+99),IF(AND(13&gt;=(1),13&lt;=(2*nLan)),D$20,-1E+99),IF(AND(14&gt;=(1),14&lt;=(2*nLan)),D$21,-1E+99),IF(AND(15&gt;=(1),15&lt;=(2*nLan)),D$22,-1E+99),IF(AND(16&gt;=(1),16&lt;=(2*nLan)),D$23,-1E+99),IF(AND(17&gt;=(1),17&lt;=(2*nLan)),D$24,-1E+99),IF(AND(18&gt;=(1),18&lt;=(2*nLan)),D$25,-1E+99),IF(AND(19&gt;=(1),19&lt;=(2*nLan)),D$26,-1E+99),IF(AND(20&gt;=(1),20&lt;=(2*nLan)),D$27,-1E+99),IF(AND(21&gt;=(1),21&lt;=(2*nLan)),D$28,-1E+99),IF(AND(22&gt;=(1),22&lt;=(2*nLan)),D$29,-1E+99),IF(AND(23&gt;=(1),23&lt;=(2*nLan)),D$30,-1E+99),IF(AND(24&gt;=(1),24&lt;=(2*nLan)),D$31,-1E+99),IF(AND(25&gt;=(1),25&lt;=(2*nLan)),D$32,-1E+99),IF(AND(26&gt;=(1),26&lt;=(2*nLan)),D$33,-1E+99),IF(AND(27&gt;=(1),27&lt;=(2*nLan)),D$34,-1E+99),IF(AND(28&gt;=(1),28&lt;=(2*nLan)),D$35,-1E+99),IF(AND(29&gt;=(1),29&lt;=(2*nLan)),D$36,-1E+99),IF(AND(30&gt;=(1),30&lt;=(2*nLan)),D$37,-1E+99),IF(AND(31&gt;=(1),31&lt;=(2*nLan)),D$38,-1E+99),IF(AND(32&gt;=(1),32&lt;=(2*nLan)),D$39,-1E+99),IF(AND(33&gt;=(1),33&lt;=(2*nLan)),D$40,-1E+99),IF(AND(34&gt;=(1),34&lt;=(2*nLan)),D$41,-1E+99),IF(AND(35&gt;=(1),35&lt;=(2*nLan)),D$42,-1E+99),IF(AND(36&gt;=(1),36&lt;=(2*nLan)),D$43,-1E+99),IF(AND(37&gt;=(1),37&lt;=(2*nLan)),D$44,-1E+99),IF(AND(38&gt;=(1),38&lt;=(2*nLan)),D$45,-1E+99),IF(AND(39&gt;=(1),39&lt;=(2*nLan)),D$46,-1E+99),IF(AND(40&gt;=(1),40&lt;=(2*nLan)),D$47,-1E+99),IF(AND(41&gt;=(1),41&lt;=(2*nLan)),D$48,-1E+99),IF(AND(42&gt;=(1),42&lt;=(2*nLan)),D$49,-1E+99),IF(AND(43&gt;=(1),43&lt;=(2*nLan)),D$50,-1E+99),IF(AND(44&gt;=(1),44&lt;=(2*nLan)),D$51,-1E+99),IF(AND(45&gt;=(1),45&lt;=(2*nLan)),D$52,-1E+99),IF(AND(46&gt;=(1),46&lt;=(2*nLan)),D$53,-1E+99))</f>
        <v>21197.816796011073</v>
      </c>
      <c r="F56" s="23">
        <f>MAX(IF(AND(1&gt;=(1),1&lt;=(2*nLan)),F$8,-1E+99),IF(AND(2&gt;=(1),2&lt;=(2*nLan)),F$9,-1E+99),IF(AND(3&gt;=(1),3&lt;=(2*nLan)),F$10,-1E+99),IF(AND(4&gt;=(1),4&lt;=(2*nLan)),F$11,-1E+99),IF(AND(5&gt;=(1),5&lt;=(2*nLan)),F$12,-1E+99),IF(AND(6&gt;=(1),6&lt;=(2*nLan)),F$13,-1E+99),IF(AND(7&gt;=(1),7&lt;=(2*nLan)),F$14,-1E+99),IF(AND(8&gt;=(1),8&lt;=(2*nLan)),F$15,-1E+99),IF(AND(9&gt;=(1),9&lt;=(2*nLan)),F$16,-1E+99),IF(AND(10&gt;=(1),10&lt;=(2*nLan)),F$17,-1E+99),IF(AND(11&gt;=(1),11&lt;=(2*nLan)),F$18,-1E+99),IF(AND(12&gt;=(1),12&lt;=(2*nLan)),F$19,-1E+99),IF(AND(13&gt;=(1),13&lt;=(2*nLan)),F$20,-1E+99),IF(AND(14&gt;=(1),14&lt;=(2*nLan)),F$21,-1E+99),IF(AND(15&gt;=(1),15&lt;=(2*nLan)),F$22,-1E+99),IF(AND(16&gt;=(1),16&lt;=(2*nLan)),F$23,-1E+99),IF(AND(17&gt;=(1),17&lt;=(2*nLan)),F$24,-1E+99),IF(AND(18&gt;=(1),18&lt;=(2*nLan)),F$25,-1E+99),IF(AND(19&gt;=(1),19&lt;=(2*nLan)),F$26,-1E+99),IF(AND(20&gt;=(1),20&lt;=(2*nLan)),F$27,-1E+99),IF(AND(21&gt;=(1),21&lt;=(2*nLan)),F$28,-1E+99),IF(AND(22&gt;=(1),22&lt;=(2*nLan)),F$29,-1E+99),IF(AND(23&gt;=(1),23&lt;=(2*nLan)),F$30,-1E+99),IF(AND(24&gt;=(1),24&lt;=(2*nLan)),F$31,-1E+99),IF(AND(25&gt;=(1),25&lt;=(2*nLan)),F$32,-1E+99),IF(AND(26&gt;=(1),26&lt;=(2*nLan)),F$33,-1E+99),IF(AND(27&gt;=(1),27&lt;=(2*nLan)),F$34,-1E+99),IF(AND(28&gt;=(1),28&lt;=(2*nLan)),F$35,-1E+99),IF(AND(29&gt;=(1),29&lt;=(2*nLan)),F$36,-1E+99),IF(AND(30&gt;=(1),30&lt;=(2*nLan)),F$37,-1E+99),IF(AND(31&gt;=(1),31&lt;=(2*nLan)),F$38,-1E+99),IF(AND(32&gt;=(1),32&lt;=(2*nLan)),F$39,-1E+99),IF(AND(33&gt;=(1),33&lt;=(2*nLan)),F$40,-1E+99),IF(AND(34&gt;=(1),34&lt;=(2*nLan)),F$41,-1E+99),IF(AND(35&gt;=(1),35&lt;=(2*nLan)),F$42,-1E+99),IF(AND(36&gt;=(1),36&lt;=(2*nLan)),F$43,-1E+99),IF(AND(37&gt;=(1),37&lt;=(2*nLan)),F$44,-1E+99),IF(AND(38&gt;=(1),38&lt;=(2*nLan)),F$45,-1E+99),IF(AND(39&gt;=(1),39&lt;=(2*nLan)),F$46,-1E+99),IF(AND(40&gt;=(1),40&lt;=(2*nLan)),F$47,-1E+99),IF(AND(41&gt;=(1),41&lt;=(2*nLan)),F$48,-1E+99),IF(AND(42&gt;=(1),42&lt;=(2*nLan)),F$49,-1E+99),IF(AND(43&gt;=(1),43&lt;=(2*nLan)),F$50,-1E+99),IF(AND(44&gt;=(1),44&lt;=(2*nLan)),F$51,-1E+99),IF(AND(45&gt;=(1),45&lt;=(2*nLan)),F$52,-1E+99),IF(AND(46&gt;=(1),46&lt;=(2*nLan)),F$53,-1E+99))</f>
        <v>7327.4716499792412</v>
      </c>
    </row>
    <row r="57" spans="2:6" x14ac:dyDescent="0.3">
      <c r="B57" s="11" t="s">
        <v>647</v>
      </c>
    </row>
    <row r="59" spans="2:6" x14ac:dyDescent="0.3">
      <c r="B59" s="6" t="s">
        <v>648</v>
      </c>
    </row>
    <row r="60" spans="2:6" x14ac:dyDescent="0.3">
      <c r="B60" s="4" t="s">
        <v>576</v>
      </c>
      <c r="D60" s="20">
        <f>Cd1_/SIN(RADIANS(askew))*1000</f>
        <v>25061.386541807733</v>
      </c>
    </row>
    <row r="61" spans="2:6" x14ac:dyDescent="0.3">
      <c r="B61" s="4" t="s">
        <v>577</v>
      </c>
      <c r="D61" s="20">
        <f>H1_*1000</f>
        <v>1800</v>
      </c>
    </row>
    <row r="62" spans="2:6" x14ac:dyDescent="0.3">
      <c r="B62" s="4" t="s">
        <v>578</v>
      </c>
      <c r="D62" s="12">
        <v>150</v>
      </c>
      <c r="E62" s="4" t="s">
        <v>579</v>
      </c>
    </row>
    <row r="63" spans="2:6" x14ac:dyDescent="0.3">
      <c r="B63" s="4" t="s">
        <v>580</v>
      </c>
      <c r="D63" s="12">
        <v>25</v>
      </c>
      <c r="E63" s="4" t="s">
        <v>579</v>
      </c>
    </row>
    <row r="64" spans="2:6" x14ac:dyDescent="0.3">
      <c r="B64" s="4" t="s">
        <v>581</v>
      </c>
      <c r="D64" s="12">
        <v>150</v>
      </c>
      <c r="E64" s="4" t="s">
        <v>579</v>
      </c>
    </row>
    <row r="65" spans="2:6" x14ac:dyDescent="0.3">
      <c r="B65" s="4" t="s">
        <v>582</v>
      </c>
      <c r="D65" s="20">
        <f>PI()*D63^2/4*D60/D64</f>
        <v>82013.195675538838</v>
      </c>
    </row>
    <row r="66" spans="2:6" x14ac:dyDescent="0.3">
      <c r="B66" s="4" t="s">
        <v>583</v>
      </c>
      <c r="D66" s="20">
        <f>D61-D62</f>
        <v>1650</v>
      </c>
    </row>
    <row r="67" spans="2:6" x14ac:dyDescent="0.3">
      <c r="B67" s="4" t="s">
        <v>584</v>
      </c>
      <c r="D67" s="23">
        <f>MAX(D55,F55)</f>
        <v>29571.510578671914</v>
      </c>
      <c r="E67" s="4" t="s">
        <v>585</v>
      </c>
    </row>
    <row r="68" spans="2:6" x14ac:dyDescent="0.3">
      <c r="B68" s="4" t="s">
        <v>649</v>
      </c>
      <c r="D68" s="23">
        <f>MAX(C55,E55)</f>
        <v>36964.388223339891</v>
      </c>
      <c r="E68" s="4" t="s">
        <v>51</v>
      </c>
    </row>
    <row r="69" spans="2:6" x14ac:dyDescent="0.3">
      <c r="B69" s="4" t="s">
        <v>587</v>
      </c>
      <c r="D69" s="23">
        <f>MAX(D56,F56)</f>
        <v>21197.816796011073</v>
      </c>
      <c r="E69" s="4" t="s">
        <v>585</v>
      </c>
    </row>
    <row r="70" spans="2:6" x14ac:dyDescent="0.3">
      <c r="B70" s="4" t="s">
        <v>588</v>
      </c>
      <c r="D70" s="15">
        <f>MAX(0.65,MIN(0.85,0.85-0.05*(fc_-28)/7))</f>
        <v>0.83571428571428574</v>
      </c>
    </row>
    <row r="71" spans="2:6" x14ac:dyDescent="0.3">
      <c r="B71" s="4" t="s">
        <v>589</v>
      </c>
      <c r="D71" s="23">
        <f>D65*fy_/(0.85*fc_*D60)</f>
        <v>51.33321329395087</v>
      </c>
    </row>
    <row r="72" spans="2:6" x14ac:dyDescent="0.3">
      <c r="B72" s="4" t="s">
        <v>590</v>
      </c>
      <c r="D72" s="23">
        <f>D71/D70</f>
        <v>61.424357787633518</v>
      </c>
    </row>
    <row r="73" spans="2:6" x14ac:dyDescent="0.3">
      <c r="B73" s="4" t="s">
        <v>591</v>
      </c>
      <c r="D73" s="29">
        <f>0.003*(D66-D72)/D72</f>
        <v>7.7586923140718231E-2</v>
      </c>
    </row>
    <row r="74" spans="2:6" x14ac:dyDescent="0.3">
      <c r="B74" s="4" t="s">
        <v>592</v>
      </c>
      <c r="D74" s="15">
        <f>MIN(0.9,MAX(0.75,0.75+0.15*(D73-0.002)/0.003))</f>
        <v>0.9</v>
      </c>
    </row>
    <row r="75" spans="2:6" x14ac:dyDescent="0.3">
      <c r="B75" s="4" t="s">
        <v>593</v>
      </c>
      <c r="D75" s="17">
        <f>D65*fy_*(D66-D71/2)/10^6</f>
        <v>53286.708972549437</v>
      </c>
      <c r="E75" s="4" t="s">
        <v>585</v>
      </c>
    </row>
    <row r="76" spans="2:6" x14ac:dyDescent="0.3">
      <c r="B76" s="4" t="s">
        <v>594</v>
      </c>
      <c r="D76" s="23">
        <f>D74*D75</f>
        <v>47958.038075294491</v>
      </c>
      <c r="E76" s="4" t="s">
        <v>585</v>
      </c>
    </row>
    <row r="77" spans="2:6" x14ac:dyDescent="0.3">
      <c r="B77" s="4" t="s">
        <v>595</v>
      </c>
      <c r="D77" s="22" t="str">
        <f>IF(D76&gt;=D67,"ĐẠT","KHÔNG ĐẠT")</f>
        <v>ĐẠT</v>
      </c>
      <c r="E77" s="9">
        <f>IF(D67=0,"",D76/D67)</f>
        <v>1.6217649060472288</v>
      </c>
    </row>
    <row r="78" spans="2:6" x14ac:dyDescent="0.3">
      <c r="B78" s="4" t="s">
        <v>596</v>
      </c>
      <c r="D78" s="17">
        <f>1.07*fr_*D60*D61^2/6/10^6</f>
        <v>49967.061438090706</v>
      </c>
      <c r="E78" s="4" t="s">
        <v>585</v>
      </c>
      <c r="F78" s="11" t="s">
        <v>597</v>
      </c>
    </row>
    <row r="79" spans="2:6" x14ac:dyDescent="0.3">
      <c r="B79" s="4" t="s">
        <v>598</v>
      </c>
      <c r="D79" s="22" t="str">
        <f>IF(D76&gt;=MIN(D78,1.33*D67),"ĐẠT","KHÔNG ĐẠT")</f>
        <v>ĐẠT</v>
      </c>
    </row>
    <row r="80" spans="2:6" x14ac:dyDescent="0.3">
      <c r="B80" s="4" t="s">
        <v>599</v>
      </c>
      <c r="D80" s="8">
        <v>1</v>
      </c>
    </row>
    <row r="81" spans="2:6" x14ac:dyDescent="0.3">
      <c r="B81" s="4" t="s">
        <v>600</v>
      </c>
      <c r="D81" s="9">
        <f>Es_/Ec_</f>
        <v>6.3796799429981235</v>
      </c>
    </row>
    <row r="82" spans="2:6" x14ac:dyDescent="0.3">
      <c r="B82" s="4" t="s">
        <v>601</v>
      </c>
      <c r="D82" s="29">
        <f>D65/(D60*D66)</f>
        <v>1.9833286954481018E-3</v>
      </c>
    </row>
    <row r="83" spans="2:6" x14ac:dyDescent="0.3">
      <c r="B83" s="4" t="s">
        <v>602</v>
      </c>
      <c r="D83" s="15">
        <f>SQRT(2*D82*D81+(D82*D81)^2)-D82*D81</f>
        <v>0.14692802121164714</v>
      </c>
    </row>
    <row r="84" spans="2:6" x14ac:dyDescent="0.3">
      <c r="B84" s="4" t="s">
        <v>603</v>
      </c>
      <c r="D84" s="15">
        <f>1-D83/3</f>
        <v>0.95102399292945095</v>
      </c>
    </row>
    <row r="85" spans="2:6" x14ac:dyDescent="0.3">
      <c r="B85" s="4" t="s">
        <v>1022</v>
      </c>
      <c r="D85" s="17">
        <f>D69*10^6/(D65*D84*D66)</f>
        <v>164.71455672180687</v>
      </c>
      <c r="E85" s="4" t="s">
        <v>119</v>
      </c>
    </row>
    <row r="86" spans="2:6" x14ac:dyDescent="0.3">
      <c r="B86" s="4" t="s">
        <v>604</v>
      </c>
      <c r="D86" s="15">
        <f>1+D62/(0.7*(D61-D62))</f>
        <v>1.1298701298701299</v>
      </c>
    </row>
    <row r="87" spans="2:6" x14ac:dyDescent="0.3">
      <c r="B87" s="4" t="s">
        <v>605</v>
      </c>
      <c r="D87" s="17">
        <f>IF(D85&lt;=0,9999,123000*D80/(D86*D85)-2*D62)</f>
        <v>360.91346831827877</v>
      </c>
      <c r="E87" s="4" t="s">
        <v>579</v>
      </c>
      <c r="F87" s="11" t="s">
        <v>606</v>
      </c>
    </row>
    <row r="88" spans="2:6" x14ac:dyDescent="0.3">
      <c r="B88" s="4" t="s">
        <v>1023</v>
      </c>
      <c r="D88" s="22" t="str">
        <f>IF(AND(D85&lt;=0.6*fy_,D64&lt;=D87),"ĐẠT","KHÔNG ĐẠT")</f>
        <v>ĐẠT</v>
      </c>
    </row>
    <row r="89" spans="2:6" x14ac:dyDescent="0.3">
      <c r="B89" s="4" t="s">
        <v>607</v>
      </c>
      <c r="D89" s="12">
        <v>39</v>
      </c>
      <c r="E89" s="4" t="s">
        <v>608</v>
      </c>
      <c r="F89" s="11" t="s">
        <v>609</v>
      </c>
    </row>
    <row r="90" spans="2:6" x14ac:dyDescent="0.3">
      <c r="B90" s="4" t="s">
        <v>610</v>
      </c>
      <c r="D90" s="12">
        <v>16</v>
      </c>
      <c r="E90" s="4" t="s">
        <v>579</v>
      </c>
    </row>
    <row r="91" spans="2:6" x14ac:dyDescent="0.3">
      <c r="B91" s="4" t="s">
        <v>611</v>
      </c>
      <c r="D91" s="12">
        <v>600</v>
      </c>
      <c r="E91" s="4" t="s">
        <v>579</v>
      </c>
    </row>
    <row r="92" spans="2:6" x14ac:dyDescent="0.3">
      <c r="B92" s="4" t="s">
        <v>612</v>
      </c>
      <c r="D92" s="20">
        <f>D89*PI()*D90^2/4</f>
        <v>7841.4152633601234</v>
      </c>
    </row>
    <row r="93" spans="2:6" x14ac:dyDescent="0.3">
      <c r="B93" s="4" t="s">
        <v>613</v>
      </c>
      <c r="D93" s="20">
        <f>0.083*SQRT(fc_)*D60*D91/fy_</f>
        <v>17089.724980474079</v>
      </c>
    </row>
    <row r="94" spans="2:6" x14ac:dyDescent="0.3">
      <c r="B94" s="4" t="s">
        <v>614</v>
      </c>
      <c r="D94" s="23">
        <f>MAX(D66-D71/2,0.9*D66,0.72*D61)</f>
        <v>1624.3333933530246</v>
      </c>
    </row>
    <row r="95" spans="2:6" x14ac:dyDescent="0.3">
      <c r="B95" s="4" t="s">
        <v>650</v>
      </c>
      <c r="D95" s="29">
        <f>MAX(0,(MAX(D67*10^6,D68*1000*D94)/D94+D68*1000)/(Es_*D65))</f>
        <v>4.5071269225477641E-3</v>
      </c>
      <c r="E95" s="4" t="s">
        <v>616</v>
      </c>
    </row>
    <row r="96" spans="2:6" x14ac:dyDescent="0.3">
      <c r="B96" s="4" t="s">
        <v>651</v>
      </c>
      <c r="D96" s="23">
        <f>MIN(2000,MAX(300,D94*35/36))</f>
        <v>1579.2130213154405</v>
      </c>
    </row>
    <row r="97" spans="2:6" x14ac:dyDescent="0.3">
      <c r="B97" s="4" t="s">
        <v>652</v>
      </c>
      <c r="D97" s="15">
        <f>IF(D92&gt;=D93,4.8/(1+750*D95),4.8/(1+750*D95)*1300/(1000+D96))</f>
        <v>0.55231780109839101</v>
      </c>
    </row>
    <row r="98" spans="2:6" x14ac:dyDescent="0.3">
      <c r="B98" s="4" t="s">
        <v>620</v>
      </c>
      <c r="D98" s="23">
        <f>29+3500*D95</f>
        <v>44.774944228917178</v>
      </c>
    </row>
    <row r="99" spans="2:6" x14ac:dyDescent="0.3">
      <c r="B99" s="4" t="s">
        <v>621</v>
      </c>
      <c r="D99" s="17">
        <f>0.083*D97*SQRT(fc_)*D60*D94/1000</f>
        <v>10221.344550791018</v>
      </c>
      <c r="E99" s="4" t="s">
        <v>51</v>
      </c>
    </row>
    <row r="100" spans="2:6" x14ac:dyDescent="0.3">
      <c r="B100" s="4" t="s">
        <v>653</v>
      </c>
      <c r="D100" s="17">
        <f>IF(D92&gt;=D93,D92*fy_*D94/(TAN(RADIANS(D98))*D91)/1000,0)</f>
        <v>0</v>
      </c>
      <c r="E100" s="4" t="s">
        <v>51</v>
      </c>
      <c r="F100" s="11" t="s">
        <v>623</v>
      </c>
    </row>
    <row r="101" spans="2:6" x14ac:dyDescent="0.3">
      <c r="B101" s="4" t="s">
        <v>624</v>
      </c>
      <c r="D101" s="17">
        <f>MIN(D99+D100,0.25*fc_*D60*D94/1000)</f>
        <v>10221.344550791018</v>
      </c>
      <c r="E101" s="4" t="s">
        <v>51</v>
      </c>
    </row>
    <row r="102" spans="2:6" x14ac:dyDescent="0.3">
      <c r="B102" s="4" t="s">
        <v>625</v>
      </c>
      <c r="D102" s="23">
        <f>0.9*D101</f>
        <v>9199.2100957119164</v>
      </c>
      <c r="E102" s="4" t="s">
        <v>51</v>
      </c>
    </row>
    <row r="103" spans="2:6" x14ac:dyDescent="0.3">
      <c r="B103" s="4" t="s">
        <v>654</v>
      </c>
      <c r="D103" s="22" t="str">
        <f>IF(D102&gt;=D68,"ĐẠT","KHÔNG ĐẠT")</f>
        <v>KHÔNG ĐẠT</v>
      </c>
      <c r="E103" s="9">
        <f>IF(D68=0,"",D102/D68)</f>
        <v>0.24886682934206908</v>
      </c>
    </row>
    <row r="104" spans="2:6" x14ac:dyDescent="0.3">
      <c r="B104" s="4" t="s">
        <v>627</v>
      </c>
      <c r="D104" s="30">
        <f>D68*1000/(0.9*D60*D94)</f>
        <v>1.0089293260961916</v>
      </c>
    </row>
    <row r="105" spans="2:6" x14ac:dyDescent="0.3">
      <c r="B105" s="4" t="s">
        <v>628</v>
      </c>
      <c r="D105" s="23">
        <f>IF(D104&lt;0.125*fc_,MIN(0.8*D94,600),MIN(0.4*D94,300))</f>
        <v>600</v>
      </c>
      <c r="E105" s="4" t="s">
        <v>629</v>
      </c>
    </row>
    <row r="106" spans="2:6" x14ac:dyDescent="0.3">
      <c r="B106" s="4" t="s">
        <v>655</v>
      </c>
      <c r="D106" s="22" t="str">
        <f>IF(OR(D89=0,D91&lt;=D105),"ĐẠT","KHÔNG ĐẠT")</f>
        <v>ĐẠT</v>
      </c>
    </row>
    <row r="107" spans="2:6" x14ac:dyDescent="0.3">
      <c r="B107" s="4" t="s">
        <v>631</v>
      </c>
      <c r="D107" s="30">
        <f>MIN(1.27,MAX(0.233,0.75*D60*D61/(2*(D60+D61)*fy_)))</f>
        <v>1.27</v>
      </c>
      <c r="E107" s="4" t="s">
        <v>632</v>
      </c>
    </row>
    <row r="108" spans="2:6" x14ac:dyDescent="0.3">
      <c r="B108" s="4" t="s">
        <v>633</v>
      </c>
      <c r="D108" s="12">
        <v>16</v>
      </c>
      <c r="E108" s="4" t="s">
        <v>579</v>
      </c>
    </row>
    <row r="109" spans="2:6" x14ac:dyDescent="0.3">
      <c r="B109" s="4" t="s">
        <v>634</v>
      </c>
      <c r="D109" s="12">
        <v>200</v>
      </c>
      <c r="E109" s="4" t="s">
        <v>579</v>
      </c>
    </row>
    <row r="110" spans="2:6" x14ac:dyDescent="0.3">
      <c r="B110" s="4" t="s">
        <v>635</v>
      </c>
      <c r="D110" s="22" t="str">
        <f>IF(PI()*D108^2/4/D109&gt;=D107,"ĐẠT","KHÔNG ĐẠT")</f>
        <v>KHÔNG ĐẠT</v>
      </c>
    </row>
    <row r="113" spans="2:4" x14ac:dyDescent="0.3">
      <c r="B113" s="6" t="s">
        <v>656</v>
      </c>
    </row>
    <row r="114" spans="2:4" x14ac:dyDescent="0.3">
      <c r="B114" s="4" t="s">
        <v>657</v>
      </c>
      <c r="D114" s="17">
        <f>D94</f>
        <v>1624.3333933530246</v>
      </c>
    </row>
    <row r="115" spans="2:4" x14ac:dyDescent="0.3">
      <c r="B115" s="4" t="s">
        <v>658</v>
      </c>
      <c r="D115" s="17">
        <f>IF(D127=1,PI()*(Dcoc*1000+D114),D126)</f>
        <v>8872.905039846195</v>
      </c>
    </row>
    <row r="116" spans="2:4" x14ac:dyDescent="0.3">
      <c r="B116" s="4" t="s">
        <v>659</v>
      </c>
      <c r="D116" s="17">
        <f>0.33*SQRT(fc_)*D115*D114/1000</f>
        <v>26050.470621004541</v>
      </c>
    </row>
    <row r="117" spans="2:4" x14ac:dyDescent="0.3">
      <c r="B117" s="4" t="s">
        <v>660</v>
      </c>
      <c r="D117" s="23">
        <f>0.9*D116</f>
        <v>23445.423558904087</v>
      </c>
    </row>
    <row r="118" spans="2:4" x14ac:dyDescent="0.3">
      <c r="B118" s="4" t="s">
        <v>661</v>
      </c>
      <c r="D118" s="23">
        <f>Pmax_CD</f>
        <v>6292.0865142516041</v>
      </c>
    </row>
    <row r="119" spans="2:4" ht="82.8" x14ac:dyDescent="0.3">
      <c r="B119" s="4" t="s">
        <v>662</v>
      </c>
      <c r="D119" s="22" t="str">
        <f>IF(D127=1,IF(AND(D122="GÓC",D123&gt;0,D124&gt;0,((D123*1000)^2+(D124*1000)^2)&lt;D125^2),"BLOCKED — CỌC GÓC: 2 CUNG CẮT CHỒNG, HÌNH HỌC XẤP XỈ — KIỂM TAY","CHƯA XÁC NHẬN VỊ TRÍ CỌC / CHU VI BỊ CẮT — khai D122 &amp; c1"&amp;IF(D122="GÓC","/c2","")&amp;" (m)"),IF(D117&gt;=D118,"ĐẠT","KHÔNG ĐẠT"))</f>
        <v>CHƯA XÁC NHẬN VỊ TRÍ CỌC / CHU VI BỊ CẮT — khai D122 &amp; c1 (m)</v>
      </c>
    </row>
    <row r="120" spans="2:4" x14ac:dyDescent="0.3">
      <c r="B120" s="11" t="s">
        <v>663</v>
      </c>
    </row>
    <row r="121" spans="2:4" x14ac:dyDescent="0.3">
      <c r="B121" t="s">
        <v>1026</v>
      </c>
    </row>
    <row r="122" spans="2:4" x14ac:dyDescent="0.3">
      <c r="B122" t="s">
        <v>1027</v>
      </c>
      <c r="D122" s="72"/>
    </row>
    <row r="123" spans="2:4" x14ac:dyDescent="0.3">
      <c r="B123" t="s">
        <v>1028</v>
      </c>
      <c r="D123" s="72"/>
    </row>
    <row r="124" spans="2:4" x14ac:dyDescent="0.3">
      <c r="B124" t="s">
        <v>1029</v>
      </c>
      <c r="D124" s="72"/>
    </row>
    <row r="125" spans="2:4" x14ac:dyDescent="0.3">
      <c r="B125" t="s">
        <v>1030</v>
      </c>
      <c r="D125">
        <f>(Dcoc*1000+D114)/2</f>
        <v>1412.1666966765124</v>
      </c>
    </row>
    <row r="126" spans="2:4" x14ac:dyDescent="0.3">
      <c r="B126" t="s">
        <v>1031</v>
      </c>
      <c r="D126">
        <f>PI()*(Dcoc*1000+D114)-IF(OR(D122="TRONG",D122=""),0,IF(OR(D123&lt;=0,D123=""),0,IF(D123*1000&gt;=D125,0,2*D125*ACOS(MIN(1,D123*1000/D125)))))-IF(D122="GÓC",IF(OR(D124&lt;=0,D124=""),0,IF(D124*1000&gt;=D125,0,2*D125*ACOS(MIN(1,D124*1000/D125)))),0)</f>
        <v>8872.905039846195</v>
      </c>
    </row>
    <row r="127" spans="2:4" x14ac:dyDescent="0.3">
      <c r="B127" t="s">
        <v>1032</v>
      </c>
      <c r="D127">
        <f>IF(OR(D122="",AND(OR(D122="BIÊN",D122="GÓC"),OR(D123&lt;=0,D123="")),AND(D122="GÓC",OR(D124&lt;=0,D124="")),AND(D122="GÓC",((D123*1000)^2+(D124*1000)^2)&lt;D125^2),D126&lt;=0.25*PI()*(Dcoc*1000+D114)),1,0)</f>
        <v>1</v>
      </c>
    </row>
    <row r="128" spans="2:4" x14ac:dyDescent="0.3">
      <c r="B128" t="s">
        <v>1036</v>
      </c>
    </row>
    <row r="129" spans="2:4" x14ac:dyDescent="0.3">
      <c r="B129" t="s">
        <v>1037</v>
      </c>
      <c r="D129">
        <f>INPUT!$F$41/INPUT!$F$25</f>
        <v>18.115384615384617</v>
      </c>
    </row>
    <row r="130" spans="2:4" x14ac:dyDescent="0.3">
      <c r="B130" t="s">
        <v>1038</v>
      </c>
      <c r="D130">
        <f>INPUT!$F$25</f>
        <v>1.3</v>
      </c>
    </row>
    <row r="131" spans="2:4" x14ac:dyDescent="0.3">
      <c r="B131" t="s">
        <v>1039</v>
      </c>
      <c r="D131" t="str">
        <f>D103</f>
        <v>KHÔNG ĐẠT</v>
      </c>
    </row>
    <row r="132" spans="2:4" x14ac:dyDescent="0.3">
      <c r="B132" t="s">
        <v>1040</v>
      </c>
      <c r="D132" t="str">
        <f>IF(D129&gt;=2,"KHÔNG ÁP DỤNG — thân mố dạng tường (βc lớn): chọc thủng 2 chiều không phải cơ chế khống chế; kiểm CẮT 1 CHIỀU (mục 2, D103) khống chế","Chọc thủng 2 chiều áp dụng — cần kiểm tay")</f>
        <v>KHÔNG ÁP DỤNG — thân mố dạng tường (βc lớn): chọc thủng 2 chiều không phải cơ chế khống chế; kiểm CẮT 1 CHIỀU (mục 2, D103) khống chế</v>
      </c>
    </row>
    <row r="133" spans="2:4" x14ac:dyDescent="0.3">
      <c r="B133" t="s">
        <v>1041</v>
      </c>
    </row>
    <row r="134" spans="2:4" x14ac:dyDescent="0.3">
      <c r="B134" t="s">
        <v>1042</v>
      </c>
    </row>
  </sheetData>
  <conditionalFormatting sqref="D77">
    <cfRule type="cellIs" dxfId="58" priority="1" operator="equal">
      <formula>"ĐẠT"</formula>
    </cfRule>
    <cfRule type="cellIs" dxfId="57" priority="2" operator="equal">
      <formula>"KHÔNG ĐẠT"</formula>
    </cfRule>
  </conditionalFormatting>
  <conditionalFormatting sqref="D79">
    <cfRule type="cellIs" dxfId="56" priority="3" operator="equal">
      <formula>"ĐẠT"</formula>
    </cfRule>
    <cfRule type="cellIs" dxfId="55" priority="4" operator="equal">
      <formula>"KHÔNG ĐẠT"</formula>
    </cfRule>
  </conditionalFormatting>
  <conditionalFormatting sqref="D88">
    <cfRule type="cellIs" dxfId="54" priority="5" operator="equal">
      <formula>"ĐẠT"</formula>
    </cfRule>
    <cfRule type="cellIs" dxfId="53" priority="6" operator="equal">
      <formula>"KHÔNG ĐẠT"</formula>
    </cfRule>
  </conditionalFormatting>
  <conditionalFormatting sqref="D103">
    <cfRule type="cellIs" dxfId="52" priority="7" operator="equal">
      <formula>"ĐẠT"</formula>
    </cfRule>
    <cfRule type="cellIs" dxfId="51" priority="8" operator="equal">
      <formula>"KHÔNG ĐẠT"</formula>
    </cfRule>
  </conditionalFormatting>
  <conditionalFormatting sqref="D106">
    <cfRule type="cellIs" dxfId="50" priority="9" operator="equal">
      <formula>"ĐẠT"</formula>
    </cfRule>
    <cfRule type="cellIs" dxfId="49" priority="10" operator="equal">
      <formula>"KHÔNG ĐẠT"</formula>
    </cfRule>
  </conditionalFormatting>
  <conditionalFormatting sqref="D110">
    <cfRule type="cellIs" dxfId="48" priority="11" operator="equal">
      <formula>"ĐẠT"</formula>
    </cfRule>
    <cfRule type="cellIs" dxfId="47" priority="12" operator="equal">
      <formula>"KHÔNG ĐẠT"</formula>
    </cfRule>
  </conditionalFormatting>
  <conditionalFormatting sqref="D119">
    <cfRule type="cellIs" dxfId="46" priority="13" operator="equal">
      <formula>"ĐẠT"</formula>
    </cfRule>
    <cfRule type="cellIs" dxfId="45" priority="14" operator="equal">
      <formula>"KHÔNG ĐẠT"</formula>
    </cfRule>
  </conditionalFormatting>
  <dataValidations count="1">
    <dataValidation type="list" allowBlank="1" showInputMessage="1" showErrorMessage="1" promptTitle="Vị trí cọc chọc thủng" prompt="Chọn vị trí của cọc BẤT LỢI NHẤT cho chọc thủng: TRONG (cọc trong, chu vi tròn đầy đủ) / BIÊN (sát 1 mép) / GÓC (sát 2 mép). BIÊN→khai c1; GÓC→khai c1 và c2 (k/c tim cọc đến mép, m)." sqref="D122" xr:uid="{2709EE1C-15C5-4D5B-8334-FDF0BB290C6A}">
      <formula1>"TRONG,BIÊN,GÓC"</formula1>
    </dataValidation>
  </dataValidation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B2:O143"/>
  <sheetViews>
    <sheetView workbookViewId="0"/>
  </sheetViews>
  <sheetFormatPr defaultRowHeight="14.4" x14ac:dyDescent="0.3"/>
  <cols>
    <col min="1" max="1" width="2" customWidth="1"/>
    <col min="2" max="2" width="44" customWidth="1"/>
    <col min="3" max="3" width="11" customWidth="1"/>
    <col min="4" max="4" width="10" customWidth="1"/>
    <col min="5" max="9" width="11" customWidth="1"/>
    <col min="10" max="15" width="13" customWidth="1"/>
  </cols>
  <sheetData>
    <row r="2" spans="2:15" ht="16.8" x14ac:dyDescent="0.3">
      <c r="B2" s="1" t="s">
        <v>664</v>
      </c>
    </row>
    <row r="3" spans="2:15" x14ac:dyDescent="0.3">
      <c r="B3" s="11" t="s">
        <v>665</v>
      </c>
    </row>
    <row r="5" spans="2:15" x14ac:dyDescent="0.3">
      <c r="B5" s="6" t="s">
        <v>666</v>
      </c>
    </row>
    <row r="6" spans="2:15" x14ac:dyDescent="0.3">
      <c r="B6" s="4" t="s">
        <v>667</v>
      </c>
      <c r="D6" s="15">
        <f>H2_+H3_+H4_</f>
        <v>8.5300000000000011</v>
      </c>
      <c r="E6" s="4" t="s">
        <v>21</v>
      </c>
    </row>
    <row r="7" spans="2:15" x14ac:dyDescent="0.3">
      <c r="B7" s="4" t="s">
        <v>668</v>
      </c>
      <c r="D7" s="9">
        <f>B2_+B5_</f>
        <v>5.5</v>
      </c>
      <c r="E7" s="4" t="s">
        <v>21</v>
      </c>
    </row>
    <row r="8" spans="2:15" x14ac:dyDescent="0.3">
      <c r="B8" s="4" t="s">
        <v>669</v>
      </c>
      <c r="D8" s="9">
        <f>B2_</f>
        <v>2.7</v>
      </c>
      <c r="E8" s="4" t="s">
        <v>21</v>
      </c>
    </row>
    <row r="9" spans="2:15" x14ac:dyDescent="0.3">
      <c r="B9" s="4" t="s">
        <v>670</v>
      </c>
      <c r="D9" s="15">
        <f>IF(D6&lt;=1.5,1.2,IF(D6&lt;=3,0.9+(3-D6)*0.3/1.5,IF(D6&lt;=6,0.6+(6-D6)*0.3/3,0.6)))</f>
        <v>0.6</v>
      </c>
      <c r="E9" s="4" t="s">
        <v>21</v>
      </c>
    </row>
    <row r="11" spans="2:15" x14ac:dyDescent="0.3">
      <c r="B11" s="6" t="s">
        <v>671</v>
      </c>
    </row>
    <row r="12" spans="2:15" ht="27.6" x14ac:dyDescent="0.3">
      <c r="B12" s="18" t="s">
        <v>672</v>
      </c>
      <c r="C12" s="18" t="s">
        <v>673</v>
      </c>
      <c r="D12" s="18" t="s">
        <v>674</v>
      </c>
      <c r="E12" s="18" t="s">
        <v>675</v>
      </c>
      <c r="F12" s="18" t="s">
        <v>676</v>
      </c>
      <c r="G12" s="18" t="s">
        <v>677</v>
      </c>
      <c r="H12" s="18" t="s">
        <v>678</v>
      </c>
      <c r="I12" s="18" t="s">
        <v>679</v>
      </c>
      <c r="J12" s="18" t="s">
        <v>680</v>
      </c>
      <c r="K12" s="18" t="s">
        <v>681</v>
      </c>
      <c r="L12" s="18" t="s">
        <v>682</v>
      </c>
      <c r="M12" s="18" t="s">
        <v>683</v>
      </c>
      <c r="N12" s="18" t="s">
        <v>684</v>
      </c>
      <c r="O12" s="18" t="s">
        <v>685</v>
      </c>
    </row>
    <row r="13" spans="2:15" x14ac:dyDescent="0.3">
      <c r="B13" s="10">
        <f>1</f>
        <v>1</v>
      </c>
      <c r="C13" s="15">
        <f>$D$6/8*(0+0.5)</f>
        <v>0.53312500000000007</v>
      </c>
      <c r="D13" s="15">
        <f t="shared" ref="D13:D20" si="0">$D$6/8</f>
        <v>1.0662500000000001</v>
      </c>
      <c r="E13" s="9">
        <f t="shared" ref="E13:E20" si="1">IF(C13&lt;=H4_,$D$7,IF(C13&lt;=H4_+H3_,$D$7-B5_*(C13-H4_)/H3_,$D$8))</f>
        <v>5.5</v>
      </c>
      <c r="F13" s="9">
        <f t="shared" ref="F13:F20" si="2">$D$6-C13</f>
        <v>7.9968750000000011</v>
      </c>
      <c r="G13" s="15">
        <f t="shared" ref="G13:G20" si="3">F13^4/(E13^4+F13^4)</f>
        <v>0.81715813713281304</v>
      </c>
      <c r="H13" s="9">
        <f t="shared" ref="H13:H20" si="4">Ka_*gs_*C13</f>
        <v>3.4208854166666671</v>
      </c>
      <c r="I13" s="9">
        <f t="shared" ref="I13:I20" si="5">Ka_*gs_*$D$9</f>
        <v>3.85</v>
      </c>
      <c r="J13" s="17">
        <f t="shared" ref="J13:J20" si="6">G13*(1.5*H13+1.75*I13)*E13^2/2</f>
        <v>146.69298089368991</v>
      </c>
      <c r="K13" s="17">
        <f t="shared" ref="K13:K20" si="7">G13*(H13+I13)*E13^2/2</f>
        <v>89.864630633640758</v>
      </c>
      <c r="L13" s="17">
        <f t="shared" ref="L13:L20" si="8">G13*(1.5*H13+1.75*I13)*E13</f>
        <v>53.342902143159968</v>
      </c>
      <c r="M13" s="17">
        <f t="shared" ref="M13:M20" si="9">(1-G13)*(1.5*H13+1.75*I13)*F13*D13</f>
        <v>18.50388113380976</v>
      </c>
      <c r="N13" s="17">
        <f t="shared" ref="N13:N20" si="10">(1-G13)*(H13+I13)*F13*D13</f>
        <v>11.33554198195543</v>
      </c>
      <c r="O13" s="17">
        <f t="shared" ref="O13:O20" si="11">(1-G13)*(1.5*H13+1.75*I13)*D13</f>
        <v>2.3138890046186491</v>
      </c>
    </row>
    <row r="14" spans="2:15" x14ac:dyDescent="0.3">
      <c r="B14" s="10">
        <f>2</f>
        <v>2</v>
      </c>
      <c r="C14" s="15">
        <f>$D$6/8*(1+0.5)</f>
        <v>1.5993750000000002</v>
      </c>
      <c r="D14" s="15">
        <f t="shared" si="0"/>
        <v>1.0662500000000001</v>
      </c>
      <c r="E14" s="9">
        <f t="shared" si="1"/>
        <v>5.4006249999999998</v>
      </c>
      <c r="F14" s="9">
        <f t="shared" si="2"/>
        <v>6.9306250000000009</v>
      </c>
      <c r="G14" s="15">
        <f t="shared" si="3"/>
        <v>0.73061424705045552</v>
      </c>
      <c r="H14" s="9">
        <f t="shared" si="4"/>
        <v>10.262656250000003</v>
      </c>
      <c r="I14" s="9">
        <f t="shared" si="5"/>
        <v>3.85</v>
      </c>
      <c r="J14" s="17">
        <f t="shared" si="6"/>
        <v>235.80701970145961</v>
      </c>
      <c r="K14" s="17">
        <f t="shared" si="7"/>
        <v>150.36783588464914</v>
      </c>
      <c r="L14" s="17">
        <f t="shared" si="8"/>
        <v>87.325826066968034</v>
      </c>
      <c r="M14" s="17">
        <f t="shared" si="9"/>
        <v>44.057171502547455</v>
      </c>
      <c r="N14" s="17">
        <f t="shared" si="10"/>
        <v>28.094081094040856</v>
      </c>
      <c r="O14" s="17">
        <f t="shared" si="11"/>
        <v>6.3568828933245483</v>
      </c>
    </row>
    <row r="15" spans="2:15" x14ac:dyDescent="0.3">
      <c r="B15" s="10">
        <f>3</f>
        <v>3</v>
      </c>
      <c r="C15" s="15">
        <f>$D$6/8*(2+0.5)</f>
        <v>2.6656250000000004</v>
      </c>
      <c r="D15" s="15">
        <f t="shared" si="0"/>
        <v>1.0662500000000001</v>
      </c>
      <c r="E15" s="9">
        <f t="shared" si="1"/>
        <v>4.3343749999999996</v>
      </c>
      <c r="F15" s="9">
        <f t="shared" si="2"/>
        <v>5.8643750000000008</v>
      </c>
      <c r="G15" s="15">
        <f t="shared" si="3"/>
        <v>0.77017045768279579</v>
      </c>
      <c r="H15" s="9">
        <f t="shared" si="4"/>
        <v>17.104427083333338</v>
      </c>
      <c r="I15" s="9">
        <f t="shared" si="5"/>
        <v>3.85</v>
      </c>
      <c r="J15" s="17">
        <f t="shared" si="6"/>
        <v>234.35611441890762</v>
      </c>
      <c r="K15" s="17">
        <f t="shared" si="7"/>
        <v>151.59525816636241</v>
      </c>
      <c r="L15" s="17">
        <f t="shared" si="8"/>
        <v>108.13836570158682</v>
      </c>
      <c r="M15" s="17">
        <f t="shared" si="9"/>
        <v>46.553580973900822</v>
      </c>
      <c r="N15" s="17">
        <f t="shared" si="10"/>
        <v>30.113582245574971</v>
      </c>
      <c r="O15" s="17">
        <f t="shared" si="11"/>
        <v>7.9383704101290968</v>
      </c>
    </row>
    <row r="16" spans="2:15" x14ac:dyDescent="0.3">
      <c r="B16" s="10">
        <f>4</f>
        <v>4</v>
      </c>
      <c r="C16" s="15">
        <f>$D$6/8*(3+0.5)</f>
        <v>3.7318750000000005</v>
      </c>
      <c r="D16" s="15">
        <f t="shared" si="0"/>
        <v>1.0662500000000001</v>
      </c>
      <c r="E16" s="9">
        <f t="shared" si="1"/>
        <v>3.2681249999999995</v>
      </c>
      <c r="F16" s="9">
        <f t="shared" si="2"/>
        <v>4.7981250000000006</v>
      </c>
      <c r="G16" s="15">
        <f t="shared" si="3"/>
        <v>0.82288761515702125</v>
      </c>
      <c r="H16" s="9">
        <f t="shared" si="4"/>
        <v>23.946197916666669</v>
      </c>
      <c r="I16" s="9">
        <f t="shared" si="5"/>
        <v>3.85</v>
      </c>
      <c r="J16" s="17">
        <f t="shared" si="6"/>
        <v>187.45459458783074</v>
      </c>
      <c r="K16" s="17">
        <f t="shared" si="7"/>
        <v>122.14993607749308</v>
      </c>
      <c r="L16" s="17">
        <f t="shared" si="8"/>
        <v>114.71690623083927</v>
      </c>
      <c r="M16" s="17">
        <f t="shared" si="9"/>
        <v>38.651626478667438</v>
      </c>
      <c r="N16" s="17">
        <f t="shared" si="10"/>
        <v>25.186332263775121</v>
      </c>
      <c r="O16" s="17">
        <f t="shared" si="11"/>
        <v>8.0555688896532374</v>
      </c>
    </row>
    <row r="17" spans="2:15" x14ac:dyDescent="0.3">
      <c r="B17" s="10">
        <f>5</f>
        <v>5</v>
      </c>
      <c r="C17" s="15">
        <f>$D$6/8*(4+0.5)</f>
        <v>4.7981250000000006</v>
      </c>
      <c r="D17" s="15">
        <f t="shared" si="0"/>
        <v>1.0662500000000001</v>
      </c>
      <c r="E17" s="9">
        <f t="shared" si="1"/>
        <v>2.7</v>
      </c>
      <c r="F17" s="9">
        <f t="shared" si="2"/>
        <v>3.7318750000000005</v>
      </c>
      <c r="G17" s="15">
        <f t="shared" si="3"/>
        <v>0.7849308568924328</v>
      </c>
      <c r="H17" s="9">
        <f t="shared" si="4"/>
        <v>30.787968750000005</v>
      </c>
      <c r="I17" s="9">
        <f t="shared" si="5"/>
        <v>3.85</v>
      </c>
      <c r="J17" s="17">
        <f t="shared" si="6"/>
        <v>151.4064171016125</v>
      </c>
      <c r="K17" s="17">
        <f t="shared" si="7"/>
        <v>99.101756243160736</v>
      </c>
      <c r="L17" s="17">
        <f t="shared" si="8"/>
        <v>112.15290155675</v>
      </c>
      <c r="M17" s="17">
        <f t="shared" si="9"/>
        <v>45.287629088314382</v>
      </c>
      <c r="N17" s="17">
        <f t="shared" si="10"/>
        <v>29.642624564114382</v>
      </c>
      <c r="O17" s="17">
        <f t="shared" si="11"/>
        <v>12.135355307536928</v>
      </c>
    </row>
    <row r="18" spans="2:15" x14ac:dyDescent="0.3">
      <c r="B18" s="10">
        <f>6</f>
        <v>6</v>
      </c>
      <c r="C18" s="15">
        <f>$D$6/8*(5+0.5)</f>
        <v>5.8643750000000008</v>
      </c>
      <c r="D18" s="15">
        <f t="shared" si="0"/>
        <v>1.0662500000000001</v>
      </c>
      <c r="E18" s="9">
        <f t="shared" si="1"/>
        <v>2.7</v>
      </c>
      <c r="F18" s="9">
        <f t="shared" si="2"/>
        <v>2.6656250000000004</v>
      </c>
      <c r="G18" s="15">
        <f t="shared" si="3"/>
        <v>0.48718958282735697</v>
      </c>
      <c r="H18" s="9">
        <f t="shared" si="4"/>
        <v>37.62973958333334</v>
      </c>
      <c r="I18" s="9">
        <f t="shared" si="5"/>
        <v>3.85</v>
      </c>
      <c r="J18" s="17">
        <f t="shared" si="6"/>
        <v>112.19917077869646</v>
      </c>
      <c r="K18" s="17">
        <f t="shared" si="7"/>
        <v>73.659971650262307</v>
      </c>
      <c r="L18" s="17">
        <f t="shared" si="8"/>
        <v>83.110496873108488</v>
      </c>
      <c r="M18" s="17">
        <f t="shared" si="9"/>
        <v>92.089275629755889</v>
      </c>
      <c r="N18" s="17">
        <f t="shared" si="10"/>
        <v>60.457607530455761</v>
      </c>
      <c r="O18" s="17">
        <f t="shared" si="11"/>
        <v>34.546973272593064</v>
      </c>
    </row>
    <row r="19" spans="2:15" x14ac:dyDescent="0.3">
      <c r="B19" s="10">
        <f>7</f>
        <v>7</v>
      </c>
      <c r="C19" s="15">
        <f>$D$6/8*(6+0.5)</f>
        <v>6.9306250000000009</v>
      </c>
      <c r="D19" s="15">
        <f t="shared" si="0"/>
        <v>1.0662500000000001</v>
      </c>
      <c r="E19" s="9">
        <f t="shared" si="1"/>
        <v>2.7</v>
      </c>
      <c r="F19" s="9">
        <f t="shared" si="2"/>
        <v>1.5993750000000002</v>
      </c>
      <c r="G19" s="15">
        <f t="shared" si="3"/>
        <v>0.10962713676953431</v>
      </c>
      <c r="H19" s="9">
        <f t="shared" si="4"/>
        <v>44.471510416666675</v>
      </c>
      <c r="I19" s="9">
        <f t="shared" si="5"/>
        <v>3.85</v>
      </c>
      <c r="J19" s="17">
        <f t="shared" si="6"/>
        <v>29.347860989719791</v>
      </c>
      <c r="K19" s="17">
        <f t="shared" si="7"/>
        <v>19.308836490301353</v>
      </c>
      <c r="L19" s="17">
        <f t="shared" si="8"/>
        <v>21.739156288681325</v>
      </c>
      <c r="M19" s="17">
        <f t="shared" si="9"/>
        <v>111.5172655428634</v>
      </c>
      <c r="N19" s="17">
        <f t="shared" si="10"/>
        <v>73.37054809435449</v>
      </c>
      <c r="O19" s="17">
        <f t="shared" si="11"/>
        <v>69.725527498468708</v>
      </c>
    </row>
    <row r="20" spans="2:15" x14ac:dyDescent="0.3">
      <c r="B20" s="10">
        <f>8</f>
        <v>8</v>
      </c>
      <c r="C20" s="15">
        <f>$D$6/8*(7+0.5)</f>
        <v>7.9968750000000011</v>
      </c>
      <c r="D20" s="15">
        <f t="shared" si="0"/>
        <v>1.0662500000000001</v>
      </c>
      <c r="E20" s="9">
        <f t="shared" si="1"/>
        <v>2.7</v>
      </c>
      <c r="F20" s="9">
        <f t="shared" si="2"/>
        <v>0.53312500000000007</v>
      </c>
      <c r="G20" s="15">
        <f t="shared" si="3"/>
        <v>1.5177543433038021E-3</v>
      </c>
      <c r="H20" s="9">
        <f t="shared" si="4"/>
        <v>51.31328125000001</v>
      </c>
      <c r="I20" s="9">
        <f t="shared" si="5"/>
        <v>3.85</v>
      </c>
      <c r="J20" s="17">
        <f t="shared" si="6"/>
        <v>0.46308741986345137</v>
      </c>
      <c r="K20" s="17">
        <f t="shared" si="7"/>
        <v>0.30517510888593963</v>
      </c>
      <c r="L20" s="17">
        <f t="shared" si="8"/>
        <v>0.3430277184173714</v>
      </c>
      <c r="M20" s="17">
        <f t="shared" si="9"/>
        <v>47.510806845213153</v>
      </c>
      <c r="N20" s="17">
        <f t="shared" si="10"/>
        <v>31.309672926381943</v>
      </c>
      <c r="O20" s="17">
        <f t="shared" si="11"/>
        <v>89.117574387269684</v>
      </c>
    </row>
    <row r="21" spans="2:15" x14ac:dyDescent="0.3">
      <c r="B21" s="22" t="s">
        <v>686</v>
      </c>
      <c r="J21" s="23">
        <f>MAX(J13:J20)</f>
        <v>235.80701970145961</v>
      </c>
      <c r="K21" s="23">
        <f>MAX(K13:K20)</f>
        <v>151.59525816636241</v>
      </c>
      <c r="L21" s="23">
        <f>MAX(L13:L20)</f>
        <v>114.71690623083927</v>
      </c>
      <c r="M21" s="23">
        <f>SUM(M13:M20)</f>
        <v>444.17123719507231</v>
      </c>
      <c r="N21" s="23">
        <f>SUM(N13:N20)</f>
        <v>289.50999070065296</v>
      </c>
      <c r="O21" s="23">
        <f>SUM(O13:O20)</f>
        <v>230.19014166359389</v>
      </c>
    </row>
    <row r="22" spans="2:15" x14ac:dyDescent="0.3">
      <c r="B22" s="11" t="s">
        <v>687</v>
      </c>
    </row>
    <row r="24" spans="2:15" x14ac:dyDescent="0.3">
      <c r="B24" s="6" t="s">
        <v>688</v>
      </c>
    </row>
    <row r="25" spans="2:15" x14ac:dyDescent="0.3">
      <c r="B25" s="4" t="s">
        <v>689</v>
      </c>
      <c r="D25" s="23">
        <f>J21</f>
        <v>235.80701970145961</v>
      </c>
      <c r="E25" s="4" t="s">
        <v>690</v>
      </c>
    </row>
    <row r="26" spans="2:15" x14ac:dyDescent="0.3">
      <c r="B26" s="4" t="s">
        <v>691</v>
      </c>
      <c r="D26" s="23">
        <f>L21</f>
        <v>114.71690623083927</v>
      </c>
      <c r="E26" s="4" t="s">
        <v>154</v>
      </c>
    </row>
    <row r="27" spans="2:15" x14ac:dyDescent="0.3">
      <c r="B27" s="4" t="s">
        <v>692</v>
      </c>
      <c r="D27" s="23">
        <f>K21</f>
        <v>151.59525816636241</v>
      </c>
      <c r="E27" s="4" t="s">
        <v>690</v>
      </c>
    </row>
    <row r="29" spans="2:15" x14ac:dyDescent="0.3">
      <c r="B29" s="4" t="s">
        <v>693</v>
      </c>
      <c r="D29" s="23">
        <f>M21</f>
        <v>444.17123719507231</v>
      </c>
      <c r="E29" s="4" t="s">
        <v>690</v>
      </c>
    </row>
    <row r="30" spans="2:15" x14ac:dyDescent="0.3">
      <c r="B30" s="4" t="s">
        <v>694</v>
      </c>
      <c r="D30" s="23">
        <f>O21</f>
        <v>230.19014166359389</v>
      </c>
      <c r="E30" s="4" t="s">
        <v>154</v>
      </c>
    </row>
    <row r="31" spans="2:15" x14ac:dyDescent="0.3">
      <c r="B31" s="4" t="s">
        <v>695</v>
      </c>
      <c r="D31" s="23">
        <f>N21</f>
        <v>289.50999070065296</v>
      </c>
      <c r="E31" s="4" t="s">
        <v>690</v>
      </c>
    </row>
    <row r="33" spans="2:5" x14ac:dyDescent="0.3">
      <c r="B33" s="6" t="s">
        <v>696</v>
      </c>
    </row>
    <row r="34" spans="2:5" x14ac:dyDescent="0.3">
      <c r="B34" s="4" t="s">
        <v>576</v>
      </c>
      <c r="D34" s="20">
        <f>1000</f>
        <v>1000</v>
      </c>
    </row>
    <row r="35" spans="2:5" x14ac:dyDescent="0.3">
      <c r="B35" s="4" t="s">
        <v>577</v>
      </c>
      <c r="D35" s="20">
        <f>Cd3_*1000</f>
        <v>500</v>
      </c>
    </row>
    <row r="36" spans="2:5" x14ac:dyDescent="0.3">
      <c r="B36" s="4" t="s">
        <v>578</v>
      </c>
      <c r="D36" s="12">
        <v>75</v>
      </c>
      <c r="E36" s="4" t="s">
        <v>579</v>
      </c>
    </row>
    <row r="37" spans="2:5" x14ac:dyDescent="0.3">
      <c r="B37" s="4" t="s">
        <v>580</v>
      </c>
      <c r="D37" s="12">
        <v>20</v>
      </c>
      <c r="E37" s="4" t="s">
        <v>579</v>
      </c>
    </row>
    <row r="38" spans="2:5" x14ac:dyDescent="0.3">
      <c r="B38" s="4" t="s">
        <v>581</v>
      </c>
      <c r="D38" s="12">
        <v>150</v>
      </c>
      <c r="E38" s="4" t="s">
        <v>579</v>
      </c>
    </row>
    <row r="39" spans="2:5" x14ac:dyDescent="0.3">
      <c r="B39" s="4" t="s">
        <v>582</v>
      </c>
      <c r="D39" s="20">
        <f>PI()*D37^2/4*D34/D38</f>
        <v>2094.3951023931954</v>
      </c>
    </row>
    <row r="40" spans="2:5" x14ac:dyDescent="0.3">
      <c r="B40" s="4" t="s">
        <v>583</v>
      </c>
      <c r="D40" s="20">
        <f>D35-D36</f>
        <v>425</v>
      </c>
    </row>
    <row r="41" spans="2:5" x14ac:dyDescent="0.3">
      <c r="B41" s="4" t="s">
        <v>584</v>
      </c>
      <c r="D41" s="23">
        <f>D25</f>
        <v>235.80701970145961</v>
      </c>
      <c r="E41" s="4" t="s">
        <v>585</v>
      </c>
    </row>
    <row r="42" spans="2:5" x14ac:dyDescent="0.3">
      <c r="B42" s="4" t="s">
        <v>649</v>
      </c>
      <c r="D42" s="23">
        <f>D26</f>
        <v>114.71690623083927</v>
      </c>
      <c r="E42" s="4" t="s">
        <v>51</v>
      </c>
    </row>
    <row r="43" spans="2:5" x14ac:dyDescent="0.3">
      <c r="B43" s="4" t="s">
        <v>587</v>
      </c>
      <c r="D43" s="23">
        <f>D27</f>
        <v>151.59525816636241</v>
      </c>
      <c r="E43" s="4" t="s">
        <v>585</v>
      </c>
    </row>
    <row r="44" spans="2:5" x14ac:dyDescent="0.3">
      <c r="B44" s="4" t="s">
        <v>588</v>
      </c>
      <c r="D44" s="15">
        <f>MAX(0.65,MIN(0.85,0.85-0.05*(fc_-28)/7))</f>
        <v>0.83571428571428574</v>
      </c>
    </row>
    <row r="45" spans="2:5" x14ac:dyDescent="0.3">
      <c r="B45" s="4" t="s">
        <v>589</v>
      </c>
      <c r="D45" s="23">
        <f>D39*fy_/(0.85*fc_*D34)</f>
        <v>32.85325650812856</v>
      </c>
    </row>
    <row r="46" spans="2:5" x14ac:dyDescent="0.3">
      <c r="B46" s="4" t="s">
        <v>590</v>
      </c>
      <c r="D46" s="23">
        <f>D45/D44</f>
        <v>39.311588984085454</v>
      </c>
    </row>
    <row r="47" spans="2:5" x14ac:dyDescent="0.3">
      <c r="B47" s="4" t="s">
        <v>591</v>
      </c>
      <c r="D47" s="29">
        <f>0.003*(D40-D46)/D46</f>
        <v>2.9433184029171635E-2</v>
      </c>
    </row>
    <row r="48" spans="2:5" x14ac:dyDescent="0.3">
      <c r="B48" s="4" t="s">
        <v>592</v>
      </c>
      <c r="D48" s="15">
        <f>MIN(0.9,MAX(0.75,0.75+0.15*(D47-0.002)/0.003))</f>
        <v>0.9</v>
      </c>
    </row>
    <row r="49" spans="2:6" x14ac:dyDescent="0.3">
      <c r="B49" s="4" t="s">
        <v>593</v>
      </c>
      <c r="D49" s="17">
        <f>D39*fy_*(D40-D45/2)/10^6</f>
        <v>342.28562750118488</v>
      </c>
      <c r="E49" s="4" t="s">
        <v>585</v>
      </c>
    </row>
    <row r="50" spans="2:6" x14ac:dyDescent="0.3">
      <c r="B50" s="4" t="s">
        <v>594</v>
      </c>
      <c r="D50" s="23">
        <f>D48*D49</f>
        <v>308.05706475106638</v>
      </c>
      <c r="E50" s="4" t="s">
        <v>585</v>
      </c>
    </row>
    <row r="51" spans="2:6" x14ac:dyDescent="0.3">
      <c r="B51" s="4" t="s">
        <v>595</v>
      </c>
      <c r="D51" s="22" t="str">
        <f>IF(D50&gt;=D41,"ĐẠT","KHÔNG ĐẠT")</f>
        <v>ĐẠT</v>
      </c>
      <c r="E51" s="9">
        <f>IF(D41=0,"",D50/D41)</f>
        <v>1.3063948017369373</v>
      </c>
    </row>
    <row r="52" spans="2:6" x14ac:dyDescent="0.3">
      <c r="B52" s="4" t="s">
        <v>596</v>
      </c>
      <c r="D52" s="17">
        <f>1.07*fr_*D34*D35^2/6/10^6</f>
        <v>153.84157333926356</v>
      </c>
      <c r="E52" s="4" t="s">
        <v>585</v>
      </c>
      <c r="F52" s="11" t="s">
        <v>597</v>
      </c>
    </row>
    <row r="53" spans="2:6" x14ac:dyDescent="0.3">
      <c r="B53" s="4" t="s">
        <v>598</v>
      </c>
      <c r="D53" s="22" t="str">
        <f>IF(D50&gt;=MIN(D52,1.33*D41),"ĐẠT","KHÔNG ĐẠT")</f>
        <v>ĐẠT</v>
      </c>
    </row>
    <row r="54" spans="2:6" x14ac:dyDescent="0.3">
      <c r="B54" s="4" t="s">
        <v>599</v>
      </c>
      <c r="D54" s="8">
        <v>1</v>
      </c>
    </row>
    <row r="55" spans="2:6" x14ac:dyDescent="0.3">
      <c r="B55" s="4" t="s">
        <v>600</v>
      </c>
      <c r="D55" s="9">
        <f>Es_/Ec_</f>
        <v>6.3796799429981235</v>
      </c>
    </row>
    <row r="56" spans="2:6" x14ac:dyDescent="0.3">
      <c r="B56" s="4" t="s">
        <v>601</v>
      </c>
      <c r="D56" s="29">
        <f>D39/(D34*D40)</f>
        <v>4.9279884762192831E-3</v>
      </c>
    </row>
    <row r="57" spans="2:6" x14ac:dyDescent="0.3">
      <c r="B57" s="4" t="s">
        <v>602</v>
      </c>
      <c r="D57" s="15">
        <f>SQRT(2*D56*D55+(D56*D55)^2)-D56*D55</f>
        <v>0.2212790127426188</v>
      </c>
    </row>
    <row r="58" spans="2:6" x14ac:dyDescent="0.3">
      <c r="B58" s="4" t="s">
        <v>603</v>
      </c>
      <c r="D58" s="15">
        <f>1-D57/3</f>
        <v>0.92624032908579368</v>
      </c>
    </row>
    <row r="59" spans="2:6" x14ac:dyDescent="0.3">
      <c r="B59" s="4" t="s">
        <v>1022</v>
      </c>
      <c r="D59" s="17">
        <f>D43*10^6/(D39*D58*D40)</f>
        <v>183.87148634547981</v>
      </c>
      <c r="E59" s="4" t="s">
        <v>119</v>
      </c>
    </row>
    <row r="60" spans="2:6" x14ac:dyDescent="0.3">
      <c r="B60" s="4" t="s">
        <v>604</v>
      </c>
      <c r="D60" s="15">
        <f>1+D36/(0.7*(D35-D36))</f>
        <v>1.2521008403361344</v>
      </c>
    </row>
    <row r="61" spans="2:6" x14ac:dyDescent="0.3">
      <c r="B61" s="4" t="s">
        <v>605</v>
      </c>
      <c r="D61" s="17">
        <f>IF(D59&lt;=0,9999,123000*D54/(D60*D59)-2*D36)</f>
        <v>384.25847194318942</v>
      </c>
      <c r="E61" s="4" t="s">
        <v>579</v>
      </c>
      <c r="F61" s="11" t="s">
        <v>606</v>
      </c>
    </row>
    <row r="62" spans="2:6" x14ac:dyDescent="0.3">
      <c r="B62" s="4" t="s">
        <v>1023</v>
      </c>
      <c r="D62" s="22" t="str">
        <f>IF(AND(D59&lt;=0.6*fy_,D38&lt;=D61),"ĐẠT","KHÔNG ĐẠT")</f>
        <v>ĐẠT</v>
      </c>
    </row>
    <row r="63" spans="2:6" x14ac:dyDescent="0.3">
      <c r="B63" s="4" t="s">
        <v>607</v>
      </c>
      <c r="D63" s="12">
        <v>2</v>
      </c>
      <c r="E63" s="4" t="s">
        <v>608</v>
      </c>
      <c r="F63" s="11" t="s">
        <v>609</v>
      </c>
    </row>
    <row r="64" spans="2:6" x14ac:dyDescent="0.3">
      <c r="B64" s="4" t="s">
        <v>610</v>
      </c>
      <c r="D64" s="12">
        <v>16</v>
      </c>
      <c r="E64" s="4" t="s">
        <v>579</v>
      </c>
    </row>
    <row r="65" spans="2:6" x14ac:dyDescent="0.3">
      <c r="B65" s="4" t="s">
        <v>611</v>
      </c>
      <c r="D65" s="12">
        <v>600</v>
      </c>
      <c r="E65" s="4" t="s">
        <v>579</v>
      </c>
    </row>
    <row r="66" spans="2:6" x14ac:dyDescent="0.3">
      <c r="B66" s="4" t="s">
        <v>612</v>
      </c>
      <c r="D66" s="20">
        <f>D63*PI()*D64^2/4</f>
        <v>402.12385965949352</v>
      </c>
    </row>
    <row r="67" spans="2:6" x14ac:dyDescent="0.3">
      <c r="B67" s="4" t="s">
        <v>613</v>
      </c>
      <c r="D67" s="20">
        <f>0.083*SQRT(fc_)*D34*D65/fy_</f>
        <v>681.91458409393192</v>
      </c>
    </row>
    <row r="68" spans="2:6" x14ac:dyDescent="0.3">
      <c r="B68" s="4" t="s">
        <v>614</v>
      </c>
      <c r="D68" s="23">
        <f>MAX(D40-D45/2,0.9*D40,0.72*D35)</f>
        <v>408.57337174593573</v>
      </c>
    </row>
    <row r="69" spans="2:6" x14ac:dyDescent="0.3">
      <c r="B69" s="4" t="s">
        <v>650</v>
      </c>
      <c r="D69" s="29">
        <f>MAX(0,(MAX(D41*10^6,D42*1000*D68)/D68+D42*1000)/(Es_*D39))</f>
        <v>1.6517041334169222E-3</v>
      </c>
      <c r="E69" s="4" t="s">
        <v>616</v>
      </c>
    </row>
    <row r="70" spans="2:6" x14ac:dyDescent="0.3">
      <c r="B70" s="4" t="s">
        <v>651</v>
      </c>
      <c r="D70" s="23">
        <f>MIN(2000,MAX(300,D68*35/36))</f>
        <v>397.22411141965972</v>
      </c>
    </row>
    <row r="71" spans="2:6" x14ac:dyDescent="0.3">
      <c r="B71" s="4" t="s">
        <v>652</v>
      </c>
      <c r="D71" s="15">
        <f>IF(D66&gt;=D67,4.8/(1+750*D69),4.8/(1+750*D69)*1300/(1000+D70))</f>
        <v>1.9948372451471867</v>
      </c>
    </row>
    <row r="72" spans="2:6" x14ac:dyDescent="0.3">
      <c r="B72" s="4" t="s">
        <v>620</v>
      </c>
      <c r="D72" s="23">
        <f>29+3500*D69</f>
        <v>34.780964466959226</v>
      </c>
    </row>
    <row r="73" spans="2:6" x14ac:dyDescent="0.3">
      <c r="B73" s="4" t="s">
        <v>621</v>
      </c>
      <c r="D73" s="17">
        <f>0.083*D71*SQRT(fc_)*D34*D68/1000</f>
        <v>370.52391703310781</v>
      </c>
      <c r="E73" s="4" t="s">
        <v>51</v>
      </c>
    </row>
    <row r="74" spans="2:6" x14ac:dyDescent="0.3">
      <c r="B74" s="4" t="s">
        <v>653</v>
      </c>
      <c r="D74" s="17">
        <f>IF(D66&gt;=D67,D66*fy_*D68/(TAN(RADIANS(D72))*D65)/1000,0)</f>
        <v>0</v>
      </c>
      <c r="E74" s="4" t="s">
        <v>51</v>
      </c>
      <c r="F74" s="11" t="s">
        <v>623</v>
      </c>
    </row>
    <row r="75" spans="2:6" x14ac:dyDescent="0.3">
      <c r="B75" s="4" t="s">
        <v>624</v>
      </c>
      <c r="D75" s="17">
        <f>MIN(D73+D74,0.25*fc_*D34*D68/1000)</f>
        <v>370.52391703310781</v>
      </c>
      <c r="E75" s="4" t="s">
        <v>51</v>
      </c>
    </row>
    <row r="76" spans="2:6" x14ac:dyDescent="0.3">
      <c r="B76" s="4" t="s">
        <v>625</v>
      </c>
      <c r="D76" s="23">
        <f>0.9*D75</f>
        <v>333.47152532979703</v>
      </c>
      <c r="E76" s="4" t="s">
        <v>51</v>
      </c>
    </row>
    <row r="77" spans="2:6" x14ac:dyDescent="0.3">
      <c r="B77" s="4" t="s">
        <v>654</v>
      </c>
      <c r="D77" s="22" t="str">
        <f>IF(D76&gt;=D42,"ĐẠT","KHÔNG ĐẠT")</f>
        <v>ĐẠT</v>
      </c>
      <c r="E77" s="9">
        <f>IF(D42=0,"",D76/D42)</f>
        <v>2.9069082865499216</v>
      </c>
    </row>
    <row r="78" spans="2:6" x14ac:dyDescent="0.3">
      <c r="B78" s="4" t="s">
        <v>627</v>
      </c>
      <c r="D78" s="30">
        <f>D42*1000/(0.9*D34*D68)</f>
        <v>0.31197145472475324</v>
      </c>
    </row>
    <row r="79" spans="2:6" x14ac:dyDescent="0.3">
      <c r="B79" s="4" t="s">
        <v>628</v>
      </c>
      <c r="D79" s="23">
        <f>IF(D78&lt;0.125*fc_,MIN(0.8*D68,600),MIN(0.4*D68,300))</f>
        <v>326.8586973967486</v>
      </c>
      <c r="E79" s="4" t="s">
        <v>629</v>
      </c>
    </row>
    <row r="80" spans="2:6" ht="27.6" x14ac:dyDescent="0.3">
      <c r="B80" s="4" t="s">
        <v>655</v>
      </c>
      <c r="D80" s="22" t="str">
        <f>IF(OR(D63=0,D65&lt;=D79),"ĐẠT","KHÔNG ĐẠT")</f>
        <v>KHÔNG ĐẠT</v>
      </c>
    </row>
    <row r="81" spans="2:5" x14ac:dyDescent="0.3">
      <c r="B81" s="4" t="s">
        <v>631</v>
      </c>
      <c r="D81" s="30">
        <f>MIN(1.27,MAX(0.233,0.75*D34*D35/(2*(D34+D35)*fy_)))</f>
        <v>0.3125</v>
      </c>
      <c r="E81" s="4" t="s">
        <v>632</v>
      </c>
    </row>
    <row r="82" spans="2:5" x14ac:dyDescent="0.3">
      <c r="B82" s="4" t="s">
        <v>633</v>
      </c>
      <c r="D82" s="12">
        <v>16</v>
      </c>
      <c r="E82" s="4" t="s">
        <v>579</v>
      </c>
    </row>
    <row r="83" spans="2:5" x14ac:dyDescent="0.3">
      <c r="B83" s="4" t="s">
        <v>634</v>
      </c>
      <c r="D83" s="12">
        <v>200</v>
      </c>
      <c r="E83" s="4" t="s">
        <v>579</v>
      </c>
    </row>
    <row r="84" spans="2:5" x14ac:dyDescent="0.3">
      <c r="B84" s="4" t="s">
        <v>635</v>
      </c>
      <c r="D84" s="22" t="str">
        <f>IF(PI()*D82^2/4/D83&gt;=D81,"ĐẠT","KHÔNG ĐẠT")</f>
        <v>ĐẠT</v>
      </c>
    </row>
    <row r="88" spans="2:5" x14ac:dyDescent="0.3">
      <c r="B88" s="6" t="s">
        <v>697</v>
      </c>
    </row>
    <row r="89" spans="2:5" x14ac:dyDescent="0.3">
      <c r="B89" s="4" t="s">
        <v>576</v>
      </c>
      <c r="D89" s="20">
        <f>1000</f>
        <v>1000</v>
      </c>
    </row>
    <row r="90" spans="2:5" x14ac:dyDescent="0.3">
      <c r="B90" s="4" t="s">
        <v>577</v>
      </c>
      <c r="D90" s="20">
        <f>Cd3_*1000</f>
        <v>500</v>
      </c>
    </row>
    <row r="91" spans="2:5" x14ac:dyDescent="0.3">
      <c r="B91" s="4" t="s">
        <v>578</v>
      </c>
      <c r="D91" s="12">
        <v>75</v>
      </c>
      <c r="E91" s="4" t="s">
        <v>579</v>
      </c>
    </row>
    <row r="92" spans="2:5" x14ac:dyDescent="0.3">
      <c r="B92" s="4" t="s">
        <v>580</v>
      </c>
      <c r="D92" s="12">
        <v>16</v>
      </c>
      <c r="E92" s="4" t="s">
        <v>579</v>
      </c>
    </row>
    <row r="93" spans="2:5" x14ac:dyDescent="0.3">
      <c r="B93" s="4" t="s">
        <v>581</v>
      </c>
      <c r="D93" s="12">
        <v>150</v>
      </c>
      <c r="E93" s="4" t="s">
        <v>579</v>
      </c>
    </row>
    <row r="94" spans="2:5" x14ac:dyDescent="0.3">
      <c r="B94" s="4" t="s">
        <v>582</v>
      </c>
      <c r="D94" s="20">
        <f>PI()*D92^2/4*D89/D93</f>
        <v>1340.4128655316449</v>
      </c>
    </row>
    <row r="95" spans="2:5" x14ac:dyDescent="0.3">
      <c r="B95" s="4" t="s">
        <v>583</v>
      </c>
      <c r="D95" s="20">
        <f>D90-D91</f>
        <v>425</v>
      </c>
    </row>
    <row r="96" spans="2:5" x14ac:dyDescent="0.3">
      <c r="B96" s="4" t="s">
        <v>584</v>
      </c>
      <c r="D96" s="23">
        <f>D29</f>
        <v>444.17123719507231</v>
      </c>
      <c r="E96" s="4" t="s">
        <v>585</v>
      </c>
    </row>
    <row r="97" spans="2:6" x14ac:dyDescent="0.3">
      <c r="B97" s="4" t="s">
        <v>649</v>
      </c>
      <c r="D97" s="23">
        <f>D30</f>
        <v>230.19014166359389</v>
      </c>
      <c r="E97" s="4" t="s">
        <v>51</v>
      </c>
    </row>
    <row r="98" spans="2:6" x14ac:dyDescent="0.3">
      <c r="B98" s="4" t="s">
        <v>587</v>
      </c>
      <c r="D98" s="23">
        <f>D31</f>
        <v>289.50999070065296</v>
      </c>
      <c r="E98" s="4" t="s">
        <v>585</v>
      </c>
    </row>
    <row r="99" spans="2:6" x14ac:dyDescent="0.3">
      <c r="B99" s="4" t="s">
        <v>588</v>
      </c>
      <c r="D99" s="15">
        <f>MAX(0.65,MIN(0.85,0.85-0.05*(fc_-28)/7))</f>
        <v>0.83571428571428574</v>
      </c>
    </row>
    <row r="100" spans="2:6" x14ac:dyDescent="0.3">
      <c r="B100" s="4" t="s">
        <v>589</v>
      </c>
      <c r="D100" s="23">
        <f>D94*fy_/(0.85*fc_*D89)</f>
        <v>21.026084165202271</v>
      </c>
    </row>
    <row r="101" spans="2:6" x14ac:dyDescent="0.3">
      <c r="B101" s="4" t="s">
        <v>590</v>
      </c>
      <c r="D101" s="23">
        <f>D100/D99</f>
        <v>25.15941694981468</v>
      </c>
    </row>
    <row r="102" spans="2:6" x14ac:dyDescent="0.3">
      <c r="B102" s="4" t="s">
        <v>591</v>
      </c>
      <c r="D102" s="29">
        <f>0.003*(D95-D101)/D101</f>
        <v>4.7676850045580706E-2</v>
      </c>
    </row>
    <row r="103" spans="2:6" x14ac:dyDescent="0.3">
      <c r="B103" s="4" t="s">
        <v>592</v>
      </c>
      <c r="D103" s="15">
        <f>MIN(0.9,MAX(0.75,0.75+0.15*(D102-0.002)/0.003))</f>
        <v>0.9</v>
      </c>
    </row>
    <row r="104" spans="2:6" x14ac:dyDescent="0.3">
      <c r="B104" s="4" t="s">
        <v>593</v>
      </c>
      <c r="D104" s="17">
        <f>D94*fy_*(D95-D100/2)/10^6</f>
        <v>222.23346039502195</v>
      </c>
      <c r="E104" s="4" t="s">
        <v>585</v>
      </c>
    </row>
    <row r="105" spans="2:6" x14ac:dyDescent="0.3">
      <c r="B105" s="4" t="s">
        <v>594</v>
      </c>
      <c r="D105" s="23">
        <f>D103*D104</f>
        <v>200.01011435551976</v>
      </c>
      <c r="E105" s="4" t="s">
        <v>585</v>
      </c>
    </row>
    <row r="106" spans="2:6" ht="27.6" x14ac:dyDescent="0.3">
      <c r="B106" s="4" t="s">
        <v>595</v>
      </c>
      <c r="D106" s="22" t="str">
        <f>IF(D105&gt;=D96,"ĐẠT","KHÔNG ĐẠT")</f>
        <v>KHÔNG ĐẠT</v>
      </c>
      <c r="E106" s="9">
        <f>IF(D96=0,"",D105/D96)</f>
        <v>0.45029956378665464</v>
      </c>
    </row>
    <row r="107" spans="2:6" x14ac:dyDescent="0.3">
      <c r="B107" s="4" t="s">
        <v>596</v>
      </c>
      <c r="D107" s="17">
        <f>1.07*fr_*D89*D90^2/6/10^6</f>
        <v>153.84157333926356</v>
      </c>
      <c r="E107" s="4" t="s">
        <v>585</v>
      </c>
      <c r="F107" s="11" t="s">
        <v>597</v>
      </c>
    </row>
    <row r="108" spans="2:6" x14ac:dyDescent="0.3">
      <c r="B108" s="4" t="s">
        <v>598</v>
      </c>
      <c r="D108" s="22" t="str">
        <f>IF(D105&gt;=MIN(D107,1.33*D96),"ĐẠT","KHÔNG ĐẠT")</f>
        <v>ĐẠT</v>
      </c>
    </row>
    <row r="109" spans="2:6" x14ac:dyDescent="0.3">
      <c r="B109" s="4" t="s">
        <v>599</v>
      </c>
      <c r="D109" s="8">
        <v>1</v>
      </c>
    </row>
    <row r="110" spans="2:6" x14ac:dyDescent="0.3">
      <c r="B110" s="4" t="s">
        <v>600</v>
      </c>
      <c r="D110" s="9">
        <f>Es_/Ec_</f>
        <v>6.3796799429981235</v>
      </c>
    </row>
    <row r="111" spans="2:6" x14ac:dyDescent="0.3">
      <c r="B111" s="4" t="s">
        <v>601</v>
      </c>
      <c r="D111" s="29">
        <f>D94/(D89*D95)</f>
        <v>3.1539126247803408E-3</v>
      </c>
    </row>
    <row r="112" spans="2:6" x14ac:dyDescent="0.3">
      <c r="B112" s="4" t="s">
        <v>602</v>
      </c>
      <c r="D112" s="15">
        <f>SQRT(2*D111*D110+(D111*D110)^2)-D111*D110</f>
        <v>0.18148946076056571</v>
      </c>
    </row>
    <row r="113" spans="2:6" x14ac:dyDescent="0.3">
      <c r="B113" s="4" t="s">
        <v>603</v>
      </c>
      <c r="D113" s="15">
        <f>1-D112/3</f>
        <v>0.93950351307981139</v>
      </c>
    </row>
    <row r="114" spans="2:6" x14ac:dyDescent="0.3">
      <c r="B114" s="4" t="s">
        <v>1022</v>
      </c>
      <c r="D114" s="17">
        <f>D98*10^6/(D94*D113*D95)</f>
        <v>540.925716893193</v>
      </c>
      <c r="E114" s="4" t="s">
        <v>119</v>
      </c>
    </row>
    <row r="115" spans="2:6" x14ac:dyDescent="0.3">
      <c r="B115" s="4" t="s">
        <v>604</v>
      </c>
      <c r="D115" s="15">
        <f>1+D91/(0.7*(D90-D91))</f>
        <v>1.2521008403361344</v>
      </c>
    </row>
    <row r="116" spans="2:6" x14ac:dyDescent="0.3">
      <c r="B116" s="4" t="s">
        <v>605</v>
      </c>
      <c r="D116" s="17">
        <f>IF(D114&lt;=0,9999,123000*D109/(D115*D114)-2*D91)</f>
        <v>31.605156236740299</v>
      </c>
      <c r="E116" s="4" t="s">
        <v>579</v>
      </c>
      <c r="F116" s="11" t="s">
        <v>606</v>
      </c>
    </row>
    <row r="117" spans="2:6" ht="27.6" x14ac:dyDescent="0.3">
      <c r="B117" s="4" t="s">
        <v>1023</v>
      </c>
      <c r="D117" s="22" t="str">
        <f>IF(AND(D114&lt;=0.6*fy_,D93&lt;=D116),"ĐẠT","KHÔNG ĐẠT")</f>
        <v>KHÔNG ĐẠT</v>
      </c>
    </row>
    <row r="118" spans="2:6" x14ac:dyDescent="0.3">
      <c r="B118" s="4" t="s">
        <v>607</v>
      </c>
      <c r="D118" s="12">
        <v>2</v>
      </c>
      <c r="E118" s="4" t="s">
        <v>608</v>
      </c>
      <c r="F118" s="11" t="s">
        <v>609</v>
      </c>
    </row>
    <row r="119" spans="2:6" x14ac:dyDescent="0.3">
      <c r="B119" s="4" t="s">
        <v>610</v>
      </c>
      <c r="D119" s="12">
        <v>16</v>
      </c>
      <c r="E119" s="4" t="s">
        <v>579</v>
      </c>
    </row>
    <row r="120" spans="2:6" x14ac:dyDescent="0.3">
      <c r="B120" s="4" t="s">
        <v>611</v>
      </c>
      <c r="D120" s="12">
        <v>600</v>
      </c>
      <c r="E120" s="4" t="s">
        <v>579</v>
      </c>
    </row>
    <row r="121" spans="2:6" x14ac:dyDescent="0.3">
      <c r="B121" s="4" t="s">
        <v>612</v>
      </c>
      <c r="D121" s="20">
        <f>D118*PI()*D119^2/4</f>
        <v>402.12385965949352</v>
      </c>
    </row>
    <row r="122" spans="2:6" x14ac:dyDescent="0.3">
      <c r="B122" s="4" t="s">
        <v>613</v>
      </c>
      <c r="D122" s="20">
        <f>0.083*SQRT(fc_)*D89*D120/fy_</f>
        <v>681.91458409393192</v>
      </c>
    </row>
    <row r="123" spans="2:6" x14ac:dyDescent="0.3">
      <c r="B123" s="4" t="s">
        <v>614</v>
      </c>
      <c r="D123" s="23">
        <f>MAX(D95-D100/2,0.9*D95,0.72*D90)</f>
        <v>414.48695791739885</v>
      </c>
    </row>
    <row r="124" spans="2:6" x14ac:dyDescent="0.3">
      <c r="B124" s="4" t="s">
        <v>650</v>
      </c>
      <c r="D124" s="29">
        <f>MAX(0,(MAX(D96*10^6,D97*1000*D123)/D123+D97*1000)/(Es_*D94))</f>
        <v>4.8559928626110442E-3</v>
      </c>
      <c r="E124" s="4" t="s">
        <v>616</v>
      </c>
    </row>
    <row r="125" spans="2:6" x14ac:dyDescent="0.3">
      <c r="B125" s="4" t="s">
        <v>651</v>
      </c>
      <c r="D125" s="23">
        <f>MIN(2000,MAX(300,D123*35/36))</f>
        <v>402.97343130858218</v>
      </c>
    </row>
    <row r="126" spans="2:6" x14ac:dyDescent="0.3">
      <c r="B126" s="4" t="s">
        <v>652</v>
      </c>
      <c r="D126" s="15">
        <f>IF(D121&gt;=D122,4.8/(1+750*D124),4.8/(1+750*D124)*1300/(1000+D125))</f>
        <v>0.95814338963999779</v>
      </c>
    </row>
    <row r="127" spans="2:6" x14ac:dyDescent="0.3">
      <c r="B127" s="4" t="s">
        <v>620</v>
      </c>
      <c r="D127" s="23">
        <f>29+3500*D124</f>
        <v>45.995975019138655</v>
      </c>
    </row>
    <row r="128" spans="2:6" x14ac:dyDescent="0.3">
      <c r="B128" s="4" t="s">
        <v>621</v>
      </c>
      <c r="D128" s="17">
        <f>0.083*D126*SQRT(fc_)*D89*D123/1000</f>
        <v>180.54276825249005</v>
      </c>
      <c r="E128" s="4" t="s">
        <v>51</v>
      </c>
    </row>
    <row r="129" spans="2:6" x14ac:dyDescent="0.3">
      <c r="B129" s="4" t="s">
        <v>653</v>
      </c>
      <c r="D129" s="17">
        <f>IF(D121&gt;=D122,D121*fy_*D123/(TAN(RADIANS(D127))*D120)/1000,0)</f>
        <v>0</v>
      </c>
      <c r="E129" s="4" t="s">
        <v>51</v>
      </c>
      <c r="F129" s="11" t="s">
        <v>623</v>
      </c>
    </row>
    <row r="130" spans="2:6" x14ac:dyDescent="0.3">
      <c r="B130" s="4" t="s">
        <v>624</v>
      </c>
      <c r="D130" s="17">
        <f>MIN(D128+D129,0.25*fc_*D89*D123/1000)</f>
        <v>180.54276825249005</v>
      </c>
      <c r="E130" s="4" t="s">
        <v>51</v>
      </c>
    </row>
    <row r="131" spans="2:6" x14ac:dyDescent="0.3">
      <c r="B131" s="4" t="s">
        <v>625</v>
      </c>
      <c r="D131" s="23">
        <f>0.9*D130</f>
        <v>162.48849142724106</v>
      </c>
      <c r="E131" s="4" t="s">
        <v>51</v>
      </c>
    </row>
    <row r="132" spans="2:6" ht="27.6" x14ac:dyDescent="0.3">
      <c r="B132" s="4" t="s">
        <v>654</v>
      </c>
      <c r="D132" s="22" t="str">
        <f>IF(D131&gt;=D97,"ĐẠT","KHÔNG ĐẠT")</f>
        <v>KHÔNG ĐẠT</v>
      </c>
      <c r="E132" s="9">
        <f>IF(D97=0,"",D131/D97)</f>
        <v>0.70588814209387885</v>
      </c>
    </row>
    <row r="133" spans="2:6" x14ac:dyDescent="0.3">
      <c r="B133" s="4" t="s">
        <v>627</v>
      </c>
      <c r="D133" s="30">
        <f>D97*1000/(0.9*D89*D123)</f>
        <v>0.61706844856052245</v>
      </c>
    </row>
    <row r="134" spans="2:6" x14ac:dyDescent="0.3">
      <c r="B134" s="4" t="s">
        <v>628</v>
      </c>
      <c r="D134" s="23">
        <f>IF(D133&lt;0.125*fc_,MIN(0.8*D123,600),MIN(0.4*D123,300))</f>
        <v>331.58956633391909</v>
      </c>
      <c r="E134" s="4" t="s">
        <v>629</v>
      </c>
    </row>
    <row r="135" spans="2:6" ht="27.6" x14ac:dyDescent="0.3">
      <c r="B135" s="4" t="s">
        <v>655</v>
      </c>
      <c r="D135" s="22" t="str">
        <f>IF(OR(D118=0,D120&lt;=D134),"ĐẠT","KHÔNG ĐẠT")</f>
        <v>KHÔNG ĐẠT</v>
      </c>
    </row>
    <row r="136" spans="2:6" x14ac:dyDescent="0.3">
      <c r="B136" s="4" t="s">
        <v>631</v>
      </c>
      <c r="D136" s="30">
        <f>MIN(1.27,MAX(0.233,0.75*D89*D90/(2*(D89+D90)*fy_)))</f>
        <v>0.3125</v>
      </c>
      <c r="E136" s="4" t="s">
        <v>632</v>
      </c>
    </row>
    <row r="137" spans="2:6" x14ac:dyDescent="0.3">
      <c r="B137" s="4" t="s">
        <v>633</v>
      </c>
      <c r="D137" s="12">
        <v>16</v>
      </c>
      <c r="E137" s="4" t="s">
        <v>579</v>
      </c>
    </row>
    <row r="138" spans="2:6" x14ac:dyDescent="0.3">
      <c r="B138" s="4" t="s">
        <v>634</v>
      </c>
      <c r="D138" s="12">
        <v>200</v>
      </c>
      <c r="E138" s="4" t="s">
        <v>579</v>
      </c>
    </row>
    <row r="139" spans="2:6" x14ac:dyDescent="0.3">
      <c r="B139" s="4" t="s">
        <v>635</v>
      </c>
      <c r="D139" s="22" t="str">
        <f>IF(PI()*D137^2/4/D138&gt;=D136,"ĐẠT","KHÔNG ĐẠT")</f>
        <v>ĐẠT</v>
      </c>
    </row>
    <row r="142" spans="2:6" x14ac:dyDescent="0.3">
      <c r="B142" s="11" t="s">
        <v>698</v>
      </c>
    </row>
    <row r="143" spans="2:6" x14ac:dyDescent="0.3">
      <c r="B143" s="11" t="s">
        <v>699</v>
      </c>
    </row>
  </sheetData>
  <conditionalFormatting sqref="D51">
    <cfRule type="cellIs" dxfId="44" priority="1" operator="equal">
      <formula>"ĐẠT"</formula>
    </cfRule>
    <cfRule type="cellIs" dxfId="43" priority="2" operator="equal">
      <formula>"KHÔNG ĐẠT"</formula>
    </cfRule>
  </conditionalFormatting>
  <conditionalFormatting sqref="D53">
    <cfRule type="cellIs" dxfId="42" priority="3" operator="equal">
      <formula>"ĐẠT"</formula>
    </cfRule>
    <cfRule type="cellIs" dxfId="41" priority="4" operator="equal">
      <formula>"KHÔNG ĐẠT"</formula>
    </cfRule>
  </conditionalFormatting>
  <conditionalFormatting sqref="D62">
    <cfRule type="cellIs" dxfId="40" priority="5" operator="equal">
      <formula>"ĐẠT"</formula>
    </cfRule>
    <cfRule type="cellIs" dxfId="39" priority="6" operator="equal">
      <formula>"KHÔNG ĐẠT"</formula>
    </cfRule>
  </conditionalFormatting>
  <conditionalFormatting sqref="D77">
    <cfRule type="cellIs" dxfId="38" priority="7" operator="equal">
      <formula>"ĐẠT"</formula>
    </cfRule>
    <cfRule type="cellIs" dxfId="37" priority="8" operator="equal">
      <formula>"KHÔNG ĐẠT"</formula>
    </cfRule>
  </conditionalFormatting>
  <conditionalFormatting sqref="D80">
    <cfRule type="cellIs" dxfId="36" priority="9" operator="equal">
      <formula>"ĐẠT"</formula>
    </cfRule>
    <cfRule type="cellIs" dxfId="35" priority="10" operator="equal">
      <formula>"KHÔNG ĐẠT"</formula>
    </cfRule>
  </conditionalFormatting>
  <conditionalFormatting sqref="D84">
    <cfRule type="cellIs" dxfId="34" priority="11" operator="equal">
      <formula>"ĐẠT"</formula>
    </cfRule>
    <cfRule type="cellIs" dxfId="33" priority="12" operator="equal">
      <formula>"KHÔNG ĐẠT"</formula>
    </cfRule>
  </conditionalFormatting>
  <conditionalFormatting sqref="D106">
    <cfRule type="cellIs" dxfId="32" priority="13" operator="equal">
      <formula>"ĐẠT"</formula>
    </cfRule>
    <cfRule type="cellIs" dxfId="31" priority="14" operator="equal">
      <formula>"KHÔNG ĐẠT"</formula>
    </cfRule>
  </conditionalFormatting>
  <conditionalFormatting sqref="D108">
    <cfRule type="cellIs" dxfId="30" priority="15" operator="equal">
      <formula>"ĐẠT"</formula>
    </cfRule>
    <cfRule type="cellIs" dxfId="29" priority="16" operator="equal">
      <formula>"KHÔNG ĐẠT"</formula>
    </cfRule>
  </conditionalFormatting>
  <conditionalFormatting sqref="D117">
    <cfRule type="cellIs" dxfId="28" priority="17" operator="equal">
      <formula>"ĐẠT"</formula>
    </cfRule>
    <cfRule type="cellIs" dxfId="27" priority="18" operator="equal">
      <formula>"KHÔNG ĐẠT"</formula>
    </cfRule>
  </conditionalFormatting>
  <conditionalFormatting sqref="D132">
    <cfRule type="cellIs" dxfId="26" priority="19" operator="equal">
      <formula>"ĐẠT"</formula>
    </cfRule>
    <cfRule type="cellIs" dxfId="25" priority="20" operator="equal">
      <formula>"KHÔNG ĐẠT"</formula>
    </cfRule>
  </conditionalFormatting>
  <conditionalFormatting sqref="D135">
    <cfRule type="cellIs" dxfId="24" priority="21" operator="equal">
      <formula>"ĐẠT"</formula>
    </cfRule>
    <cfRule type="cellIs" dxfId="23" priority="22" operator="equal">
      <formula>"KHÔNG ĐẠT"</formula>
    </cfRule>
  </conditionalFormatting>
  <conditionalFormatting sqref="D139">
    <cfRule type="cellIs" dxfId="22" priority="23" operator="equal">
      <formula>"ĐẠT"</formula>
    </cfRule>
    <cfRule type="cellIs" dxfId="21" priority="24" operator="equal">
      <formula>"KHÔNG ĐẠT"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B2:F64"/>
  <sheetViews>
    <sheetView workbookViewId="0"/>
  </sheetViews>
  <sheetFormatPr defaultRowHeight="14.4" x14ac:dyDescent="0.3"/>
  <cols>
    <col min="1" max="1" width="2" customWidth="1"/>
    <col min="2" max="2" width="46" customWidth="1"/>
    <col min="3" max="3" width="4" customWidth="1"/>
    <col min="4" max="4" width="14" customWidth="1"/>
    <col min="5" max="5" width="10" customWidth="1"/>
    <col min="6" max="6" width="52" customWidth="1"/>
  </cols>
  <sheetData>
    <row r="2" spans="2:5" ht="16.8" x14ac:dyDescent="0.3">
      <c r="B2" s="1" t="s">
        <v>700</v>
      </c>
    </row>
    <row r="4" spans="2:5" x14ac:dyDescent="0.3">
      <c r="B4" s="6" t="s">
        <v>701</v>
      </c>
    </row>
    <row r="5" spans="2:5" x14ac:dyDescent="0.3">
      <c r="B5" s="4" t="s">
        <v>702</v>
      </c>
      <c r="D5" s="15">
        <f>IF(H7_&lt;=1.5,1.2,IF(H7_&lt;=3,0.9+(3-H7_)*0.3/1.5,IF(H7_&lt;=6,0.6+(6-H7_)*0.3/3,0.6)))</f>
        <v>1.2</v>
      </c>
    </row>
    <row r="6" spans="2:5" x14ac:dyDescent="0.3">
      <c r="B6" s="4" t="s">
        <v>703</v>
      </c>
      <c r="D6" s="17">
        <f>0.5*gs_*H7_^2*Ka_*Cd1_/SIN(RADIANS(askew))</f>
        <v>128.46319714529602</v>
      </c>
    </row>
    <row r="7" spans="2:5" x14ac:dyDescent="0.3">
      <c r="B7" s="4" t="s">
        <v>704</v>
      </c>
      <c r="D7" s="17">
        <f>Ka_*D5*gs_*H7_*Cd1_/SIN(RADIANS(askew))</f>
        <v>243.91746293410631</v>
      </c>
    </row>
    <row r="8" spans="2:5" x14ac:dyDescent="0.3">
      <c r="B8" s="4" t="s">
        <v>705</v>
      </c>
      <c r="D8" s="23">
        <f>1.5*D6*H7_/3+1.75*D7*H7_/2</f>
        <v>350.96145460094863</v>
      </c>
    </row>
    <row r="9" spans="2:5" x14ac:dyDescent="0.3">
      <c r="B9" s="4" t="s">
        <v>706</v>
      </c>
      <c r="D9" s="23">
        <f>1.5*D6+1.75*D7</f>
        <v>619.55035585262999</v>
      </c>
    </row>
    <row r="10" spans="2:5" x14ac:dyDescent="0.3">
      <c r="B10" s="4" t="s">
        <v>707</v>
      </c>
      <c r="D10" s="23">
        <f>D6*H7_/3+D7*H7_/2</f>
        <v>208.28166363823991</v>
      </c>
    </row>
    <row r="11" spans="2:5" x14ac:dyDescent="0.3">
      <c r="B11" s="11" t="s">
        <v>708</v>
      </c>
    </row>
    <row r="13" spans="2:5" x14ac:dyDescent="0.3">
      <c r="B13" s="6" t="s">
        <v>709</v>
      </c>
    </row>
    <row r="14" spans="2:5" x14ac:dyDescent="0.3">
      <c r="B14" s="4" t="s">
        <v>576</v>
      </c>
      <c r="D14" s="20">
        <f>Cd1_/SIN(RADIANS(askew))*1000</f>
        <v>25061.386541807733</v>
      </c>
    </row>
    <row r="15" spans="2:5" x14ac:dyDescent="0.3">
      <c r="B15" s="4" t="s">
        <v>577</v>
      </c>
      <c r="D15" s="20">
        <f>B7_*SIN(RADIANS(askew))*1000</f>
        <v>469.84631039295414</v>
      </c>
    </row>
    <row r="16" spans="2:5" x14ac:dyDescent="0.3">
      <c r="B16" s="4" t="s">
        <v>578</v>
      </c>
      <c r="D16" s="12">
        <v>75</v>
      </c>
      <c r="E16" s="4" t="s">
        <v>579</v>
      </c>
    </row>
    <row r="17" spans="2:6" x14ac:dyDescent="0.3">
      <c r="B17" s="4" t="s">
        <v>580</v>
      </c>
      <c r="D17" s="12">
        <v>16</v>
      </c>
      <c r="E17" s="4" t="s">
        <v>579</v>
      </c>
    </row>
    <row r="18" spans="2:6" x14ac:dyDescent="0.3">
      <c r="B18" s="4" t="s">
        <v>581</v>
      </c>
      <c r="D18" s="12">
        <v>150</v>
      </c>
      <c r="E18" s="4" t="s">
        <v>579</v>
      </c>
    </row>
    <row r="19" spans="2:6" x14ac:dyDescent="0.3">
      <c r="B19" s="4" t="s">
        <v>582</v>
      </c>
      <c r="D19" s="20">
        <f>PI()*D17^2/4*D14/D18</f>
        <v>33592.604948700711</v>
      </c>
    </row>
    <row r="20" spans="2:6" x14ac:dyDescent="0.3">
      <c r="B20" s="4" t="s">
        <v>583</v>
      </c>
      <c r="D20" s="20">
        <f>D15-D16</f>
        <v>394.84631039295414</v>
      </c>
    </row>
    <row r="21" spans="2:6" x14ac:dyDescent="0.3">
      <c r="B21" s="4" t="s">
        <v>584</v>
      </c>
      <c r="D21" s="23">
        <f>D8</f>
        <v>350.96145460094863</v>
      </c>
      <c r="E21" s="4" t="s">
        <v>585</v>
      </c>
    </row>
    <row r="22" spans="2:6" x14ac:dyDescent="0.3">
      <c r="B22" s="4" t="s">
        <v>649</v>
      </c>
      <c r="D22" s="23">
        <f>D9</f>
        <v>619.55035585262999</v>
      </c>
      <c r="E22" s="4" t="s">
        <v>51</v>
      </c>
    </row>
    <row r="23" spans="2:6" x14ac:dyDescent="0.3">
      <c r="B23" s="4" t="s">
        <v>587</v>
      </c>
      <c r="D23" s="23">
        <f>D10</f>
        <v>208.28166363823991</v>
      </c>
      <c r="E23" s="4" t="s">
        <v>585</v>
      </c>
    </row>
    <row r="24" spans="2:6" x14ac:dyDescent="0.3">
      <c r="B24" s="4" t="s">
        <v>588</v>
      </c>
      <c r="D24" s="15">
        <f>MAX(0.65,MIN(0.85,0.85-0.05*(fc_-28)/7))</f>
        <v>0.83571428571428574</v>
      </c>
    </row>
    <row r="25" spans="2:6" x14ac:dyDescent="0.3">
      <c r="B25" s="4" t="s">
        <v>589</v>
      </c>
      <c r="D25" s="23">
        <f>D19*fy_/(0.85*fc_*D14)</f>
        <v>21.026084165202281</v>
      </c>
    </row>
    <row r="26" spans="2:6" x14ac:dyDescent="0.3">
      <c r="B26" s="4" t="s">
        <v>590</v>
      </c>
      <c r="D26" s="23">
        <f>D25/D24</f>
        <v>25.159416949814695</v>
      </c>
    </row>
    <row r="27" spans="2:6" x14ac:dyDescent="0.3">
      <c r="B27" s="4" t="s">
        <v>591</v>
      </c>
      <c r="D27" s="29">
        <f>0.003*(D20-D26)/D26</f>
        <v>4.4081334736081272E-2</v>
      </c>
    </row>
    <row r="28" spans="2:6" x14ac:dyDescent="0.3">
      <c r="B28" s="4" t="s">
        <v>592</v>
      </c>
      <c r="D28" s="15">
        <f>MIN(0.9,MAX(0.75,0.75+0.15*(D27-0.002)/0.003))</f>
        <v>0.9</v>
      </c>
    </row>
    <row r="29" spans="2:6" x14ac:dyDescent="0.3">
      <c r="B29" s="4" t="s">
        <v>593</v>
      </c>
      <c r="D29" s="17">
        <f>D19*fy_*(D20-D25/2)/10^6</f>
        <v>5164.302260397073</v>
      </c>
      <c r="E29" s="4" t="s">
        <v>585</v>
      </c>
    </row>
    <row r="30" spans="2:6" x14ac:dyDescent="0.3">
      <c r="B30" s="4" t="s">
        <v>594</v>
      </c>
      <c r="D30" s="23">
        <f>D28*D29</f>
        <v>4647.8720343573659</v>
      </c>
      <c r="E30" s="4" t="s">
        <v>585</v>
      </c>
    </row>
    <row r="31" spans="2:6" x14ac:dyDescent="0.3">
      <c r="B31" s="4" t="s">
        <v>595</v>
      </c>
      <c r="D31" s="22" t="str">
        <f>IF(D30&gt;=D21,"ĐẠT","KHÔNG ĐẠT")</f>
        <v>ĐẠT</v>
      </c>
      <c r="E31" s="9">
        <f>IF(D21=0,"",D30/D21)</f>
        <v>13.24325498833513</v>
      </c>
    </row>
    <row r="32" spans="2:6" x14ac:dyDescent="0.3">
      <c r="B32" s="4" t="s">
        <v>596</v>
      </c>
      <c r="D32" s="17">
        <f>1.07*fr_*D14*D15^2/6/10^6</f>
        <v>3404.4772836313518</v>
      </c>
      <c r="E32" s="4" t="s">
        <v>585</v>
      </c>
      <c r="F32" s="11" t="s">
        <v>597</v>
      </c>
    </row>
    <row r="33" spans="2:6" x14ac:dyDescent="0.3">
      <c r="B33" s="4" t="s">
        <v>598</v>
      </c>
      <c r="D33" s="22" t="str">
        <f>IF(D30&gt;=MIN(D32,1.33*D21),"ĐẠT","KHÔNG ĐẠT")</f>
        <v>ĐẠT</v>
      </c>
    </row>
    <row r="34" spans="2:6" x14ac:dyDescent="0.3">
      <c r="B34" s="4" t="s">
        <v>599</v>
      </c>
      <c r="D34" s="8">
        <v>1</v>
      </c>
    </row>
    <row r="35" spans="2:6" x14ac:dyDescent="0.3">
      <c r="B35" s="4" t="s">
        <v>600</v>
      </c>
      <c r="D35" s="9">
        <f>Es_/Ec_</f>
        <v>6.3796799429981235</v>
      </c>
    </row>
    <row r="36" spans="2:6" x14ac:dyDescent="0.3">
      <c r="B36" s="4" t="s">
        <v>601</v>
      </c>
      <c r="D36" s="29">
        <f>D19/(D14*D20)</f>
        <v>3.394771155890138E-3</v>
      </c>
    </row>
    <row r="37" spans="2:6" x14ac:dyDescent="0.3">
      <c r="B37" s="4" t="s">
        <v>602</v>
      </c>
      <c r="D37" s="15">
        <f>SQRT(2*D36*D35+(D36*D35)^2)-D36*D35</f>
        <v>0.187589086973276</v>
      </c>
    </row>
    <row r="38" spans="2:6" x14ac:dyDescent="0.3">
      <c r="B38" s="4" t="s">
        <v>603</v>
      </c>
      <c r="D38" s="15">
        <f>1-D37/3</f>
        <v>0.93747030434224132</v>
      </c>
    </row>
    <row r="39" spans="2:6" x14ac:dyDescent="0.3">
      <c r="B39" s="4" t="s">
        <v>1022</v>
      </c>
      <c r="D39" s="17">
        <f>D23*10^6/(D19*D38*D20)</f>
        <v>16.750267666845044</v>
      </c>
      <c r="E39" s="4" t="s">
        <v>119</v>
      </c>
    </row>
    <row r="40" spans="2:6" x14ac:dyDescent="0.3">
      <c r="B40" s="4" t="s">
        <v>604</v>
      </c>
      <c r="D40" s="15">
        <f>1+D16/(0.7*(D15-D16))</f>
        <v>1.2713533198175961</v>
      </c>
    </row>
    <row r="41" spans="2:6" x14ac:dyDescent="0.3">
      <c r="B41" s="4" t="s">
        <v>605</v>
      </c>
      <c r="D41" s="17">
        <f>IF(D39&lt;=0,9999,123000*D34/(D40*D39)-2*D16)</f>
        <v>5625.8658612208237</v>
      </c>
      <c r="E41" s="4" t="s">
        <v>579</v>
      </c>
      <c r="F41" s="11" t="s">
        <v>606</v>
      </c>
    </row>
    <row r="42" spans="2:6" x14ac:dyDescent="0.3">
      <c r="B42" s="4" t="s">
        <v>1023</v>
      </c>
      <c r="D42" s="22" t="str">
        <f>IF(AND(D39&lt;=0.6*fy_,D18&lt;=D41),"ĐẠT","KHÔNG ĐẠT")</f>
        <v>ĐẠT</v>
      </c>
    </row>
    <row r="43" spans="2:6" x14ac:dyDescent="0.3">
      <c r="B43" s="4" t="s">
        <v>607</v>
      </c>
      <c r="D43" s="12">
        <v>0</v>
      </c>
      <c r="E43" s="4" t="s">
        <v>608</v>
      </c>
      <c r="F43" s="11" t="s">
        <v>609</v>
      </c>
    </row>
    <row r="44" spans="2:6" x14ac:dyDescent="0.3">
      <c r="B44" s="4" t="s">
        <v>610</v>
      </c>
      <c r="D44" s="12">
        <v>16</v>
      </c>
      <c r="E44" s="4" t="s">
        <v>579</v>
      </c>
    </row>
    <row r="45" spans="2:6" x14ac:dyDescent="0.3">
      <c r="B45" s="4" t="s">
        <v>611</v>
      </c>
      <c r="D45" s="12">
        <v>600</v>
      </c>
      <c r="E45" s="4" t="s">
        <v>579</v>
      </c>
    </row>
    <row r="46" spans="2:6" x14ac:dyDescent="0.3">
      <c r="B46" s="4" t="s">
        <v>612</v>
      </c>
      <c r="D46" s="20">
        <f>D43*PI()*D44^2/4</f>
        <v>0</v>
      </c>
    </row>
    <row r="47" spans="2:6" x14ac:dyDescent="0.3">
      <c r="B47" s="4" t="s">
        <v>613</v>
      </c>
      <c r="D47" s="20">
        <f>0.083*SQRT(fc_)*D14*D45/fy_</f>
        <v>17089.724980474079</v>
      </c>
    </row>
    <row r="48" spans="2:6" x14ac:dyDescent="0.3">
      <c r="B48" s="4" t="s">
        <v>614</v>
      </c>
      <c r="D48" s="23">
        <f>MAX(D20-D25/2,0.9*D20,0.72*D15)</f>
        <v>384.33326831035299</v>
      </c>
    </row>
    <row r="49" spans="2:6" x14ac:dyDescent="0.3">
      <c r="B49" s="4" t="s">
        <v>650</v>
      </c>
      <c r="D49" s="29">
        <f>MAX(0,(MAX(D21*10^6,D22*1000*D48)/D48+D22*1000)/(Es_*D19))</f>
        <v>2.2813353597290776E-4</v>
      </c>
      <c r="E49" s="4" t="s">
        <v>616</v>
      </c>
    </row>
    <row r="50" spans="2:6" x14ac:dyDescent="0.3">
      <c r="B50" s="4" t="s">
        <v>651</v>
      </c>
      <c r="D50" s="23">
        <f>MIN(2000,MAX(300,D48*35/36))</f>
        <v>373.65734419062096</v>
      </c>
    </row>
    <row r="51" spans="2:6" x14ac:dyDescent="0.3">
      <c r="B51" s="4" t="s">
        <v>652</v>
      </c>
      <c r="D51" s="15">
        <f>IF(D46&gt;=D47,4.8/(1+750*D49),4.8/(1+750*D49)*1300/(1000+D50))</f>
        <v>3.8789317650349582</v>
      </c>
    </row>
    <row r="52" spans="2:6" x14ac:dyDescent="0.3">
      <c r="B52" s="4" t="s">
        <v>620</v>
      </c>
      <c r="D52" s="23">
        <f>29+3500*D49</f>
        <v>29.798467375905176</v>
      </c>
    </row>
    <row r="53" spans="2:6" x14ac:dyDescent="0.3">
      <c r="B53" s="4" t="s">
        <v>621</v>
      </c>
      <c r="D53" s="17">
        <f>0.083*D51*SQRT(fc_)*D14*D48/1000</f>
        <v>16984.936743332106</v>
      </c>
      <c r="E53" s="4" t="s">
        <v>51</v>
      </c>
    </row>
    <row r="54" spans="2:6" x14ac:dyDescent="0.3">
      <c r="B54" s="4" t="s">
        <v>653</v>
      </c>
      <c r="D54" s="17">
        <f>IF(D46&gt;=D47,D46*fy_*D48/(TAN(RADIANS(D52))*D45)/1000,0)</f>
        <v>0</v>
      </c>
      <c r="E54" s="4" t="s">
        <v>51</v>
      </c>
      <c r="F54" s="11" t="s">
        <v>623</v>
      </c>
    </row>
    <row r="55" spans="2:6" x14ac:dyDescent="0.3">
      <c r="B55" s="4" t="s">
        <v>624</v>
      </c>
      <c r="D55" s="17">
        <f>MIN(D53+D54,0.25*fc_*D14*D48/1000)</f>
        <v>16984.936743332106</v>
      </c>
      <c r="E55" s="4" t="s">
        <v>51</v>
      </c>
    </row>
    <row r="56" spans="2:6" x14ac:dyDescent="0.3">
      <c r="B56" s="4" t="s">
        <v>625</v>
      </c>
      <c r="D56" s="23">
        <f>0.9*D55</f>
        <v>15286.443068998895</v>
      </c>
      <c r="E56" s="4" t="s">
        <v>51</v>
      </c>
    </row>
    <row r="57" spans="2:6" x14ac:dyDescent="0.3">
      <c r="B57" s="4" t="s">
        <v>654</v>
      </c>
      <c r="D57" s="22" t="str">
        <f>IF(D56&gt;=D22,"ĐẠT","KHÔNG ĐẠT")</f>
        <v>ĐẠT</v>
      </c>
      <c r="E57" s="9">
        <f>IF(D22=0,"",D56/D22)</f>
        <v>24.673447322875916</v>
      </c>
    </row>
    <row r="58" spans="2:6" x14ac:dyDescent="0.3">
      <c r="B58" s="4" t="s">
        <v>627</v>
      </c>
      <c r="D58" s="30">
        <f>D22*1000/(0.9*D14*D48)</f>
        <v>7.1469546639047796E-2</v>
      </c>
    </row>
    <row r="59" spans="2:6" x14ac:dyDescent="0.3">
      <c r="B59" s="4" t="s">
        <v>628</v>
      </c>
      <c r="D59" s="23">
        <f>IF(D58&lt;0.125*fc_,MIN(0.8*D48,600),MIN(0.4*D48,300))</f>
        <v>307.46661464828242</v>
      </c>
      <c r="E59" s="4" t="s">
        <v>629</v>
      </c>
    </row>
    <row r="60" spans="2:6" x14ac:dyDescent="0.3">
      <c r="B60" s="4" t="s">
        <v>655</v>
      </c>
      <c r="D60" s="22" t="str">
        <f>IF(OR(D43=0,D45&lt;=D59),"ĐẠT","KHÔNG ĐẠT")</f>
        <v>ĐẠT</v>
      </c>
    </row>
    <row r="61" spans="2:6" x14ac:dyDescent="0.3">
      <c r="B61" s="4" t="s">
        <v>631</v>
      </c>
      <c r="D61" s="30">
        <f>MIN(1.27,MAX(0.233,0.75*D14*D15/(2*(D14+D15)*fy_)))</f>
        <v>0.43237483140374389</v>
      </c>
      <c r="E61" s="4" t="s">
        <v>632</v>
      </c>
    </row>
    <row r="62" spans="2:6" x14ac:dyDescent="0.3">
      <c r="B62" s="4" t="s">
        <v>633</v>
      </c>
      <c r="D62" s="12">
        <v>16</v>
      </c>
      <c r="E62" s="4" t="s">
        <v>579</v>
      </c>
    </row>
    <row r="63" spans="2:6" x14ac:dyDescent="0.3">
      <c r="B63" s="4" t="s">
        <v>634</v>
      </c>
      <c r="D63" s="12">
        <v>200</v>
      </c>
      <c r="E63" s="4" t="s">
        <v>579</v>
      </c>
    </row>
    <row r="64" spans="2:6" x14ac:dyDescent="0.3">
      <c r="B64" s="4" t="s">
        <v>635</v>
      </c>
      <c r="D64" s="22" t="str">
        <f>IF(PI()*D62^2/4/D63&gt;=D61,"ĐẠT","KHÔNG ĐẠT")</f>
        <v>ĐẠT</v>
      </c>
    </row>
  </sheetData>
  <conditionalFormatting sqref="D31">
    <cfRule type="cellIs" dxfId="20" priority="1" operator="equal">
      <formula>"ĐẠT"</formula>
    </cfRule>
    <cfRule type="cellIs" dxfId="19" priority="2" operator="equal">
      <formula>"KHÔNG ĐẠT"</formula>
    </cfRule>
  </conditionalFormatting>
  <conditionalFormatting sqref="D33">
    <cfRule type="cellIs" dxfId="18" priority="3" operator="equal">
      <formula>"ĐẠT"</formula>
    </cfRule>
    <cfRule type="cellIs" dxfId="17" priority="4" operator="equal">
      <formula>"KHÔNG ĐẠT"</formula>
    </cfRule>
  </conditionalFormatting>
  <conditionalFormatting sqref="D42">
    <cfRule type="cellIs" dxfId="16" priority="5" operator="equal">
      <formula>"ĐẠT"</formula>
    </cfRule>
    <cfRule type="cellIs" dxfId="15" priority="6" operator="equal">
      <formula>"KHÔNG ĐẠT"</formula>
    </cfRule>
  </conditionalFormatting>
  <conditionalFormatting sqref="D57">
    <cfRule type="cellIs" dxfId="14" priority="7" operator="equal">
      <formula>"ĐẠT"</formula>
    </cfRule>
    <cfRule type="cellIs" dxfId="13" priority="8" operator="equal">
      <formula>"KHÔNG ĐẠT"</formula>
    </cfRule>
  </conditionalFormatting>
  <conditionalFormatting sqref="D60">
    <cfRule type="cellIs" dxfId="12" priority="9" operator="equal">
      <formula>"ĐẠT"</formula>
    </cfRule>
    <cfRule type="cellIs" dxfId="11" priority="10" operator="equal">
      <formula>"KHÔNG ĐẠT"</formula>
    </cfRule>
  </conditionalFormatting>
  <conditionalFormatting sqref="D64">
    <cfRule type="cellIs" dxfId="10" priority="11" operator="equal">
      <formula>"ĐẠT"</formula>
    </cfRule>
    <cfRule type="cellIs" dxfId="9" priority="12" operator="equal">
      <formula>"KHÔNG ĐẠT"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B2:K141"/>
  <sheetViews>
    <sheetView workbookViewId="0"/>
  </sheetViews>
  <sheetFormatPr defaultRowHeight="14.4" x14ac:dyDescent="0.3"/>
  <cols>
    <col min="1" max="1" width="2" customWidth="1"/>
    <col min="2" max="2" width="16" customWidth="1"/>
    <col min="3" max="11" width="12" customWidth="1"/>
    <col min="12" max="12" width="14" customWidth="1"/>
  </cols>
  <sheetData>
    <row r="2" spans="2:8" ht="16.8" x14ac:dyDescent="0.3">
      <c r="B2" s="1" t="s">
        <v>710</v>
      </c>
    </row>
    <row r="4" spans="2:8" x14ac:dyDescent="0.3">
      <c r="B4" s="6" t="s">
        <v>711</v>
      </c>
    </row>
    <row r="5" spans="2:8" x14ac:dyDescent="0.3">
      <c r="B5" s="18" t="s">
        <v>507</v>
      </c>
      <c r="C5" s="18" t="s">
        <v>499</v>
      </c>
      <c r="D5" s="18" t="s">
        <v>712</v>
      </c>
      <c r="E5" s="18" t="s">
        <v>713</v>
      </c>
      <c r="F5" s="18" t="s">
        <v>714</v>
      </c>
      <c r="G5" s="18" t="s">
        <v>715</v>
      </c>
      <c r="H5" s="18" t="s">
        <v>716</v>
      </c>
    </row>
    <row r="6" spans="2:8" x14ac:dyDescent="0.3">
      <c r="B6" s="5" t="s">
        <v>634</v>
      </c>
      <c r="C6" s="5" t="s">
        <v>634</v>
      </c>
      <c r="D6" s="5" t="s">
        <v>634</v>
      </c>
      <c r="E6" s="5" t="s">
        <v>634</v>
      </c>
      <c r="F6" s="5" t="s">
        <v>634</v>
      </c>
      <c r="G6" s="5" t="s">
        <v>634</v>
      </c>
      <c r="H6" s="5" t="s">
        <v>634</v>
      </c>
    </row>
    <row r="7" spans="2:8" x14ac:dyDescent="0.3">
      <c r="B7" s="5" t="s">
        <v>634</v>
      </c>
      <c r="C7" s="5" t="s">
        <v>634</v>
      </c>
      <c r="D7" s="5" t="s">
        <v>634</v>
      </c>
      <c r="E7" s="5" t="s">
        <v>634</v>
      </c>
      <c r="F7" s="5" t="s">
        <v>634</v>
      </c>
      <c r="G7" s="5" t="s">
        <v>634</v>
      </c>
      <c r="H7" s="5" t="s">
        <v>634</v>
      </c>
    </row>
    <row r="8" spans="2:8" x14ac:dyDescent="0.3">
      <c r="B8" s="5" t="s">
        <v>634</v>
      </c>
      <c r="C8" s="5" t="s">
        <v>634</v>
      </c>
      <c r="D8" s="5" t="s">
        <v>634</v>
      </c>
      <c r="E8" s="5" t="s">
        <v>634</v>
      </c>
      <c r="F8" s="5" t="s">
        <v>634</v>
      </c>
      <c r="G8" s="5" t="s">
        <v>634</v>
      </c>
      <c r="H8" s="5" t="s">
        <v>634</v>
      </c>
    </row>
    <row r="9" spans="2:8" x14ac:dyDescent="0.3">
      <c r="B9" s="5" t="s">
        <v>634</v>
      </c>
      <c r="C9" s="5" t="s">
        <v>634</v>
      </c>
      <c r="D9" s="5" t="s">
        <v>634</v>
      </c>
      <c r="E9" s="5" t="s">
        <v>634</v>
      </c>
      <c r="F9" s="5" t="s">
        <v>634</v>
      </c>
      <c r="G9" s="5" t="s">
        <v>634</v>
      </c>
      <c r="H9" s="5" t="s">
        <v>634</v>
      </c>
    </row>
    <row r="10" spans="2:8" x14ac:dyDescent="0.3">
      <c r="B10" s="5" t="s">
        <v>634</v>
      </c>
      <c r="C10" s="5" t="s">
        <v>634</v>
      </c>
      <c r="D10" s="5" t="s">
        <v>634</v>
      </c>
      <c r="E10" s="5" t="s">
        <v>634</v>
      </c>
      <c r="F10" s="5" t="s">
        <v>634</v>
      </c>
      <c r="G10" s="5" t="s">
        <v>634</v>
      </c>
      <c r="H10" s="5" t="s">
        <v>634</v>
      </c>
    </row>
    <row r="11" spans="2:8" x14ac:dyDescent="0.3">
      <c r="B11" s="5" t="s">
        <v>634</v>
      </c>
      <c r="C11" s="5" t="s">
        <v>634</v>
      </c>
      <c r="D11" s="5" t="s">
        <v>634</v>
      </c>
      <c r="E11" s="5" t="s">
        <v>634</v>
      </c>
      <c r="F11" s="5" t="s">
        <v>634</v>
      </c>
      <c r="G11" s="5" t="s">
        <v>634</v>
      </c>
      <c r="H11" s="5" t="s">
        <v>634</v>
      </c>
    </row>
    <row r="12" spans="2:8" x14ac:dyDescent="0.3">
      <c r="B12" s="5" t="s">
        <v>634</v>
      </c>
      <c r="C12" s="5" t="s">
        <v>634</v>
      </c>
      <c r="D12" s="5" t="s">
        <v>634</v>
      </c>
      <c r="E12" s="5" t="s">
        <v>634</v>
      </c>
      <c r="F12" s="5" t="s">
        <v>634</v>
      </c>
      <c r="G12" s="5" t="s">
        <v>634</v>
      </c>
      <c r="H12" s="5" t="s">
        <v>634</v>
      </c>
    </row>
    <row r="13" spans="2:8" x14ac:dyDescent="0.3">
      <c r="B13" s="5" t="s">
        <v>634</v>
      </c>
      <c r="C13" s="5" t="s">
        <v>634</v>
      </c>
      <c r="D13" s="5" t="s">
        <v>634</v>
      </c>
      <c r="E13" s="5" t="s">
        <v>634</v>
      </c>
      <c r="F13" s="5" t="s">
        <v>634</v>
      </c>
      <c r="G13" s="5" t="s">
        <v>634</v>
      </c>
      <c r="H13" s="5" t="s">
        <v>634</v>
      </c>
    </row>
    <row r="14" spans="2:8" x14ac:dyDescent="0.3">
      <c r="B14" s="5" t="s">
        <v>634</v>
      </c>
      <c r="C14" s="5" t="s">
        <v>634</v>
      </c>
      <c r="D14" s="5" t="s">
        <v>634</v>
      </c>
      <c r="E14" s="5" t="s">
        <v>634</v>
      </c>
      <c r="F14" s="5" t="s">
        <v>634</v>
      </c>
      <c r="G14" s="5" t="s">
        <v>634</v>
      </c>
      <c r="H14" s="5" t="s">
        <v>634</v>
      </c>
    </row>
    <row r="15" spans="2:8" x14ac:dyDescent="0.3">
      <c r="B15" s="5" t="s">
        <v>634</v>
      </c>
      <c r="C15" s="5" t="s">
        <v>634</v>
      </c>
      <c r="D15" s="5" t="s">
        <v>634</v>
      </c>
      <c r="E15" s="5" t="s">
        <v>634</v>
      </c>
      <c r="F15" s="5" t="s">
        <v>634</v>
      </c>
      <c r="G15" s="5" t="s">
        <v>634</v>
      </c>
      <c r="H15" s="5" t="s">
        <v>634</v>
      </c>
    </row>
    <row r="16" spans="2:8" x14ac:dyDescent="0.3">
      <c r="B16" s="5" t="s">
        <v>634</v>
      </c>
      <c r="C16" s="5" t="s">
        <v>634</v>
      </c>
      <c r="D16" s="5" t="s">
        <v>634</v>
      </c>
      <c r="E16" s="5" t="s">
        <v>634</v>
      </c>
      <c r="F16" s="5" t="s">
        <v>634</v>
      </c>
      <c r="G16" s="5" t="s">
        <v>634</v>
      </c>
      <c r="H16" s="5" t="s">
        <v>634</v>
      </c>
    </row>
    <row r="17" spans="2:8" x14ac:dyDescent="0.3">
      <c r="B17" s="5" t="s">
        <v>634</v>
      </c>
      <c r="C17" s="5" t="s">
        <v>634</v>
      </c>
      <c r="D17" s="5" t="s">
        <v>634</v>
      </c>
      <c r="E17" s="5" t="s">
        <v>634</v>
      </c>
      <c r="F17" s="5" t="s">
        <v>634</v>
      </c>
      <c r="G17" s="5" t="s">
        <v>634</v>
      </c>
      <c r="H17" s="5" t="s">
        <v>634</v>
      </c>
    </row>
    <row r="18" spans="2:8" x14ac:dyDescent="0.3">
      <c r="B18" s="5" t="s">
        <v>634</v>
      </c>
      <c r="C18" s="5" t="s">
        <v>634</v>
      </c>
      <c r="D18" s="5" t="s">
        <v>634</v>
      </c>
      <c r="E18" s="5" t="s">
        <v>634</v>
      </c>
      <c r="F18" s="5" t="s">
        <v>634</v>
      </c>
      <c r="G18" s="5" t="s">
        <v>634</v>
      </c>
      <c r="H18" s="5" t="s">
        <v>634</v>
      </c>
    </row>
    <row r="19" spans="2:8" x14ac:dyDescent="0.3">
      <c r="B19" s="5" t="s">
        <v>634</v>
      </c>
      <c r="C19" s="5" t="s">
        <v>634</v>
      </c>
      <c r="D19" s="5" t="s">
        <v>634</v>
      </c>
      <c r="E19" s="5" t="s">
        <v>634</v>
      </c>
      <c r="F19" s="5" t="s">
        <v>634</v>
      </c>
      <c r="G19" s="5" t="s">
        <v>634</v>
      </c>
      <c r="H19" s="5" t="s">
        <v>634</v>
      </c>
    </row>
    <row r="20" spans="2:8" x14ac:dyDescent="0.3">
      <c r="B20" s="5" t="s">
        <v>634</v>
      </c>
      <c r="C20" s="5" t="s">
        <v>634</v>
      </c>
      <c r="D20" s="5" t="s">
        <v>634</v>
      </c>
      <c r="E20" s="5" t="s">
        <v>634</v>
      </c>
      <c r="F20" s="5" t="s">
        <v>634</v>
      </c>
      <c r="G20" s="5" t="s">
        <v>634</v>
      </c>
      <c r="H20" s="5" t="s">
        <v>634</v>
      </c>
    </row>
    <row r="21" spans="2:8" x14ac:dyDescent="0.3">
      <c r="B21" s="5" t="s">
        <v>634</v>
      </c>
      <c r="C21" s="5" t="s">
        <v>634</v>
      </c>
      <c r="D21" s="5" t="s">
        <v>634</v>
      </c>
      <c r="E21" s="5" t="s">
        <v>634</v>
      </c>
      <c r="F21" s="5" t="s">
        <v>634</v>
      </c>
      <c r="G21" s="5" t="s">
        <v>634</v>
      </c>
      <c r="H21" s="5" t="s">
        <v>634</v>
      </c>
    </row>
    <row r="22" spans="2:8" x14ac:dyDescent="0.3">
      <c r="B22" s="5" t="s">
        <v>634</v>
      </c>
      <c r="C22" s="5" t="s">
        <v>634</v>
      </c>
      <c r="D22" s="5" t="s">
        <v>634</v>
      </c>
      <c r="E22" s="5" t="s">
        <v>634</v>
      </c>
      <c r="F22" s="5" t="s">
        <v>634</v>
      </c>
      <c r="G22" s="5" t="s">
        <v>634</v>
      </c>
      <c r="H22" s="5" t="s">
        <v>634</v>
      </c>
    </row>
    <row r="23" spans="2:8" x14ac:dyDescent="0.3">
      <c r="B23" s="5" t="s">
        <v>634</v>
      </c>
      <c r="C23" s="5" t="s">
        <v>634</v>
      </c>
      <c r="D23" s="5" t="s">
        <v>634</v>
      </c>
      <c r="E23" s="5" t="s">
        <v>634</v>
      </c>
      <c r="F23" s="5" t="s">
        <v>634</v>
      </c>
      <c r="G23" s="5" t="s">
        <v>634</v>
      </c>
      <c r="H23" s="5" t="s">
        <v>634</v>
      </c>
    </row>
    <row r="24" spans="2:8" x14ac:dyDescent="0.3">
      <c r="B24" s="5" t="s">
        <v>634</v>
      </c>
      <c r="C24" s="5" t="s">
        <v>634</v>
      </c>
      <c r="D24" s="5" t="s">
        <v>634</v>
      </c>
      <c r="E24" s="5" t="s">
        <v>634</v>
      </c>
      <c r="F24" s="5" t="s">
        <v>634</v>
      </c>
      <c r="G24" s="5" t="s">
        <v>634</v>
      </c>
      <c r="H24" s="5" t="s">
        <v>634</v>
      </c>
    </row>
    <row r="25" spans="2:8" x14ac:dyDescent="0.3">
      <c r="B25" s="5" t="s">
        <v>634</v>
      </c>
      <c r="C25" s="5" t="s">
        <v>634</v>
      </c>
      <c r="D25" s="5" t="s">
        <v>634</v>
      </c>
      <c r="E25" s="5" t="s">
        <v>634</v>
      </c>
      <c r="F25" s="5" t="s">
        <v>634</v>
      </c>
      <c r="G25" s="5" t="s">
        <v>634</v>
      </c>
      <c r="H25" s="5" t="s">
        <v>634</v>
      </c>
    </row>
    <row r="26" spans="2:8" x14ac:dyDescent="0.3">
      <c r="B26" s="5" t="s">
        <v>634</v>
      </c>
      <c r="C26" s="5" t="s">
        <v>634</v>
      </c>
      <c r="D26" s="5" t="s">
        <v>634</v>
      </c>
      <c r="E26" s="5" t="s">
        <v>634</v>
      </c>
      <c r="F26" s="5" t="s">
        <v>634</v>
      </c>
      <c r="G26" s="5" t="s">
        <v>634</v>
      </c>
      <c r="H26" s="5" t="s">
        <v>634</v>
      </c>
    </row>
    <row r="27" spans="2:8" x14ac:dyDescent="0.3">
      <c r="B27" s="5" t="s">
        <v>634</v>
      </c>
      <c r="C27" s="5" t="s">
        <v>634</v>
      </c>
      <c r="D27" s="5" t="s">
        <v>634</v>
      </c>
      <c r="E27" s="5" t="s">
        <v>634</v>
      </c>
      <c r="F27" s="5" t="s">
        <v>634</v>
      </c>
      <c r="G27" s="5" t="s">
        <v>634</v>
      </c>
      <c r="H27" s="5" t="s">
        <v>634</v>
      </c>
    </row>
    <row r="28" spans="2:8" x14ac:dyDescent="0.3">
      <c r="B28" s="5" t="s">
        <v>634</v>
      </c>
      <c r="C28" s="5" t="s">
        <v>634</v>
      </c>
      <c r="D28" s="5" t="s">
        <v>634</v>
      </c>
      <c r="E28" s="5" t="s">
        <v>634</v>
      </c>
      <c r="F28" s="5" t="s">
        <v>634</v>
      </c>
      <c r="G28" s="5" t="s">
        <v>634</v>
      </c>
      <c r="H28" s="5" t="s">
        <v>634</v>
      </c>
    </row>
    <row r="29" spans="2:8" x14ac:dyDescent="0.3">
      <c r="B29" s="5" t="s">
        <v>634</v>
      </c>
      <c r="C29" s="5" t="s">
        <v>634</v>
      </c>
      <c r="D29" s="5" t="s">
        <v>634</v>
      </c>
      <c r="E29" s="5" t="s">
        <v>634</v>
      </c>
      <c r="F29" s="5" t="s">
        <v>634</v>
      </c>
      <c r="G29" s="5" t="s">
        <v>634</v>
      </c>
      <c r="H29" s="5" t="s">
        <v>634</v>
      </c>
    </row>
    <row r="30" spans="2:8" x14ac:dyDescent="0.3">
      <c r="B30" s="5" t="s">
        <v>634</v>
      </c>
      <c r="C30" s="5" t="s">
        <v>634</v>
      </c>
      <c r="D30" s="5" t="s">
        <v>634</v>
      </c>
      <c r="E30" s="5" t="s">
        <v>634</v>
      </c>
      <c r="F30" s="5" t="s">
        <v>634</v>
      </c>
      <c r="G30" s="5" t="s">
        <v>634</v>
      </c>
      <c r="H30" s="5" t="s">
        <v>634</v>
      </c>
    </row>
    <row r="31" spans="2:8" x14ac:dyDescent="0.3">
      <c r="B31" s="5" t="s">
        <v>634</v>
      </c>
      <c r="C31" s="5" t="s">
        <v>634</v>
      </c>
      <c r="D31" s="5" t="s">
        <v>634</v>
      </c>
      <c r="E31" s="5" t="s">
        <v>634</v>
      </c>
      <c r="F31" s="5" t="s">
        <v>634</v>
      </c>
      <c r="G31" s="5" t="s">
        <v>634</v>
      </c>
      <c r="H31" s="5" t="s">
        <v>634</v>
      </c>
    </row>
    <row r="32" spans="2:8" x14ac:dyDescent="0.3">
      <c r="B32" s="5" t="s">
        <v>634</v>
      </c>
      <c r="C32" s="5" t="s">
        <v>634</v>
      </c>
      <c r="D32" s="5" t="s">
        <v>634</v>
      </c>
      <c r="E32" s="5" t="s">
        <v>634</v>
      </c>
      <c r="F32" s="5" t="s">
        <v>634</v>
      </c>
      <c r="G32" s="5" t="s">
        <v>634</v>
      </c>
      <c r="H32" s="5" t="s">
        <v>634</v>
      </c>
    </row>
    <row r="33" spans="2:8" x14ac:dyDescent="0.3">
      <c r="B33" s="5" t="s">
        <v>634</v>
      </c>
      <c r="C33" s="5" t="s">
        <v>634</v>
      </c>
      <c r="D33" s="5" t="s">
        <v>634</v>
      </c>
      <c r="E33" s="5" t="s">
        <v>634</v>
      </c>
      <c r="F33" s="5" t="s">
        <v>634</v>
      </c>
      <c r="G33" s="5" t="s">
        <v>634</v>
      </c>
      <c r="H33" s="5" t="s">
        <v>634</v>
      </c>
    </row>
    <row r="34" spans="2:8" x14ac:dyDescent="0.3">
      <c r="B34" s="5" t="s">
        <v>634</v>
      </c>
      <c r="C34" s="5" t="s">
        <v>634</v>
      </c>
      <c r="D34" s="5" t="s">
        <v>634</v>
      </c>
      <c r="E34" s="5" t="s">
        <v>634</v>
      </c>
      <c r="F34" s="5" t="s">
        <v>634</v>
      </c>
      <c r="G34" s="5" t="s">
        <v>634</v>
      </c>
      <c r="H34" s="5" t="s">
        <v>634</v>
      </c>
    </row>
    <row r="35" spans="2:8" x14ac:dyDescent="0.3">
      <c r="B35" s="5" t="s">
        <v>634</v>
      </c>
      <c r="C35" s="5" t="s">
        <v>634</v>
      </c>
      <c r="D35" s="5" t="s">
        <v>634</v>
      </c>
      <c r="E35" s="5" t="s">
        <v>634</v>
      </c>
      <c r="F35" s="5" t="s">
        <v>634</v>
      </c>
      <c r="G35" s="5" t="s">
        <v>634</v>
      </c>
      <c r="H35" s="5" t="s">
        <v>634</v>
      </c>
    </row>
    <row r="36" spans="2:8" x14ac:dyDescent="0.3">
      <c r="B36" s="5" t="s">
        <v>634</v>
      </c>
      <c r="C36" s="5" t="s">
        <v>634</v>
      </c>
      <c r="D36" s="5" t="s">
        <v>634</v>
      </c>
      <c r="E36" s="5" t="s">
        <v>634</v>
      </c>
      <c r="F36" s="5" t="s">
        <v>634</v>
      </c>
      <c r="G36" s="5" t="s">
        <v>634</v>
      </c>
      <c r="H36" s="5" t="s">
        <v>634</v>
      </c>
    </row>
    <row r="37" spans="2:8" x14ac:dyDescent="0.3">
      <c r="B37" s="5" t="s">
        <v>634</v>
      </c>
      <c r="C37" s="5" t="s">
        <v>634</v>
      </c>
      <c r="D37" s="5" t="s">
        <v>634</v>
      </c>
      <c r="E37" s="5" t="s">
        <v>634</v>
      </c>
      <c r="F37" s="5" t="s">
        <v>634</v>
      </c>
      <c r="G37" s="5" t="s">
        <v>634</v>
      </c>
      <c r="H37" s="5" t="s">
        <v>634</v>
      </c>
    </row>
    <row r="38" spans="2:8" x14ac:dyDescent="0.3">
      <c r="B38" s="5" t="s">
        <v>634</v>
      </c>
      <c r="C38" s="5" t="s">
        <v>634</v>
      </c>
      <c r="D38" s="5" t="s">
        <v>634</v>
      </c>
      <c r="E38" s="5" t="s">
        <v>634</v>
      </c>
      <c r="F38" s="5" t="s">
        <v>634</v>
      </c>
      <c r="G38" s="5" t="s">
        <v>634</v>
      </c>
      <c r="H38" s="5" t="s">
        <v>634</v>
      </c>
    </row>
    <row r="39" spans="2:8" x14ac:dyDescent="0.3">
      <c r="B39" s="5" t="s">
        <v>634</v>
      </c>
      <c r="C39" s="5" t="s">
        <v>634</v>
      </c>
      <c r="D39" s="5" t="s">
        <v>634</v>
      </c>
      <c r="E39" s="5" t="s">
        <v>634</v>
      </c>
      <c r="F39" s="5" t="s">
        <v>634</v>
      </c>
      <c r="G39" s="5" t="s">
        <v>634</v>
      </c>
      <c r="H39" s="5" t="s">
        <v>634</v>
      </c>
    </row>
    <row r="40" spans="2:8" x14ac:dyDescent="0.3">
      <c r="B40" s="5" t="s">
        <v>634</v>
      </c>
      <c r="C40" s="5" t="s">
        <v>634</v>
      </c>
      <c r="D40" s="5" t="s">
        <v>634</v>
      </c>
      <c r="E40" s="5" t="s">
        <v>634</v>
      </c>
      <c r="F40" s="5" t="s">
        <v>634</v>
      </c>
      <c r="G40" s="5" t="s">
        <v>634</v>
      </c>
      <c r="H40" s="5" t="s">
        <v>634</v>
      </c>
    </row>
    <row r="41" spans="2:8" x14ac:dyDescent="0.3">
      <c r="B41" s="5" t="s">
        <v>634</v>
      </c>
      <c r="C41" s="5" t="s">
        <v>634</v>
      </c>
      <c r="D41" s="5" t="s">
        <v>634</v>
      </c>
      <c r="E41" s="5" t="s">
        <v>634</v>
      </c>
      <c r="F41" s="5" t="s">
        <v>634</v>
      </c>
      <c r="G41" s="5" t="s">
        <v>634</v>
      </c>
      <c r="H41" s="5" t="s">
        <v>634</v>
      </c>
    </row>
    <row r="42" spans="2:8" x14ac:dyDescent="0.3">
      <c r="B42" s="5" t="s">
        <v>634</v>
      </c>
      <c r="C42" s="5" t="s">
        <v>634</v>
      </c>
      <c r="D42" s="5" t="s">
        <v>634</v>
      </c>
      <c r="E42" s="5" t="s">
        <v>634</v>
      </c>
      <c r="F42" s="5" t="s">
        <v>634</v>
      </c>
      <c r="G42" s="5" t="s">
        <v>634</v>
      </c>
      <c r="H42" s="5" t="s">
        <v>634</v>
      </c>
    </row>
    <row r="43" spans="2:8" x14ac:dyDescent="0.3">
      <c r="B43" s="5" t="s">
        <v>634</v>
      </c>
      <c r="C43" s="5" t="s">
        <v>634</v>
      </c>
      <c r="D43" s="5" t="s">
        <v>634</v>
      </c>
      <c r="E43" s="5" t="s">
        <v>634</v>
      </c>
      <c r="F43" s="5" t="s">
        <v>634</v>
      </c>
      <c r="G43" s="5" t="s">
        <v>634</v>
      </c>
      <c r="H43" s="5" t="s">
        <v>634</v>
      </c>
    </row>
    <row r="44" spans="2:8" x14ac:dyDescent="0.3">
      <c r="B44" s="5" t="s">
        <v>634</v>
      </c>
      <c r="C44" s="5" t="s">
        <v>634</v>
      </c>
      <c r="D44" s="5" t="s">
        <v>634</v>
      </c>
      <c r="E44" s="5" t="s">
        <v>634</v>
      </c>
      <c r="F44" s="5" t="s">
        <v>634</v>
      </c>
      <c r="G44" s="5" t="s">
        <v>634</v>
      </c>
      <c r="H44" s="5" t="s">
        <v>634</v>
      </c>
    </row>
    <row r="45" spans="2:8" x14ac:dyDescent="0.3">
      <c r="B45" s="5" t="s">
        <v>634</v>
      </c>
      <c r="C45" s="5" t="s">
        <v>634</v>
      </c>
      <c r="D45" s="5" t="s">
        <v>634</v>
      </c>
      <c r="E45" s="5" t="s">
        <v>634</v>
      </c>
      <c r="F45" s="5" t="s">
        <v>634</v>
      </c>
      <c r="G45" s="5" t="s">
        <v>634</v>
      </c>
      <c r="H45" s="5" t="s">
        <v>634</v>
      </c>
    </row>
    <row r="46" spans="2:8" x14ac:dyDescent="0.3">
      <c r="B46" s="5" t="s">
        <v>634</v>
      </c>
      <c r="C46" s="5" t="s">
        <v>634</v>
      </c>
      <c r="D46" s="5" t="s">
        <v>634</v>
      </c>
      <c r="E46" s="5" t="s">
        <v>634</v>
      </c>
      <c r="F46" s="5" t="s">
        <v>634</v>
      </c>
      <c r="G46" s="5" t="s">
        <v>634</v>
      </c>
      <c r="H46" s="5" t="s">
        <v>634</v>
      </c>
    </row>
    <row r="47" spans="2:8" x14ac:dyDescent="0.3">
      <c r="B47" s="5" t="s">
        <v>634</v>
      </c>
      <c r="C47" s="5" t="s">
        <v>634</v>
      </c>
      <c r="D47" s="5" t="s">
        <v>634</v>
      </c>
      <c r="E47" s="5" t="s">
        <v>634</v>
      </c>
      <c r="F47" s="5" t="s">
        <v>634</v>
      </c>
      <c r="G47" s="5" t="s">
        <v>634</v>
      </c>
      <c r="H47" s="5" t="s">
        <v>634</v>
      </c>
    </row>
    <row r="48" spans="2:8" x14ac:dyDescent="0.3">
      <c r="B48" s="5" t="s">
        <v>634</v>
      </c>
      <c r="C48" s="5" t="s">
        <v>634</v>
      </c>
      <c r="D48" s="5" t="s">
        <v>634</v>
      </c>
      <c r="E48" s="5" t="s">
        <v>634</v>
      </c>
      <c r="F48" s="5" t="s">
        <v>634</v>
      </c>
      <c r="G48" s="5" t="s">
        <v>634</v>
      </c>
      <c r="H48" s="5" t="s">
        <v>634</v>
      </c>
    </row>
    <row r="49" spans="2:8" x14ac:dyDescent="0.3">
      <c r="B49" s="5" t="s">
        <v>634</v>
      </c>
      <c r="C49" s="5" t="s">
        <v>634</v>
      </c>
      <c r="D49" s="5" t="s">
        <v>634</v>
      </c>
      <c r="E49" s="5" t="s">
        <v>634</v>
      </c>
      <c r="F49" s="5" t="s">
        <v>634</v>
      </c>
      <c r="G49" s="5" t="s">
        <v>634</v>
      </c>
      <c r="H49" s="5" t="s">
        <v>634</v>
      </c>
    </row>
    <row r="50" spans="2:8" x14ac:dyDescent="0.3">
      <c r="B50" s="5" t="s">
        <v>634</v>
      </c>
      <c r="C50" s="5" t="s">
        <v>634</v>
      </c>
      <c r="D50" s="5" t="s">
        <v>634</v>
      </c>
      <c r="E50" s="5" t="s">
        <v>634</v>
      </c>
      <c r="F50" s="5" t="s">
        <v>634</v>
      </c>
      <c r="G50" s="5" t="s">
        <v>634</v>
      </c>
      <c r="H50" s="5" t="s">
        <v>634</v>
      </c>
    </row>
    <row r="51" spans="2:8" x14ac:dyDescent="0.3">
      <c r="B51" s="5" t="s">
        <v>634</v>
      </c>
      <c r="C51" s="5" t="s">
        <v>634</v>
      </c>
      <c r="D51" s="5" t="s">
        <v>634</v>
      </c>
      <c r="E51" s="5" t="s">
        <v>634</v>
      </c>
      <c r="F51" s="5" t="s">
        <v>634</v>
      </c>
      <c r="G51" s="5" t="s">
        <v>634</v>
      </c>
      <c r="H51" s="5" t="s">
        <v>634</v>
      </c>
    </row>
    <row r="52" spans="2:8" x14ac:dyDescent="0.3">
      <c r="B52" s="5" t="s">
        <v>634</v>
      </c>
      <c r="C52" s="5" t="s">
        <v>634</v>
      </c>
      <c r="D52" s="5" t="s">
        <v>634</v>
      </c>
      <c r="E52" s="5" t="s">
        <v>634</v>
      </c>
      <c r="F52" s="5" t="s">
        <v>634</v>
      </c>
      <c r="G52" s="5" t="s">
        <v>634</v>
      </c>
      <c r="H52" s="5" t="s">
        <v>634</v>
      </c>
    </row>
    <row r="53" spans="2:8" x14ac:dyDescent="0.3">
      <c r="B53" s="5" t="s">
        <v>634</v>
      </c>
      <c r="C53" s="5" t="s">
        <v>634</v>
      </c>
      <c r="D53" s="5" t="s">
        <v>634</v>
      </c>
      <c r="E53" s="5" t="s">
        <v>634</v>
      </c>
      <c r="F53" s="5" t="s">
        <v>634</v>
      </c>
      <c r="G53" s="5" t="s">
        <v>634</v>
      </c>
      <c r="H53" s="5" t="s">
        <v>634</v>
      </c>
    </row>
    <row r="54" spans="2:8" x14ac:dyDescent="0.3">
      <c r="B54" s="5" t="s">
        <v>634</v>
      </c>
      <c r="C54" s="5" t="s">
        <v>634</v>
      </c>
      <c r="D54" s="5" t="s">
        <v>634</v>
      </c>
      <c r="E54" s="5" t="s">
        <v>634</v>
      </c>
      <c r="F54" s="5" t="s">
        <v>634</v>
      </c>
      <c r="G54" s="5" t="s">
        <v>634</v>
      </c>
      <c r="H54" s="5" t="s">
        <v>634</v>
      </c>
    </row>
    <row r="55" spans="2:8" x14ac:dyDescent="0.3">
      <c r="B55" s="5" t="s">
        <v>634</v>
      </c>
      <c r="C55" s="5" t="s">
        <v>634</v>
      </c>
      <c r="D55" s="5" t="s">
        <v>634</v>
      </c>
      <c r="E55" s="5" t="s">
        <v>634</v>
      </c>
      <c r="F55" s="5" t="s">
        <v>634</v>
      </c>
      <c r="G55" s="5" t="s">
        <v>634</v>
      </c>
      <c r="H55" s="5" t="s">
        <v>634</v>
      </c>
    </row>
    <row r="56" spans="2:8" x14ac:dyDescent="0.3">
      <c r="B56" s="5" t="s">
        <v>634</v>
      </c>
      <c r="C56" s="5" t="s">
        <v>634</v>
      </c>
      <c r="D56" s="5" t="s">
        <v>634</v>
      </c>
      <c r="E56" s="5" t="s">
        <v>634</v>
      </c>
      <c r="F56" s="5" t="s">
        <v>634</v>
      </c>
      <c r="G56" s="5" t="s">
        <v>634</v>
      </c>
      <c r="H56" s="5" t="s">
        <v>634</v>
      </c>
    </row>
    <row r="57" spans="2:8" x14ac:dyDescent="0.3">
      <c r="B57" s="5" t="s">
        <v>634</v>
      </c>
      <c r="C57" s="5" t="s">
        <v>634</v>
      </c>
      <c r="D57" s="5" t="s">
        <v>634</v>
      </c>
      <c r="E57" s="5" t="s">
        <v>634</v>
      </c>
      <c r="F57" s="5" t="s">
        <v>634</v>
      </c>
      <c r="G57" s="5" t="s">
        <v>634</v>
      </c>
      <c r="H57" s="5" t="s">
        <v>634</v>
      </c>
    </row>
    <row r="58" spans="2:8" x14ac:dyDescent="0.3">
      <c r="B58" s="5" t="s">
        <v>634</v>
      </c>
      <c r="C58" s="5" t="s">
        <v>634</v>
      </c>
      <c r="D58" s="5" t="s">
        <v>634</v>
      </c>
      <c r="E58" s="5" t="s">
        <v>634</v>
      </c>
      <c r="F58" s="5" t="s">
        <v>634</v>
      </c>
      <c r="G58" s="5" t="s">
        <v>634</v>
      </c>
      <c r="H58" s="5" t="s">
        <v>634</v>
      </c>
    </row>
    <row r="59" spans="2:8" x14ac:dyDescent="0.3">
      <c r="B59" s="5" t="s">
        <v>634</v>
      </c>
      <c r="C59" s="5" t="s">
        <v>634</v>
      </c>
      <c r="D59" s="5" t="s">
        <v>634</v>
      </c>
      <c r="E59" s="5" t="s">
        <v>634</v>
      </c>
      <c r="F59" s="5" t="s">
        <v>634</v>
      </c>
      <c r="G59" s="5" t="s">
        <v>634</v>
      </c>
      <c r="H59" s="5" t="s">
        <v>634</v>
      </c>
    </row>
    <row r="60" spans="2:8" x14ac:dyDescent="0.3">
      <c r="B60" s="5" t="s">
        <v>634</v>
      </c>
      <c r="C60" s="5" t="s">
        <v>634</v>
      </c>
      <c r="D60" s="5" t="s">
        <v>634</v>
      </c>
      <c r="E60" s="5" t="s">
        <v>634</v>
      </c>
      <c r="F60" s="5" t="s">
        <v>634</v>
      </c>
      <c r="G60" s="5" t="s">
        <v>634</v>
      </c>
      <c r="H60" s="5" t="s">
        <v>634</v>
      </c>
    </row>
    <row r="61" spans="2:8" x14ac:dyDescent="0.3">
      <c r="B61" s="5" t="s">
        <v>634</v>
      </c>
      <c r="C61" s="5" t="s">
        <v>634</v>
      </c>
      <c r="D61" s="5" t="s">
        <v>634</v>
      </c>
      <c r="E61" s="5" t="s">
        <v>634</v>
      </c>
      <c r="F61" s="5" t="s">
        <v>634</v>
      </c>
      <c r="G61" s="5" t="s">
        <v>634</v>
      </c>
      <c r="H61" s="5" t="s">
        <v>634</v>
      </c>
    </row>
    <row r="62" spans="2:8" x14ac:dyDescent="0.3">
      <c r="B62" s="5" t="s">
        <v>634</v>
      </c>
      <c r="C62" s="5" t="s">
        <v>634</v>
      </c>
      <c r="D62" s="5" t="s">
        <v>634</v>
      </c>
      <c r="E62" s="5" t="s">
        <v>634</v>
      </c>
      <c r="F62" s="5" t="s">
        <v>634</v>
      </c>
      <c r="G62" s="5" t="s">
        <v>634</v>
      </c>
      <c r="H62" s="5" t="s">
        <v>634</v>
      </c>
    </row>
    <row r="63" spans="2:8" x14ac:dyDescent="0.3">
      <c r="B63" s="5" t="s">
        <v>634</v>
      </c>
      <c r="C63" s="5" t="s">
        <v>634</v>
      </c>
      <c r="D63" s="5" t="s">
        <v>634</v>
      </c>
      <c r="E63" s="5" t="s">
        <v>634</v>
      </c>
      <c r="F63" s="5" t="s">
        <v>634</v>
      </c>
      <c r="G63" s="5" t="s">
        <v>634</v>
      </c>
      <c r="H63" s="5" t="s">
        <v>634</v>
      </c>
    </row>
    <row r="64" spans="2:8" x14ac:dyDescent="0.3">
      <c r="B64" s="5" t="s">
        <v>634</v>
      </c>
      <c r="C64" s="5" t="s">
        <v>634</v>
      </c>
      <c r="D64" s="5" t="s">
        <v>634</v>
      </c>
      <c r="E64" s="5" t="s">
        <v>634</v>
      </c>
      <c r="F64" s="5" t="s">
        <v>634</v>
      </c>
      <c r="G64" s="5" t="s">
        <v>634</v>
      </c>
      <c r="H64" s="5" t="s">
        <v>634</v>
      </c>
    </row>
    <row r="65" spans="2:11" x14ac:dyDescent="0.3">
      <c r="B65" s="5" t="s">
        <v>634</v>
      </c>
      <c r="C65" s="5" t="s">
        <v>634</v>
      </c>
      <c r="D65" s="5" t="s">
        <v>634</v>
      </c>
      <c r="E65" s="5" t="s">
        <v>634</v>
      </c>
      <c r="F65" s="5" t="s">
        <v>634</v>
      </c>
      <c r="G65" s="5" t="s">
        <v>634</v>
      </c>
      <c r="H65" s="5" t="s">
        <v>634</v>
      </c>
    </row>
    <row r="68" spans="2:11" x14ac:dyDescent="0.3">
      <c r="B68" s="6" t="s">
        <v>717</v>
      </c>
    </row>
    <row r="70" spans="2:11" x14ac:dyDescent="0.3">
      <c r="B70" s="18" t="s">
        <v>718</v>
      </c>
      <c r="C70" s="18" t="s">
        <v>719</v>
      </c>
      <c r="D70" s="18" t="s">
        <v>720</v>
      </c>
      <c r="E70" s="18" t="s">
        <v>721</v>
      </c>
      <c r="F70" s="18" t="s">
        <v>722</v>
      </c>
      <c r="G70" s="18" t="s">
        <v>723</v>
      </c>
      <c r="H70" s="18" t="s">
        <v>724</v>
      </c>
      <c r="I70" s="18" t="s">
        <v>725</v>
      </c>
      <c r="J70" s="18" t="s">
        <v>726</v>
      </c>
      <c r="K70" s="18" t="s">
        <v>727</v>
      </c>
    </row>
    <row r="71" spans="2:11" x14ac:dyDescent="0.3">
      <c r="B71" s="21" t="str">
        <f t="shared" ref="B71:B102" si="0">IF($B6="","","Coc")</f>
        <v>Coc</v>
      </c>
      <c r="C71" s="10" t="str">
        <f t="shared" ref="C71:C102" si="1">IF($B6="","",$B6)</f>
        <v>648</v>
      </c>
      <c r="D71" s="10" t="str">
        <f t="shared" ref="D71:D102" si="2">IF($B6="","",$C6)</f>
        <v>648</v>
      </c>
      <c r="E71" s="21" t="str">
        <f t="shared" ref="E71:E102" si="3">IF($B6="","",IF($C6&lt;=2*nLan,"SD",IF($C6&lt;=7*nLan+2,"CĐ","ĐB")))</f>
        <v>ĐB</v>
      </c>
      <c r="F71" s="9" t="str">
        <f t="shared" ref="F71:F102" si="4">IF($B6="","",$D6)</f>
        <v>648</v>
      </c>
      <c r="G71" s="9" t="str">
        <f t="shared" ref="G71:G102" si="5">IF($B6="","",$E6)</f>
        <v>648</v>
      </c>
      <c r="H71" s="9" t="str">
        <f t="shared" ref="H71:H102" si="6">IF($B6="","",$F6)</f>
        <v>648</v>
      </c>
      <c r="I71" s="9">
        <f t="shared" ref="I71:I102" si="7">IF($B6="","",0)</f>
        <v>0</v>
      </c>
      <c r="J71" s="9" t="str">
        <f t="shared" ref="J71:J102" si="8">IF($B6="","",$G6)</f>
        <v>648</v>
      </c>
      <c r="K71" s="9" t="str">
        <f t="shared" ref="K71:K102" si="9">IF($B6="","",$H6)</f>
        <v>648</v>
      </c>
    </row>
    <row r="72" spans="2:11" x14ac:dyDescent="0.3">
      <c r="B72" s="21" t="str">
        <f t="shared" si="0"/>
        <v>Coc</v>
      </c>
      <c r="C72" s="10" t="str">
        <f t="shared" si="1"/>
        <v>648</v>
      </c>
      <c r="D72" s="10" t="str">
        <f t="shared" si="2"/>
        <v>648</v>
      </c>
      <c r="E72" s="21" t="str">
        <f t="shared" si="3"/>
        <v>ĐB</v>
      </c>
      <c r="F72" s="9" t="str">
        <f t="shared" si="4"/>
        <v>648</v>
      </c>
      <c r="G72" s="9" t="str">
        <f t="shared" si="5"/>
        <v>648</v>
      </c>
      <c r="H72" s="9" t="str">
        <f t="shared" si="6"/>
        <v>648</v>
      </c>
      <c r="I72" s="9">
        <f t="shared" si="7"/>
        <v>0</v>
      </c>
      <c r="J72" s="9" t="str">
        <f t="shared" si="8"/>
        <v>648</v>
      </c>
      <c r="K72" s="9" t="str">
        <f t="shared" si="9"/>
        <v>648</v>
      </c>
    </row>
    <row r="73" spans="2:11" x14ac:dyDescent="0.3">
      <c r="B73" s="21" t="str">
        <f t="shared" si="0"/>
        <v>Coc</v>
      </c>
      <c r="C73" s="10" t="str">
        <f t="shared" si="1"/>
        <v>648</v>
      </c>
      <c r="D73" s="10" t="str">
        <f t="shared" si="2"/>
        <v>648</v>
      </c>
      <c r="E73" s="21" t="str">
        <f t="shared" si="3"/>
        <v>ĐB</v>
      </c>
      <c r="F73" s="9" t="str">
        <f t="shared" si="4"/>
        <v>648</v>
      </c>
      <c r="G73" s="9" t="str">
        <f t="shared" si="5"/>
        <v>648</v>
      </c>
      <c r="H73" s="9" t="str">
        <f t="shared" si="6"/>
        <v>648</v>
      </c>
      <c r="I73" s="9">
        <f t="shared" si="7"/>
        <v>0</v>
      </c>
      <c r="J73" s="9" t="str">
        <f t="shared" si="8"/>
        <v>648</v>
      </c>
      <c r="K73" s="9" t="str">
        <f t="shared" si="9"/>
        <v>648</v>
      </c>
    </row>
    <row r="74" spans="2:11" x14ac:dyDescent="0.3">
      <c r="B74" s="21" t="str">
        <f t="shared" si="0"/>
        <v>Coc</v>
      </c>
      <c r="C74" s="10" t="str">
        <f t="shared" si="1"/>
        <v>648</v>
      </c>
      <c r="D74" s="10" t="str">
        <f t="shared" si="2"/>
        <v>648</v>
      </c>
      <c r="E74" s="21" t="str">
        <f t="shared" si="3"/>
        <v>ĐB</v>
      </c>
      <c r="F74" s="9" t="str">
        <f t="shared" si="4"/>
        <v>648</v>
      </c>
      <c r="G74" s="9" t="str">
        <f t="shared" si="5"/>
        <v>648</v>
      </c>
      <c r="H74" s="9" t="str">
        <f t="shared" si="6"/>
        <v>648</v>
      </c>
      <c r="I74" s="9">
        <f t="shared" si="7"/>
        <v>0</v>
      </c>
      <c r="J74" s="9" t="str">
        <f t="shared" si="8"/>
        <v>648</v>
      </c>
      <c r="K74" s="9" t="str">
        <f t="shared" si="9"/>
        <v>648</v>
      </c>
    </row>
    <row r="75" spans="2:11" x14ac:dyDescent="0.3">
      <c r="B75" s="21" t="str">
        <f t="shared" si="0"/>
        <v>Coc</v>
      </c>
      <c r="C75" s="10" t="str">
        <f t="shared" si="1"/>
        <v>648</v>
      </c>
      <c r="D75" s="10" t="str">
        <f t="shared" si="2"/>
        <v>648</v>
      </c>
      <c r="E75" s="21" t="str">
        <f t="shared" si="3"/>
        <v>ĐB</v>
      </c>
      <c r="F75" s="9" t="str">
        <f t="shared" si="4"/>
        <v>648</v>
      </c>
      <c r="G75" s="9" t="str">
        <f t="shared" si="5"/>
        <v>648</v>
      </c>
      <c r="H75" s="9" t="str">
        <f t="shared" si="6"/>
        <v>648</v>
      </c>
      <c r="I75" s="9">
        <f t="shared" si="7"/>
        <v>0</v>
      </c>
      <c r="J75" s="9" t="str">
        <f t="shared" si="8"/>
        <v>648</v>
      </c>
      <c r="K75" s="9" t="str">
        <f t="shared" si="9"/>
        <v>648</v>
      </c>
    </row>
    <row r="76" spans="2:11" x14ac:dyDescent="0.3">
      <c r="B76" s="21" t="str">
        <f t="shared" si="0"/>
        <v>Coc</v>
      </c>
      <c r="C76" s="10" t="str">
        <f t="shared" si="1"/>
        <v>648</v>
      </c>
      <c r="D76" s="10" t="str">
        <f t="shared" si="2"/>
        <v>648</v>
      </c>
      <c r="E76" s="21" t="str">
        <f t="shared" si="3"/>
        <v>ĐB</v>
      </c>
      <c r="F76" s="9" t="str">
        <f t="shared" si="4"/>
        <v>648</v>
      </c>
      <c r="G76" s="9" t="str">
        <f t="shared" si="5"/>
        <v>648</v>
      </c>
      <c r="H76" s="9" t="str">
        <f t="shared" si="6"/>
        <v>648</v>
      </c>
      <c r="I76" s="9">
        <f t="shared" si="7"/>
        <v>0</v>
      </c>
      <c r="J76" s="9" t="str">
        <f t="shared" si="8"/>
        <v>648</v>
      </c>
      <c r="K76" s="9" t="str">
        <f t="shared" si="9"/>
        <v>648</v>
      </c>
    </row>
    <row r="77" spans="2:11" x14ac:dyDescent="0.3">
      <c r="B77" s="21" t="str">
        <f t="shared" si="0"/>
        <v>Coc</v>
      </c>
      <c r="C77" s="10" t="str">
        <f t="shared" si="1"/>
        <v>648</v>
      </c>
      <c r="D77" s="10" t="str">
        <f t="shared" si="2"/>
        <v>648</v>
      </c>
      <c r="E77" s="21" t="str">
        <f t="shared" si="3"/>
        <v>ĐB</v>
      </c>
      <c r="F77" s="9" t="str">
        <f t="shared" si="4"/>
        <v>648</v>
      </c>
      <c r="G77" s="9" t="str">
        <f t="shared" si="5"/>
        <v>648</v>
      </c>
      <c r="H77" s="9" t="str">
        <f t="shared" si="6"/>
        <v>648</v>
      </c>
      <c r="I77" s="9">
        <f t="shared" si="7"/>
        <v>0</v>
      </c>
      <c r="J77" s="9" t="str">
        <f t="shared" si="8"/>
        <v>648</v>
      </c>
      <c r="K77" s="9" t="str">
        <f t="shared" si="9"/>
        <v>648</v>
      </c>
    </row>
    <row r="78" spans="2:11" x14ac:dyDescent="0.3">
      <c r="B78" s="21" t="str">
        <f t="shared" si="0"/>
        <v>Coc</v>
      </c>
      <c r="C78" s="10" t="str">
        <f t="shared" si="1"/>
        <v>648</v>
      </c>
      <c r="D78" s="10" t="str">
        <f t="shared" si="2"/>
        <v>648</v>
      </c>
      <c r="E78" s="21" t="str">
        <f t="shared" si="3"/>
        <v>ĐB</v>
      </c>
      <c r="F78" s="9" t="str">
        <f t="shared" si="4"/>
        <v>648</v>
      </c>
      <c r="G78" s="9" t="str">
        <f t="shared" si="5"/>
        <v>648</v>
      </c>
      <c r="H78" s="9" t="str">
        <f t="shared" si="6"/>
        <v>648</v>
      </c>
      <c r="I78" s="9">
        <f t="shared" si="7"/>
        <v>0</v>
      </c>
      <c r="J78" s="9" t="str">
        <f t="shared" si="8"/>
        <v>648</v>
      </c>
      <c r="K78" s="9" t="str">
        <f t="shared" si="9"/>
        <v>648</v>
      </c>
    </row>
    <row r="79" spans="2:11" x14ac:dyDescent="0.3">
      <c r="B79" s="21" t="str">
        <f t="shared" si="0"/>
        <v>Coc</v>
      </c>
      <c r="C79" s="10" t="str">
        <f t="shared" si="1"/>
        <v>648</v>
      </c>
      <c r="D79" s="10" t="str">
        <f t="shared" si="2"/>
        <v>648</v>
      </c>
      <c r="E79" s="21" t="str">
        <f t="shared" si="3"/>
        <v>ĐB</v>
      </c>
      <c r="F79" s="9" t="str">
        <f t="shared" si="4"/>
        <v>648</v>
      </c>
      <c r="G79" s="9" t="str">
        <f t="shared" si="5"/>
        <v>648</v>
      </c>
      <c r="H79" s="9" t="str">
        <f t="shared" si="6"/>
        <v>648</v>
      </c>
      <c r="I79" s="9">
        <f t="shared" si="7"/>
        <v>0</v>
      </c>
      <c r="J79" s="9" t="str">
        <f t="shared" si="8"/>
        <v>648</v>
      </c>
      <c r="K79" s="9" t="str">
        <f t="shared" si="9"/>
        <v>648</v>
      </c>
    </row>
    <row r="80" spans="2:11" x14ac:dyDescent="0.3">
      <c r="B80" s="21" t="str">
        <f t="shared" si="0"/>
        <v>Coc</v>
      </c>
      <c r="C80" s="10" t="str">
        <f t="shared" si="1"/>
        <v>648</v>
      </c>
      <c r="D80" s="10" t="str">
        <f t="shared" si="2"/>
        <v>648</v>
      </c>
      <c r="E80" s="21" t="str">
        <f t="shared" si="3"/>
        <v>ĐB</v>
      </c>
      <c r="F80" s="9" t="str">
        <f t="shared" si="4"/>
        <v>648</v>
      </c>
      <c r="G80" s="9" t="str">
        <f t="shared" si="5"/>
        <v>648</v>
      </c>
      <c r="H80" s="9" t="str">
        <f t="shared" si="6"/>
        <v>648</v>
      </c>
      <c r="I80" s="9">
        <f t="shared" si="7"/>
        <v>0</v>
      </c>
      <c r="J80" s="9" t="str">
        <f t="shared" si="8"/>
        <v>648</v>
      </c>
      <c r="K80" s="9" t="str">
        <f t="shared" si="9"/>
        <v>648</v>
      </c>
    </row>
    <row r="81" spans="2:11" x14ac:dyDescent="0.3">
      <c r="B81" s="21" t="str">
        <f t="shared" si="0"/>
        <v>Coc</v>
      </c>
      <c r="C81" s="10" t="str">
        <f t="shared" si="1"/>
        <v>648</v>
      </c>
      <c r="D81" s="10" t="str">
        <f t="shared" si="2"/>
        <v>648</v>
      </c>
      <c r="E81" s="21" t="str">
        <f t="shared" si="3"/>
        <v>ĐB</v>
      </c>
      <c r="F81" s="9" t="str">
        <f t="shared" si="4"/>
        <v>648</v>
      </c>
      <c r="G81" s="9" t="str">
        <f t="shared" si="5"/>
        <v>648</v>
      </c>
      <c r="H81" s="9" t="str">
        <f t="shared" si="6"/>
        <v>648</v>
      </c>
      <c r="I81" s="9">
        <f t="shared" si="7"/>
        <v>0</v>
      </c>
      <c r="J81" s="9" t="str">
        <f t="shared" si="8"/>
        <v>648</v>
      </c>
      <c r="K81" s="9" t="str">
        <f t="shared" si="9"/>
        <v>648</v>
      </c>
    </row>
    <row r="82" spans="2:11" x14ac:dyDescent="0.3">
      <c r="B82" s="21" t="str">
        <f t="shared" si="0"/>
        <v>Coc</v>
      </c>
      <c r="C82" s="10" t="str">
        <f t="shared" si="1"/>
        <v>648</v>
      </c>
      <c r="D82" s="10" t="str">
        <f t="shared" si="2"/>
        <v>648</v>
      </c>
      <c r="E82" s="21" t="str">
        <f t="shared" si="3"/>
        <v>ĐB</v>
      </c>
      <c r="F82" s="9" t="str">
        <f t="shared" si="4"/>
        <v>648</v>
      </c>
      <c r="G82" s="9" t="str">
        <f t="shared" si="5"/>
        <v>648</v>
      </c>
      <c r="H82" s="9" t="str">
        <f t="shared" si="6"/>
        <v>648</v>
      </c>
      <c r="I82" s="9">
        <f t="shared" si="7"/>
        <v>0</v>
      </c>
      <c r="J82" s="9" t="str">
        <f t="shared" si="8"/>
        <v>648</v>
      </c>
      <c r="K82" s="9" t="str">
        <f t="shared" si="9"/>
        <v>648</v>
      </c>
    </row>
    <row r="83" spans="2:11" x14ac:dyDescent="0.3">
      <c r="B83" s="21" t="str">
        <f t="shared" si="0"/>
        <v>Coc</v>
      </c>
      <c r="C83" s="10" t="str">
        <f t="shared" si="1"/>
        <v>648</v>
      </c>
      <c r="D83" s="10" t="str">
        <f t="shared" si="2"/>
        <v>648</v>
      </c>
      <c r="E83" s="21" t="str">
        <f t="shared" si="3"/>
        <v>ĐB</v>
      </c>
      <c r="F83" s="9" t="str">
        <f t="shared" si="4"/>
        <v>648</v>
      </c>
      <c r="G83" s="9" t="str">
        <f t="shared" si="5"/>
        <v>648</v>
      </c>
      <c r="H83" s="9" t="str">
        <f t="shared" si="6"/>
        <v>648</v>
      </c>
      <c r="I83" s="9">
        <f t="shared" si="7"/>
        <v>0</v>
      </c>
      <c r="J83" s="9" t="str">
        <f t="shared" si="8"/>
        <v>648</v>
      </c>
      <c r="K83" s="9" t="str">
        <f t="shared" si="9"/>
        <v>648</v>
      </c>
    </row>
    <row r="84" spans="2:11" x14ac:dyDescent="0.3">
      <c r="B84" s="21" t="str">
        <f t="shared" si="0"/>
        <v>Coc</v>
      </c>
      <c r="C84" s="10" t="str">
        <f t="shared" si="1"/>
        <v>648</v>
      </c>
      <c r="D84" s="10" t="str">
        <f t="shared" si="2"/>
        <v>648</v>
      </c>
      <c r="E84" s="21" t="str">
        <f t="shared" si="3"/>
        <v>ĐB</v>
      </c>
      <c r="F84" s="9" t="str">
        <f t="shared" si="4"/>
        <v>648</v>
      </c>
      <c r="G84" s="9" t="str">
        <f t="shared" si="5"/>
        <v>648</v>
      </c>
      <c r="H84" s="9" t="str">
        <f t="shared" si="6"/>
        <v>648</v>
      </c>
      <c r="I84" s="9">
        <f t="shared" si="7"/>
        <v>0</v>
      </c>
      <c r="J84" s="9" t="str">
        <f t="shared" si="8"/>
        <v>648</v>
      </c>
      <c r="K84" s="9" t="str">
        <f t="shared" si="9"/>
        <v>648</v>
      </c>
    </row>
    <row r="85" spans="2:11" x14ac:dyDescent="0.3">
      <c r="B85" s="21" t="str">
        <f t="shared" si="0"/>
        <v>Coc</v>
      </c>
      <c r="C85" s="10" t="str">
        <f t="shared" si="1"/>
        <v>648</v>
      </c>
      <c r="D85" s="10" t="str">
        <f t="shared" si="2"/>
        <v>648</v>
      </c>
      <c r="E85" s="21" t="str">
        <f t="shared" si="3"/>
        <v>ĐB</v>
      </c>
      <c r="F85" s="9" t="str">
        <f t="shared" si="4"/>
        <v>648</v>
      </c>
      <c r="G85" s="9" t="str">
        <f t="shared" si="5"/>
        <v>648</v>
      </c>
      <c r="H85" s="9" t="str">
        <f t="shared" si="6"/>
        <v>648</v>
      </c>
      <c r="I85" s="9">
        <f t="shared" si="7"/>
        <v>0</v>
      </c>
      <c r="J85" s="9" t="str">
        <f t="shared" si="8"/>
        <v>648</v>
      </c>
      <c r="K85" s="9" t="str">
        <f t="shared" si="9"/>
        <v>648</v>
      </c>
    </row>
    <row r="86" spans="2:11" x14ac:dyDescent="0.3">
      <c r="B86" s="21" t="str">
        <f t="shared" si="0"/>
        <v>Coc</v>
      </c>
      <c r="C86" s="10" t="str">
        <f t="shared" si="1"/>
        <v>648</v>
      </c>
      <c r="D86" s="10" t="str">
        <f t="shared" si="2"/>
        <v>648</v>
      </c>
      <c r="E86" s="21" t="str">
        <f t="shared" si="3"/>
        <v>ĐB</v>
      </c>
      <c r="F86" s="9" t="str">
        <f t="shared" si="4"/>
        <v>648</v>
      </c>
      <c r="G86" s="9" t="str">
        <f t="shared" si="5"/>
        <v>648</v>
      </c>
      <c r="H86" s="9" t="str">
        <f t="shared" si="6"/>
        <v>648</v>
      </c>
      <c r="I86" s="9">
        <f t="shared" si="7"/>
        <v>0</v>
      </c>
      <c r="J86" s="9" t="str">
        <f t="shared" si="8"/>
        <v>648</v>
      </c>
      <c r="K86" s="9" t="str">
        <f t="shared" si="9"/>
        <v>648</v>
      </c>
    </row>
    <row r="87" spans="2:11" x14ac:dyDescent="0.3">
      <c r="B87" s="21" t="str">
        <f t="shared" si="0"/>
        <v>Coc</v>
      </c>
      <c r="C87" s="10" t="str">
        <f t="shared" si="1"/>
        <v>648</v>
      </c>
      <c r="D87" s="10" t="str">
        <f t="shared" si="2"/>
        <v>648</v>
      </c>
      <c r="E87" s="21" t="str">
        <f t="shared" si="3"/>
        <v>ĐB</v>
      </c>
      <c r="F87" s="9" t="str">
        <f t="shared" si="4"/>
        <v>648</v>
      </c>
      <c r="G87" s="9" t="str">
        <f t="shared" si="5"/>
        <v>648</v>
      </c>
      <c r="H87" s="9" t="str">
        <f t="shared" si="6"/>
        <v>648</v>
      </c>
      <c r="I87" s="9">
        <f t="shared" si="7"/>
        <v>0</v>
      </c>
      <c r="J87" s="9" t="str">
        <f t="shared" si="8"/>
        <v>648</v>
      </c>
      <c r="K87" s="9" t="str">
        <f t="shared" si="9"/>
        <v>648</v>
      </c>
    </row>
    <row r="88" spans="2:11" x14ac:dyDescent="0.3">
      <c r="B88" s="21" t="str">
        <f t="shared" si="0"/>
        <v>Coc</v>
      </c>
      <c r="C88" s="10" t="str">
        <f t="shared" si="1"/>
        <v>648</v>
      </c>
      <c r="D88" s="10" t="str">
        <f t="shared" si="2"/>
        <v>648</v>
      </c>
      <c r="E88" s="21" t="str">
        <f t="shared" si="3"/>
        <v>ĐB</v>
      </c>
      <c r="F88" s="9" t="str">
        <f t="shared" si="4"/>
        <v>648</v>
      </c>
      <c r="G88" s="9" t="str">
        <f t="shared" si="5"/>
        <v>648</v>
      </c>
      <c r="H88" s="9" t="str">
        <f t="shared" si="6"/>
        <v>648</v>
      </c>
      <c r="I88" s="9">
        <f t="shared" si="7"/>
        <v>0</v>
      </c>
      <c r="J88" s="9" t="str">
        <f t="shared" si="8"/>
        <v>648</v>
      </c>
      <c r="K88" s="9" t="str">
        <f t="shared" si="9"/>
        <v>648</v>
      </c>
    </row>
    <row r="89" spans="2:11" x14ac:dyDescent="0.3">
      <c r="B89" s="21" t="str">
        <f t="shared" si="0"/>
        <v>Coc</v>
      </c>
      <c r="C89" s="10" t="str">
        <f t="shared" si="1"/>
        <v>648</v>
      </c>
      <c r="D89" s="10" t="str">
        <f t="shared" si="2"/>
        <v>648</v>
      </c>
      <c r="E89" s="21" t="str">
        <f t="shared" si="3"/>
        <v>ĐB</v>
      </c>
      <c r="F89" s="9" t="str">
        <f t="shared" si="4"/>
        <v>648</v>
      </c>
      <c r="G89" s="9" t="str">
        <f t="shared" si="5"/>
        <v>648</v>
      </c>
      <c r="H89" s="9" t="str">
        <f t="shared" si="6"/>
        <v>648</v>
      </c>
      <c r="I89" s="9">
        <f t="shared" si="7"/>
        <v>0</v>
      </c>
      <c r="J89" s="9" t="str">
        <f t="shared" si="8"/>
        <v>648</v>
      </c>
      <c r="K89" s="9" t="str">
        <f t="shared" si="9"/>
        <v>648</v>
      </c>
    </row>
    <row r="90" spans="2:11" x14ac:dyDescent="0.3">
      <c r="B90" s="21" t="str">
        <f t="shared" si="0"/>
        <v>Coc</v>
      </c>
      <c r="C90" s="10" t="str">
        <f t="shared" si="1"/>
        <v>648</v>
      </c>
      <c r="D90" s="10" t="str">
        <f t="shared" si="2"/>
        <v>648</v>
      </c>
      <c r="E90" s="21" t="str">
        <f t="shared" si="3"/>
        <v>ĐB</v>
      </c>
      <c r="F90" s="9" t="str">
        <f t="shared" si="4"/>
        <v>648</v>
      </c>
      <c r="G90" s="9" t="str">
        <f t="shared" si="5"/>
        <v>648</v>
      </c>
      <c r="H90" s="9" t="str">
        <f t="shared" si="6"/>
        <v>648</v>
      </c>
      <c r="I90" s="9">
        <f t="shared" si="7"/>
        <v>0</v>
      </c>
      <c r="J90" s="9" t="str">
        <f t="shared" si="8"/>
        <v>648</v>
      </c>
      <c r="K90" s="9" t="str">
        <f t="shared" si="9"/>
        <v>648</v>
      </c>
    </row>
    <row r="91" spans="2:11" x14ac:dyDescent="0.3">
      <c r="B91" s="21" t="str">
        <f t="shared" si="0"/>
        <v>Coc</v>
      </c>
      <c r="C91" s="10" t="str">
        <f t="shared" si="1"/>
        <v>648</v>
      </c>
      <c r="D91" s="10" t="str">
        <f t="shared" si="2"/>
        <v>648</v>
      </c>
      <c r="E91" s="21" t="str">
        <f t="shared" si="3"/>
        <v>ĐB</v>
      </c>
      <c r="F91" s="9" t="str">
        <f t="shared" si="4"/>
        <v>648</v>
      </c>
      <c r="G91" s="9" t="str">
        <f t="shared" si="5"/>
        <v>648</v>
      </c>
      <c r="H91" s="9" t="str">
        <f t="shared" si="6"/>
        <v>648</v>
      </c>
      <c r="I91" s="9">
        <f t="shared" si="7"/>
        <v>0</v>
      </c>
      <c r="J91" s="9" t="str">
        <f t="shared" si="8"/>
        <v>648</v>
      </c>
      <c r="K91" s="9" t="str">
        <f t="shared" si="9"/>
        <v>648</v>
      </c>
    </row>
    <row r="92" spans="2:11" x14ac:dyDescent="0.3">
      <c r="B92" s="21" t="str">
        <f t="shared" si="0"/>
        <v>Coc</v>
      </c>
      <c r="C92" s="10" t="str">
        <f t="shared" si="1"/>
        <v>648</v>
      </c>
      <c r="D92" s="10" t="str">
        <f t="shared" si="2"/>
        <v>648</v>
      </c>
      <c r="E92" s="21" t="str">
        <f t="shared" si="3"/>
        <v>ĐB</v>
      </c>
      <c r="F92" s="9" t="str">
        <f t="shared" si="4"/>
        <v>648</v>
      </c>
      <c r="G92" s="9" t="str">
        <f t="shared" si="5"/>
        <v>648</v>
      </c>
      <c r="H92" s="9" t="str">
        <f t="shared" si="6"/>
        <v>648</v>
      </c>
      <c r="I92" s="9">
        <f t="shared" si="7"/>
        <v>0</v>
      </c>
      <c r="J92" s="9" t="str">
        <f t="shared" si="8"/>
        <v>648</v>
      </c>
      <c r="K92" s="9" t="str">
        <f t="shared" si="9"/>
        <v>648</v>
      </c>
    </row>
    <row r="93" spans="2:11" x14ac:dyDescent="0.3">
      <c r="B93" s="21" t="str">
        <f t="shared" si="0"/>
        <v>Coc</v>
      </c>
      <c r="C93" s="10" t="str">
        <f t="shared" si="1"/>
        <v>648</v>
      </c>
      <c r="D93" s="10" t="str">
        <f t="shared" si="2"/>
        <v>648</v>
      </c>
      <c r="E93" s="21" t="str">
        <f t="shared" si="3"/>
        <v>ĐB</v>
      </c>
      <c r="F93" s="9" t="str">
        <f t="shared" si="4"/>
        <v>648</v>
      </c>
      <c r="G93" s="9" t="str">
        <f t="shared" si="5"/>
        <v>648</v>
      </c>
      <c r="H93" s="9" t="str">
        <f t="shared" si="6"/>
        <v>648</v>
      </c>
      <c r="I93" s="9">
        <f t="shared" si="7"/>
        <v>0</v>
      </c>
      <c r="J93" s="9" t="str">
        <f t="shared" si="8"/>
        <v>648</v>
      </c>
      <c r="K93" s="9" t="str">
        <f t="shared" si="9"/>
        <v>648</v>
      </c>
    </row>
    <row r="94" spans="2:11" x14ac:dyDescent="0.3">
      <c r="B94" s="21" t="str">
        <f t="shared" si="0"/>
        <v>Coc</v>
      </c>
      <c r="C94" s="10" t="str">
        <f t="shared" si="1"/>
        <v>648</v>
      </c>
      <c r="D94" s="10" t="str">
        <f t="shared" si="2"/>
        <v>648</v>
      </c>
      <c r="E94" s="21" t="str">
        <f t="shared" si="3"/>
        <v>ĐB</v>
      </c>
      <c r="F94" s="9" t="str">
        <f t="shared" si="4"/>
        <v>648</v>
      </c>
      <c r="G94" s="9" t="str">
        <f t="shared" si="5"/>
        <v>648</v>
      </c>
      <c r="H94" s="9" t="str">
        <f t="shared" si="6"/>
        <v>648</v>
      </c>
      <c r="I94" s="9">
        <f t="shared" si="7"/>
        <v>0</v>
      </c>
      <c r="J94" s="9" t="str">
        <f t="shared" si="8"/>
        <v>648</v>
      </c>
      <c r="K94" s="9" t="str">
        <f t="shared" si="9"/>
        <v>648</v>
      </c>
    </row>
    <row r="95" spans="2:11" x14ac:dyDescent="0.3">
      <c r="B95" s="21" t="str">
        <f t="shared" si="0"/>
        <v>Coc</v>
      </c>
      <c r="C95" s="10" t="str">
        <f t="shared" si="1"/>
        <v>648</v>
      </c>
      <c r="D95" s="10" t="str">
        <f t="shared" si="2"/>
        <v>648</v>
      </c>
      <c r="E95" s="21" t="str">
        <f t="shared" si="3"/>
        <v>ĐB</v>
      </c>
      <c r="F95" s="9" t="str">
        <f t="shared" si="4"/>
        <v>648</v>
      </c>
      <c r="G95" s="9" t="str">
        <f t="shared" si="5"/>
        <v>648</v>
      </c>
      <c r="H95" s="9" t="str">
        <f t="shared" si="6"/>
        <v>648</v>
      </c>
      <c r="I95" s="9">
        <f t="shared" si="7"/>
        <v>0</v>
      </c>
      <c r="J95" s="9" t="str">
        <f t="shared" si="8"/>
        <v>648</v>
      </c>
      <c r="K95" s="9" t="str">
        <f t="shared" si="9"/>
        <v>648</v>
      </c>
    </row>
    <row r="96" spans="2:11" x14ac:dyDescent="0.3">
      <c r="B96" s="21" t="str">
        <f t="shared" si="0"/>
        <v>Coc</v>
      </c>
      <c r="C96" s="10" t="str">
        <f t="shared" si="1"/>
        <v>648</v>
      </c>
      <c r="D96" s="10" t="str">
        <f t="shared" si="2"/>
        <v>648</v>
      </c>
      <c r="E96" s="21" t="str">
        <f t="shared" si="3"/>
        <v>ĐB</v>
      </c>
      <c r="F96" s="9" t="str">
        <f t="shared" si="4"/>
        <v>648</v>
      </c>
      <c r="G96" s="9" t="str">
        <f t="shared" si="5"/>
        <v>648</v>
      </c>
      <c r="H96" s="9" t="str">
        <f t="shared" si="6"/>
        <v>648</v>
      </c>
      <c r="I96" s="9">
        <f t="shared" si="7"/>
        <v>0</v>
      </c>
      <c r="J96" s="9" t="str">
        <f t="shared" si="8"/>
        <v>648</v>
      </c>
      <c r="K96" s="9" t="str">
        <f t="shared" si="9"/>
        <v>648</v>
      </c>
    </row>
    <row r="97" spans="2:11" x14ac:dyDescent="0.3">
      <c r="B97" s="21" t="str">
        <f t="shared" si="0"/>
        <v>Coc</v>
      </c>
      <c r="C97" s="10" t="str">
        <f t="shared" si="1"/>
        <v>648</v>
      </c>
      <c r="D97" s="10" t="str">
        <f t="shared" si="2"/>
        <v>648</v>
      </c>
      <c r="E97" s="21" t="str">
        <f t="shared" si="3"/>
        <v>ĐB</v>
      </c>
      <c r="F97" s="9" t="str">
        <f t="shared" si="4"/>
        <v>648</v>
      </c>
      <c r="G97" s="9" t="str">
        <f t="shared" si="5"/>
        <v>648</v>
      </c>
      <c r="H97" s="9" t="str">
        <f t="shared" si="6"/>
        <v>648</v>
      </c>
      <c r="I97" s="9">
        <f t="shared" si="7"/>
        <v>0</v>
      </c>
      <c r="J97" s="9" t="str">
        <f t="shared" si="8"/>
        <v>648</v>
      </c>
      <c r="K97" s="9" t="str">
        <f t="shared" si="9"/>
        <v>648</v>
      </c>
    </row>
    <row r="98" spans="2:11" x14ac:dyDescent="0.3">
      <c r="B98" s="21" t="str">
        <f t="shared" si="0"/>
        <v>Coc</v>
      </c>
      <c r="C98" s="10" t="str">
        <f t="shared" si="1"/>
        <v>648</v>
      </c>
      <c r="D98" s="10" t="str">
        <f t="shared" si="2"/>
        <v>648</v>
      </c>
      <c r="E98" s="21" t="str">
        <f t="shared" si="3"/>
        <v>ĐB</v>
      </c>
      <c r="F98" s="9" t="str">
        <f t="shared" si="4"/>
        <v>648</v>
      </c>
      <c r="G98" s="9" t="str">
        <f t="shared" si="5"/>
        <v>648</v>
      </c>
      <c r="H98" s="9" t="str">
        <f t="shared" si="6"/>
        <v>648</v>
      </c>
      <c r="I98" s="9">
        <f t="shared" si="7"/>
        <v>0</v>
      </c>
      <c r="J98" s="9" t="str">
        <f t="shared" si="8"/>
        <v>648</v>
      </c>
      <c r="K98" s="9" t="str">
        <f t="shared" si="9"/>
        <v>648</v>
      </c>
    </row>
    <row r="99" spans="2:11" x14ac:dyDescent="0.3">
      <c r="B99" s="21" t="str">
        <f t="shared" si="0"/>
        <v>Coc</v>
      </c>
      <c r="C99" s="10" t="str">
        <f t="shared" si="1"/>
        <v>648</v>
      </c>
      <c r="D99" s="10" t="str">
        <f t="shared" si="2"/>
        <v>648</v>
      </c>
      <c r="E99" s="21" t="str">
        <f t="shared" si="3"/>
        <v>ĐB</v>
      </c>
      <c r="F99" s="9" t="str">
        <f t="shared" si="4"/>
        <v>648</v>
      </c>
      <c r="G99" s="9" t="str">
        <f t="shared" si="5"/>
        <v>648</v>
      </c>
      <c r="H99" s="9" t="str">
        <f t="shared" si="6"/>
        <v>648</v>
      </c>
      <c r="I99" s="9">
        <f t="shared" si="7"/>
        <v>0</v>
      </c>
      <c r="J99" s="9" t="str">
        <f t="shared" si="8"/>
        <v>648</v>
      </c>
      <c r="K99" s="9" t="str">
        <f t="shared" si="9"/>
        <v>648</v>
      </c>
    </row>
    <row r="100" spans="2:11" x14ac:dyDescent="0.3">
      <c r="B100" s="21" t="str">
        <f t="shared" si="0"/>
        <v>Coc</v>
      </c>
      <c r="C100" s="10" t="str">
        <f t="shared" si="1"/>
        <v>648</v>
      </c>
      <c r="D100" s="10" t="str">
        <f t="shared" si="2"/>
        <v>648</v>
      </c>
      <c r="E100" s="21" t="str">
        <f t="shared" si="3"/>
        <v>ĐB</v>
      </c>
      <c r="F100" s="9" t="str">
        <f t="shared" si="4"/>
        <v>648</v>
      </c>
      <c r="G100" s="9" t="str">
        <f t="shared" si="5"/>
        <v>648</v>
      </c>
      <c r="H100" s="9" t="str">
        <f t="shared" si="6"/>
        <v>648</v>
      </c>
      <c r="I100" s="9">
        <f t="shared" si="7"/>
        <v>0</v>
      </c>
      <c r="J100" s="9" t="str">
        <f t="shared" si="8"/>
        <v>648</v>
      </c>
      <c r="K100" s="9" t="str">
        <f t="shared" si="9"/>
        <v>648</v>
      </c>
    </row>
    <row r="101" spans="2:11" x14ac:dyDescent="0.3">
      <c r="B101" s="21" t="str">
        <f t="shared" si="0"/>
        <v>Coc</v>
      </c>
      <c r="C101" s="10" t="str">
        <f t="shared" si="1"/>
        <v>648</v>
      </c>
      <c r="D101" s="10" t="str">
        <f t="shared" si="2"/>
        <v>648</v>
      </c>
      <c r="E101" s="21" t="str">
        <f t="shared" si="3"/>
        <v>ĐB</v>
      </c>
      <c r="F101" s="9" t="str">
        <f t="shared" si="4"/>
        <v>648</v>
      </c>
      <c r="G101" s="9" t="str">
        <f t="shared" si="5"/>
        <v>648</v>
      </c>
      <c r="H101" s="9" t="str">
        <f t="shared" si="6"/>
        <v>648</v>
      </c>
      <c r="I101" s="9">
        <f t="shared" si="7"/>
        <v>0</v>
      </c>
      <c r="J101" s="9" t="str">
        <f t="shared" si="8"/>
        <v>648</v>
      </c>
      <c r="K101" s="9" t="str">
        <f t="shared" si="9"/>
        <v>648</v>
      </c>
    </row>
    <row r="102" spans="2:11" x14ac:dyDescent="0.3">
      <c r="B102" s="21" t="str">
        <f t="shared" si="0"/>
        <v>Coc</v>
      </c>
      <c r="C102" s="10" t="str">
        <f t="shared" si="1"/>
        <v>648</v>
      </c>
      <c r="D102" s="10" t="str">
        <f t="shared" si="2"/>
        <v>648</v>
      </c>
      <c r="E102" s="21" t="str">
        <f t="shared" si="3"/>
        <v>ĐB</v>
      </c>
      <c r="F102" s="9" t="str">
        <f t="shared" si="4"/>
        <v>648</v>
      </c>
      <c r="G102" s="9" t="str">
        <f t="shared" si="5"/>
        <v>648</v>
      </c>
      <c r="H102" s="9" t="str">
        <f t="shared" si="6"/>
        <v>648</v>
      </c>
      <c r="I102" s="9">
        <f t="shared" si="7"/>
        <v>0</v>
      </c>
      <c r="J102" s="9" t="str">
        <f t="shared" si="8"/>
        <v>648</v>
      </c>
      <c r="K102" s="9" t="str">
        <f t="shared" si="9"/>
        <v>648</v>
      </c>
    </row>
    <row r="103" spans="2:11" x14ac:dyDescent="0.3">
      <c r="B103" s="21" t="str">
        <f t="shared" ref="B103:B130" si="10">IF($B38="","","Coc")</f>
        <v>Coc</v>
      </c>
      <c r="C103" s="10" t="str">
        <f t="shared" ref="C103:C130" si="11">IF($B38="","",$B38)</f>
        <v>648</v>
      </c>
      <c r="D103" s="10" t="str">
        <f t="shared" ref="D103:D130" si="12">IF($B38="","",$C38)</f>
        <v>648</v>
      </c>
      <c r="E103" s="21" t="str">
        <f t="shared" ref="E103:E130" si="13">IF($B38="","",IF($C38&lt;=2*nLan,"SD",IF($C38&lt;=7*nLan+2,"CĐ","ĐB")))</f>
        <v>ĐB</v>
      </c>
      <c r="F103" s="9" t="str">
        <f t="shared" ref="F103:F130" si="14">IF($B38="","",$D38)</f>
        <v>648</v>
      </c>
      <c r="G103" s="9" t="str">
        <f t="shared" ref="G103:G130" si="15">IF($B38="","",$E38)</f>
        <v>648</v>
      </c>
      <c r="H103" s="9" t="str">
        <f t="shared" ref="H103:H130" si="16">IF($B38="","",$F38)</f>
        <v>648</v>
      </c>
      <c r="I103" s="9">
        <f t="shared" ref="I103:I130" si="17">IF($B38="","",0)</f>
        <v>0</v>
      </c>
      <c r="J103" s="9" t="str">
        <f t="shared" ref="J103:J130" si="18">IF($B38="","",$G38)</f>
        <v>648</v>
      </c>
      <c r="K103" s="9" t="str">
        <f t="shared" ref="K103:K130" si="19">IF($B38="","",$H38)</f>
        <v>648</v>
      </c>
    </row>
    <row r="104" spans="2:11" x14ac:dyDescent="0.3">
      <c r="B104" s="21" t="str">
        <f t="shared" si="10"/>
        <v>Coc</v>
      </c>
      <c r="C104" s="10" t="str">
        <f t="shared" si="11"/>
        <v>648</v>
      </c>
      <c r="D104" s="10" t="str">
        <f t="shared" si="12"/>
        <v>648</v>
      </c>
      <c r="E104" s="21" t="str">
        <f t="shared" si="13"/>
        <v>ĐB</v>
      </c>
      <c r="F104" s="9" t="str">
        <f t="shared" si="14"/>
        <v>648</v>
      </c>
      <c r="G104" s="9" t="str">
        <f t="shared" si="15"/>
        <v>648</v>
      </c>
      <c r="H104" s="9" t="str">
        <f t="shared" si="16"/>
        <v>648</v>
      </c>
      <c r="I104" s="9">
        <f t="shared" si="17"/>
        <v>0</v>
      </c>
      <c r="J104" s="9" t="str">
        <f t="shared" si="18"/>
        <v>648</v>
      </c>
      <c r="K104" s="9" t="str">
        <f t="shared" si="19"/>
        <v>648</v>
      </c>
    </row>
    <row r="105" spans="2:11" x14ac:dyDescent="0.3">
      <c r="B105" s="21" t="str">
        <f t="shared" si="10"/>
        <v>Coc</v>
      </c>
      <c r="C105" s="10" t="str">
        <f t="shared" si="11"/>
        <v>648</v>
      </c>
      <c r="D105" s="10" t="str">
        <f t="shared" si="12"/>
        <v>648</v>
      </c>
      <c r="E105" s="21" t="str">
        <f t="shared" si="13"/>
        <v>ĐB</v>
      </c>
      <c r="F105" s="9" t="str">
        <f t="shared" si="14"/>
        <v>648</v>
      </c>
      <c r="G105" s="9" t="str">
        <f t="shared" si="15"/>
        <v>648</v>
      </c>
      <c r="H105" s="9" t="str">
        <f t="shared" si="16"/>
        <v>648</v>
      </c>
      <c r="I105" s="9">
        <f t="shared" si="17"/>
        <v>0</v>
      </c>
      <c r="J105" s="9" t="str">
        <f t="shared" si="18"/>
        <v>648</v>
      </c>
      <c r="K105" s="9" t="str">
        <f t="shared" si="19"/>
        <v>648</v>
      </c>
    </row>
    <row r="106" spans="2:11" x14ac:dyDescent="0.3">
      <c r="B106" s="21" t="str">
        <f t="shared" si="10"/>
        <v>Coc</v>
      </c>
      <c r="C106" s="10" t="str">
        <f t="shared" si="11"/>
        <v>648</v>
      </c>
      <c r="D106" s="10" t="str">
        <f t="shared" si="12"/>
        <v>648</v>
      </c>
      <c r="E106" s="21" t="str">
        <f t="shared" si="13"/>
        <v>ĐB</v>
      </c>
      <c r="F106" s="9" t="str">
        <f t="shared" si="14"/>
        <v>648</v>
      </c>
      <c r="G106" s="9" t="str">
        <f t="shared" si="15"/>
        <v>648</v>
      </c>
      <c r="H106" s="9" t="str">
        <f t="shared" si="16"/>
        <v>648</v>
      </c>
      <c r="I106" s="9">
        <f t="shared" si="17"/>
        <v>0</v>
      </c>
      <c r="J106" s="9" t="str">
        <f t="shared" si="18"/>
        <v>648</v>
      </c>
      <c r="K106" s="9" t="str">
        <f t="shared" si="19"/>
        <v>648</v>
      </c>
    </row>
    <row r="107" spans="2:11" x14ac:dyDescent="0.3">
      <c r="B107" s="21" t="str">
        <f t="shared" si="10"/>
        <v>Coc</v>
      </c>
      <c r="C107" s="10" t="str">
        <f t="shared" si="11"/>
        <v>648</v>
      </c>
      <c r="D107" s="10" t="str">
        <f t="shared" si="12"/>
        <v>648</v>
      </c>
      <c r="E107" s="21" t="str">
        <f t="shared" si="13"/>
        <v>ĐB</v>
      </c>
      <c r="F107" s="9" t="str">
        <f t="shared" si="14"/>
        <v>648</v>
      </c>
      <c r="G107" s="9" t="str">
        <f t="shared" si="15"/>
        <v>648</v>
      </c>
      <c r="H107" s="9" t="str">
        <f t="shared" si="16"/>
        <v>648</v>
      </c>
      <c r="I107" s="9">
        <f t="shared" si="17"/>
        <v>0</v>
      </c>
      <c r="J107" s="9" t="str">
        <f t="shared" si="18"/>
        <v>648</v>
      </c>
      <c r="K107" s="9" t="str">
        <f t="shared" si="19"/>
        <v>648</v>
      </c>
    </row>
    <row r="108" spans="2:11" x14ac:dyDescent="0.3">
      <c r="B108" s="21" t="str">
        <f t="shared" si="10"/>
        <v>Coc</v>
      </c>
      <c r="C108" s="10" t="str">
        <f t="shared" si="11"/>
        <v>648</v>
      </c>
      <c r="D108" s="10" t="str">
        <f t="shared" si="12"/>
        <v>648</v>
      </c>
      <c r="E108" s="21" t="str">
        <f t="shared" si="13"/>
        <v>ĐB</v>
      </c>
      <c r="F108" s="9" t="str">
        <f t="shared" si="14"/>
        <v>648</v>
      </c>
      <c r="G108" s="9" t="str">
        <f t="shared" si="15"/>
        <v>648</v>
      </c>
      <c r="H108" s="9" t="str">
        <f t="shared" si="16"/>
        <v>648</v>
      </c>
      <c r="I108" s="9">
        <f t="shared" si="17"/>
        <v>0</v>
      </c>
      <c r="J108" s="9" t="str">
        <f t="shared" si="18"/>
        <v>648</v>
      </c>
      <c r="K108" s="9" t="str">
        <f t="shared" si="19"/>
        <v>648</v>
      </c>
    </row>
    <row r="109" spans="2:11" x14ac:dyDescent="0.3">
      <c r="B109" s="21" t="str">
        <f t="shared" si="10"/>
        <v>Coc</v>
      </c>
      <c r="C109" s="10" t="str">
        <f t="shared" si="11"/>
        <v>648</v>
      </c>
      <c r="D109" s="10" t="str">
        <f t="shared" si="12"/>
        <v>648</v>
      </c>
      <c r="E109" s="21" t="str">
        <f t="shared" si="13"/>
        <v>ĐB</v>
      </c>
      <c r="F109" s="9" t="str">
        <f t="shared" si="14"/>
        <v>648</v>
      </c>
      <c r="G109" s="9" t="str">
        <f t="shared" si="15"/>
        <v>648</v>
      </c>
      <c r="H109" s="9" t="str">
        <f t="shared" si="16"/>
        <v>648</v>
      </c>
      <c r="I109" s="9">
        <f t="shared" si="17"/>
        <v>0</v>
      </c>
      <c r="J109" s="9" t="str">
        <f t="shared" si="18"/>
        <v>648</v>
      </c>
      <c r="K109" s="9" t="str">
        <f t="shared" si="19"/>
        <v>648</v>
      </c>
    </row>
    <row r="110" spans="2:11" x14ac:dyDescent="0.3">
      <c r="B110" s="21" t="str">
        <f t="shared" si="10"/>
        <v>Coc</v>
      </c>
      <c r="C110" s="10" t="str">
        <f t="shared" si="11"/>
        <v>648</v>
      </c>
      <c r="D110" s="10" t="str">
        <f t="shared" si="12"/>
        <v>648</v>
      </c>
      <c r="E110" s="21" t="str">
        <f t="shared" si="13"/>
        <v>ĐB</v>
      </c>
      <c r="F110" s="9" t="str">
        <f t="shared" si="14"/>
        <v>648</v>
      </c>
      <c r="G110" s="9" t="str">
        <f t="shared" si="15"/>
        <v>648</v>
      </c>
      <c r="H110" s="9" t="str">
        <f t="shared" si="16"/>
        <v>648</v>
      </c>
      <c r="I110" s="9">
        <f t="shared" si="17"/>
        <v>0</v>
      </c>
      <c r="J110" s="9" t="str">
        <f t="shared" si="18"/>
        <v>648</v>
      </c>
      <c r="K110" s="9" t="str">
        <f t="shared" si="19"/>
        <v>648</v>
      </c>
    </row>
    <row r="111" spans="2:11" x14ac:dyDescent="0.3">
      <c r="B111" s="21" t="str">
        <f t="shared" si="10"/>
        <v>Coc</v>
      </c>
      <c r="C111" s="10" t="str">
        <f t="shared" si="11"/>
        <v>648</v>
      </c>
      <c r="D111" s="10" t="str">
        <f t="shared" si="12"/>
        <v>648</v>
      </c>
      <c r="E111" s="21" t="str">
        <f t="shared" si="13"/>
        <v>ĐB</v>
      </c>
      <c r="F111" s="9" t="str">
        <f t="shared" si="14"/>
        <v>648</v>
      </c>
      <c r="G111" s="9" t="str">
        <f t="shared" si="15"/>
        <v>648</v>
      </c>
      <c r="H111" s="9" t="str">
        <f t="shared" si="16"/>
        <v>648</v>
      </c>
      <c r="I111" s="9">
        <f t="shared" si="17"/>
        <v>0</v>
      </c>
      <c r="J111" s="9" t="str">
        <f t="shared" si="18"/>
        <v>648</v>
      </c>
      <c r="K111" s="9" t="str">
        <f t="shared" si="19"/>
        <v>648</v>
      </c>
    </row>
    <row r="112" spans="2:11" x14ac:dyDescent="0.3">
      <c r="B112" s="21" t="str">
        <f t="shared" si="10"/>
        <v>Coc</v>
      </c>
      <c r="C112" s="10" t="str">
        <f t="shared" si="11"/>
        <v>648</v>
      </c>
      <c r="D112" s="10" t="str">
        <f t="shared" si="12"/>
        <v>648</v>
      </c>
      <c r="E112" s="21" t="str">
        <f t="shared" si="13"/>
        <v>ĐB</v>
      </c>
      <c r="F112" s="9" t="str">
        <f t="shared" si="14"/>
        <v>648</v>
      </c>
      <c r="G112" s="9" t="str">
        <f t="shared" si="15"/>
        <v>648</v>
      </c>
      <c r="H112" s="9" t="str">
        <f t="shared" si="16"/>
        <v>648</v>
      </c>
      <c r="I112" s="9">
        <f t="shared" si="17"/>
        <v>0</v>
      </c>
      <c r="J112" s="9" t="str">
        <f t="shared" si="18"/>
        <v>648</v>
      </c>
      <c r="K112" s="9" t="str">
        <f t="shared" si="19"/>
        <v>648</v>
      </c>
    </row>
    <row r="113" spans="2:11" x14ac:dyDescent="0.3">
      <c r="B113" s="21" t="str">
        <f t="shared" si="10"/>
        <v>Coc</v>
      </c>
      <c r="C113" s="10" t="str">
        <f t="shared" si="11"/>
        <v>648</v>
      </c>
      <c r="D113" s="10" t="str">
        <f t="shared" si="12"/>
        <v>648</v>
      </c>
      <c r="E113" s="21" t="str">
        <f t="shared" si="13"/>
        <v>ĐB</v>
      </c>
      <c r="F113" s="9" t="str">
        <f t="shared" si="14"/>
        <v>648</v>
      </c>
      <c r="G113" s="9" t="str">
        <f t="shared" si="15"/>
        <v>648</v>
      </c>
      <c r="H113" s="9" t="str">
        <f t="shared" si="16"/>
        <v>648</v>
      </c>
      <c r="I113" s="9">
        <f t="shared" si="17"/>
        <v>0</v>
      </c>
      <c r="J113" s="9" t="str">
        <f t="shared" si="18"/>
        <v>648</v>
      </c>
      <c r="K113" s="9" t="str">
        <f t="shared" si="19"/>
        <v>648</v>
      </c>
    </row>
    <row r="114" spans="2:11" x14ac:dyDescent="0.3">
      <c r="B114" s="21" t="str">
        <f t="shared" si="10"/>
        <v>Coc</v>
      </c>
      <c r="C114" s="10" t="str">
        <f t="shared" si="11"/>
        <v>648</v>
      </c>
      <c r="D114" s="10" t="str">
        <f t="shared" si="12"/>
        <v>648</v>
      </c>
      <c r="E114" s="21" t="str">
        <f t="shared" si="13"/>
        <v>ĐB</v>
      </c>
      <c r="F114" s="9" t="str">
        <f t="shared" si="14"/>
        <v>648</v>
      </c>
      <c r="G114" s="9" t="str">
        <f t="shared" si="15"/>
        <v>648</v>
      </c>
      <c r="H114" s="9" t="str">
        <f t="shared" si="16"/>
        <v>648</v>
      </c>
      <c r="I114" s="9">
        <f t="shared" si="17"/>
        <v>0</v>
      </c>
      <c r="J114" s="9" t="str">
        <f t="shared" si="18"/>
        <v>648</v>
      </c>
      <c r="K114" s="9" t="str">
        <f t="shared" si="19"/>
        <v>648</v>
      </c>
    </row>
    <row r="115" spans="2:11" x14ac:dyDescent="0.3">
      <c r="B115" s="21" t="str">
        <f t="shared" si="10"/>
        <v>Coc</v>
      </c>
      <c r="C115" s="10" t="str">
        <f t="shared" si="11"/>
        <v>648</v>
      </c>
      <c r="D115" s="10" t="str">
        <f t="shared" si="12"/>
        <v>648</v>
      </c>
      <c r="E115" s="21" t="str">
        <f t="shared" si="13"/>
        <v>ĐB</v>
      </c>
      <c r="F115" s="9" t="str">
        <f t="shared" si="14"/>
        <v>648</v>
      </c>
      <c r="G115" s="9" t="str">
        <f t="shared" si="15"/>
        <v>648</v>
      </c>
      <c r="H115" s="9" t="str">
        <f t="shared" si="16"/>
        <v>648</v>
      </c>
      <c r="I115" s="9">
        <f t="shared" si="17"/>
        <v>0</v>
      </c>
      <c r="J115" s="9" t="str">
        <f t="shared" si="18"/>
        <v>648</v>
      </c>
      <c r="K115" s="9" t="str">
        <f t="shared" si="19"/>
        <v>648</v>
      </c>
    </row>
    <row r="116" spans="2:11" x14ac:dyDescent="0.3">
      <c r="B116" s="21" t="str">
        <f t="shared" si="10"/>
        <v>Coc</v>
      </c>
      <c r="C116" s="10" t="str">
        <f t="shared" si="11"/>
        <v>648</v>
      </c>
      <c r="D116" s="10" t="str">
        <f t="shared" si="12"/>
        <v>648</v>
      </c>
      <c r="E116" s="21" t="str">
        <f t="shared" si="13"/>
        <v>ĐB</v>
      </c>
      <c r="F116" s="9" t="str">
        <f t="shared" si="14"/>
        <v>648</v>
      </c>
      <c r="G116" s="9" t="str">
        <f t="shared" si="15"/>
        <v>648</v>
      </c>
      <c r="H116" s="9" t="str">
        <f t="shared" si="16"/>
        <v>648</v>
      </c>
      <c r="I116" s="9">
        <f t="shared" si="17"/>
        <v>0</v>
      </c>
      <c r="J116" s="9" t="str">
        <f t="shared" si="18"/>
        <v>648</v>
      </c>
      <c r="K116" s="9" t="str">
        <f t="shared" si="19"/>
        <v>648</v>
      </c>
    </row>
    <row r="117" spans="2:11" x14ac:dyDescent="0.3">
      <c r="B117" s="21" t="str">
        <f t="shared" si="10"/>
        <v>Coc</v>
      </c>
      <c r="C117" s="10" t="str">
        <f t="shared" si="11"/>
        <v>648</v>
      </c>
      <c r="D117" s="10" t="str">
        <f t="shared" si="12"/>
        <v>648</v>
      </c>
      <c r="E117" s="21" t="str">
        <f t="shared" si="13"/>
        <v>ĐB</v>
      </c>
      <c r="F117" s="9" t="str">
        <f t="shared" si="14"/>
        <v>648</v>
      </c>
      <c r="G117" s="9" t="str">
        <f t="shared" si="15"/>
        <v>648</v>
      </c>
      <c r="H117" s="9" t="str">
        <f t="shared" si="16"/>
        <v>648</v>
      </c>
      <c r="I117" s="9">
        <f t="shared" si="17"/>
        <v>0</v>
      </c>
      <c r="J117" s="9" t="str">
        <f t="shared" si="18"/>
        <v>648</v>
      </c>
      <c r="K117" s="9" t="str">
        <f t="shared" si="19"/>
        <v>648</v>
      </c>
    </row>
    <row r="118" spans="2:11" x14ac:dyDescent="0.3">
      <c r="B118" s="21" t="str">
        <f t="shared" si="10"/>
        <v>Coc</v>
      </c>
      <c r="C118" s="10" t="str">
        <f t="shared" si="11"/>
        <v>648</v>
      </c>
      <c r="D118" s="10" t="str">
        <f t="shared" si="12"/>
        <v>648</v>
      </c>
      <c r="E118" s="21" t="str">
        <f t="shared" si="13"/>
        <v>ĐB</v>
      </c>
      <c r="F118" s="9" t="str">
        <f t="shared" si="14"/>
        <v>648</v>
      </c>
      <c r="G118" s="9" t="str">
        <f t="shared" si="15"/>
        <v>648</v>
      </c>
      <c r="H118" s="9" t="str">
        <f t="shared" si="16"/>
        <v>648</v>
      </c>
      <c r="I118" s="9">
        <f t="shared" si="17"/>
        <v>0</v>
      </c>
      <c r="J118" s="9" t="str">
        <f t="shared" si="18"/>
        <v>648</v>
      </c>
      <c r="K118" s="9" t="str">
        <f t="shared" si="19"/>
        <v>648</v>
      </c>
    </row>
    <row r="119" spans="2:11" x14ac:dyDescent="0.3">
      <c r="B119" s="21" t="str">
        <f t="shared" si="10"/>
        <v>Coc</v>
      </c>
      <c r="C119" s="10" t="str">
        <f t="shared" si="11"/>
        <v>648</v>
      </c>
      <c r="D119" s="10" t="str">
        <f t="shared" si="12"/>
        <v>648</v>
      </c>
      <c r="E119" s="21" t="str">
        <f t="shared" si="13"/>
        <v>ĐB</v>
      </c>
      <c r="F119" s="9" t="str">
        <f t="shared" si="14"/>
        <v>648</v>
      </c>
      <c r="G119" s="9" t="str">
        <f t="shared" si="15"/>
        <v>648</v>
      </c>
      <c r="H119" s="9" t="str">
        <f t="shared" si="16"/>
        <v>648</v>
      </c>
      <c r="I119" s="9">
        <f t="shared" si="17"/>
        <v>0</v>
      </c>
      <c r="J119" s="9" t="str">
        <f t="shared" si="18"/>
        <v>648</v>
      </c>
      <c r="K119" s="9" t="str">
        <f t="shared" si="19"/>
        <v>648</v>
      </c>
    </row>
    <row r="120" spans="2:11" x14ac:dyDescent="0.3">
      <c r="B120" s="21" t="str">
        <f t="shared" si="10"/>
        <v>Coc</v>
      </c>
      <c r="C120" s="10" t="str">
        <f t="shared" si="11"/>
        <v>648</v>
      </c>
      <c r="D120" s="10" t="str">
        <f t="shared" si="12"/>
        <v>648</v>
      </c>
      <c r="E120" s="21" t="str">
        <f t="shared" si="13"/>
        <v>ĐB</v>
      </c>
      <c r="F120" s="9" t="str">
        <f t="shared" si="14"/>
        <v>648</v>
      </c>
      <c r="G120" s="9" t="str">
        <f t="shared" si="15"/>
        <v>648</v>
      </c>
      <c r="H120" s="9" t="str">
        <f t="shared" si="16"/>
        <v>648</v>
      </c>
      <c r="I120" s="9">
        <f t="shared" si="17"/>
        <v>0</v>
      </c>
      <c r="J120" s="9" t="str">
        <f t="shared" si="18"/>
        <v>648</v>
      </c>
      <c r="K120" s="9" t="str">
        <f t="shared" si="19"/>
        <v>648</v>
      </c>
    </row>
    <row r="121" spans="2:11" x14ac:dyDescent="0.3">
      <c r="B121" s="21" t="str">
        <f t="shared" si="10"/>
        <v>Coc</v>
      </c>
      <c r="C121" s="10" t="str">
        <f t="shared" si="11"/>
        <v>648</v>
      </c>
      <c r="D121" s="10" t="str">
        <f t="shared" si="12"/>
        <v>648</v>
      </c>
      <c r="E121" s="21" t="str">
        <f t="shared" si="13"/>
        <v>ĐB</v>
      </c>
      <c r="F121" s="9" t="str">
        <f t="shared" si="14"/>
        <v>648</v>
      </c>
      <c r="G121" s="9" t="str">
        <f t="shared" si="15"/>
        <v>648</v>
      </c>
      <c r="H121" s="9" t="str">
        <f t="shared" si="16"/>
        <v>648</v>
      </c>
      <c r="I121" s="9">
        <f t="shared" si="17"/>
        <v>0</v>
      </c>
      <c r="J121" s="9" t="str">
        <f t="shared" si="18"/>
        <v>648</v>
      </c>
      <c r="K121" s="9" t="str">
        <f t="shared" si="19"/>
        <v>648</v>
      </c>
    </row>
    <row r="122" spans="2:11" x14ac:dyDescent="0.3">
      <c r="B122" s="21" t="str">
        <f t="shared" si="10"/>
        <v>Coc</v>
      </c>
      <c r="C122" s="10" t="str">
        <f t="shared" si="11"/>
        <v>648</v>
      </c>
      <c r="D122" s="10" t="str">
        <f t="shared" si="12"/>
        <v>648</v>
      </c>
      <c r="E122" s="21" t="str">
        <f t="shared" si="13"/>
        <v>ĐB</v>
      </c>
      <c r="F122" s="9" t="str">
        <f t="shared" si="14"/>
        <v>648</v>
      </c>
      <c r="G122" s="9" t="str">
        <f t="shared" si="15"/>
        <v>648</v>
      </c>
      <c r="H122" s="9" t="str">
        <f t="shared" si="16"/>
        <v>648</v>
      </c>
      <c r="I122" s="9">
        <f t="shared" si="17"/>
        <v>0</v>
      </c>
      <c r="J122" s="9" t="str">
        <f t="shared" si="18"/>
        <v>648</v>
      </c>
      <c r="K122" s="9" t="str">
        <f t="shared" si="19"/>
        <v>648</v>
      </c>
    </row>
    <row r="123" spans="2:11" x14ac:dyDescent="0.3">
      <c r="B123" s="21" t="str">
        <f t="shared" si="10"/>
        <v>Coc</v>
      </c>
      <c r="C123" s="10" t="str">
        <f t="shared" si="11"/>
        <v>648</v>
      </c>
      <c r="D123" s="10" t="str">
        <f t="shared" si="12"/>
        <v>648</v>
      </c>
      <c r="E123" s="21" t="str">
        <f t="shared" si="13"/>
        <v>ĐB</v>
      </c>
      <c r="F123" s="9" t="str">
        <f t="shared" si="14"/>
        <v>648</v>
      </c>
      <c r="G123" s="9" t="str">
        <f t="shared" si="15"/>
        <v>648</v>
      </c>
      <c r="H123" s="9" t="str">
        <f t="shared" si="16"/>
        <v>648</v>
      </c>
      <c r="I123" s="9">
        <f t="shared" si="17"/>
        <v>0</v>
      </c>
      <c r="J123" s="9" t="str">
        <f t="shared" si="18"/>
        <v>648</v>
      </c>
      <c r="K123" s="9" t="str">
        <f t="shared" si="19"/>
        <v>648</v>
      </c>
    </row>
    <row r="124" spans="2:11" x14ac:dyDescent="0.3">
      <c r="B124" s="21" t="str">
        <f t="shared" si="10"/>
        <v>Coc</v>
      </c>
      <c r="C124" s="10" t="str">
        <f t="shared" si="11"/>
        <v>648</v>
      </c>
      <c r="D124" s="10" t="str">
        <f t="shared" si="12"/>
        <v>648</v>
      </c>
      <c r="E124" s="21" t="str">
        <f t="shared" si="13"/>
        <v>ĐB</v>
      </c>
      <c r="F124" s="9" t="str">
        <f t="shared" si="14"/>
        <v>648</v>
      </c>
      <c r="G124" s="9" t="str">
        <f t="shared" si="15"/>
        <v>648</v>
      </c>
      <c r="H124" s="9" t="str">
        <f t="shared" si="16"/>
        <v>648</v>
      </c>
      <c r="I124" s="9">
        <f t="shared" si="17"/>
        <v>0</v>
      </c>
      <c r="J124" s="9" t="str">
        <f t="shared" si="18"/>
        <v>648</v>
      </c>
      <c r="K124" s="9" t="str">
        <f t="shared" si="19"/>
        <v>648</v>
      </c>
    </row>
    <row r="125" spans="2:11" x14ac:dyDescent="0.3">
      <c r="B125" s="21" t="str">
        <f t="shared" si="10"/>
        <v>Coc</v>
      </c>
      <c r="C125" s="10" t="str">
        <f t="shared" si="11"/>
        <v>648</v>
      </c>
      <c r="D125" s="10" t="str">
        <f t="shared" si="12"/>
        <v>648</v>
      </c>
      <c r="E125" s="21" t="str">
        <f t="shared" si="13"/>
        <v>ĐB</v>
      </c>
      <c r="F125" s="9" t="str">
        <f t="shared" si="14"/>
        <v>648</v>
      </c>
      <c r="G125" s="9" t="str">
        <f t="shared" si="15"/>
        <v>648</v>
      </c>
      <c r="H125" s="9" t="str">
        <f t="shared" si="16"/>
        <v>648</v>
      </c>
      <c r="I125" s="9">
        <f t="shared" si="17"/>
        <v>0</v>
      </c>
      <c r="J125" s="9" t="str">
        <f t="shared" si="18"/>
        <v>648</v>
      </c>
      <c r="K125" s="9" t="str">
        <f t="shared" si="19"/>
        <v>648</v>
      </c>
    </row>
    <row r="126" spans="2:11" x14ac:dyDescent="0.3">
      <c r="B126" s="21" t="str">
        <f t="shared" si="10"/>
        <v>Coc</v>
      </c>
      <c r="C126" s="10" t="str">
        <f t="shared" si="11"/>
        <v>648</v>
      </c>
      <c r="D126" s="10" t="str">
        <f t="shared" si="12"/>
        <v>648</v>
      </c>
      <c r="E126" s="21" t="str">
        <f t="shared" si="13"/>
        <v>ĐB</v>
      </c>
      <c r="F126" s="9" t="str">
        <f t="shared" si="14"/>
        <v>648</v>
      </c>
      <c r="G126" s="9" t="str">
        <f t="shared" si="15"/>
        <v>648</v>
      </c>
      <c r="H126" s="9" t="str">
        <f t="shared" si="16"/>
        <v>648</v>
      </c>
      <c r="I126" s="9">
        <f t="shared" si="17"/>
        <v>0</v>
      </c>
      <c r="J126" s="9" t="str">
        <f t="shared" si="18"/>
        <v>648</v>
      </c>
      <c r="K126" s="9" t="str">
        <f t="shared" si="19"/>
        <v>648</v>
      </c>
    </row>
    <row r="127" spans="2:11" x14ac:dyDescent="0.3">
      <c r="B127" s="21" t="str">
        <f t="shared" si="10"/>
        <v>Coc</v>
      </c>
      <c r="C127" s="10" t="str">
        <f t="shared" si="11"/>
        <v>648</v>
      </c>
      <c r="D127" s="10" t="str">
        <f t="shared" si="12"/>
        <v>648</v>
      </c>
      <c r="E127" s="21" t="str">
        <f t="shared" si="13"/>
        <v>ĐB</v>
      </c>
      <c r="F127" s="9" t="str">
        <f t="shared" si="14"/>
        <v>648</v>
      </c>
      <c r="G127" s="9" t="str">
        <f t="shared" si="15"/>
        <v>648</v>
      </c>
      <c r="H127" s="9" t="str">
        <f t="shared" si="16"/>
        <v>648</v>
      </c>
      <c r="I127" s="9">
        <f t="shared" si="17"/>
        <v>0</v>
      </c>
      <c r="J127" s="9" t="str">
        <f t="shared" si="18"/>
        <v>648</v>
      </c>
      <c r="K127" s="9" t="str">
        <f t="shared" si="19"/>
        <v>648</v>
      </c>
    </row>
    <row r="128" spans="2:11" x14ac:dyDescent="0.3">
      <c r="B128" s="21" t="str">
        <f t="shared" si="10"/>
        <v>Coc</v>
      </c>
      <c r="C128" s="10" t="str">
        <f t="shared" si="11"/>
        <v>648</v>
      </c>
      <c r="D128" s="10" t="str">
        <f t="shared" si="12"/>
        <v>648</v>
      </c>
      <c r="E128" s="21" t="str">
        <f t="shared" si="13"/>
        <v>ĐB</v>
      </c>
      <c r="F128" s="9" t="str">
        <f t="shared" si="14"/>
        <v>648</v>
      </c>
      <c r="G128" s="9" t="str">
        <f t="shared" si="15"/>
        <v>648</v>
      </c>
      <c r="H128" s="9" t="str">
        <f t="shared" si="16"/>
        <v>648</v>
      </c>
      <c r="I128" s="9">
        <f t="shared" si="17"/>
        <v>0</v>
      </c>
      <c r="J128" s="9" t="str">
        <f t="shared" si="18"/>
        <v>648</v>
      </c>
      <c r="K128" s="9" t="str">
        <f t="shared" si="19"/>
        <v>648</v>
      </c>
    </row>
    <row r="129" spans="2:11" x14ac:dyDescent="0.3">
      <c r="B129" s="21" t="str">
        <f t="shared" si="10"/>
        <v>Coc</v>
      </c>
      <c r="C129" s="10" t="str">
        <f t="shared" si="11"/>
        <v>648</v>
      </c>
      <c r="D129" s="10" t="str">
        <f t="shared" si="12"/>
        <v>648</v>
      </c>
      <c r="E129" s="21" t="str">
        <f t="shared" si="13"/>
        <v>ĐB</v>
      </c>
      <c r="F129" s="9" t="str">
        <f t="shared" si="14"/>
        <v>648</v>
      </c>
      <c r="G129" s="9" t="str">
        <f t="shared" si="15"/>
        <v>648</v>
      </c>
      <c r="H129" s="9" t="str">
        <f t="shared" si="16"/>
        <v>648</v>
      </c>
      <c r="I129" s="9">
        <f t="shared" si="17"/>
        <v>0</v>
      </c>
      <c r="J129" s="9" t="str">
        <f t="shared" si="18"/>
        <v>648</v>
      </c>
      <c r="K129" s="9" t="str">
        <f t="shared" si="19"/>
        <v>648</v>
      </c>
    </row>
    <row r="130" spans="2:11" x14ac:dyDescent="0.3">
      <c r="B130" s="21" t="str">
        <f t="shared" si="10"/>
        <v>Coc</v>
      </c>
      <c r="C130" s="10" t="str">
        <f t="shared" si="11"/>
        <v>648</v>
      </c>
      <c r="D130" s="10" t="str">
        <f t="shared" si="12"/>
        <v>648</v>
      </c>
      <c r="E130" s="21" t="str">
        <f t="shared" si="13"/>
        <v>ĐB</v>
      </c>
      <c r="F130" s="9" t="str">
        <f t="shared" si="14"/>
        <v>648</v>
      </c>
      <c r="G130" s="9" t="str">
        <f t="shared" si="15"/>
        <v>648</v>
      </c>
      <c r="H130" s="9" t="str">
        <f t="shared" si="16"/>
        <v>648</v>
      </c>
      <c r="I130" s="9">
        <f t="shared" si="17"/>
        <v>0</v>
      </c>
      <c r="J130" s="9" t="str">
        <f t="shared" si="18"/>
        <v>648</v>
      </c>
      <c r="K130" s="9" t="str">
        <f t="shared" si="19"/>
        <v>648</v>
      </c>
    </row>
    <row r="133" spans="2:11" x14ac:dyDescent="0.3">
      <c r="B133" s="6" t="s">
        <v>728</v>
      </c>
    </row>
    <row r="134" spans="2:11" x14ac:dyDescent="0.3">
      <c r="B134" s="4" t="s">
        <v>729</v>
      </c>
      <c r="D134" s="23">
        <f>Pmax_CD</f>
        <v>6292.0865142516041</v>
      </c>
      <c r="E134" s="26">
        <f>Pmax_CD/9.81</f>
        <v>641.39515945480161</v>
      </c>
    </row>
    <row r="135" spans="2:11" x14ac:dyDescent="0.3">
      <c r="B135" s="4" t="s">
        <v>730</v>
      </c>
      <c r="D135" s="23">
        <f>Pmax_DB</f>
        <v>6283.4076457143155</v>
      </c>
      <c r="E135" s="26">
        <f>Pmax_DB/9.81</f>
        <v>640.51046337556727</v>
      </c>
    </row>
    <row r="136" spans="2:11" x14ac:dyDescent="0.3">
      <c r="B136" s="4" t="s">
        <v>731</v>
      </c>
      <c r="D136" s="23">
        <f>Pmax_SD</f>
        <v>4516.8895394426181</v>
      </c>
      <c r="E136" s="26">
        <f>Pmax_SD/9.81</f>
        <v>460.43726192075616</v>
      </c>
    </row>
    <row r="137" spans="2:11" x14ac:dyDescent="0.3">
      <c r="B137" s="4" t="s">
        <v>732</v>
      </c>
      <c r="D137" s="23">
        <f>Pmin_CD</f>
        <v>0</v>
      </c>
      <c r="E137" s="26">
        <f>Pmin_CD/9.81</f>
        <v>0</v>
      </c>
    </row>
    <row r="138" spans="2:11" x14ac:dyDescent="0.3">
      <c r="B138" s="4" t="s">
        <v>733</v>
      </c>
      <c r="D138" s="23">
        <f>Pmin_DB</f>
        <v>-1238.9311219846729</v>
      </c>
      <c r="E138" s="26">
        <f>Pmin_DB/9.81</f>
        <v>-126.29267298518582</v>
      </c>
    </row>
    <row r="140" spans="2:11" x14ac:dyDescent="0.3">
      <c r="B140" s="11" t="s">
        <v>734</v>
      </c>
    </row>
    <row r="141" spans="2:11" x14ac:dyDescent="0.3">
      <c r="B141" s="11" t="s">
        <v>735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S313"/>
  <sheetViews>
    <sheetView showGridLines="0" workbookViewId="0"/>
  </sheetViews>
  <sheetFormatPr defaultRowHeight="14.4" outlineLevelRow="1" x14ac:dyDescent="0.3"/>
  <cols>
    <col min="1" max="1" width="6" customWidth="1"/>
    <col min="2" max="2" width="34" customWidth="1"/>
    <col min="3" max="3" width="14" customWidth="1"/>
    <col min="4" max="6" width="13" customWidth="1"/>
    <col min="7" max="8" width="11" customWidth="1"/>
    <col min="9" max="9" width="10" customWidth="1"/>
    <col min="10" max="12" width="13" customWidth="1"/>
    <col min="13" max="13" width="11" customWidth="1"/>
    <col min="14" max="14" width="14" customWidth="1"/>
    <col min="15" max="15" width="17" customWidth="1"/>
    <col min="16" max="16" width="12" customWidth="1"/>
    <col min="17" max="17" width="17" customWidth="1"/>
    <col min="18" max="19" width="14" customWidth="1"/>
  </cols>
  <sheetData>
    <row r="1" spans="1:19" ht="30" customHeight="1" x14ac:dyDescent="0.3">
      <c r="A1" s="87" t="s">
        <v>736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</row>
    <row r="2" spans="1:19" ht="34.049999999999997" customHeight="1" x14ac:dyDescent="0.3">
      <c r="A2" s="88" t="s">
        <v>737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</row>
    <row r="3" spans="1:19" x14ac:dyDescent="0.3">
      <c r="A3" s="84" t="s">
        <v>738</v>
      </c>
      <c r="B3" s="84"/>
      <c r="C3" s="84"/>
      <c r="D3" s="84"/>
      <c r="E3" s="84"/>
      <c r="F3" s="84"/>
      <c r="G3" s="84"/>
      <c r="H3" s="84"/>
      <c r="J3" s="84" t="s">
        <v>739</v>
      </c>
      <c r="K3" s="84"/>
    </row>
    <row r="4" spans="1:19" x14ac:dyDescent="0.3">
      <c r="A4" s="89" t="s">
        <v>740</v>
      </c>
      <c r="B4" s="89"/>
      <c r="C4" s="31"/>
      <c r="D4" s="89" t="s">
        <v>740</v>
      </c>
      <c r="E4" s="89"/>
      <c r="F4" s="31"/>
      <c r="G4" s="31"/>
      <c r="H4" s="31"/>
      <c r="J4" s="33" t="s">
        <v>741</v>
      </c>
      <c r="K4" s="33">
        <v>0.9</v>
      </c>
    </row>
    <row r="5" spans="1:19" ht="28.8" x14ac:dyDescent="0.3">
      <c r="A5" s="86" t="s">
        <v>445</v>
      </c>
      <c r="B5" s="86"/>
      <c r="C5" s="73" t="str">
        <f>IFERROR(INDEX($B$16:$B$61,MATCH(MAX($M$16:$M$61,$M$75:$M$312),$M$16:$M$61,0)),INDEX($B$75:$B$312,MATCH(MAX($M$16:$M$61,$M$75:$M$312),$M$75:$M$312,0)))</f>
        <v>CĐ I(a) max - 1 làn lệch tâm</v>
      </c>
      <c r="D5" s="86" t="s">
        <v>742</v>
      </c>
      <c r="E5" s="86"/>
      <c r="F5" s="73">
        <f>IFERROR(INDEX($K$16:$K$61,MATCH(MAX($M$16:$M$61,$M$75:$M$312),$M$16:$M$61,0)),INDEX($K$75:$K$312,MATCH(MAX($M$16:$M$61,$M$75:$M$312),$M$75:$M$312,0)))</f>
        <v>0</v>
      </c>
      <c r="G5" s="31"/>
      <c r="H5" s="31"/>
      <c r="J5" s="33" t="s">
        <v>743</v>
      </c>
      <c r="K5" s="33">
        <v>0</v>
      </c>
    </row>
    <row r="6" spans="1:19" x14ac:dyDescent="0.3">
      <c r="A6" s="86" t="s">
        <v>744</v>
      </c>
      <c r="B6" s="86"/>
      <c r="C6" s="73">
        <f>IFERROR(INDEX($D$16:$D$61,MATCH(MAX($M$16:$M$61,$M$75:$M$312),$M$16:$M$61,0)),INDEX($D$75:$D$312,MATCH(MAX($M$16:$M$61,$M$75:$M$312),$M$75:$M$312,0)))</f>
        <v>-18050.861639999999</v>
      </c>
      <c r="D6" s="86" t="s">
        <v>745</v>
      </c>
      <c r="E6" s="86"/>
      <c r="F6" s="73">
        <f>IFERROR(INDEX($L$16:$L$61,MATCH(MAX($M$16:$M$61,$M$75:$M$312),$M$16:$M$61,0)),INDEX($L$75:$L$312,MATCH(MAX($M$16:$M$61,$M$75:$M$312),$M$75:$M$312,0)))</f>
        <v>21883.867637877771</v>
      </c>
      <c r="G6" s="31"/>
      <c r="H6" s="31"/>
      <c r="J6" s="33" t="s">
        <v>746</v>
      </c>
      <c r="K6" s="33">
        <v>20</v>
      </c>
    </row>
    <row r="7" spans="1:19" x14ac:dyDescent="0.3">
      <c r="A7" s="86" t="s">
        <v>747</v>
      </c>
      <c r="B7" s="86"/>
      <c r="C7" s="73">
        <f>IFERROR(INDEX($E$16:$E$61,MATCH(MAX($M$16:$M$61,$M$75:$M$312),$M$16:$M$61,0)),INDEX($E$75:$E$312,MATCH(MAX($M$16:$M$61,$M$75:$M$312),$M$75:$M$312,0)))</f>
        <v>26024.129339959491</v>
      </c>
      <c r="D7" s="86" t="s">
        <v>748</v>
      </c>
      <c r="E7" s="86"/>
      <c r="F7" s="32">
        <f>MAX($M$16:$M$61,$M$75:$M$312)</f>
        <v>0.38874821868242554</v>
      </c>
      <c r="G7" s="31"/>
      <c r="H7" s="31"/>
      <c r="J7" s="33" t="s">
        <v>749</v>
      </c>
      <c r="K7" s="33">
        <f>Es_</f>
        <v>200000</v>
      </c>
    </row>
    <row r="8" spans="1:19" x14ac:dyDescent="0.3">
      <c r="A8" s="86" t="s">
        <v>750</v>
      </c>
      <c r="B8" s="86"/>
      <c r="C8" s="73">
        <f>IFERROR(INDEX($F$16:$F$61,MATCH(MAX($M$16:$M$61,$M$75:$M$312),$M$16:$M$61,0)),INDEX($F$75:$F$312,MATCH(MAX($M$16:$M$61,$M$75:$M$312),$M$75:$M$312,0)))</f>
        <v>8507.3145621069634</v>
      </c>
      <c r="D8" s="86" t="s">
        <v>751</v>
      </c>
      <c r="E8" s="86"/>
      <c r="F8" s="73" t="str">
        <f>IFERROR(INDEX($N$16:$N$61,MATCH(MAX($M$16:$M$61,$M$75:$M$312),$M$16:$M$61,0)),INDEX($N$75:$N$312,MATCH(MAX($M$16:$M$61,$M$75:$M$312),$M$75:$M$312,0)))</f>
        <v>KHÔNG</v>
      </c>
      <c r="G8" s="31"/>
      <c r="H8" s="31"/>
      <c r="J8" s="33" t="s">
        <v>752</v>
      </c>
      <c r="K8" s="33">
        <f>fy_</f>
        <v>400</v>
      </c>
    </row>
    <row r="9" spans="1:19" ht="28.8" x14ac:dyDescent="0.3">
      <c r="A9" s="86" t="s">
        <v>753</v>
      </c>
      <c r="B9" s="86"/>
      <c r="C9" s="73">
        <f>IFERROR(INDEX($G$16:$G$61,MATCH(MAX($M$16:$M$61,$M$75:$M$312),$M$16:$M$61,0)),INDEX($G$75:$G$312,MATCH(MAX($M$16:$M$61,$M$75:$M$312),$M$75:$M$312,0)))</f>
        <v>6.3057752890125092E-4</v>
      </c>
      <c r="D9" s="86" t="s">
        <v>754</v>
      </c>
      <c r="E9" s="86"/>
      <c r="F9" s="73" t="str">
        <f>IFERROR(INDEX($O$16:$O$61,MATCH(MAX($M$16:$M$61,$M$75:$M$312),$M$16:$M$61,0)),INDEX($O$75:$O$312,MATCH(MAX($M$16:$M$61,$M$75:$M$312),$M$75:$M$312,0)))</f>
        <v>KHÔNG YÊU CẦU</v>
      </c>
      <c r="G9" s="31"/>
      <c r="H9" s="31"/>
      <c r="J9" s="33" t="s">
        <v>755</v>
      </c>
      <c r="K9" s="33">
        <f>fc_</f>
        <v>30</v>
      </c>
    </row>
    <row r="10" spans="1:19" x14ac:dyDescent="0.3">
      <c r="A10" s="86" t="s">
        <v>756</v>
      </c>
      <c r="B10" s="86"/>
      <c r="C10" s="73">
        <f>IFERROR(INDEX($H$16:$H$61,MATCH(MAX($M$16:$M$61,$M$75:$M$312),$M$16:$M$61,0)),INDEX($H$75:$H$312,MATCH(MAX($M$16:$M$61,$M$75:$M$312),$M$75:$M$312,0)))</f>
        <v>2.0752807251780183</v>
      </c>
      <c r="D10" s="86" t="s">
        <v>757</v>
      </c>
      <c r="E10" s="86"/>
      <c r="F10" s="73">
        <f>IFERROR(INDEX($P$16:$P$61,MATCH(MAX($M$16:$M$61,$M$75:$M$312),$M$16:$M$61,0)),INDEX($P$75:$P$312,MATCH(MAX($M$16:$M$61,$M$75:$M$312),$M$75:$M$312,0)))</f>
        <v>600</v>
      </c>
      <c r="G10" s="31"/>
      <c r="H10" s="31"/>
      <c r="J10" s="33" t="s">
        <v>758</v>
      </c>
      <c r="K10" s="33">
        <f>'KT THAN'!D7</f>
        <v>24061.386541807733</v>
      </c>
    </row>
    <row r="11" spans="1:19" ht="28.8" x14ac:dyDescent="0.3">
      <c r="A11" s="86" t="s">
        <v>759</v>
      </c>
      <c r="B11" s="86"/>
      <c r="C11" s="73">
        <f>IFERROR(INDEX($I$16:$I$61,MATCH(MAX($M$16:$M$61,$M$75:$M$312),$M$16:$M$61,0)),INDEX($I$75:$I$312,MATCH(MAX($M$16:$M$61,$M$75:$M$312),$M$75:$M$312,0)))</f>
        <v>31.207021351154378</v>
      </c>
      <c r="D11" s="86" t="s">
        <v>760</v>
      </c>
      <c r="E11" s="86"/>
      <c r="F11" s="73" t="str">
        <f>IFERROR(INDEX($Q$16:$Q$61,MATCH(MAX($M$16:$M$61,$M$75:$M$312),$M$16:$M$61,0)),INDEX($Q$75:$Q$312,MATCH(MAX($M$16:$M$61,$M$75:$M$312),$M$75:$M$312,0)))</f>
        <v>KHÔNG YÊU CẦU</v>
      </c>
      <c r="G11" s="31"/>
      <c r="H11" s="31"/>
      <c r="J11" s="33" t="s">
        <v>761</v>
      </c>
      <c r="K11" s="33">
        <f>'KT THAN'!D12</f>
        <v>154810.52199921149</v>
      </c>
    </row>
    <row r="12" spans="1:19" x14ac:dyDescent="0.3">
      <c r="A12" s="86" t="s">
        <v>762</v>
      </c>
      <c r="B12" s="86"/>
      <c r="C12" s="73">
        <f>IFERROR(INDEX($J$16:$J$61,MATCH(MAX($M$16:$M$61,$M$75:$M$312),$M$16:$M$61,0)),INDEX($J$75:$J$312,MATCH(MAX($M$16:$M$61,$M$75:$M$312),$M$75:$M$312,0)))</f>
        <v>24315.408486530854</v>
      </c>
      <c r="D12" s="86" t="s">
        <v>763</v>
      </c>
      <c r="E12" s="86"/>
      <c r="F12" s="73" t="str">
        <f>IFERROR(INDEX($R$16:$R$61,MATCH(MAX($M$16:$M$61,$M$75:$M$312),$M$16:$M$61,0)),INDEX($R$75:$R$312,MATCH(MAX($M$16:$M$61,$M$75:$M$312),$M$75:$M$312,0)))</f>
        <v>ĐẠT</v>
      </c>
      <c r="G12" s="31"/>
      <c r="H12" s="31"/>
      <c r="J12" s="33" t="s">
        <v>764</v>
      </c>
      <c r="K12" s="33">
        <f>'KT THAN'!D41</f>
        <v>1071.1378050251953</v>
      </c>
    </row>
    <row r="13" spans="1:19" x14ac:dyDescent="0.3">
      <c r="J13" s="33" t="s">
        <v>765</v>
      </c>
      <c r="K13" s="33">
        <f>'KT THAN'!D39</f>
        <v>0</v>
      </c>
    </row>
    <row r="14" spans="1:19" x14ac:dyDescent="0.3">
      <c r="A14" s="84" t="s">
        <v>766</v>
      </c>
      <c r="B14" s="84"/>
      <c r="C14" s="84"/>
      <c r="D14" s="84"/>
      <c r="E14" s="84"/>
      <c r="F14" s="84"/>
      <c r="G14" s="84"/>
      <c r="H14" s="84"/>
      <c r="I14" s="84"/>
      <c r="J14" s="85" t="s">
        <v>767</v>
      </c>
      <c r="K14" s="85">
        <f>'KT THAN'!D40</f>
        <v>16407.810396380151</v>
      </c>
      <c r="L14" s="84"/>
      <c r="M14" s="84"/>
      <c r="N14" s="84"/>
      <c r="O14" s="84"/>
      <c r="P14" s="84"/>
      <c r="Q14" s="84"/>
      <c r="R14" s="84"/>
      <c r="S14" s="84"/>
    </row>
    <row r="15" spans="1:19" ht="36" customHeight="1" x14ac:dyDescent="0.3">
      <c r="A15" s="34" t="s">
        <v>768</v>
      </c>
      <c r="B15" s="34" t="s">
        <v>445</v>
      </c>
      <c r="C15" s="34" t="s">
        <v>769</v>
      </c>
      <c r="D15" s="34" t="s">
        <v>770</v>
      </c>
      <c r="E15" s="34" t="s">
        <v>771</v>
      </c>
      <c r="F15" s="34" t="s">
        <v>772</v>
      </c>
      <c r="G15" s="34" t="s">
        <v>773</v>
      </c>
      <c r="H15" s="34" t="s">
        <v>145</v>
      </c>
      <c r="I15" s="34" t="s">
        <v>774</v>
      </c>
      <c r="J15" s="35" t="s">
        <v>775</v>
      </c>
      <c r="K15" s="35" t="s">
        <v>776</v>
      </c>
      <c r="L15" s="34" t="s">
        <v>777</v>
      </c>
      <c r="M15" s="34" t="s">
        <v>748</v>
      </c>
      <c r="N15" s="34" t="s">
        <v>778</v>
      </c>
      <c r="O15" s="34" t="s">
        <v>754</v>
      </c>
      <c r="P15" s="34" t="s">
        <v>779</v>
      </c>
      <c r="Q15" s="34" t="s">
        <v>780</v>
      </c>
      <c r="R15" s="34" t="s">
        <v>781</v>
      </c>
      <c r="S15" s="34" t="s">
        <v>782</v>
      </c>
    </row>
    <row r="16" spans="1:19" x14ac:dyDescent="0.3">
      <c r="A16" s="37">
        <v>1</v>
      </c>
      <c r="B16" s="36" t="str">
        <f>'TO HOP'!B105</f>
        <v>SD I - 1 làn lệch tâm</v>
      </c>
      <c r="C16" s="37">
        <f t="shared" ref="C16:C61" si="0">IF(LEFT(B16,2)="CĐ",1,0)</f>
        <v>0</v>
      </c>
      <c r="D16" s="38" t="str">
        <f>IF(C16=1,-'TO HOP'!J105,"")</f>
        <v/>
      </c>
      <c r="E16" s="38" t="str">
        <f>IF(C16=1,ABS('TO HOP'!L105),"")</f>
        <v/>
      </c>
      <c r="F16" s="38" t="str">
        <f>IF(C16=1,ABS('TO HOP'!H105),"")</f>
        <v/>
      </c>
      <c r="G16" s="38" t="str">
        <f t="shared" ref="G16:G61" si="1">IF(C16=1,MAX(0,(MAX(E16*1000000,F16*1000*$K$12)/$K$12+0.5*D16*1000+0.5*F16*1000)/($K$7*$K$11)),"")</f>
        <v/>
      </c>
      <c r="H16" s="38" t="str">
        <f t="shared" ref="H16:H61" si="2">IF(C16=1,IF($K$13&gt;=$K$14,4.8/(1+750*G16),4.8/(1+750*G16)*1300/(1000+MIN(2000,MAX(294,$K$12*35/(16+$K$6))))),"")</f>
        <v/>
      </c>
      <c r="I16" s="38" t="str">
        <f t="shared" ref="I16:I61" si="3">IF(C16=1,29+3500*G16,"")</f>
        <v/>
      </c>
      <c r="J16" s="38" t="str">
        <f t="shared" ref="J16:J61" si="4">IF(C16=1,0.083*H16*SQRT($K$9)*$K$10*$K$12/1000,"")</f>
        <v/>
      </c>
      <c r="K16" s="38" t="str">
        <f>IF(C16=1,IF(OR('KT THAN'!$D$36&lt;=0,$K$13&lt;=0,$K$15&lt;=0),0,$K$13*$K$8*$K$12/(TAN(RADIANS(I16))*$K$15)/1000),"")</f>
        <v/>
      </c>
      <c r="L16" s="38" t="str">
        <f t="shared" ref="L16:L61" si="5">IF(C16=1,$K$4*MIN(J16+K16,0.25*$K$9*$K$10*$K$12/1000),"")</f>
        <v/>
      </c>
      <c r="M16" s="38">
        <f t="shared" ref="M16:M61" si="6">IF(C16=1,IF(L16=0,999,F16/L16),0)</f>
        <v>0</v>
      </c>
      <c r="N16" s="38" t="str">
        <f t="shared" ref="N16:N61" si="7">IF(C16=1,IF(F16&gt;0.5*$K$4*J16,"CÓ","KHÔNG"),"")</f>
        <v/>
      </c>
      <c r="O16" s="38" t="str">
        <f t="shared" ref="O16:O61" si="8">IF(C16=1,IF(N16="KHÔNG","KHÔNG YÊU CẦU",IF($K$13&gt;=$K$14,"ĐẠT","KHÔNG ĐẠT")),"")</f>
        <v/>
      </c>
      <c r="P16" s="38" t="str">
        <f t="shared" ref="P16:P61" si="9">IF(C16=1,IF(F16*1000/($K$4*$K$10*$K$12)&lt;0.125*$K$9,MIN(0.8*$K$12,600),MIN(0.4*$K$12,300)),"")</f>
        <v/>
      </c>
      <c r="Q16" s="36" t="str">
        <f>IF(C16=1,IF('KT THAN'!$D$36&lt;=0,"KHÔNG YÊU CẦU",IF($K$15&lt;=P16,"ĐẠT","KHÔNG ĐẠT")),"")</f>
        <v/>
      </c>
      <c r="R16" s="36" t="str">
        <f t="shared" ref="R16:R61" si="10">IF(C16=1,IF(AND(L16&gt;=F16,O16&lt;&gt;"KHÔNG ĐẠT",Q16&lt;&gt;"KHÔNG ĐẠT"),"ĐẠT","KHÔNG ĐẠT"),"")</f>
        <v/>
      </c>
      <c r="S16" s="36" t="s">
        <v>783</v>
      </c>
    </row>
    <row r="17" spans="1:19" x14ac:dyDescent="0.3">
      <c r="A17" s="37">
        <v>2</v>
      </c>
      <c r="B17" s="36" t="str">
        <f>'TO HOP'!B106</f>
        <v>SD I - 2 làn lệch tâm</v>
      </c>
      <c r="C17" s="37">
        <f t="shared" si="0"/>
        <v>0</v>
      </c>
      <c r="D17" s="38" t="str">
        <f>IF(C17=1,-'TO HOP'!J106,"")</f>
        <v/>
      </c>
      <c r="E17" s="38" t="str">
        <f>IF(C17=1,ABS('TO HOP'!L106),"")</f>
        <v/>
      </c>
      <c r="F17" s="38" t="str">
        <f>IF(C17=1,ABS('TO HOP'!H106),"")</f>
        <v/>
      </c>
      <c r="G17" s="38" t="str">
        <f t="shared" si="1"/>
        <v/>
      </c>
      <c r="H17" s="38" t="str">
        <f t="shared" si="2"/>
        <v/>
      </c>
      <c r="I17" s="38" t="str">
        <f t="shared" si="3"/>
        <v/>
      </c>
      <c r="J17" s="38" t="str">
        <f t="shared" si="4"/>
        <v/>
      </c>
      <c r="K17" s="38" t="str">
        <f>IF(C17=1,IF(OR('KT THAN'!$D$36&lt;=0,$K$13&lt;=0,$K$15&lt;=0),0,$K$13*$K$8*$K$12/(TAN(RADIANS(I17))*$K$15)/1000),"")</f>
        <v/>
      </c>
      <c r="L17" s="38" t="str">
        <f t="shared" si="5"/>
        <v/>
      </c>
      <c r="M17" s="38">
        <f t="shared" si="6"/>
        <v>0</v>
      </c>
      <c r="N17" s="38" t="str">
        <f t="shared" si="7"/>
        <v/>
      </c>
      <c r="O17" s="38" t="str">
        <f t="shared" si="8"/>
        <v/>
      </c>
      <c r="P17" s="38" t="str">
        <f t="shared" si="9"/>
        <v/>
      </c>
      <c r="Q17" s="36" t="str">
        <f>IF(C17=1,IF('KT THAN'!$D$36&lt;=0,"KHÔNG YÊU CẦU",IF($K$15&lt;=P17,"ĐẠT","KHÔNG ĐẠT")),"")</f>
        <v/>
      </c>
      <c r="R17" s="36" t="str">
        <f t="shared" si="10"/>
        <v/>
      </c>
      <c r="S17" s="36" t="s">
        <v>784</v>
      </c>
    </row>
    <row r="18" spans="1:19" x14ac:dyDescent="0.3">
      <c r="A18" s="37">
        <v>3</v>
      </c>
      <c r="B18" s="36" t="str">
        <f>'TO HOP'!B107</f>
        <v>SD I - 3 làn lệch tâm</v>
      </c>
      <c r="C18" s="37">
        <f t="shared" si="0"/>
        <v>0</v>
      </c>
      <c r="D18" s="38" t="str">
        <f>IF(C18=1,-'TO HOP'!J107,"")</f>
        <v/>
      </c>
      <c r="E18" s="38" t="str">
        <f>IF(C18=1,ABS('TO HOP'!L107),"")</f>
        <v/>
      </c>
      <c r="F18" s="38" t="str">
        <f>IF(C18=1,ABS('TO HOP'!H107),"")</f>
        <v/>
      </c>
      <c r="G18" s="38" t="str">
        <f t="shared" si="1"/>
        <v/>
      </c>
      <c r="H18" s="38" t="str">
        <f t="shared" si="2"/>
        <v/>
      </c>
      <c r="I18" s="38" t="str">
        <f t="shared" si="3"/>
        <v/>
      </c>
      <c r="J18" s="38" t="str">
        <f t="shared" si="4"/>
        <v/>
      </c>
      <c r="K18" s="38" t="str">
        <f>IF(C18=1,IF(OR('KT THAN'!$D$36&lt;=0,$K$13&lt;=0,$K$15&lt;=0),0,$K$13*$K$8*$K$12/(TAN(RADIANS(I18))*$K$15)/1000),"")</f>
        <v/>
      </c>
      <c r="L18" s="38" t="str">
        <f t="shared" si="5"/>
        <v/>
      </c>
      <c r="M18" s="38">
        <f t="shared" si="6"/>
        <v>0</v>
      </c>
      <c r="N18" s="38" t="str">
        <f t="shared" si="7"/>
        <v/>
      </c>
      <c r="O18" s="38" t="str">
        <f t="shared" si="8"/>
        <v/>
      </c>
      <c r="P18" s="38" t="str">
        <f t="shared" si="9"/>
        <v/>
      </c>
      <c r="Q18" s="36" t="str">
        <f>IF(C18=1,IF('KT THAN'!$D$36&lt;=0,"KHÔNG YÊU CẦU",IF($K$15&lt;=P18,"ĐẠT","KHÔNG ĐẠT")),"")</f>
        <v/>
      </c>
      <c r="R18" s="36" t="str">
        <f t="shared" si="10"/>
        <v/>
      </c>
      <c r="S18" s="36" t="s">
        <v>785</v>
      </c>
    </row>
    <row r="19" spans="1:19" x14ac:dyDescent="0.3">
      <c r="A19" s="37">
        <v>4</v>
      </c>
      <c r="B19" s="36" t="str">
        <f>'TO HOP'!B108</f>
        <v>SD I - 4 làn lệch tâm</v>
      </c>
      <c r="C19" s="37">
        <f t="shared" si="0"/>
        <v>0</v>
      </c>
      <c r="D19" s="38" t="str">
        <f>IF(C19=1,-'TO HOP'!J108,"")</f>
        <v/>
      </c>
      <c r="E19" s="38" t="str">
        <f>IF(C19=1,ABS('TO HOP'!L108),"")</f>
        <v/>
      </c>
      <c r="F19" s="38" t="str">
        <f>IF(C19=1,ABS('TO HOP'!H108),"")</f>
        <v/>
      </c>
      <c r="G19" s="38" t="str">
        <f t="shared" si="1"/>
        <v/>
      </c>
      <c r="H19" s="38" t="str">
        <f t="shared" si="2"/>
        <v/>
      </c>
      <c r="I19" s="38" t="str">
        <f t="shared" si="3"/>
        <v/>
      </c>
      <c r="J19" s="38" t="str">
        <f t="shared" si="4"/>
        <v/>
      </c>
      <c r="K19" s="38" t="str">
        <f>IF(C19=1,IF(OR('KT THAN'!$D$36&lt;=0,$K$13&lt;=0,$K$15&lt;=0),0,$K$13*$K$8*$K$12/(TAN(RADIANS(I19))*$K$15)/1000),"")</f>
        <v/>
      </c>
      <c r="L19" s="38" t="str">
        <f t="shared" si="5"/>
        <v/>
      </c>
      <c r="M19" s="38">
        <f t="shared" si="6"/>
        <v>0</v>
      </c>
      <c r="N19" s="38" t="str">
        <f t="shared" si="7"/>
        <v/>
      </c>
      <c r="O19" s="38" t="str">
        <f t="shared" si="8"/>
        <v/>
      </c>
      <c r="P19" s="38" t="str">
        <f t="shared" si="9"/>
        <v/>
      </c>
      <c r="Q19" s="36" t="str">
        <f>IF(C19=1,IF('KT THAN'!$D$36&lt;=0,"KHÔNG YÊU CẦU",IF($K$15&lt;=P19,"ĐẠT","KHÔNG ĐẠT")),"")</f>
        <v/>
      </c>
      <c r="R19" s="36" t="str">
        <f t="shared" si="10"/>
        <v/>
      </c>
      <c r="S19" s="36" t="s">
        <v>786</v>
      </c>
    </row>
    <row r="20" spans="1:19" x14ac:dyDescent="0.3">
      <c r="A20" s="37">
        <v>5</v>
      </c>
      <c r="B20" s="36" t="str">
        <f>'TO HOP'!B109</f>
        <v>SD I - 5 làn lệch tâm</v>
      </c>
      <c r="C20" s="37">
        <f t="shared" si="0"/>
        <v>0</v>
      </c>
      <c r="D20" s="38" t="str">
        <f>IF(C20=1,-'TO HOP'!J109,"")</f>
        <v/>
      </c>
      <c r="E20" s="38" t="str">
        <f>IF(C20=1,ABS('TO HOP'!L109),"")</f>
        <v/>
      </c>
      <c r="F20" s="38" t="str">
        <f>IF(C20=1,ABS('TO HOP'!H109),"")</f>
        <v/>
      </c>
      <c r="G20" s="38" t="str">
        <f t="shared" si="1"/>
        <v/>
      </c>
      <c r="H20" s="38" t="str">
        <f t="shared" si="2"/>
        <v/>
      </c>
      <c r="I20" s="38" t="str">
        <f t="shared" si="3"/>
        <v/>
      </c>
      <c r="J20" s="38" t="str">
        <f t="shared" si="4"/>
        <v/>
      </c>
      <c r="K20" s="38" t="str">
        <f>IF(C20=1,IF(OR('KT THAN'!$D$36&lt;=0,$K$13&lt;=0,$K$15&lt;=0),0,$K$13*$K$8*$K$12/(TAN(RADIANS(I20))*$K$15)/1000),"")</f>
        <v/>
      </c>
      <c r="L20" s="38" t="str">
        <f t="shared" si="5"/>
        <v/>
      </c>
      <c r="M20" s="38">
        <f t="shared" si="6"/>
        <v>0</v>
      </c>
      <c r="N20" s="38" t="str">
        <f t="shared" si="7"/>
        <v/>
      </c>
      <c r="O20" s="38" t="str">
        <f t="shared" si="8"/>
        <v/>
      </c>
      <c r="P20" s="38" t="str">
        <f t="shared" si="9"/>
        <v/>
      </c>
      <c r="Q20" s="36" t="str">
        <f>IF(C20=1,IF('KT THAN'!$D$36&lt;=0,"KHÔNG YÊU CẦU",IF($K$15&lt;=P20,"ĐẠT","KHÔNG ĐẠT")),"")</f>
        <v/>
      </c>
      <c r="R20" s="36" t="str">
        <f t="shared" si="10"/>
        <v/>
      </c>
      <c r="S20" s="36" t="s">
        <v>787</v>
      </c>
    </row>
    <row r="21" spans="1:19" x14ac:dyDescent="0.3">
      <c r="A21" s="37">
        <v>6</v>
      </c>
      <c r="B21" s="36" t="str">
        <f>'TO HOP'!B110</f>
        <v>SD I - 6 làn lệch tâm</v>
      </c>
      <c r="C21" s="37">
        <f t="shared" si="0"/>
        <v>0</v>
      </c>
      <c r="D21" s="38" t="str">
        <f>IF(C21=1,-'TO HOP'!J110,"")</f>
        <v/>
      </c>
      <c r="E21" s="38" t="str">
        <f>IF(C21=1,ABS('TO HOP'!L110),"")</f>
        <v/>
      </c>
      <c r="F21" s="38" t="str">
        <f>IF(C21=1,ABS('TO HOP'!H110),"")</f>
        <v/>
      </c>
      <c r="G21" s="38" t="str">
        <f t="shared" si="1"/>
        <v/>
      </c>
      <c r="H21" s="38" t="str">
        <f t="shared" si="2"/>
        <v/>
      </c>
      <c r="I21" s="38" t="str">
        <f t="shared" si="3"/>
        <v/>
      </c>
      <c r="J21" s="38" t="str">
        <f t="shared" si="4"/>
        <v/>
      </c>
      <c r="K21" s="38" t="str">
        <f>IF(C21=1,IF(OR('KT THAN'!$D$36&lt;=0,$K$13&lt;=0,$K$15&lt;=0),0,$K$13*$K$8*$K$12/(TAN(RADIANS(I21))*$K$15)/1000),"")</f>
        <v/>
      </c>
      <c r="L21" s="38" t="str">
        <f t="shared" si="5"/>
        <v/>
      </c>
      <c r="M21" s="38">
        <f t="shared" si="6"/>
        <v>0</v>
      </c>
      <c r="N21" s="38" t="str">
        <f t="shared" si="7"/>
        <v/>
      </c>
      <c r="O21" s="38" t="str">
        <f t="shared" si="8"/>
        <v/>
      </c>
      <c r="P21" s="38" t="str">
        <f t="shared" si="9"/>
        <v/>
      </c>
      <c r="Q21" s="36" t="str">
        <f>IF(C21=1,IF('KT THAN'!$D$36&lt;=0,"KHÔNG YÊU CẦU",IF($K$15&lt;=P21,"ĐẠT","KHÔNG ĐẠT")),"")</f>
        <v/>
      </c>
      <c r="R21" s="36" t="str">
        <f t="shared" si="10"/>
        <v/>
      </c>
      <c r="S21" s="36" t="s">
        <v>788</v>
      </c>
    </row>
    <row r="22" spans="1:19" x14ac:dyDescent="0.3">
      <c r="A22" s="37">
        <v>7</v>
      </c>
      <c r="B22" s="36" t="str">
        <f>'TO HOP'!B111</f>
        <v>SD I - 1 làn đúng tâm</v>
      </c>
      <c r="C22" s="37">
        <f t="shared" si="0"/>
        <v>0</v>
      </c>
      <c r="D22" s="38" t="str">
        <f>IF(C22=1,-'TO HOP'!J111,"")</f>
        <v/>
      </c>
      <c r="E22" s="38" t="str">
        <f>IF(C22=1,ABS('TO HOP'!L111),"")</f>
        <v/>
      </c>
      <c r="F22" s="38" t="str">
        <f>IF(C22=1,ABS('TO HOP'!H111),"")</f>
        <v/>
      </c>
      <c r="G22" s="38" t="str">
        <f t="shared" si="1"/>
        <v/>
      </c>
      <c r="H22" s="38" t="str">
        <f t="shared" si="2"/>
        <v/>
      </c>
      <c r="I22" s="38" t="str">
        <f t="shared" si="3"/>
        <v/>
      </c>
      <c r="J22" s="38" t="str">
        <f t="shared" si="4"/>
        <v/>
      </c>
      <c r="K22" s="38" t="str">
        <f>IF(C22=1,IF(OR('KT THAN'!$D$36&lt;=0,$K$13&lt;=0,$K$15&lt;=0),0,$K$13*$K$8*$K$12/(TAN(RADIANS(I22))*$K$15)/1000),"")</f>
        <v/>
      </c>
      <c r="L22" s="38" t="str">
        <f t="shared" si="5"/>
        <v/>
      </c>
      <c r="M22" s="38">
        <f t="shared" si="6"/>
        <v>0</v>
      </c>
      <c r="N22" s="38" t="str">
        <f t="shared" si="7"/>
        <v/>
      </c>
      <c r="O22" s="38" t="str">
        <f t="shared" si="8"/>
        <v/>
      </c>
      <c r="P22" s="38" t="str">
        <f t="shared" si="9"/>
        <v/>
      </c>
      <c r="Q22" s="36" t="str">
        <f>IF(C22=1,IF('KT THAN'!$D$36&lt;=0,"KHÔNG YÊU CẦU",IF($K$15&lt;=P22,"ĐẠT","KHÔNG ĐẠT")),"")</f>
        <v/>
      </c>
      <c r="R22" s="36" t="str">
        <f t="shared" si="10"/>
        <v/>
      </c>
      <c r="S22" s="36" t="s">
        <v>789</v>
      </c>
    </row>
    <row r="23" spans="1:19" x14ac:dyDescent="0.3">
      <c r="A23" s="37">
        <v>8</v>
      </c>
      <c r="B23" s="36" t="str">
        <f>'TO HOP'!B112</f>
        <v>SD I - 2 làn đúng tâm</v>
      </c>
      <c r="C23" s="37">
        <f t="shared" si="0"/>
        <v>0</v>
      </c>
      <c r="D23" s="38" t="str">
        <f>IF(C23=1,-'TO HOP'!J112,"")</f>
        <v/>
      </c>
      <c r="E23" s="38" t="str">
        <f>IF(C23=1,ABS('TO HOP'!L112),"")</f>
        <v/>
      </c>
      <c r="F23" s="38" t="str">
        <f>IF(C23=1,ABS('TO HOP'!H112),"")</f>
        <v/>
      </c>
      <c r="G23" s="38" t="str">
        <f t="shared" si="1"/>
        <v/>
      </c>
      <c r="H23" s="38" t="str">
        <f t="shared" si="2"/>
        <v/>
      </c>
      <c r="I23" s="38" t="str">
        <f t="shared" si="3"/>
        <v/>
      </c>
      <c r="J23" s="38" t="str">
        <f t="shared" si="4"/>
        <v/>
      </c>
      <c r="K23" s="38" t="str">
        <f>IF(C23=1,IF(OR('KT THAN'!$D$36&lt;=0,$K$13&lt;=0,$K$15&lt;=0),0,$K$13*$K$8*$K$12/(TAN(RADIANS(I23))*$K$15)/1000),"")</f>
        <v/>
      </c>
      <c r="L23" s="38" t="str">
        <f t="shared" si="5"/>
        <v/>
      </c>
      <c r="M23" s="38">
        <f t="shared" si="6"/>
        <v>0</v>
      </c>
      <c r="N23" s="38" t="str">
        <f t="shared" si="7"/>
        <v/>
      </c>
      <c r="O23" s="38" t="str">
        <f t="shared" si="8"/>
        <v/>
      </c>
      <c r="P23" s="38" t="str">
        <f t="shared" si="9"/>
        <v/>
      </c>
      <c r="Q23" s="36" t="str">
        <f>IF(C23=1,IF('KT THAN'!$D$36&lt;=0,"KHÔNG YÊU CẦU",IF($K$15&lt;=P23,"ĐẠT","KHÔNG ĐẠT")),"")</f>
        <v/>
      </c>
      <c r="R23" s="36" t="str">
        <f t="shared" si="10"/>
        <v/>
      </c>
      <c r="S23" s="36" t="s">
        <v>790</v>
      </c>
    </row>
    <row r="24" spans="1:19" x14ac:dyDescent="0.3">
      <c r="A24" s="37">
        <v>9</v>
      </c>
      <c r="B24" s="36" t="str">
        <f>'TO HOP'!B113</f>
        <v>SD I - 3 làn đúng tâm</v>
      </c>
      <c r="C24" s="37">
        <f t="shared" si="0"/>
        <v>0</v>
      </c>
      <c r="D24" s="38" t="str">
        <f>IF(C24=1,-'TO HOP'!J113,"")</f>
        <v/>
      </c>
      <c r="E24" s="38" t="str">
        <f>IF(C24=1,ABS('TO HOP'!L113),"")</f>
        <v/>
      </c>
      <c r="F24" s="38" t="str">
        <f>IF(C24=1,ABS('TO HOP'!H113),"")</f>
        <v/>
      </c>
      <c r="G24" s="38" t="str">
        <f t="shared" si="1"/>
        <v/>
      </c>
      <c r="H24" s="38" t="str">
        <f t="shared" si="2"/>
        <v/>
      </c>
      <c r="I24" s="38" t="str">
        <f t="shared" si="3"/>
        <v/>
      </c>
      <c r="J24" s="38" t="str">
        <f t="shared" si="4"/>
        <v/>
      </c>
      <c r="K24" s="38" t="str">
        <f>IF(C24=1,IF(OR('KT THAN'!$D$36&lt;=0,$K$13&lt;=0,$K$15&lt;=0),0,$K$13*$K$8*$K$12/(TAN(RADIANS(I24))*$K$15)/1000),"")</f>
        <v/>
      </c>
      <c r="L24" s="38" t="str">
        <f t="shared" si="5"/>
        <v/>
      </c>
      <c r="M24" s="38">
        <f t="shared" si="6"/>
        <v>0</v>
      </c>
      <c r="N24" s="38" t="str">
        <f t="shared" si="7"/>
        <v/>
      </c>
      <c r="O24" s="38" t="str">
        <f t="shared" si="8"/>
        <v/>
      </c>
      <c r="P24" s="38" t="str">
        <f t="shared" si="9"/>
        <v/>
      </c>
      <c r="Q24" s="36" t="str">
        <f>IF(C24=1,IF('KT THAN'!$D$36&lt;=0,"KHÔNG YÊU CẦU",IF($K$15&lt;=P24,"ĐẠT","KHÔNG ĐẠT")),"")</f>
        <v/>
      </c>
      <c r="R24" s="36" t="str">
        <f t="shared" si="10"/>
        <v/>
      </c>
      <c r="S24" s="36" t="s">
        <v>791</v>
      </c>
    </row>
    <row r="25" spans="1:19" x14ac:dyDescent="0.3">
      <c r="A25" s="37">
        <v>10</v>
      </c>
      <c r="B25" s="36" t="str">
        <f>'TO HOP'!B114</f>
        <v>SD I - 4 làn đúng tâm</v>
      </c>
      <c r="C25" s="37">
        <f t="shared" si="0"/>
        <v>0</v>
      </c>
      <c r="D25" s="38" t="str">
        <f>IF(C25=1,-'TO HOP'!J114,"")</f>
        <v/>
      </c>
      <c r="E25" s="38" t="str">
        <f>IF(C25=1,ABS('TO HOP'!L114),"")</f>
        <v/>
      </c>
      <c r="F25" s="38" t="str">
        <f>IF(C25=1,ABS('TO HOP'!H114),"")</f>
        <v/>
      </c>
      <c r="G25" s="38" t="str">
        <f t="shared" si="1"/>
        <v/>
      </c>
      <c r="H25" s="38" t="str">
        <f t="shared" si="2"/>
        <v/>
      </c>
      <c r="I25" s="38" t="str">
        <f t="shared" si="3"/>
        <v/>
      </c>
      <c r="J25" s="38" t="str">
        <f t="shared" si="4"/>
        <v/>
      </c>
      <c r="K25" s="38" t="str">
        <f>IF(C25=1,IF(OR('KT THAN'!$D$36&lt;=0,$K$13&lt;=0,$K$15&lt;=0),0,$K$13*$K$8*$K$12/(TAN(RADIANS(I25))*$K$15)/1000),"")</f>
        <v/>
      </c>
      <c r="L25" s="38" t="str">
        <f t="shared" si="5"/>
        <v/>
      </c>
      <c r="M25" s="38">
        <f t="shared" si="6"/>
        <v>0</v>
      </c>
      <c r="N25" s="38" t="str">
        <f t="shared" si="7"/>
        <v/>
      </c>
      <c r="O25" s="38" t="str">
        <f t="shared" si="8"/>
        <v/>
      </c>
      <c r="P25" s="38" t="str">
        <f t="shared" si="9"/>
        <v/>
      </c>
      <c r="Q25" s="36" t="str">
        <f>IF(C25=1,IF('KT THAN'!$D$36&lt;=0,"KHÔNG YÊU CẦU",IF($K$15&lt;=P25,"ĐẠT","KHÔNG ĐẠT")),"")</f>
        <v/>
      </c>
      <c r="R25" s="36" t="str">
        <f t="shared" si="10"/>
        <v/>
      </c>
      <c r="S25" s="36" t="s">
        <v>792</v>
      </c>
    </row>
    <row r="26" spans="1:19" x14ac:dyDescent="0.3">
      <c r="A26" s="37">
        <v>11</v>
      </c>
      <c r="B26" s="36" t="str">
        <f>'TO HOP'!B115</f>
        <v>SD I - 5 làn đúng tâm</v>
      </c>
      <c r="C26" s="37">
        <f t="shared" si="0"/>
        <v>0</v>
      </c>
      <c r="D26" s="38" t="str">
        <f>IF(C26=1,-'TO HOP'!J115,"")</f>
        <v/>
      </c>
      <c r="E26" s="38" t="str">
        <f>IF(C26=1,ABS('TO HOP'!L115),"")</f>
        <v/>
      </c>
      <c r="F26" s="38" t="str">
        <f>IF(C26=1,ABS('TO HOP'!H115),"")</f>
        <v/>
      </c>
      <c r="G26" s="38" t="str">
        <f t="shared" si="1"/>
        <v/>
      </c>
      <c r="H26" s="38" t="str">
        <f t="shared" si="2"/>
        <v/>
      </c>
      <c r="I26" s="38" t="str">
        <f t="shared" si="3"/>
        <v/>
      </c>
      <c r="J26" s="38" t="str">
        <f t="shared" si="4"/>
        <v/>
      </c>
      <c r="K26" s="38" t="str">
        <f>IF(C26=1,IF(OR('KT THAN'!$D$36&lt;=0,$K$13&lt;=0,$K$15&lt;=0),0,$K$13*$K$8*$K$12/(TAN(RADIANS(I26))*$K$15)/1000),"")</f>
        <v/>
      </c>
      <c r="L26" s="38" t="str">
        <f t="shared" si="5"/>
        <v/>
      </c>
      <c r="M26" s="38">
        <f t="shared" si="6"/>
        <v>0</v>
      </c>
      <c r="N26" s="38" t="str">
        <f t="shared" si="7"/>
        <v/>
      </c>
      <c r="O26" s="38" t="str">
        <f t="shared" si="8"/>
        <v/>
      </c>
      <c r="P26" s="38" t="str">
        <f t="shared" si="9"/>
        <v/>
      </c>
      <c r="Q26" s="36" t="str">
        <f>IF(C26=1,IF('KT THAN'!$D$36&lt;=0,"KHÔNG YÊU CẦU",IF($K$15&lt;=P26,"ĐẠT","KHÔNG ĐẠT")),"")</f>
        <v/>
      </c>
      <c r="R26" s="36" t="str">
        <f t="shared" si="10"/>
        <v/>
      </c>
      <c r="S26" s="36" t="s">
        <v>793</v>
      </c>
    </row>
    <row r="27" spans="1:19" x14ac:dyDescent="0.3">
      <c r="A27" s="37">
        <v>12</v>
      </c>
      <c r="B27" s="36" t="str">
        <f>'TO HOP'!B116</f>
        <v>SD I - 6 làn đúng tâm</v>
      </c>
      <c r="C27" s="37">
        <f t="shared" si="0"/>
        <v>0</v>
      </c>
      <c r="D27" s="38" t="str">
        <f>IF(C27=1,-'TO HOP'!J116,"")</f>
        <v/>
      </c>
      <c r="E27" s="38" t="str">
        <f>IF(C27=1,ABS('TO HOP'!L116),"")</f>
        <v/>
      </c>
      <c r="F27" s="38" t="str">
        <f>IF(C27=1,ABS('TO HOP'!H116),"")</f>
        <v/>
      </c>
      <c r="G27" s="38" t="str">
        <f t="shared" si="1"/>
        <v/>
      </c>
      <c r="H27" s="38" t="str">
        <f t="shared" si="2"/>
        <v/>
      </c>
      <c r="I27" s="38" t="str">
        <f t="shared" si="3"/>
        <v/>
      </c>
      <c r="J27" s="38" t="str">
        <f t="shared" si="4"/>
        <v/>
      </c>
      <c r="K27" s="38" t="str">
        <f>IF(C27=1,IF(OR('KT THAN'!$D$36&lt;=0,$K$13&lt;=0,$K$15&lt;=0),0,$K$13*$K$8*$K$12/(TAN(RADIANS(I27))*$K$15)/1000),"")</f>
        <v/>
      </c>
      <c r="L27" s="38" t="str">
        <f t="shared" si="5"/>
        <v/>
      </c>
      <c r="M27" s="38">
        <f t="shared" si="6"/>
        <v>0</v>
      </c>
      <c r="N27" s="38" t="str">
        <f t="shared" si="7"/>
        <v/>
      </c>
      <c r="O27" s="38" t="str">
        <f t="shared" si="8"/>
        <v/>
      </c>
      <c r="P27" s="38" t="str">
        <f t="shared" si="9"/>
        <v/>
      </c>
      <c r="Q27" s="36" t="str">
        <f>IF(C27=1,IF('KT THAN'!$D$36&lt;=0,"KHÔNG YÊU CẦU",IF($K$15&lt;=P27,"ĐẠT","KHÔNG ĐẠT")),"")</f>
        <v/>
      </c>
      <c r="R27" s="36" t="str">
        <f t="shared" si="10"/>
        <v/>
      </c>
      <c r="S27" s="36" t="s">
        <v>794</v>
      </c>
    </row>
    <row r="28" spans="1:19" x14ac:dyDescent="0.3">
      <c r="A28" s="37">
        <v>13</v>
      </c>
      <c r="B28" s="36" t="str">
        <f>'TO HOP'!B117</f>
        <v>CĐ I(a) max - 1 làn lệch tâm</v>
      </c>
      <c r="C28" s="37">
        <f t="shared" si="0"/>
        <v>1</v>
      </c>
      <c r="D28" s="38">
        <f>IF(C28=1,-'TO HOP'!J117,"")</f>
        <v>-18050.861639999999</v>
      </c>
      <c r="E28" s="38">
        <f>IF(C28=1,ABS('TO HOP'!L117),"")</f>
        <v>26024.129339959491</v>
      </c>
      <c r="F28" s="38">
        <f>IF(C28=1,ABS('TO HOP'!H117),"")</f>
        <v>8507.3145621069634</v>
      </c>
      <c r="G28" s="38">
        <f t="shared" si="1"/>
        <v>6.3057752890125092E-4</v>
      </c>
      <c r="H28" s="38">
        <f t="shared" si="2"/>
        <v>2.0752807251780183</v>
      </c>
      <c r="I28" s="38">
        <f t="shared" si="3"/>
        <v>31.207021351154378</v>
      </c>
      <c r="J28" s="38">
        <f t="shared" si="4"/>
        <v>24315.408486530854</v>
      </c>
      <c r="K28" s="38">
        <f>IF(C28=1,IF(OR('KT THAN'!$D$36&lt;=0,$K$13&lt;=0,$K$15&lt;=0),0,$K$13*$K$8*$K$12/(TAN(RADIANS(I28))*$K$15)/1000),"")</f>
        <v>0</v>
      </c>
      <c r="L28" s="38">
        <f t="shared" si="5"/>
        <v>21883.867637877771</v>
      </c>
      <c r="M28" s="38">
        <f t="shared" si="6"/>
        <v>0.38874821868242554</v>
      </c>
      <c r="N28" s="38" t="str">
        <f t="shared" si="7"/>
        <v>KHÔNG</v>
      </c>
      <c r="O28" s="38" t="str">
        <f t="shared" si="8"/>
        <v>KHÔNG YÊU CẦU</v>
      </c>
      <c r="P28" s="38">
        <f t="shared" si="9"/>
        <v>600</v>
      </c>
      <c r="Q28" s="36" t="str">
        <f>IF(C28=1,IF('KT THAN'!$D$36&lt;=0,"KHÔNG YÊU CẦU",IF($K$15&lt;=P28,"ĐẠT","KHÔNG ĐẠT")),"")</f>
        <v>KHÔNG YÊU CẦU</v>
      </c>
      <c r="R28" s="36" t="str">
        <f t="shared" si="10"/>
        <v>ĐẠT</v>
      </c>
      <c r="S28" s="36" t="s">
        <v>795</v>
      </c>
    </row>
    <row r="29" spans="1:19" x14ac:dyDescent="0.3">
      <c r="A29" s="37">
        <v>14</v>
      </c>
      <c r="B29" s="36" t="str">
        <f>'TO HOP'!B118</f>
        <v>CĐ I(a) max - 2 làn lệch tâm</v>
      </c>
      <c r="C29" s="37">
        <f t="shared" si="0"/>
        <v>1</v>
      </c>
      <c r="D29" s="38">
        <f>IF(C29=1,-'TO HOP'!J118,"")</f>
        <v>-18854.232133333331</v>
      </c>
      <c r="E29" s="38">
        <f>IF(C29=1,ABS('TO HOP'!L118),"")</f>
        <v>26270.764081412824</v>
      </c>
      <c r="F29" s="38">
        <f>IF(C29=1,ABS('TO HOP'!H118),"")</f>
        <v>8507.3145621069634</v>
      </c>
      <c r="G29" s="38">
        <f t="shared" si="1"/>
        <v>6.2504074974492597E-4</v>
      </c>
      <c r="H29" s="38">
        <f t="shared" si="2"/>
        <v>2.081148026610351</v>
      </c>
      <c r="I29" s="38">
        <f t="shared" si="3"/>
        <v>31.187642624107241</v>
      </c>
      <c r="J29" s="38">
        <f t="shared" si="4"/>
        <v>24384.153803398069</v>
      </c>
      <c r="K29" s="38">
        <f>IF(C29=1,IF(OR('KT THAN'!$D$36&lt;=0,$K$13&lt;=0,$K$15&lt;=0),0,$K$13*$K$8*$K$12/(TAN(RADIANS(I29))*$K$15)/1000),"")</f>
        <v>0</v>
      </c>
      <c r="L29" s="38">
        <f t="shared" si="5"/>
        <v>21945.738423058261</v>
      </c>
      <c r="M29" s="38">
        <f t="shared" si="6"/>
        <v>0.38765223562349477</v>
      </c>
      <c r="N29" s="38" t="str">
        <f t="shared" si="7"/>
        <v>KHÔNG</v>
      </c>
      <c r="O29" s="38" t="str">
        <f t="shared" si="8"/>
        <v>KHÔNG YÊU CẦU</v>
      </c>
      <c r="P29" s="38">
        <f t="shared" si="9"/>
        <v>600</v>
      </c>
      <c r="Q29" s="36" t="str">
        <f>IF(C29=1,IF('KT THAN'!$D$36&lt;=0,"KHÔNG YÊU CẦU",IF($K$15&lt;=P29,"ĐẠT","KHÔNG ĐẠT")),"")</f>
        <v>KHÔNG YÊU CẦU</v>
      </c>
      <c r="R29" s="36" t="str">
        <f t="shared" si="10"/>
        <v>ĐẠT</v>
      </c>
      <c r="S29" s="36" t="s">
        <v>796</v>
      </c>
    </row>
    <row r="30" spans="1:19" x14ac:dyDescent="0.3">
      <c r="A30" s="37">
        <v>15</v>
      </c>
      <c r="B30" s="36" t="str">
        <f>'TO HOP'!B119</f>
        <v>CĐ I(a) max - 3 làn lệch tâm</v>
      </c>
      <c r="C30" s="37">
        <f t="shared" si="0"/>
        <v>1</v>
      </c>
      <c r="D30" s="38">
        <f>IF(C30=1,-'TO HOP'!J119,"")</f>
        <v>-19406.5493475</v>
      </c>
      <c r="E30" s="38">
        <f>IF(C30=1,ABS('TO HOP'!L119),"")</f>
        <v>26440.32546616199</v>
      </c>
      <c r="F30" s="38">
        <f>IF(C30=1,ABS('TO HOP'!H119),"")</f>
        <v>8507.3145621069634</v>
      </c>
      <c r="G30" s="38">
        <f t="shared" si="1"/>
        <v>6.2123421407495256E-4</v>
      </c>
      <c r="H30" s="38">
        <f t="shared" si="2"/>
        <v>2.0852010787590429</v>
      </c>
      <c r="I30" s="38">
        <f t="shared" si="3"/>
        <v>31.174319749262335</v>
      </c>
      <c r="J30" s="38">
        <f t="shared" si="4"/>
        <v>24431.642134695612</v>
      </c>
      <c r="K30" s="38">
        <f>IF(C30=1,IF(OR('KT THAN'!$D$36&lt;=0,$K$13&lt;=0,$K$15&lt;=0),0,$K$13*$K$8*$K$12/(TAN(RADIANS(I30))*$K$15)/1000),"")</f>
        <v>0</v>
      </c>
      <c r="L30" s="38">
        <f t="shared" si="5"/>
        <v>21988.477921226051</v>
      </c>
      <c r="M30" s="38">
        <f t="shared" si="6"/>
        <v>0.38689874727047985</v>
      </c>
      <c r="N30" s="38" t="str">
        <f t="shared" si="7"/>
        <v>KHÔNG</v>
      </c>
      <c r="O30" s="38" t="str">
        <f t="shared" si="8"/>
        <v>KHÔNG YÊU CẦU</v>
      </c>
      <c r="P30" s="38">
        <f t="shared" si="9"/>
        <v>600</v>
      </c>
      <c r="Q30" s="36" t="str">
        <f>IF(C30=1,IF('KT THAN'!$D$36&lt;=0,"KHÔNG YÊU CẦU",IF($K$15&lt;=P30,"ĐẠT","KHÔNG ĐẠT")),"")</f>
        <v>KHÔNG YÊU CẦU</v>
      </c>
      <c r="R30" s="36" t="str">
        <f t="shared" si="10"/>
        <v>ĐẠT</v>
      </c>
      <c r="S30" s="36" t="s">
        <v>797</v>
      </c>
    </row>
    <row r="31" spans="1:19" x14ac:dyDescent="0.3">
      <c r="A31" s="37">
        <v>16</v>
      </c>
      <c r="B31" s="36" t="str">
        <f>'TO HOP'!B120</f>
        <v>CĐ I(a) max - 4 làn lệch tâm</v>
      </c>
      <c r="C31" s="37">
        <f t="shared" si="0"/>
        <v>1</v>
      </c>
      <c r="D31" s="38">
        <f>IF(C31=1,-'TO HOP'!J120,"")</f>
        <v>-19456.760003333333</v>
      </c>
      <c r="E31" s="38">
        <f>IF(C31=1,ABS('TO HOP'!L120),"")</f>
        <v>26455.740137502824</v>
      </c>
      <c r="F31" s="38">
        <f>IF(C31=1,ABS('TO HOP'!H120),"")</f>
        <v>8507.3145621069634</v>
      </c>
      <c r="G31" s="38">
        <f t="shared" si="1"/>
        <v>6.2088816537768214E-4</v>
      </c>
      <c r="H31" s="38">
        <f t="shared" si="2"/>
        <v>2.0855703209955694</v>
      </c>
      <c r="I31" s="38">
        <f t="shared" si="3"/>
        <v>31.173108578821889</v>
      </c>
      <c r="J31" s="38">
        <f t="shared" si="4"/>
        <v>24435.968429303706</v>
      </c>
      <c r="K31" s="38">
        <f>IF(C31=1,IF(OR('KT THAN'!$D$36&lt;=0,$K$13&lt;=0,$K$15&lt;=0),0,$K$13*$K$8*$K$12/(TAN(RADIANS(I31))*$K$15)/1000),"")</f>
        <v>0</v>
      </c>
      <c r="L31" s="38">
        <f t="shared" si="5"/>
        <v>21992.371586373338</v>
      </c>
      <c r="M31" s="38">
        <f t="shared" si="6"/>
        <v>0.38683024832929652</v>
      </c>
      <c r="N31" s="38" t="str">
        <f t="shared" si="7"/>
        <v>KHÔNG</v>
      </c>
      <c r="O31" s="38" t="str">
        <f t="shared" si="8"/>
        <v>KHÔNG YÊU CẦU</v>
      </c>
      <c r="P31" s="38">
        <f t="shared" si="9"/>
        <v>600</v>
      </c>
      <c r="Q31" s="36" t="str">
        <f>IF(C31=1,IF('KT THAN'!$D$36&lt;=0,"KHÔNG YÊU CẦU",IF($K$15&lt;=P31,"ĐẠT","KHÔNG ĐẠT")),"")</f>
        <v>KHÔNG YÊU CẦU</v>
      </c>
      <c r="R31" s="36" t="str">
        <f t="shared" si="10"/>
        <v>ĐẠT</v>
      </c>
      <c r="S31" s="36" t="s">
        <v>798</v>
      </c>
    </row>
    <row r="32" spans="1:19" x14ac:dyDescent="0.3">
      <c r="A32" s="37">
        <v>17</v>
      </c>
      <c r="B32" s="36" t="str">
        <f>'TO HOP'!B121</f>
        <v>CĐ I(a) max - 5 làn lệch tâm</v>
      </c>
      <c r="C32" s="37">
        <f t="shared" si="0"/>
        <v>1</v>
      </c>
      <c r="D32" s="38">
        <f>IF(C32=1,-'TO HOP'!J121,"")</f>
        <v>-20109.498529166667</v>
      </c>
      <c r="E32" s="38">
        <f>IF(C32=1,ABS('TO HOP'!L121),"")</f>
        <v>26656.130864933661</v>
      </c>
      <c r="F32" s="38">
        <f>IF(C32=1,ABS('TO HOP'!H121),"")</f>
        <v>8507.3145621069634</v>
      </c>
      <c r="G32" s="38">
        <f t="shared" si="1"/>
        <v>6.1638953231316844E-4</v>
      </c>
      <c r="H32" s="38">
        <f t="shared" si="2"/>
        <v>2.0903823975063958</v>
      </c>
      <c r="I32" s="38">
        <f t="shared" si="3"/>
        <v>31.157363363096088</v>
      </c>
      <c r="J32" s="38">
        <f t="shared" si="4"/>
        <v>24492.350009207388</v>
      </c>
      <c r="K32" s="38">
        <f>IF(C32=1,IF(OR('KT THAN'!$D$36&lt;=0,$K$13&lt;=0,$K$15&lt;=0),0,$K$13*$K$8*$K$12/(TAN(RADIANS(I32))*$K$15)/1000),"")</f>
        <v>0</v>
      </c>
      <c r="L32" s="38">
        <f t="shared" si="5"/>
        <v>22043.115008286652</v>
      </c>
      <c r="M32" s="38">
        <f t="shared" si="6"/>
        <v>0.38593976209391528</v>
      </c>
      <c r="N32" s="38" t="str">
        <f t="shared" si="7"/>
        <v>KHÔNG</v>
      </c>
      <c r="O32" s="38" t="str">
        <f t="shared" si="8"/>
        <v>KHÔNG YÊU CẦU</v>
      </c>
      <c r="P32" s="38">
        <f t="shared" si="9"/>
        <v>600</v>
      </c>
      <c r="Q32" s="36" t="str">
        <f>IF(C32=1,IF('KT THAN'!$D$36&lt;=0,"KHÔNG YÊU CẦU",IF($K$15&lt;=P32,"ĐẠT","KHÔNG ĐẠT")),"")</f>
        <v>KHÔNG YÊU CẦU</v>
      </c>
      <c r="R32" s="36" t="str">
        <f t="shared" si="10"/>
        <v>ĐẠT</v>
      </c>
      <c r="S32" s="36" t="s">
        <v>799</v>
      </c>
    </row>
    <row r="33" spans="1:19" x14ac:dyDescent="0.3">
      <c r="A33" s="37">
        <v>18</v>
      </c>
      <c r="B33" s="36" t="str">
        <f>'TO HOP'!B122</f>
        <v>CĐ I(a) max - 6 làn lệch tâm</v>
      </c>
      <c r="C33" s="37">
        <f t="shared" si="0"/>
        <v>1</v>
      </c>
      <c r="D33" s="38">
        <f>IF(C33=1,-'TO HOP'!J122,"")</f>
        <v>-20762.237054999998</v>
      </c>
      <c r="E33" s="38">
        <f>IF(C33=1,ABS('TO HOP'!L122),"")</f>
        <v>26856.52159236449</v>
      </c>
      <c r="F33" s="38">
        <f>IF(C33=1,ABS('TO HOP'!H122),"")</f>
        <v>8507.3145621069634</v>
      </c>
      <c r="G33" s="38">
        <f t="shared" si="1"/>
        <v>6.118908992486543E-4</v>
      </c>
      <c r="H33" s="38">
        <f t="shared" si="2"/>
        <v>2.0952167313653867</v>
      </c>
      <c r="I33" s="38">
        <f t="shared" si="3"/>
        <v>31.141618147370291</v>
      </c>
      <c r="J33" s="38">
        <f t="shared" si="4"/>
        <v>24548.992371426379</v>
      </c>
      <c r="K33" s="38">
        <f>IF(C33=1,IF(OR('KT THAN'!$D$36&lt;=0,$K$13&lt;=0,$K$15&lt;=0),0,$K$13*$K$8*$K$12/(TAN(RADIANS(I33))*$K$15)/1000),"")</f>
        <v>0</v>
      </c>
      <c r="L33" s="38">
        <f t="shared" si="5"/>
        <v>22094.093134283743</v>
      </c>
      <c r="M33" s="38">
        <f t="shared" si="6"/>
        <v>0.38504927585853399</v>
      </c>
      <c r="N33" s="38" t="str">
        <f t="shared" si="7"/>
        <v>KHÔNG</v>
      </c>
      <c r="O33" s="38" t="str">
        <f t="shared" si="8"/>
        <v>KHÔNG YÊU CẦU</v>
      </c>
      <c r="P33" s="38">
        <f t="shared" si="9"/>
        <v>600</v>
      </c>
      <c r="Q33" s="36" t="str">
        <f>IF(C33=1,IF('KT THAN'!$D$36&lt;=0,"KHÔNG YÊU CẦU",IF($K$15&lt;=P33,"ĐẠT","KHÔNG ĐẠT")),"")</f>
        <v>KHÔNG YÊU CẦU</v>
      </c>
      <c r="R33" s="36" t="str">
        <f t="shared" si="10"/>
        <v>ĐẠT</v>
      </c>
      <c r="S33" s="36" t="s">
        <v>800</v>
      </c>
    </row>
    <row r="34" spans="1:19" x14ac:dyDescent="0.3">
      <c r="A34" s="37">
        <v>19</v>
      </c>
      <c r="B34" s="36" t="str">
        <f>'TO HOP'!B123</f>
        <v>CĐ I(a) max - 1 làn đúng tâm</v>
      </c>
      <c r="C34" s="37">
        <f t="shared" si="0"/>
        <v>1</v>
      </c>
      <c r="D34" s="38">
        <f>IF(C34=1,-'TO HOP'!J123,"")</f>
        <v>-18050.861639999999</v>
      </c>
      <c r="E34" s="38">
        <f>IF(C34=1,ABS('TO HOP'!L123),"")</f>
        <v>26024.129339959491</v>
      </c>
      <c r="F34" s="38">
        <f>IF(C34=1,ABS('TO HOP'!H123),"")</f>
        <v>8507.3145621069634</v>
      </c>
      <c r="G34" s="38">
        <f t="shared" si="1"/>
        <v>6.3057752890125092E-4</v>
      </c>
      <c r="H34" s="38">
        <f t="shared" si="2"/>
        <v>2.0752807251780183</v>
      </c>
      <c r="I34" s="38">
        <f t="shared" si="3"/>
        <v>31.207021351154378</v>
      </c>
      <c r="J34" s="38">
        <f t="shared" si="4"/>
        <v>24315.408486530854</v>
      </c>
      <c r="K34" s="38">
        <f>IF(C34=1,IF(OR('KT THAN'!$D$36&lt;=0,$K$13&lt;=0,$K$15&lt;=0),0,$K$13*$K$8*$K$12/(TAN(RADIANS(I34))*$K$15)/1000),"")</f>
        <v>0</v>
      </c>
      <c r="L34" s="38">
        <f t="shared" si="5"/>
        <v>21883.867637877771</v>
      </c>
      <c r="M34" s="38">
        <f t="shared" si="6"/>
        <v>0.38874821868242554</v>
      </c>
      <c r="N34" s="38" t="str">
        <f t="shared" si="7"/>
        <v>KHÔNG</v>
      </c>
      <c r="O34" s="38" t="str">
        <f t="shared" si="8"/>
        <v>KHÔNG YÊU CẦU</v>
      </c>
      <c r="P34" s="38">
        <f t="shared" si="9"/>
        <v>600</v>
      </c>
      <c r="Q34" s="36" t="str">
        <f>IF(C34=1,IF('KT THAN'!$D$36&lt;=0,"KHÔNG YÊU CẦU",IF($K$15&lt;=P34,"ĐẠT","KHÔNG ĐẠT")),"")</f>
        <v>KHÔNG YÊU CẦU</v>
      </c>
      <c r="R34" s="36" t="str">
        <f t="shared" si="10"/>
        <v>ĐẠT</v>
      </c>
      <c r="S34" s="36" t="s">
        <v>801</v>
      </c>
    </row>
    <row r="35" spans="1:19" x14ac:dyDescent="0.3">
      <c r="A35" s="37">
        <v>20</v>
      </c>
      <c r="B35" s="36" t="str">
        <f>'TO HOP'!B124</f>
        <v>CĐ I(a) max - 2 làn đúng tâm</v>
      </c>
      <c r="C35" s="37">
        <f t="shared" si="0"/>
        <v>1</v>
      </c>
      <c r="D35" s="38">
        <f>IF(C35=1,-'TO HOP'!J124,"")</f>
        <v>-18854.232133333331</v>
      </c>
      <c r="E35" s="38">
        <f>IF(C35=1,ABS('TO HOP'!L124),"")</f>
        <v>26270.764081412824</v>
      </c>
      <c r="F35" s="38">
        <f>IF(C35=1,ABS('TO HOP'!H124),"")</f>
        <v>8507.3145621069634</v>
      </c>
      <c r="G35" s="38">
        <f t="shared" si="1"/>
        <v>6.2504074974492597E-4</v>
      </c>
      <c r="H35" s="38">
        <f t="shared" si="2"/>
        <v>2.081148026610351</v>
      </c>
      <c r="I35" s="38">
        <f t="shared" si="3"/>
        <v>31.187642624107241</v>
      </c>
      <c r="J35" s="38">
        <f t="shared" si="4"/>
        <v>24384.153803398069</v>
      </c>
      <c r="K35" s="38">
        <f>IF(C35=1,IF(OR('KT THAN'!$D$36&lt;=0,$K$13&lt;=0,$K$15&lt;=0),0,$K$13*$K$8*$K$12/(TAN(RADIANS(I35))*$K$15)/1000),"")</f>
        <v>0</v>
      </c>
      <c r="L35" s="38">
        <f t="shared" si="5"/>
        <v>21945.738423058261</v>
      </c>
      <c r="M35" s="38">
        <f t="shared" si="6"/>
        <v>0.38765223562349477</v>
      </c>
      <c r="N35" s="38" t="str">
        <f t="shared" si="7"/>
        <v>KHÔNG</v>
      </c>
      <c r="O35" s="38" t="str">
        <f t="shared" si="8"/>
        <v>KHÔNG YÊU CẦU</v>
      </c>
      <c r="P35" s="38">
        <f t="shared" si="9"/>
        <v>600</v>
      </c>
      <c r="Q35" s="36" t="str">
        <f>IF(C35=1,IF('KT THAN'!$D$36&lt;=0,"KHÔNG YÊU CẦU",IF($K$15&lt;=P35,"ĐẠT","KHÔNG ĐẠT")),"")</f>
        <v>KHÔNG YÊU CẦU</v>
      </c>
      <c r="R35" s="36" t="str">
        <f t="shared" si="10"/>
        <v>ĐẠT</v>
      </c>
      <c r="S35" s="36" t="s">
        <v>802</v>
      </c>
    </row>
    <row r="36" spans="1:19" x14ac:dyDescent="0.3">
      <c r="A36" s="37">
        <v>21</v>
      </c>
      <c r="B36" s="36" t="str">
        <f>'TO HOP'!B125</f>
        <v>CĐ I(a) max - 3 làn đúng tâm</v>
      </c>
      <c r="C36" s="37">
        <f t="shared" si="0"/>
        <v>1</v>
      </c>
      <c r="D36" s="38">
        <f>IF(C36=1,-'TO HOP'!J125,"")</f>
        <v>-19406.5493475</v>
      </c>
      <c r="E36" s="38">
        <f>IF(C36=1,ABS('TO HOP'!L125),"")</f>
        <v>26440.32546616199</v>
      </c>
      <c r="F36" s="38">
        <f>IF(C36=1,ABS('TO HOP'!H125),"")</f>
        <v>8507.3145621069634</v>
      </c>
      <c r="G36" s="38">
        <f t="shared" si="1"/>
        <v>6.2123421407495256E-4</v>
      </c>
      <c r="H36" s="38">
        <f t="shared" si="2"/>
        <v>2.0852010787590429</v>
      </c>
      <c r="I36" s="38">
        <f t="shared" si="3"/>
        <v>31.174319749262335</v>
      </c>
      <c r="J36" s="38">
        <f t="shared" si="4"/>
        <v>24431.642134695612</v>
      </c>
      <c r="K36" s="38">
        <f>IF(C36=1,IF(OR('KT THAN'!$D$36&lt;=0,$K$13&lt;=0,$K$15&lt;=0),0,$K$13*$K$8*$K$12/(TAN(RADIANS(I36))*$K$15)/1000),"")</f>
        <v>0</v>
      </c>
      <c r="L36" s="38">
        <f t="shared" si="5"/>
        <v>21988.477921226051</v>
      </c>
      <c r="M36" s="38">
        <f t="shared" si="6"/>
        <v>0.38689874727047985</v>
      </c>
      <c r="N36" s="38" t="str">
        <f t="shared" si="7"/>
        <v>KHÔNG</v>
      </c>
      <c r="O36" s="38" t="str">
        <f t="shared" si="8"/>
        <v>KHÔNG YÊU CẦU</v>
      </c>
      <c r="P36" s="38">
        <f t="shared" si="9"/>
        <v>600</v>
      </c>
      <c r="Q36" s="36" t="str">
        <f>IF(C36=1,IF('KT THAN'!$D$36&lt;=0,"KHÔNG YÊU CẦU",IF($K$15&lt;=P36,"ĐẠT","KHÔNG ĐẠT")),"")</f>
        <v>KHÔNG YÊU CẦU</v>
      </c>
      <c r="R36" s="36" t="str">
        <f t="shared" si="10"/>
        <v>ĐẠT</v>
      </c>
      <c r="S36" s="36" t="s">
        <v>803</v>
      </c>
    </row>
    <row r="37" spans="1:19" x14ac:dyDescent="0.3">
      <c r="A37" s="37">
        <v>22</v>
      </c>
      <c r="B37" s="36" t="str">
        <f>'TO HOP'!B126</f>
        <v>CĐ I(a) max - 4 làn đúng tâm</v>
      </c>
      <c r="C37" s="37">
        <f t="shared" si="0"/>
        <v>1</v>
      </c>
      <c r="D37" s="38">
        <f>IF(C37=1,-'TO HOP'!J126,"")</f>
        <v>-19456.760003333333</v>
      </c>
      <c r="E37" s="38">
        <f>IF(C37=1,ABS('TO HOP'!L126),"")</f>
        <v>26455.740137502824</v>
      </c>
      <c r="F37" s="38">
        <f>IF(C37=1,ABS('TO HOP'!H126),"")</f>
        <v>8507.3145621069634</v>
      </c>
      <c r="G37" s="38">
        <f t="shared" si="1"/>
        <v>6.2088816537768214E-4</v>
      </c>
      <c r="H37" s="38">
        <f t="shared" si="2"/>
        <v>2.0855703209955694</v>
      </c>
      <c r="I37" s="38">
        <f t="shared" si="3"/>
        <v>31.173108578821889</v>
      </c>
      <c r="J37" s="38">
        <f t="shared" si="4"/>
        <v>24435.968429303706</v>
      </c>
      <c r="K37" s="38">
        <f>IF(C37=1,IF(OR('KT THAN'!$D$36&lt;=0,$K$13&lt;=0,$K$15&lt;=0),0,$K$13*$K$8*$K$12/(TAN(RADIANS(I37))*$K$15)/1000),"")</f>
        <v>0</v>
      </c>
      <c r="L37" s="38">
        <f t="shared" si="5"/>
        <v>21992.371586373338</v>
      </c>
      <c r="M37" s="38">
        <f t="shared" si="6"/>
        <v>0.38683024832929652</v>
      </c>
      <c r="N37" s="38" t="str">
        <f t="shared" si="7"/>
        <v>KHÔNG</v>
      </c>
      <c r="O37" s="38" t="str">
        <f t="shared" si="8"/>
        <v>KHÔNG YÊU CẦU</v>
      </c>
      <c r="P37" s="38">
        <f t="shared" si="9"/>
        <v>600</v>
      </c>
      <c r="Q37" s="36" t="str">
        <f>IF(C37=1,IF('KT THAN'!$D$36&lt;=0,"KHÔNG YÊU CẦU",IF($K$15&lt;=P37,"ĐẠT","KHÔNG ĐẠT")),"")</f>
        <v>KHÔNG YÊU CẦU</v>
      </c>
      <c r="R37" s="36" t="str">
        <f t="shared" si="10"/>
        <v>ĐẠT</v>
      </c>
      <c r="S37" s="36" t="s">
        <v>804</v>
      </c>
    </row>
    <row r="38" spans="1:19" x14ac:dyDescent="0.3">
      <c r="A38" s="37">
        <v>23</v>
      </c>
      <c r="B38" s="36" t="str">
        <f>'TO HOP'!B127</f>
        <v>CĐ I(a) max - 5 làn đúng tâm</v>
      </c>
      <c r="C38" s="37">
        <f t="shared" si="0"/>
        <v>1</v>
      </c>
      <c r="D38" s="38">
        <f>IF(C38=1,-'TO HOP'!J127,"")</f>
        <v>-20109.498529166667</v>
      </c>
      <c r="E38" s="38">
        <f>IF(C38=1,ABS('TO HOP'!L127),"")</f>
        <v>26656.130864933661</v>
      </c>
      <c r="F38" s="38">
        <f>IF(C38=1,ABS('TO HOP'!H127),"")</f>
        <v>8507.3145621069634</v>
      </c>
      <c r="G38" s="38">
        <f t="shared" si="1"/>
        <v>6.1638953231316844E-4</v>
      </c>
      <c r="H38" s="38">
        <f t="shared" si="2"/>
        <v>2.0903823975063958</v>
      </c>
      <c r="I38" s="38">
        <f t="shared" si="3"/>
        <v>31.157363363096088</v>
      </c>
      <c r="J38" s="38">
        <f t="shared" si="4"/>
        <v>24492.350009207388</v>
      </c>
      <c r="K38" s="38">
        <f>IF(C38=1,IF(OR('KT THAN'!$D$36&lt;=0,$K$13&lt;=0,$K$15&lt;=0),0,$K$13*$K$8*$K$12/(TAN(RADIANS(I38))*$K$15)/1000),"")</f>
        <v>0</v>
      </c>
      <c r="L38" s="38">
        <f t="shared" si="5"/>
        <v>22043.115008286652</v>
      </c>
      <c r="M38" s="38">
        <f t="shared" si="6"/>
        <v>0.38593976209391528</v>
      </c>
      <c r="N38" s="38" t="str">
        <f t="shared" si="7"/>
        <v>KHÔNG</v>
      </c>
      <c r="O38" s="38" t="str">
        <f t="shared" si="8"/>
        <v>KHÔNG YÊU CẦU</v>
      </c>
      <c r="P38" s="38">
        <f t="shared" si="9"/>
        <v>600</v>
      </c>
      <c r="Q38" s="36" t="str">
        <f>IF(C38=1,IF('KT THAN'!$D$36&lt;=0,"KHÔNG YÊU CẦU",IF($K$15&lt;=P38,"ĐẠT","KHÔNG ĐẠT")),"")</f>
        <v>KHÔNG YÊU CẦU</v>
      </c>
      <c r="R38" s="36" t="str">
        <f t="shared" si="10"/>
        <v>ĐẠT</v>
      </c>
      <c r="S38" s="36" t="s">
        <v>805</v>
      </c>
    </row>
    <row r="39" spans="1:19" x14ac:dyDescent="0.3">
      <c r="A39" s="37">
        <v>24</v>
      </c>
      <c r="B39" s="36" t="str">
        <f>'TO HOP'!B128</f>
        <v>CĐ I(a) max - 6 làn đúng tâm</v>
      </c>
      <c r="C39" s="37">
        <f t="shared" si="0"/>
        <v>1</v>
      </c>
      <c r="D39" s="38">
        <f>IF(C39=1,-'TO HOP'!J128,"")</f>
        <v>-20762.237054999998</v>
      </c>
      <c r="E39" s="38">
        <f>IF(C39=1,ABS('TO HOP'!L128),"")</f>
        <v>26856.52159236449</v>
      </c>
      <c r="F39" s="38">
        <f>IF(C39=1,ABS('TO HOP'!H128),"")</f>
        <v>8507.3145621069634</v>
      </c>
      <c r="G39" s="38">
        <f t="shared" si="1"/>
        <v>6.118908992486543E-4</v>
      </c>
      <c r="H39" s="38">
        <f t="shared" si="2"/>
        <v>2.0952167313653867</v>
      </c>
      <c r="I39" s="38">
        <f t="shared" si="3"/>
        <v>31.141618147370291</v>
      </c>
      <c r="J39" s="38">
        <f t="shared" si="4"/>
        <v>24548.992371426379</v>
      </c>
      <c r="K39" s="38">
        <f>IF(C39=1,IF(OR('KT THAN'!$D$36&lt;=0,$K$13&lt;=0,$K$15&lt;=0),0,$K$13*$K$8*$K$12/(TAN(RADIANS(I39))*$K$15)/1000),"")</f>
        <v>0</v>
      </c>
      <c r="L39" s="38">
        <f t="shared" si="5"/>
        <v>22094.093134283743</v>
      </c>
      <c r="M39" s="38">
        <f t="shared" si="6"/>
        <v>0.38504927585853399</v>
      </c>
      <c r="N39" s="38" t="str">
        <f t="shared" si="7"/>
        <v>KHÔNG</v>
      </c>
      <c r="O39" s="38" t="str">
        <f t="shared" si="8"/>
        <v>KHÔNG YÊU CẦU</v>
      </c>
      <c r="P39" s="38">
        <f t="shared" si="9"/>
        <v>600</v>
      </c>
      <c r="Q39" s="36" t="str">
        <f>IF(C39=1,IF('KT THAN'!$D$36&lt;=0,"KHÔNG YÊU CẦU",IF($K$15&lt;=P39,"ĐẠT","KHÔNG ĐẠT")),"")</f>
        <v>KHÔNG YÊU CẦU</v>
      </c>
      <c r="R39" s="36" t="str">
        <f t="shared" si="10"/>
        <v>ĐẠT</v>
      </c>
      <c r="S39" s="36" t="s">
        <v>806</v>
      </c>
    </row>
    <row r="40" spans="1:19" x14ac:dyDescent="0.3">
      <c r="A40" s="37">
        <v>25</v>
      </c>
      <c r="B40" s="36" t="str">
        <f>'TO HOP'!B129</f>
        <v>CĐ I(b) min - 1 làn</v>
      </c>
      <c r="C40" s="37">
        <f t="shared" si="0"/>
        <v>1</v>
      </c>
      <c r="D40" s="38">
        <f>IF(C40=1,-'TO HOP'!J129,"")</f>
        <v>-13039.753931750001</v>
      </c>
      <c r="E40" s="38">
        <f>IF(C40=1,ABS('TO HOP'!L129),"")</f>
        <v>19187.159811196638</v>
      </c>
      <c r="F40" s="38">
        <f>IF(C40=1,ABS('TO HOP'!H129),"")</f>
        <v>5854.4588429381174</v>
      </c>
      <c r="G40" s="38">
        <f t="shared" si="1"/>
        <v>4.625082754849971E-4</v>
      </c>
      <c r="H40" s="38">
        <f t="shared" si="2"/>
        <v>2.2695021311177754</v>
      </c>
      <c r="I40" s="38">
        <f t="shared" si="3"/>
        <v>30.618778964197489</v>
      </c>
      <c r="J40" s="38">
        <f t="shared" si="4"/>
        <v>26591.039327678107</v>
      </c>
      <c r="K40" s="38">
        <f>IF(C40=1,IF(OR('KT THAN'!$D$36&lt;=0,$K$13&lt;=0,$K$15&lt;=0),0,$K$13*$K$8*$K$12/(TAN(RADIANS(I40))*$K$15)/1000),"")</f>
        <v>0</v>
      </c>
      <c r="L40" s="38">
        <f t="shared" si="5"/>
        <v>23931.935394910295</v>
      </c>
      <c r="M40" s="38">
        <f t="shared" si="6"/>
        <v>0.2446295607242534</v>
      </c>
      <c r="N40" s="38" t="str">
        <f t="shared" si="7"/>
        <v>KHÔNG</v>
      </c>
      <c r="O40" s="38" t="str">
        <f t="shared" si="8"/>
        <v>KHÔNG YÊU CẦU</v>
      </c>
      <c r="P40" s="38">
        <f t="shared" si="9"/>
        <v>600</v>
      </c>
      <c r="Q40" s="36" t="str">
        <f>IF(C40=1,IF('KT THAN'!$D$36&lt;=0,"KHÔNG YÊU CẦU",IF($K$15&lt;=P40,"ĐẠT","KHÔNG ĐẠT")),"")</f>
        <v>KHÔNG YÊU CẦU</v>
      </c>
      <c r="R40" s="36" t="str">
        <f t="shared" si="10"/>
        <v>ĐẠT</v>
      </c>
      <c r="S40" s="36" t="s">
        <v>807</v>
      </c>
    </row>
    <row r="41" spans="1:19" x14ac:dyDescent="0.3">
      <c r="A41" s="37">
        <v>26</v>
      </c>
      <c r="B41" s="36" t="str">
        <f>'TO HOP'!B130</f>
        <v>CĐ I(b) min - 2 làn</v>
      </c>
      <c r="C41" s="37">
        <f t="shared" si="0"/>
        <v>1</v>
      </c>
      <c r="D41" s="38">
        <f>IF(C41=1,-'TO HOP'!J130,"")</f>
        <v>-13843.124425083335</v>
      </c>
      <c r="E41" s="38">
        <f>IF(C41=1,ABS('TO HOP'!L130),"")</f>
        <v>19433.794552649972</v>
      </c>
      <c r="F41" s="38">
        <f>IF(C41=1,ABS('TO HOP'!H130),"")</f>
        <v>5854.4588429381174</v>
      </c>
      <c r="G41" s="38">
        <f t="shared" si="1"/>
        <v>4.569714963286722E-4</v>
      </c>
      <c r="H41" s="38">
        <f t="shared" si="2"/>
        <v>2.2765208979147014</v>
      </c>
      <c r="I41" s="38">
        <f t="shared" si="3"/>
        <v>30.599400237150352</v>
      </c>
      <c r="J41" s="38">
        <f t="shared" si="4"/>
        <v>26673.276000369373</v>
      </c>
      <c r="K41" s="38">
        <f>IF(C41=1,IF(OR('KT THAN'!$D$36&lt;=0,$K$13&lt;=0,$K$15&lt;=0),0,$K$13*$K$8*$K$12/(TAN(RADIANS(I41))*$K$15)/1000),"")</f>
        <v>0</v>
      </c>
      <c r="L41" s="38">
        <f t="shared" si="5"/>
        <v>24005.948400332436</v>
      </c>
      <c r="M41" s="38">
        <f t="shared" si="6"/>
        <v>0.24387534061587188</v>
      </c>
      <c r="N41" s="38" t="str">
        <f t="shared" si="7"/>
        <v>KHÔNG</v>
      </c>
      <c r="O41" s="38" t="str">
        <f t="shared" si="8"/>
        <v>KHÔNG YÊU CẦU</v>
      </c>
      <c r="P41" s="38">
        <f t="shared" si="9"/>
        <v>600</v>
      </c>
      <c r="Q41" s="36" t="str">
        <f>IF(C41=1,IF('KT THAN'!$D$36&lt;=0,"KHÔNG YÊU CẦU",IF($K$15&lt;=P41,"ĐẠT","KHÔNG ĐẠT")),"")</f>
        <v>KHÔNG YÊU CẦU</v>
      </c>
      <c r="R41" s="36" t="str">
        <f t="shared" si="10"/>
        <v>ĐẠT</v>
      </c>
      <c r="S41" s="36" t="s">
        <v>808</v>
      </c>
    </row>
    <row r="42" spans="1:19" x14ac:dyDescent="0.3">
      <c r="A42" s="37">
        <v>27</v>
      </c>
      <c r="B42" s="36" t="str">
        <f>'TO HOP'!B131</f>
        <v>CĐ I(b) min - 3 làn</v>
      </c>
      <c r="C42" s="37">
        <f t="shared" si="0"/>
        <v>1</v>
      </c>
      <c r="D42" s="38">
        <f>IF(C42=1,-'TO HOP'!J131,"")</f>
        <v>-14395.441639250002</v>
      </c>
      <c r="E42" s="38">
        <f>IF(C42=1,ABS('TO HOP'!L131),"")</f>
        <v>19603.355937399137</v>
      </c>
      <c r="F42" s="38">
        <f>IF(C42=1,ABS('TO HOP'!H131),"")</f>
        <v>5854.4588429381174</v>
      </c>
      <c r="G42" s="38">
        <f t="shared" si="1"/>
        <v>4.5316496065869868E-4</v>
      </c>
      <c r="H42" s="38">
        <f t="shared" si="2"/>
        <v>2.2813715367484995</v>
      </c>
      <c r="I42" s="38">
        <f t="shared" si="3"/>
        <v>30.586077362305446</v>
      </c>
      <c r="J42" s="38">
        <f t="shared" si="4"/>
        <v>26730.109402825958</v>
      </c>
      <c r="K42" s="38">
        <f>IF(C42=1,IF(OR('KT THAN'!$D$36&lt;=0,$K$13&lt;=0,$K$15&lt;=0),0,$K$13*$K$8*$K$12/(TAN(RADIANS(I42))*$K$15)/1000),"")</f>
        <v>0</v>
      </c>
      <c r="L42" s="38">
        <f t="shared" si="5"/>
        <v>24057.098462543363</v>
      </c>
      <c r="M42" s="38">
        <f t="shared" si="6"/>
        <v>0.24335681429135958</v>
      </c>
      <c r="N42" s="38" t="str">
        <f t="shared" si="7"/>
        <v>KHÔNG</v>
      </c>
      <c r="O42" s="38" t="str">
        <f t="shared" si="8"/>
        <v>KHÔNG YÊU CẦU</v>
      </c>
      <c r="P42" s="38">
        <f t="shared" si="9"/>
        <v>600</v>
      </c>
      <c r="Q42" s="36" t="str">
        <f>IF(C42=1,IF('KT THAN'!$D$36&lt;=0,"KHÔNG YÊU CẦU",IF($K$15&lt;=P42,"ĐẠT","KHÔNG ĐẠT")),"")</f>
        <v>KHÔNG YÊU CẦU</v>
      </c>
      <c r="R42" s="36" t="str">
        <f t="shared" si="10"/>
        <v>ĐẠT</v>
      </c>
      <c r="S42" s="36" t="s">
        <v>809</v>
      </c>
    </row>
    <row r="43" spans="1:19" x14ac:dyDescent="0.3">
      <c r="A43" s="37">
        <v>28</v>
      </c>
      <c r="B43" s="36" t="str">
        <f>'TO HOP'!B132</f>
        <v>CĐ I(b) min - 4 làn</v>
      </c>
      <c r="C43" s="37">
        <f t="shared" si="0"/>
        <v>1</v>
      </c>
      <c r="D43" s="38">
        <f>IF(C43=1,-'TO HOP'!J132,"")</f>
        <v>-14445.652295083335</v>
      </c>
      <c r="E43" s="38">
        <f>IF(C43=1,ABS('TO HOP'!L132),"")</f>
        <v>19618.770608739971</v>
      </c>
      <c r="F43" s="38">
        <f>IF(C43=1,ABS('TO HOP'!H132),"")</f>
        <v>5854.4588429381174</v>
      </c>
      <c r="G43" s="38">
        <f t="shared" si="1"/>
        <v>4.5281891196142843E-4</v>
      </c>
      <c r="H43" s="38">
        <f t="shared" si="2"/>
        <v>2.2818135291096557</v>
      </c>
      <c r="I43" s="38">
        <f t="shared" si="3"/>
        <v>30.584866191865</v>
      </c>
      <c r="J43" s="38">
        <f t="shared" si="4"/>
        <v>26735.288087655939</v>
      </c>
      <c r="K43" s="38">
        <f>IF(C43=1,IF(OR('KT THAN'!$D$36&lt;=0,$K$13&lt;=0,$K$15&lt;=0),0,$K$13*$K$8*$K$12/(TAN(RADIANS(I43))*$K$15)/1000),"")</f>
        <v>0</v>
      </c>
      <c r="L43" s="38">
        <f t="shared" si="5"/>
        <v>24061.759278890346</v>
      </c>
      <c r="M43" s="38">
        <f t="shared" si="6"/>
        <v>0.24330967553458571</v>
      </c>
      <c r="N43" s="38" t="str">
        <f t="shared" si="7"/>
        <v>KHÔNG</v>
      </c>
      <c r="O43" s="38" t="str">
        <f t="shared" si="8"/>
        <v>KHÔNG YÊU CẦU</v>
      </c>
      <c r="P43" s="38">
        <f t="shared" si="9"/>
        <v>600</v>
      </c>
      <c r="Q43" s="36" t="str">
        <f>IF(C43=1,IF('KT THAN'!$D$36&lt;=0,"KHÔNG YÊU CẦU",IF($K$15&lt;=P43,"ĐẠT","KHÔNG ĐẠT")),"")</f>
        <v>KHÔNG YÊU CẦU</v>
      </c>
      <c r="R43" s="36" t="str">
        <f t="shared" si="10"/>
        <v>ĐẠT</v>
      </c>
      <c r="S43" s="36" t="s">
        <v>810</v>
      </c>
    </row>
    <row r="44" spans="1:19" x14ac:dyDescent="0.3">
      <c r="A44" s="37">
        <v>29</v>
      </c>
      <c r="B44" s="36" t="str">
        <f>'TO HOP'!B133</f>
        <v>CĐ I(b) min - 5 làn</v>
      </c>
      <c r="C44" s="37">
        <f t="shared" si="0"/>
        <v>1</v>
      </c>
      <c r="D44" s="38">
        <f>IF(C44=1,-'TO HOP'!J133,"")</f>
        <v>-15098.390820916669</v>
      </c>
      <c r="E44" s="38">
        <f>IF(C44=1,ABS('TO HOP'!L133),"")</f>
        <v>19819.161336170804</v>
      </c>
      <c r="F44" s="38">
        <f>IF(C44=1,ABS('TO HOP'!H133),"")</f>
        <v>5854.4588429381174</v>
      </c>
      <c r="G44" s="38">
        <f t="shared" si="1"/>
        <v>4.4832027889691445E-4</v>
      </c>
      <c r="H44" s="38">
        <f t="shared" si="2"/>
        <v>2.2875750540877111</v>
      </c>
      <c r="I44" s="38">
        <f t="shared" si="3"/>
        <v>30.5691209761392</v>
      </c>
      <c r="J44" s="38">
        <f t="shared" si="4"/>
        <v>26802.794055232804</v>
      </c>
      <c r="K44" s="38">
        <f>IF(C44=1,IF(OR('KT THAN'!$D$36&lt;=0,$K$13&lt;=0,$K$15&lt;=0),0,$K$13*$K$8*$K$12/(TAN(RADIANS(I44))*$K$15)/1000),"")</f>
        <v>0</v>
      </c>
      <c r="L44" s="38">
        <f t="shared" si="5"/>
        <v>24122.514649709523</v>
      </c>
      <c r="M44" s="38">
        <f t="shared" si="6"/>
        <v>0.24269687169652585</v>
      </c>
      <c r="N44" s="38" t="str">
        <f t="shared" si="7"/>
        <v>KHÔNG</v>
      </c>
      <c r="O44" s="38" t="str">
        <f t="shared" si="8"/>
        <v>KHÔNG YÊU CẦU</v>
      </c>
      <c r="P44" s="38">
        <f t="shared" si="9"/>
        <v>600</v>
      </c>
      <c r="Q44" s="36" t="str">
        <f>IF(C44=1,IF('KT THAN'!$D$36&lt;=0,"KHÔNG YÊU CẦU",IF($K$15&lt;=P44,"ĐẠT","KHÔNG ĐẠT")),"")</f>
        <v>KHÔNG YÊU CẦU</v>
      </c>
      <c r="R44" s="36" t="str">
        <f t="shared" si="10"/>
        <v>ĐẠT</v>
      </c>
      <c r="S44" s="36" t="s">
        <v>811</v>
      </c>
    </row>
    <row r="45" spans="1:19" x14ac:dyDescent="0.3">
      <c r="A45" s="37">
        <v>30</v>
      </c>
      <c r="B45" s="36" t="str">
        <f>'TO HOP'!B134</f>
        <v>CĐ I(b) min - 6 làn</v>
      </c>
      <c r="C45" s="37">
        <f t="shared" si="0"/>
        <v>1</v>
      </c>
      <c r="D45" s="38">
        <f>IF(C45=1,-'TO HOP'!J134,"")</f>
        <v>-15751.129346750002</v>
      </c>
      <c r="E45" s="38">
        <f>IF(C45=1,ABS('TO HOP'!L134),"")</f>
        <v>20019.552063601637</v>
      </c>
      <c r="F45" s="38">
        <f>IF(C45=1,ABS('TO HOP'!H134),"")</f>
        <v>5854.4588429381174</v>
      </c>
      <c r="G45" s="38">
        <f t="shared" si="1"/>
        <v>4.4382164583240053E-4</v>
      </c>
      <c r="H45" s="38">
        <f t="shared" si="2"/>
        <v>2.2933657481445162</v>
      </c>
      <c r="I45" s="38">
        <f t="shared" si="3"/>
        <v>30.553375760413402</v>
      </c>
      <c r="J45" s="38">
        <f t="shared" si="4"/>
        <v>26870.641787688215</v>
      </c>
      <c r="K45" s="38">
        <f>IF(C45=1,IF(OR('KT THAN'!$D$36&lt;=0,$K$13&lt;=0,$K$15&lt;=0),0,$K$13*$K$8*$K$12/(TAN(RADIANS(I45))*$K$15)/1000),"")</f>
        <v>0</v>
      </c>
      <c r="L45" s="38">
        <f t="shared" si="5"/>
        <v>24183.577608919393</v>
      </c>
      <c r="M45" s="38">
        <f t="shared" si="6"/>
        <v>0.24208406785846584</v>
      </c>
      <c r="N45" s="38" t="str">
        <f t="shared" si="7"/>
        <v>KHÔNG</v>
      </c>
      <c r="O45" s="38" t="str">
        <f t="shared" si="8"/>
        <v>KHÔNG YÊU CẦU</v>
      </c>
      <c r="P45" s="38">
        <f t="shared" si="9"/>
        <v>600</v>
      </c>
      <c r="Q45" s="36" t="str">
        <f>IF(C45=1,IF('KT THAN'!$D$36&lt;=0,"KHÔNG YÊU CẦU",IF($K$15&lt;=P45,"ĐẠT","KHÔNG ĐẠT")),"")</f>
        <v>KHÔNG YÊU CẦU</v>
      </c>
      <c r="R45" s="36" t="str">
        <f t="shared" si="10"/>
        <v>ĐẠT</v>
      </c>
      <c r="S45" s="36" t="s">
        <v>812</v>
      </c>
    </row>
    <row r="46" spans="1:19" x14ac:dyDescent="0.3">
      <c r="A46" s="37">
        <v>31</v>
      </c>
      <c r="B46" s="36" t="str">
        <f>'TO HOP'!B135</f>
        <v>CĐ III(a) max</v>
      </c>
      <c r="C46" s="37">
        <f t="shared" si="0"/>
        <v>1</v>
      </c>
      <c r="D46" s="38">
        <f>IF(C46=1,-'TO HOP'!J135,"")</f>
        <v>-16158.238061415625</v>
      </c>
      <c r="E46" s="38">
        <f>IF(C46=1,ABS('TO HOP'!L135),"")</f>
        <v>21094.151068953473</v>
      </c>
      <c r="F46" s="38">
        <f>IF(C46=1,ABS('TO HOP'!H135),"")</f>
        <v>7317.2298098332049</v>
      </c>
      <c r="G46" s="38">
        <f t="shared" si="1"/>
        <v>4.9327120639539642E-4</v>
      </c>
      <c r="H46" s="38">
        <f t="shared" si="2"/>
        <v>2.2312800990675599</v>
      </c>
      <c r="I46" s="38">
        <f t="shared" si="3"/>
        <v>30.726449222383888</v>
      </c>
      <c r="J46" s="38">
        <f t="shared" si="4"/>
        <v>26143.203855970278</v>
      </c>
      <c r="K46" s="38">
        <f>IF(C46=1,IF(OR('KT THAN'!$D$36&lt;=0,$K$13&lt;=0,$K$15&lt;=0),0,$K$13*$K$8*$K$12/(TAN(RADIANS(I46))*$K$15)/1000),"")</f>
        <v>0</v>
      </c>
      <c r="L46" s="38">
        <f t="shared" si="5"/>
        <v>23528.88347037325</v>
      </c>
      <c r="M46" s="38">
        <f t="shared" si="6"/>
        <v>0.310989249406875</v>
      </c>
      <c r="N46" s="38" t="str">
        <f t="shared" si="7"/>
        <v>KHÔNG</v>
      </c>
      <c r="O46" s="38" t="str">
        <f t="shared" si="8"/>
        <v>KHÔNG YÊU CẦU</v>
      </c>
      <c r="P46" s="38">
        <f t="shared" si="9"/>
        <v>600</v>
      </c>
      <c r="Q46" s="36" t="str">
        <f>IF(C46=1,IF('KT THAN'!$D$36&lt;=0,"KHÔNG YÊU CẦU",IF($K$15&lt;=P46,"ĐẠT","KHÔNG ĐẠT")),"")</f>
        <v>KHÔNG YÊU CẦU</v>
      </c>
      <c r="R46" s="36" t="str">
        <f t="shared" si="10"/>
        <v>ĐẠT</v>
      </c>
      <c r="S46" s="36" t="s">
        <v>813</v>
      </c>
    </row>
    <row r="47" spans="1:19" x14ac:dyDescent="0.3">
      <c r="A47" s="37">
        <v>32</v>
      </c>
      <c r="B47" s="36" t="str">
        <f>'TO HOP'!B136</f>
        <v>CĐ III(b) min</v>
      </c>
      <c r="C47" s="37">
        <f t="shared" si="0"/>
        <v>1</v>
      </c>
      <c r="D47" s="38">
        <f>IF(C47=1,-'TO HOP'!J136,"")</f>
        <v>-11147.130353165627</v>
      </c>
      <c r="E47" s="38">
        <f>IF(C47=1,ABS('TO HOP'!L136),"")</f>
        <v>14257.181540190624</v>
      </c>
      <c r="F47" s="38">
        <f>IF(C47=1,ABS('TO HOP'!H136),"")</f>
        <v>4664.3740906643607</v>
      </c>
      <c r="G47" s="38">
        <f t="shared" si="1"/>
        <v>3.2520195297914276E-4</v>
      </c>
      <c r="H47" s="38">
        <f t="shared" si="2"/>
        <v>2.4573889937698317</v>
      </c>
      <c r="I47" s="38">
        <f t="shared" si="3"/>
        <v>30.138206835426999</v>
      </c>
      <c r="J47" s="38">
        <f t="shared" si="4"/>
        <v>28792.450326783099</v>
      </c>
      <c r="K47" s="38">
        <f>IF(C47=1,IF(OR('KT THAN'!$D$36&lt;=0,$K$13&lt;=0,$K$15&lt;=0),0,$K$13*$K$8*$K$12/(TAN(RADIANS(I47))*$K$15)/1000),"")</f>
        <v>0</v>
      </c>
      <c r="L47" s="38">
        <f t="shared" si="5"/>
        <v>25913.205294104788</v>
      </c>
      <c r="M47" s="38">
        <f t="shared" si="6"/>
        <v>0.17999988954378787</v>
      </c>
      <c r="N47" s="38" t="str">
        <f t="shared" si="7"/>
        <v>KHÔNG</v>
      </c>
      <c r="O47" s="38" t="str">
        <f t="shared" si="8"/>
        <v>KHÔNG YÊU CẦU</v>
      </c>
      <c r="P47" s="38">
        <f t="shared" si="9"/>
        <v>600</v>
      </c>
      <c r="Q47" s="36" t="str">
        <f>IF(C47=1,IF('KT THAN'!$D$36&lt;=0,"KHÔNG YÊU CẦU",IF($K$15&lt;=P47,"ĐẠT","KHÔNG ĐẠT")),"")</f>
        <v>KHÔNG YÊU CẦU</v>
      </c>
      <c r="R47" s="36" t="str">
        <f t="shared" si="10"/>
        <v>ĐẠT</v>
      </c>
      <c r="S47" s="36" t="s">
        <v>814</v>
      </c>
    </row>
    <row r="48" spans="1:19" x14ac:dyDescent="0.3">
      <c r="A48" s="37">
        <v>33</v>
      </c>
      <c r="B48" s="36" t="str">
        <f>'TO HOP'!B137</f>
        <v>CĐ V(a) max - 1 làn</v>
      </c>
      <c r="C48" s="37">
        <f t="shared" si="0"/>
        <v>1</v>
      </c>
      <c r="D48" s="38">
        <f>IF(C48=1,-'TO HOP'!J137,"")</f>
        <v>-17775.420328</v>
      </c>
      <c r="E48" s="38">
        <f>IF(C48=1,ABS('TO HOP'!L137),"")</f>
        <v>25060.504405607957</v>
      </c>
      <c r="F48" s="38">
        <f>IF(C48=1,ABS('TO HOP'!H137),"")</f>
        <v>8247.8767391504243</v>
      </c>
      <c r="G48" s="38">
        <f t="shared" si="1"/>
        <v>6.0178020754701658E-4</v>
      </c>
      <c r="H48" s="38">
        <f t="shared" si="2"/>
        <v>2.1061639393567639</v>
      </c>
      <c r="I48" s="38">
        <f t="shared" si="3"/>
        <v>31.106230726414559</v>
      </c>
      <c r="J48" s="38">
        <f t="shared" si="4"/>
        <v>24677.257348240306</v>
      </c>
      <c r="K48" s="38">
        <f>IF(C48=1,IF(OR('KT THAN'!$D$36&lt;=0,$K$13&lt;=0,$K$15&lt;=0),0,$K$13*$K$8*$K$12/(TAN(RADIANS(I48))*$K$15)/1000),"")</f>
        <v>0</v>
      </c>
      <c r="L48" s="38">
        <f t="shared" si="5"/>
        <v>22209.531613416275</v>
      </c>
      <c r="M48" s="38">
        <f t="shared" si="6"/>
        <v>0.37136653229409256</v>
      </c>
      <c r="N48" s="38" t="str">
        <f t="shared" si="7"/>
        <v>KHÔNG</v>
      </c>
      <c r="O48" s="38" t="str">
        <f t="shared" si="8"/>
        <v>KHÔNG YÊU CẦU</v>
      </c>
      <c r="P48" s="38">
        <f t="shared" si="9"/>
        <v>600</v>
      </c>
      <c r="Q48" s="36" t="str">
        <f>IF(C48=1,IF('KT THAN'!$D$36&lt;=0,"KHÔNG YÊU CẦU",IF($K$15&lt;=P48,"ĐẠT","KHÔNG ĐẠT")),"")</f>
        <v>KHÔNG YÊU CẦU</v>
      </c>
      <c r="R48" s="36" t="str">
        <f t="shared" si="10"/>
        <v>ĐẠT</v>
      </c>
      <c r="S48" s="36" t="s">
        <v>815</v>
      </c>
    </row>
    <row r="49" spans="1:19" x14ac:dyDescent="0.3">
      <c r="A49" s="37">
        <v>34</v>
      </c>
      <c r="B49" s="36" t="str">
        <f>'TO HOP'!B138</f>
        <v>CĐ V(a) max - 2 làn</v>
      </c>
      <c r="C49" s="37">
        <f t="shared" si="0"/>
        <v>1</v>
      </c>
      <c r="D49" s="38">
        <f>IF(C49=1,-'TO HOP'!J138,"")</f>
        <v>-18395.163280000001</v>
      </c>
      <c r="E49" s="38">
        <f>IF(C49=1,ABS('TO HOP'!L138),"")</f>
        <v>25250.765491871956</v>
      </c>
      <c r="F49" s="38">
        <f>IF(C49=1,ABS('TO HOP'!H138),"")</f>
        <v>8247.8767391504243</v>
      </c>
      <c r="G49" s="38">
        <f t="shared" si="1"/>
        <v>5.975089779121374E-4</v>
      </c>
      <c r="H49" s="38">
        <f t="shared" si="2"/>
        <v>2.1108229991781187</v>
      </c>
      <c r="I49" s="38">
        <f t="shared" si="3"/>
        <v>31.091281422692482</v>
      </c>
      <c r="J49" s="38">
        <f t="shared" si="4"/>
        <v>24731.846079945368</v>
      </c>
      <c r="K49" s="38">
        <f>IF(C49=1,IF(OR('KT THAN'!$D$36&lt;=0,$K$13&lt;=0,$K$15&lt;=0),0,$K$13*$K$8*$K$12/(TAN(RADIANS(I49))*$K$15)/1000),"")</f>
        <v>0</v>
      </c>
      <c r="L49" s="38">
        <f t="shared" si="5"/>
        <v>22258.661471950832</v>
      </c>
      <c r="M49" s="38">
        <f t="shared" si="6"/>
        <v>0.37054684305900221</v>
      </c>
      <c r="N49" s="38" t="str">
        <f t="shared" si="7"/>
        <v>KHÔNG</v>
      </c>
      <c r="O49" s="38" t="str">
        <f t="shared" si="8"/>
        <v>KHÔNG YÊU CẦU</v>
      </c>
      <c r="P49" s="38">
        <f t="shared" si="9"/>
        <v>600</v>
      </c>
      <c r="Q49" s="36" t="str">
        <f>IF(C49=1,IF('KT THAN'!$D$36&lt;=0,"KHÔNG YÊU CẦU",IF($K$15&lt;=P49,"ĐẠT","KHÔNG ĐẠT")),"")</f>
        <v>KHÔNG YÊU CẦU</v>
      </c>
      <c r="R49" s="36" t="str">
        <f t="shared" si="10"/>
        <v>ĐẠT</v>
      </c>
      <c r="S49" s="36" t="s">
        <v>816</v>
      </c>
    </row>
    <row r="50" spans="1:19" x14ac:dyDescent="0.3">
      <c r="A50" s="37">
        <v>35</v>
      </c>
      <c r="B50" s="36" t="str">
        <f>'TO HOP'!B139</f>
        <v>CĐ V(a) max - 3 làn</v>
      </c>
      <c r="C50" s="37">
        <f t="shared" si="0"/>
        <v>1</v>
      </c>
      <c r="D50" s="38">
        <f>IF(C50=1,-'TO HOP'!J139,"")</f>
        <v>-18821.236559500001</v>
      </c>
      <c r="E50" s="38">
        <f>IF(C50=1,ABS('TO HOP'!L139),"")</f>
        <v>25381.569988678457</v>
      </c>
      <c r="F50" s="38">
        <f>IF(C50=1,ABS('TO HOP'!H139),"")</f>
        <v>8247.8767391504243</v>
      </c>
      <c r="G50" s="38">
        <f t="shared" si="1"/>
        <v>5.945725075381579E-4</v>
      </c>
      <c r="H50" s="38">
        <f t="shared" si="2"/>
        <v>2.1140380779804113</v>
      </c>
      <c r="I50" s="38">
        <f t="shared" si="3"/>
        <v>31.081003776383554</v>
      </c>
      <c r="J50" s="38">
        <f t="shared" si="4"/>
        <v>24769.516142335324</v>
      </c>
      <c r="K50" s="38">
        <f>IF(C50=1,IF(OR('KT THAN'!$D$36&lt;=0,$K$13&lt;=0,$K$15&lt;=0),0,$K$13*$K$8*$K$12/(TAN(RADIANS(I50))*$K$15)/1000),"")</f>
        <v>0</v>
      </c>
      <c r="L50" s="38">
        <f t="shared" si="5"/>
        <v>22292.564528101793</v>
      </c>
      <c r="M50" s="38">
        <f t="shared" si="6"/>
        <v>0.36998330670987761</v>
      </c>
      <c r="N50" s="38" t="str">
        <f t="shared" si="7"/>
        <v>KHÔNG</v>
      </c>
      <c r="O50" s="38" t="str">
        <f t="shared" si="8"/>
        <v>KHÔNG YÊU CẦU</v>
      </c>
      <c r="P50" s="38">
        <f t="shared" si="9"/>
        <v>600</v>
      </c>
      <c r="Q50" s="36" t="str">
        <f>IF(C50=1,IF('KT THAN'!$D$36&lt;=0,"KHÔNG YÊU CẦU",IF($K$15&lt;=P50,"ĐẠT","KHÔNG ĐẠT")),"")</f>
        <v>KHÔNG YÊU CẦU</v>
      </c>
      <c r="R50" s="36" t="str">
        <f t="shared" si="10"/>
        <v>ĐẠT</v>
      </c>
      <c r="S50" s="36" t="s">
        <v>817</v>
      </c>
    </row>
    <row r="51" spans="1:19" x14ac:dyDescent="0.3">
      <c r="A51" s="37">
        <v>36</v>
      </c>
      <c r="B51" s="36" t="str">
        <f>'TO HOP'!B140</f>
        <v>CĐ V(a) max - 4 làn</v>
      </c>
      <c r="C51" s="37">
        <f t="shared" si="0"/>
        <v>1</v>
      </c>
      <c r="D51" s="38">
        <f>IF(C51=1,-'TO HOP'!J140,"")</f>
        <v>-18859.970494000001</v>
      </c>
      <c r="E51" s="38">
        <f>IF(C51=1,ABS('TO HOP'!L140),"")</f>
        <v>25393.461306569956</v>
      </c>
      <c r="F51" s="38">
        <f>IF(C51=1,ABS('TO HOP'!H140),"")</f>
        <v>8247.8767391504243</v>
      </c>
      <c r="G51" s="38">
        <f t="shared" si="1"/>
        <v>5.9430555568597797E-4</v>
      </c>
      <c r="H51" s="38">
        <f t="shared" si="2"/>
        <v>2.114330843593156</v>
      </c>
      <c r="I51" s="38">
        <f t="shared" si="3"/>
        <v>31.080069444900921</v>
      </c>
      <c r="J51" s="38">
        <f t="shared" si="4"/>
        <v>24772.946384508505</v>
      </c>
      <c r="K51" s="38">
        <f>IF(C51=1,IF(OR('KT THAN'!$D$36&lt;=0,$K$13&lt;=0,$K$15&lt;=0),0,$K$13*$K$8*$K$12/(TAN(RADIANS(I51))*$K$15)/1000),"")</f>
        <v>0</v>
      </c>
      <c r="L51" s="38">
        <f t="shared" si="5"/>
        <v>22295.651746057654</v>
      </c>
      <c r="M51" s="38">
        <f t="shared" si="6"/>
        <v>0.3699320761326847</v>
      </c>
      <c r="N51" s="38" t="str">
        <f t="shared" si="7"/>
        <v>KHÔNG</v>
      </c>
      <c r="O51" s="38" t="str">
        <f t="shared" si="8"/>
        <v>KHÔNG YÊU CẦU</v>
      </c>
      <c r="P51" s="38">
        <f t="shared" si="9"/>
        <v>600</v>
      </c>
      <c r="Q51" s="36" t="str">
        <f>IF(C51=1,IF('KT THAN'!$D$36&lt;=0,"KHÔNG YÊU CẦU",IF($K$15&lt;=P51,"ĐẠT","KHÔNG ĐẠT")),"")</f>
        <v>KHÔNG YÊU CẦU</v>
      </c>
      <c r="R51" s="36" t="str">
        <f t="shared" si="10"/>
        <v>ĐẠT</v>
      </c>
      <c r="S51" s="36" t="s">
        <v>818</v>
      </c>
    </row>
    <row r="52" spans="1:19" x14ac:dyDescent="0.3">
      <c r="A52" s="37">
        <v>37</v>
      </c>
      <c r="B52" s="36" t="str">
        <f>'TO HOP'!B141</f>
        <v>CĐ V(a) max - 5 làn</v>
      </c>
      <c r="C52" s="37">
        <f t="shared" si="0"/>
        <v>1</v>
      </c>
      <c r="D52" s="38">
        <f>IF(C52=1,-'TO HOP'!J141,"")</f>
        <v>-19363.511642500001</v>
      </c>
      <c r="E52" s="38">
        <f>IF(C52=1,ABS('TO HOP'!L141),"")</f>
        <v>25548.048439159455</v>
      </c>
      <c r="F52" s="38">
        <f>IF(C52=1,ABS('TO HOP'!H141),"")</f>
        <v>8247.8767391504243</v>
      </c>
      <c r="G52" s="38">
        <f t="shared" si="1"/>
        <v>5.9083518160763849E-4</v>
      </c>
      <c r="H52" s="38">
        <f t="shared" si="2"/>
        <v>2.1181441888878458</v>
      </c>
      <c r="I52" s="38">
        <f t="shared" si="3"/>
        <v>31.067923135626735</v>
      </c>
      <c r="J52" s="38">
        <f t="shared" si="4"/>
        <v>24817.626146342955</v>
      </c>
      <c r="K52" s="38">
        <f>IF(C52=1,IF(OR('KT THAN'!$D$36&lt;=0,$K$13&lt;=0,$K$15&lt;=0),0,$K$13*$K$8*$K$12/(TAN(RADIANS(I52))*$K$15)/1000),"")</f>
        <v>0</v>
      </c>
      <c r="L52" s="38">
        <f t="shared" si="5"/>
        <v>22335.863531708659</v>
      </c>
      <c r="M52" s="38">
        <f t="shared" si="6"/>
        <v>0.36926607862917377</v>
      </c>
      <c r="N52" s="38" t="str">
        <f t="shared" si="7"/>
        <v>KHÔNG</v>
      </c>
      <c r="O52" s="38" t="str">
        <f t="shared" si="8"/>
        <v>KHÔNG YÊU CẦU</v>
      </c>
      <c r="P52" s="38">
        <f t="shared" si="9"/>
        <v>600</v>
      </c>
      <c r="Q52" s="36" t="str">
        <f>IF(C52=1,IF('KT THAN'!$D$36&lt;=0,"KHÔNG YÊU CẦU",IF($K$15&lt;=P52,"ĐẠT","KHÔNG ĐẠT")),"")</f>
        <v>KHÔNG YÊU CẦU</v>
      </c>
      <c r="R52" s="36" t="str">
        <f t="shared" si="10"/>
        <v>ĐẠT</v>
      </c>
      <c r="S52" s="36" t="s">
        <v>819</v>
      </c>
    </row>
    <row r="53" spans="1:19" x14ac:dyDescent="0.3">
      <c r="A53" s="37">
        <v>38</v>
      </c>
      <c r="B53" s="36" t="str">
        <f>'TO HOP'!B142</f>
        <v>CĐ V(a) max - 6 làn</v>
      </c>
      <c r="C53" s="37">
        <f t="shared" si="0"/>
        <v>1</v>
      </c>
      <c r="D53" s="38">
        <f>IF(C53=1,-'TO HOP'!J142,"")</f>
        <v>-19867.052790999998</v>
      </c>
      <c r="E53" s="38">
        <f>IF(C53=1,ABS('TO HOP'!L142),"")</f>
        <v>25702.635571748957</v>
      </c>
      <c r="F53" s="38">
        <f>IF(C53=1,ABS('TO HOP'!H142),"")</f>
        <v>8247.8767391504243</v>
      </c>
      <c r="G53" s="38">
        <f t="shared" si="1"/>
        <v>5.8736480752929934E-4</v>
      </c>
      <c r="H53" s="38">
        <f t="shared" si="2"/>
        <v>2.1219713143121455</v>
      </c>
      <c r="I53" s="38">
        <f t="shared" si="3"/>
        <v>31.055776826352549</v>
      </c>
      <c r="J53" s="38">
        <f t="shared" si="4"/>
        <v>24862.467365601635</v>
      </c>
      <c r="K53" s="38">
        <f>IF(C53=1,IF(OR('KT THAN'!$D$36&lt;=0,$K$13&lt;=0,$K$15&lt;=0),0,$K$13*$K$8*$K$12/(TAN(RADIANS(I53))*$K$15)/1000),"")</f>
        <v>0</v>
      </c>
      <c r="L53" s="38">
        <f t="shared" si="5"/>
        <v>22376.220629041472</v>
      </c>
      <c r="M53" s="38">
        <f t="shared" si="6"/>
        <v>0.36860008112566317</v>
      </c>
      <c r="N53" s="38" t="str">
        <f t="shared" si="7"/>
        <v>KHÔNG</v>
      </c>
      <c r="O53" s="38" t="str">
        <f t="shared" si="8"/>
        <v>KHÔNG YÊU CẦU</v>
      </c>
      <c r="P53" s="38">
        <f t="shared" si="9"/>
        <v>600</v>
      </c>
      <c r="Q53" s="36" t="str">
        <f>IF(C53=1,IF('KT THAN'!$D$36&lt;=0,"KHÔNG YÊU CẦU",IF($K$15&lt;=P53,"ĐẠT","KHÔNG ĐẠT")),"")</f>
        <v>KHÔNG YÊU CẦU</v>
      </c>
      <c r="R53" s="36" t="str">
        <f t="shared" si="10"/>
        <v>ĐẠT</v>
      </c>
      <c r="S53" s="36" t="s">
        <v>820</v>
      </c>
    </row>
    <row r="54" spans="1:19" x14ac:dyDescent="0.3">
      <c r="A54" s="37">
        <v>39</v>
      </c>
      <c r="B54" s="36" t="str">
        <f>'TO HOP'!B143</f>
        <v>CĐ V(b) min - 1 làn</v>
      </c>
      <c r="C54" s="37">
        <f t="shared" si="0"/>
        <v>1</v>
      </c>
      <c r="D54" s="38">
        <f>IF(C54=1,-'TO HOP'!J143,"")</f>
        <v>-12764.312619750002</v>
      </c>
      <c r="E54" s="38">
        <f>IF(C54=1,ABS('TO HOP'!L143),"")</f>
        <v>18223.5348768451</v>
      </c>
      <c r="F54" s="38">
        <f>IF(C54=1,ABS('TO HOP'!H143),"")</f>
        <v>5595.0210199815792</v>
      </c>
      <c r="G54" s="38">
        <f t="shared" si="1"/>
        <v>4.3371095413076275E-4</v>
      </c>
      <c r="H54" s="38">
        <f t="shared" si="2"/>
        <v>2.306487951251186</v>
      </c>
      <c r="I54" s="38">
        <f t="shared" si="3"/>
        <v>30.51798833945767</v>
      </c>
      <c r="J54" s="38">
        <f t="shared" si="4"/>
        <v>27024.390494988784</v>
      </c>
      <c r="K54" s="38">
        <f>IF(C54=1,IF(OR('KT THAN'!$D$36&lt;=0,$K$13&lt;=0,$K$15&lt;=0),0,$K$13*$K$8*$K$12/(TAN(RADIANS(I54))*$K$15)/1000),"")</f>
        <v>0</v>
      </c>
      <c r="L54" s="38">
        <f t="shared" si="5"/>
        <v>24321.951445489907</v>
      </c>
      <c r="M54" s="38">
        <f t="shared" si="6"/>
        <v>0.23003997160840814</v>
      </c>
      <c r="N54" s="38" t="str">
        <f t="shared" si="7"/>
        <v>KHÔNG</v>
      </c>
      <c r="O54" s="38" t="str">
        <f t="shared" si="8"/>
        <v>KHÔNG YÊU CẦU</v>
      </c>
      <c r="P54" s="38">
        <f t="shared" si="9"/>
        <v>600</v>
      </c>
      <c r="Q54" s="36" t="str">
        <f>IF(C54=1,IF('KT THAN'!$D$36&lt;=0,"KHÔNG YÊU CẦU",IF($K$15&lt;=P54,"ĐẠT","KHÔNG ĐẠT")),"")</f>
        <v>KHÔNG YÊU CẦU</v>
      </c>
      <c r="R54" s="36" t="str">
        <f t="shared" si="10"/>
        <v>ĐẠT</v>
      </c>
      <c r="S54" s="36" t="s">
        <v>821</v>
      </c>
    </row>
    <row r="55" spans="1:19" x14ac:dyDescent="0.3">
      <c r="A55" s="37">
        <v>40</v>
      </c>
      <c r="B55" s="36" t="str">
        <f>'TO HOP'!B144</f>
        <v>CĐ V(b) min - 2 làn</v>
      </c>
      <c r="C55" s="37">
        <f t="shared" si="0"/>
        <v>1</v>
      </c>
      <c r="D55" s="38">
        <f>IF(C55=1,-'TO HOP'!J144,"")</f>
        <v>-13384.055571750003</v>
      </c>
      <c r="E55" s="38">
        <f>IF(C55=1,ABS('TO HOP'!L144),"")</f>
        <v>18413.7959631091</v>
      </c>
      <c r="F55" s="38">
        <f>IF(C55=1,ABS('TO HOP'!H144),"")</f>
        <v>5595.0210199815792</v>
      </c>
      <c r="G55" s="38">
        <f t="shared" si="1"/>
        <v>4.2943972449588353E-4</v>
      </c>
      <c r="H55" s="38">
        <f t="shared" si="2"/>
        <v>2.3120766114851969</v>
      </c>
      <c r="I55" s="38">
        <f t="shared" si="3"/>
        <v>30.503039035735593</v>
      </c>
      <c r="J55" s="38">
        <f t="shared" si="4"/>
        <v>27089.871060983416</v>
      </c>
      <c r="K55" s="38">
        <f>IF(C55=1,IF(OR('KT THAN'!$D$36&lt;=0,$K$13&lt;=0,$K$15&lt;=0),0,$K$13*$K$8*$K$12/(TAN(RADIANS(I55))*$K$15)/1000),"")</f>
        <v>0</v>
      </c>
      <c r="L55" s="38">
        <f t="shared" si="5"/>
        <v>24380.883954885074</v>
      </c>
      <c r="M55" s="38">
        <f t="shared" si="6"/>
        <v>0.22948392807802742</v>
      </c>
      <c r="N55" s="38" t="str">
        <f t="shared" si="7"/>
        <v>KHÔNG</v>
      </c>
      <c r="O55" s="38" t="str">
        <f t="shared" si="8"/>
        <v>KHÔNG YÊU CẦU</v>
      </c>
      <c r="P55" s="38">
        <f t="shared" si="9"/>
        <v>600</v>
      </c>
      <c r="Q55" s="36" t="str">
        <f>IF(C55=1,IF('KT THAN'!$D$36&lt;=0,"KHÔNG YÊU CẦU",IF($K$15&lt;=P55,"ĐẠT","KHÔNG ĐẠT")),"")</f>
        <v>KHÔNG YÊU CẦU</v>
      </c>
      <c r="R55" s="36" t="str">
        <f t="shared" si="10"/>
        <v>ĐẠT</v>
      </c>
      <c r="S55" s="36" t="s">
        <v>822</v>
      </c>
    </row>
    <row r="56" spans="1:19" x14ac:dyDescent="0.3">
      <c r="A56" s="37">
        <v>41</v>
      </c>
      <c r="B56" s="36" t="str">
        <f>'TO HOP'!B145</f>
        <v>CĐ V(b) min - 3 làn</v>
      </c>
      <c r="C56" s="37">
        <f t="shared" si="0"/>
        <v>1</v>
      </c>
      <c r="D56" s="38">
        <f>IF(C56=1,-'TO HOP'!J145,"")</f>
        <v>-13810.128851250001</v>
      </c>
      <c r="E56" s="38">
        <f>IF(C56=1,ABS('TO HOP'!L145),"")</f>
        <v>18544.6004599156</v>
      </c>
      <c r="F56" s="38">
        <f>IF(C56=1,ABS('TO HOP'!H145),"")</f>
        <v>5595.0210199815792</v>
      </c>
      <c r="G56" s="38">
        <f t="shared" si="1"/>
        <v>4.2650325412190403E-4</v>
      </c>
      <c r="H56" s="38">
        <f t="shared" si="2"/>
        <v>2.3159345517737413</v>
      </c>
      <c r="I56" s="38">
        <f t="shared" si="3"/>
        <v>30.492761389426665</v>
      </c>
      <c r="J56" s="38">
        <f t="shared" si="4"/>
        <v>27135.073328269231</v>
      </c>
      <c r="K56" s="38">
        <f>IF(C56=1,IF(OR('KT THAN'!$D$36&lt;=0,$K$13&lt;=0,$K$15&lt;=0),0,$K$13*$K$8*$K$12/(TAN(RADIANS(I56))*$K$15)/1000),"")</f>
        <v>0</v>
      </c>
      <c r="L56" s="38">
        <f t="shared" si="5"/>
        <v>24421.56599544231</v>
      </c>
      <c r="M56" s="38">
        <f t="shared" si="6"/>
        <v>0.22910164815089062</v>
      </c>
      <c r="N56" s="38" t="str">
        <f t="shared" si="7"/>
        <v>KHÔNG</v>
      </c>
      <c r="O56" s="38" t="str">
        <f t="shared" si="8"/>
        <v>KHÔNG YÊU CẦU</v>
      </c>
      <c r="P56" s="38">
        <f t="shared" si="9"/>
        <v>600</v>
      </c>
      <c r="Q56" s="36" t="str">
        <f>IF(C56=1,IF('KT THAN'!$D$36&lt;=0,"KHÔNG YÊU CẦU",IF($K$15&lt;=P56,"ĐẠT","KHÔNG ĐẠT")),"")</f>
        <v>KHÔNG YÊU CẦU</v>
      </c>
      <c r="R56" s="36" t="str">
        <f t="shared" si="10"/>
        <v>ĐẠT</v>
      </c>
      <c r="S56" s="36" t="s">
        <v>823</v>
      </c>
    </row>
    <row r="57" spans="1:19" x14ac:dyDescent="0.3">
      <c r="A57" s="37">
        <v>42</v>
      </c>
      <c r="B57" s="36" t="str">
        <f>'TO HOP'!B146</f>
        <v>CĐ V(b) min - 4 làn</v>
      </c>
      <c r="C57" s="37">
        <f t="shared" si="0"/>
        <v>1</v>
      </c>
      <c r="D57" s="38">
        <f>IF(C57=1,-'TO HOP'!J146,"")</f>
        <v>-13848.862785750001</v>
      </c>
      <c r="E57" s="38">
        <f>IF(C57=1,ABS('TO HOP'!L146),"")</f>
        <v>18556.491777807099</v>
      </c>
      <c r="F57" s="38">
        <f>IF(C57=1,ABS('TO HOP'!H146),"")</f>
        <v>5595.0210199815792</v>
      </c>
      <c r="G57" s="38">
        <f t="shared" si="1"/>
        <v>4.2623630226972404E-4</v>
      </c>
      <c r="H57" s="38">
        <f t="shared" si="2"/>
        <v>2.3162859121323276</v>
      </c>
      <c r="I57" s="38">
        <f t="shared" si="3"/>
        <v>30.491827057944032</v>
      </c>
      <c r="J57" s="38">
        <f t="shared" si="4"/>
        <v>27139.190106564016</v>
      </c>
      <c r="K57" s="38">
        <f>IF(C57=1,IF(OR('KT THAN'!$D$36&lt;=0,$K$13&lt;=0,$K$15&lt;=0),0,$K$13*$K$8*$K$12/(TAN(RADIANS(I57))*$K$15)/1000),"")</f>
        <v>0</v>
      </c>
      <c r="L57" s="38">
        <f t="shared" si="5"/>
        <v>24425.271095907614</v>
      </c>
      <c r="M57" s="38">
        <f t="shared" si="6"/>
        <v>0.22906689543024189</v>
      </c>
      <c r="N57" s="38" t="str">
        <f t="shared" si="7"/>
        <v>KHÔNG</v>
      </c>
      <c r="O57" s="38" t="str">
        <f t="shared" si="8"/>
        <v>KHÔNG YÊU CẦU</v>
      </c>
      <c r="P57" s="38">
        <f t="shared" si="9"/>
        <v>600</v>
      </c>
      <c r="Q57" s="36" t="str">
        <f>IF(C57=1,IF('KT THAN'!$D$36&lt;=0,"KHÔNG YÊU CẦU",IF($K$15&lt;=P57,"ĐẠT","KHÔNG ĐẠT")),"")</f>
        <v>KHÔNG YÊU CẦU</v>
      </c>
      <c r="R57" s="36" t="str">
        <f t="shared" si="10"/>
        <v>ĐẠT</v>
      </c>
      <c r="S57" s="36" t="s">
        <v>824</v>
      </c>
    </row>
    <row r="58" spans="1:19" x14ac:dyDescent="0.3">
      <c r="A58" s="37">
        <v>43</v>
      </c>
      <c r="B58" s="36" t="str">
        <f>'TO HOP'!B147</f>
        <v>CĐ V(b) min - 5 làn</v>
      </c>
      <c r="C58" s="37">
        <f t="shared" si="0"/>
        <v>1</v>
      </c>
      <c r="D58" s="38">
        <f>IF(C58=1,-'TO HOP'!J147,"")</f>
        <v>-14352.403934250002</v>
      </c>
      <c r="E58" s="38">
        <f>IF(C58=1,ABS('TO HOP'!L147),"")</f>
        <v>18711.078910396602</v>
      </c>
      <c r="F58" s="38">
        <f>IF(C58=1,ABS('TO HOP'!H147),"")</f>
        <v>5595.0210199815792</v>
      </c>
      <c r="G58" s="38">
        <f t="shared" si="1"/>
        <v>4.2276592819138472E-4</v>
      </c>
      <c r="H58" s="38">
        <f t="shared" si="2"/>
        <v>2.3208633177286995</v>
      </c>
      <c r="I58" s="38">
        <f t="shared" si="3"/>
        <v>30.479680748669846</v>
      </c>
      <c r="J58" s="38">
        <f t="shared" si="4"/>
        <v>27192.822121516961</v>
      </c>
      <c r="K58" s="38">
        <f>IF(C58=1,IF(OR('KT THAN'!$D$36&lt;=0,$K$13&lt;=0,$K$15&lt;=0),0,$K$13*$K$8*$K$12/(TAN(RADIANS(I58))*$K$15)/1000),"")</f>
        <v>0</v>
      </c>
      <c r="L58" s="38">
        <f t="shared" si="5"/>
        <v>24473.539909365267</v>
      </c>
      <c r="M58" s="38">
        <f t="shared" si="6"/>
        <v>0.22861511006180751</v>
      </c>
      <c r="N58" s="38" t="str">
        <f t="shared" si="7"/>
        <v>KHÔNG</v>
      </c>
      <c r="O58" s="38" t="str">
        <f t="shared" si="8"/>
        <v>KHÔNG YÊU CẦU</v>
      </c>
      <c r="P58" s="38">
        <f t="shared" si="9"/>
        <v>600</v>
      </c>
      <c r="Q58" s="36" t="str">
        <f>IF(C58=1,IF('KT THAN'!$D$36&lt;=0,"KHÔNG YÊU CẦU",IF($K$15&lt;=P58,"ĐẠT","KHÔNG ĐẠT")),"")</f>
        <v>KHÔNG YÊU CẦU</v>
      </c>
      <c r="R58" s="36" t="str">
        <f t="shared" si="10"/>
        <v>ĐẠT</v>
      </c>
      <c r="S58" s="36" t="s">
        <v>825</v>
      </c>
    </row>
    <row r="59" spans="1:19" x14ac:dyDescent="0.3">
      <c r="A59" s="37">
        <v>44</v>
      </c>
      <c r="B59" s="36" t="str">
        <f>'TO HOP'!B148</f>
        <v>CĐ V(b) min - 6 làn</v>
      </c>
      <c r="C59" s="37">
        <f t="shared" si="0"/>
        <v>1</v>
      </c>
      <c r="D59" s="38">
        <f>IF(C59=1,-'TO HOP'!J148,"")</f>
        <v>-14855.945082750002</v>
      </c>
      <c r="E59" s="38">
        <f>IF(C59=1,ABS('TO HOP'!L148),"")</f>
        <v>18865.6660429861</v>
      </c>
      <c r="F59" s="38">
        <f>IF(C59=1,ABS('TO HOP'!H148),"")</f>
        <v>5595.0210199815792</v>
      </c>
      <c r="G59" s="38">
        <f t="shared" si="1"/>
        <v>4.1929555411304535E-4</v>
      </c>
      <c r="H59" s="38">
        <f t="shared" si="2"/>
        <v>2.3254588507333782</v>
      </c>
      <c r="I59" s="38">
        <f t="shared" si="3"/>
        <v>30.46753443939566</v>
      </c>
      <c r="J59" s="38">
        <f t="shared" si="4"/>
        <v>27246.666529584949</v>
      </c>
      <c r="K59" s="38">
        <f>IF(C59=1,IF(OR('KT THAN'!$D$36&lt;=0,$K$13&lt;=0,$K$15&lt;=0),0,$K$13*$K$8*$K$12/(TAN(RADIANS(I59))*$K$15)/1000),"")</f>
        <v>0</v>
      </c>
      <c r="L59" s="38">
        <f t="shared" si="5"/>
        <v>24521.999876626454</v>
      </c>
      <c r="M59" s="38">
        <f t="shared" si="6"/>
        <v>0.22816332469337319</v>
      </c>
      <c r="N59" s="38" t="str">
        <f t="shared" si="7"/>
        <v>KHÔNG</v>
      </c>
      <c r="O59" s="38" t="str">
        <f t="shared" si="8"/>
        <v>KHÔNG YÊU CẦU</v>
      </c>
      <c r="P59" s="38">
        <f t="shared" si="9"/>
        <v>600</v>
      </c>
      <c r="Q59" s="36" t="str">
        <f>IF(C59=1,IF('KT THAN'!$D$36&lt;=0,"KHÔNG YÊU CẦU",IF($K$15&lt;=P59,"ĐẠT","KHÔNG ĐẠT")),"")</f>
        <v>KHÔNG YÊU CẦU</v>
      </c>
      <c r="R59" s="36" t="str">
        <f t="shared" si="10"/>
        <v>ĐẠT</v>
      </c>
      <c r="S59" s="36" t="s">
        <v>826</v>
      </c>
    </row>
    <row r="60" spans="1:19" x14ac:dyDescent="0.3">
      <c r="A60" s="37">
        <v>45</v>
      </c>
      <c r="B60" s="36" t="str">
        <f>'TO HOP'!B149</f>
        <v>ĐB I — LEGACY +100X +30Y (xem đủ 8 nhánh tại TO HOP EQ)</v>
      </c>
      <c r="C60" s="37">
        <f t="shared" si="0"/>
        <v>0</v>
      </c>
      <c r="D60" s="38" t="str">
        <f>IF(C60=1,-'TO HOP'!J149,"")</f>
        <v/>
      </c>
      <c r="E60" s="38" t="str">
        <f>IF(C60=1,ABS('TO HOP'!L149),"")</f>
        <v/>
      </c>
      <c r="F60" s="38" t="str">
        <f>IF(C60=1,ABS('TO HOP'!H149),"")</f>
        <v/>
      </c>
      <c r="G60" s="38" t="str">
        <f t="shared" si="1"/>
        <v/>
      </c>
      <c r="H60" s="38" t="str">
        <f t="shared" si="2"/>
        <v/>
      </c>
      <c r="I60" s="38" t="str">
        <f t="shared" si="3"/>
        <v/>
      </c>
      <c r="J60" s="38" t="str">
        <f t="shared" si="4"/>
        <v/>
      </c>
      <c r="K60" s="38" t="str">
        <f>IF(C60=1,IF(OR('KT THAN'!$D$36&lt;=0,$K$13&lt;=0,$K$15&lt;=0),0,$K$13*$K$8*$K$12/(TAN(RADIANS(I60))*$K$15)/1000),"")</f>
        <v/>
      </c>
      <c r="L60" s="38" t="str">
        <f t="shared" si="5"/>
        <v/>
      </c>
      <c r="M60" s="38">
        <f t="shared" si="6"/>
        <v>0</v>
      </c>
      <c r="N60" s="38" t="str">
        <f t="shared" si="7"/>
        <v/>
      </c>
      <c r="O60" s="38" t="str">
        <f t="shared" si="8"/>
        <v/>
      </c>
      <c r="P60" s="38" t="str">
        <f t="shared" si="9"/>
        <v/>
      </c>
      <c r="Q60" s="36" t="str">
        <f>IF(C60=1,IF('KT THAN'!$D$36&lt;=0,"KHÔNG YÊU CẦU",IF($K$15&lt;=P60,"ĐẠT","KHÔNG ĐẠT")),"")</f>
        <v/>
      </c>
      <c r="R60" s="36" t="str">
        <f t="shared" si="10"/>
        <v/>
      </c>
      <c r="S60" s="36" t="s">
        <v>827</v>
      </c>
    </row>
    <row r="61" spans="1:19" x14ac:dyDescent="0.3">
      <c r="A61" s="37">
        <v>46</v>
      </c>
      <c r="B61" s="36" t="str">
        <f>'TO HOP'!B150</f>
        <v>ĐB I — LEGACY +100Y +30X (xem đủ 8 nhánh tại TO HOP EQ)</v>
      </c>
      <c r="C61" s="37">
        <f t="shared" si="0"/>
        <v>0</v>
      </c>
      <c r="D61" s="38" t="str">
        <f>IF(C61=1,-'TO HOP'!J150,"")</f>
        <v/>
      </c>
      <c r="E61" s="38" t="str">
        <f>IF(C61=1,ABS('TO HOP'!L150),"")</f>
        <v/>
      </c>
      <c r="F61" s="38" t="str">
        <f>IF(C61=1,ABS('TO HOP'!H150),"")</f>
        <v/>
      </c>
      <c r="G61" s="38" t="str">
        <f t="shared" si="1"/>
        <v/>
      </c>
      <c r="H61" s="38" t="str">
        <f t="shared" si="2"/>
        <v/>
      </c>
      <c r="I61" s="38" t="str">
        <f t="shared" si="3"/>
        <v/>
      </c>
      <c r="J61" s="38" t="str">
        <f t="shared" si="4"/>
        <v/>
      </c>
      <c r="K61" s="38" t="str">
        <f>IF(C61=1,IF(OR('KT THAN'!$D$36&lt;=0,$K$13&lt;=0,$K$15&lt;=0),0,$K$13*$K$8*$K$12/(TAN(RADIANS(I61))*$K$15)/1000),"")</f>
        <v/>
      </c>
      <c r="L61" s="38" t="str">
        <f t="shared" si="5"/>
        <v/>
      </c>
      <c r="M61" s="38">
        <f t="shared" si="6"/>
        <v>0</v>
      </c>
      <c r="N61" s="38" t="str">
        <f t="shared" si="7"/>
        <v/>
      </c>
      <c r="O61" s="38" t="str">
        <f t="shared" si="8"/>
        <v/>
      </c>
      <c r="P61" s="38" t="str">
        <f t="shared" si="9"/>
        <v/>
      </c>
      <c r="Q61" s="36" t="str">
        <f>IF(C61=1,IF('KT THAN'!$D$36&lt;=0,"KHÔNG YÊU CẦU",IF($K$15&lt;=P61,"ĐẠT","KHÔNG ĐẠT")),"")</f>
        <v/>
      </c>
      <c r="R61" s="36" t="str">
        <f t="shared" si="10"/>
        <v/>
      </c>
      <c r="S61" s="36" t="s">
        <v>828</v>
      </c>
    </row>
    <row r="63" spans="1:19" x14ac:dyDescent="0.3">
      <c r="A63" s="84" t="s">
        <v>829</v>
      </c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</row>
    <row r="64" spans="1:19" ht="31.95" customHeight="1" x14ac:dyDescent="0.3">
      <c r="A64" s="39" t="s">
        <v>830</v>
      </c>
      <c r="B64" s="83" t="s">
        <v>831</v>
      </c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83"/>
      <c r="S64" s="83"/>
    </row>
    <row r="65" spans="1:19" ht="31.95" customHeight="1" x14ac:dyDescent="0.3">
      <c r="A65" s="39" t="s">
        <v>445</v>
      </c>
      <c r="B65" s="83" t="s">
        <v>832</v>
      </c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  <c r="N65" s="83"/>
      <c r="O65" s="83"/>
      <c r="P65" s="83"/>
      <c r="Q65" s="83"/>
      <c r="R65" s="83"/>
      <c r="S65" s="83"/>
    </row>
    <row r="66" spans="1:19" ht="31.95" customHeight="1" x14ac:dyDescent="0.3">
      <c r="A66" s="39" t="s">
        <v>833</v>
      </c>
      <c r="B66" s="83" t="s">
        <v>834</v>
      </c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  <c r="N66" s="83"/>
      <c r="O66" s="83"/>
      <c r="P66" s="83"/>
      <c r="Q66" s="83"/>
      <c r="R66" s="83"/>
      <c r="S66" s="83"/>
    </row>
    <row r="67" spans="1:19" ht="31.95" customHeight="1" x14ac:dyDescent="0.3">
      <c r="A67" s="39" t="s">
        <v>782</v>
      </c>
      <c r="B67" s="83" t="s">
        <v>835</v>
      </c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  <c r="N67" s="83"/>
      <c r="O67" s="83"/>
      <c r="P67" s="83"/>
      <c r="Q67" s="83"/>
      <c r="R67" s="83"/>
      <c r="S67" s="83"/>
    </row>
    <row r="73" spans="1:19" x14ac:dyDescent="0.3">
      <c r="A73" t="s">
        <v>1035</v>
      </c>
    </row>
    <row r="75" spans="1:19" hidden="1" outlineLevel="1" x14ac:dyDescent="0.3">
      <c r="A75" s="36" t="str">
        <f>IF($B75="","",ROW()-28)</f>
        <v/>
      </c>
      <c r="B75" s="36" t="str">
        <f>IF('TO HOP NLAN'!$A6="","",'TO HOP NLAN'!$A6)</f>
        <v/>
      </c>
      <c r="C75" s="36">
        <f t="shared" ref="C75" si="11">IF(LEFT(B75,2)="CĐ",1,0)</f>
        <v>0</v>
      </c>
      <c r="D75" s="36" t="str">
        <f>IF(C75=1,-'TO HOP NLAN'!$I6,"")</f>
        <v/>
      </c>
      <c r="E75" s="36" t="str">
        <f>IF(C75=1,ABS('TO HOP NLAN'!$K6),"")</f>
        <v/>
      </c>
      <c r="F75" s="36" t="str">
        <f>IF(C75=1,ABS('TO HOP NLAN'!$G6),"")</f>
        <v/>
      </c>
      <c r="G75" s="36" t="str">
        <f t="shared" ref="G75" si="12">IF(C75=1,MAX(0,(MAX(E75*1000000,F75*1000*$K$12)/$K$12+0.5*D75*1000+0.5*F75*1000)/($K$7*$K$11)),"")</f>
        <v/>
      </c>
      <c r="H75" s="36" t="str">
        <f t="shared" ref="H75" si="13">IF(C75=1,IF($K$13&gt;=$K$14,4.8/(1+750*G75),4.8/(1+750*G75)*1300/(1000+MIN(2000,MAX(294,$K$12*35/(16+$K$6))))),"")</f>
        <v/>
      </c>
      <c r="I75" s="36" t="str">
        <f t="shared" ref="I75" si="14">IF(C75=1,29+3500*G75,"")</f>
        <v/>
      </c>
      <c r="J75" s="36" t="str">
        <f t="shared" ref="J75" si="15">IF(C75=1,0.083*H75*SQRT($K$9)*$K$10*$K$12/1000,"")</f>
        <v/>
      </c>
      <c r="K75" s="36" t="str">
        <f>IF(C75=1,IF(OR('KT THAN'!$D$36&lt;=0,$K$13&lt;=0,$K$15&lt;=0),0,$K$13*$K$8*$K$12/(TAN(RADIANS(I75))*$K$15)/1000),"")</f>
        <v/>
      </c>
      <c r="L75" s="36" t="str">
        <f t="shared" ref="L75" si="16">IF(C75=1,$K$4*MIN(J75+K75,0.25*$K$9*$K$10*$K$12/1000),"")</f>
        <v/>
      </c>
      <c r="M75" s="36">
        <f t="shared" ref="M75" si="17">IF(C75=1,IF(L75=0,999,F75/L75),0)</f>
        <v>0</v>
      </c>
      <c r="N75" s="36" t="str">
        <f t="shared" ref="N75" si="18">IF(C75=1,IF(F75&gt;0.5*$K$4*J75,"CÓ","KHÔNG"),"")</f>
        <v/>
      </c>
      <c r="O75" s="36" t="str">
        <f t="shared" ref="O75" si="19">IF(C75=1,IF(N75="KHÔNG","KHÔNG YÊU CẦU",IF($K$13&gt;=$K$14,"ĐẠT","KHÔNG ĐẠT")),"")</f>
        <v/>
      </c>
      <c r="P75" s="36" t="str">
        <f t="shared" ref="P75" si="20">IF(C75=1,IF(F75*1000/($K$4*$K$10*$K$12)&lt;0.125*$K$9,MIN(0.8*$K$12,600),MIN(0.4*$K$12,300)),"")</f>
        <v/>
      </c>
      <c r="Q75" s="36" t="str">
        <f>IF(C75=1,IF('KT THAN'!$D$36&lt;=0,"KHÔNG YÊU CẦU",IF($K$15&lt;=P75,"ĐẠT","KHÔNG ĐẠT")),"")</f>
        <v/>
      </c>
      <c r="R75" s="36" t="str">
        <f t="shared" ref="R75" si="21">IF(C75=1,IF(AND(L75&gt;=F75,O75&lt;&gt;"KHÔNG ĐẠT",Q75&lt;&gt;"KHÔNG ĐẠT"),"ĐẠT","KHÔNG ĐẠT"),"")</f>
        <v/>
      </c>
    </row>
    <row r="76" spans="1:19" hidden="1" outlineLevel="1" x14ac:dyDescent="0.3">
      <c r="A76" s="36" t="str">
        <f t="shared" ref="A76:A139" si="22">IF($B76="","",ROW()-28)</f>
        <v/>
      </c>
      <c r="B76" s="36" t="str">
        <f>IF('TO HOP NLAN'!$A7="","",'TO HOP NLAN'!$A7)</f>
        <v/>
      </c>
      <c r="C76" s="36">
        <f t="shared" ref="C76:C139" si="23">IF(LEFT(B76,2)="CĐ",1,0)</f>
        <v>0</v>
      </c>
      <c r="D76" s="36" t="str">
        <f>IF(C76=1,-'TO HOP NLAN'!$I7,"")</f>
        <v/>
      </c>
      <c r="E76" s="36" t="str">
        <f>IF(C76=1,ABS('TO HOP NLAN'!$K7),"")</f>
        <v/>
      </c>
      <c r="F76" s="36" t="str">
        <f>IF(C76=1,ABS('TO HOP NLAN'!$G7),"")</f>
        <v/>
      </c>
      <c r="G76" s="36" t="str">
        <f t="shared" ref="G76:G139" si="24">IF(C76=1,MAX(0,(MAX(E76*1000000,F76*1000*$K$12)/$K$12+0.5*D76*1000+0.5*F76*1000)/($K$7*$K$11)),"")</f>
        <v/>
      </c>
      <c r="H76" s="36" t="str">
        <f t="shared" ref="H76:H139" si="25">IF(C76=1,IF($K$13&gt;=$K$14,4.8/(1+750*G76),4.8/(1+750*G76)*1300/(1000+MIN(2000,MAX(294,$K$12*35/(16+$K$6))))),"")</f>
        <v/>
      </c>
      <c r="I76" s="36" t="str">
        <f t="shared" ref="I76:I139" si="26">IF(C76=1,29+3500*G76,"")</f>
        <v/>
      </c>
      <c r="J76" s="36" t="str">
        <f t="shared" ref="J76:J139" si="27">IF(C76=1,0.083*H76*SQRT($K$9)*$K$10*$K$12/1000,"")</f>
        <v/>
      </c>
      <c r="K76" s="36" t="str">
        <f>IF(C76=1,IF(OR('KT THAN'!$D$36&lt;=0,$K$13&lt;=0,$K$15&lt;=0),0,$K$13*$K$8*$K$12/(TAN(RADIANS(I76))*$K$15)/1000),"")</f>
        <v/>
      </c>
      <c r="L76" s="36" t="str">
        <f t="shared" ref="L76:L139" si="28">IF(C76=1,$K$4*MIN(J76+K76,0.25*$K$9*$K$10*$K$12/1000),"")</f>
        <v/>
      </c>
      <c r="M76" s="36">
        <f t="shared" ref="M76:M139" si="29">IF(C76=1,IF(L76=0,999,F76/L76),0)</f>
        <v>0</v>
      </c>
      <c r="N76" s="36" t="str">
        <f t="shared" ref="N76:N139" si="30">IF(C76=1,IF(F76&gt;0.5*$K$4*J76,"CÓ","KHÔNG"),"")</f>
        <v/>
      </c>
      <c r="O76" s="36" t="str">
        <f t="shared" ref="O76:O139" si="31">IF(C76=1,IF(N76="KHÔNG","KHÔNG YÊU CẦU",IF($K$13&gt;=$K$14,"ĐẠT","KHÔNG ĐẠT")),"")</f>
        <v/>
      </c>
      <c r="P76" s="36" t="str">
        <f t="shared" ref="P76:P139" si="32">IF(C76=1,IF(F76*1000/($K$4*$K$10*$K$12)&lt;0.125*$K$9,MIN(0.8*$K$12,600),MIN(0.4*$K$12,300)),"")</f>
        <v/>
      </c>
      <c r="Q76" s="36" t="str">
        <f>IF(C76=1,IF('KT THAN'!$D$36&lt;=0,"KHÔNG YÊU CẦU",IF($K$15&lt;=P76,"ĐẠT","KHÔNG ĐẠT")),"")</f>
        <v/>
      </c>
      <c r="R76" s="36" t="str">
        <f t="shared" ref="R76:R139" si="33">IF(C76=1,IF(AND(L76&gt;=F76,O76&lt;&gt;"KHÔNG ĐẠT",Q76&lt;&gt;"KHÔNG ĐẠT"),"ĐẠT","KHÔNG ĐẠT"),"")</f>
        <v/>
      </c>
    </row>
    <row r="77" spans="1:19" hidden="1" outlineLevel="1" x14ac:dyDescent="0.3">
      <c r="A77" s="36" t="str">
        <f t="shared" si="22"/>
        <v/>
      </c>
      <c r="B77" s="36" t="str">
        <f>IF('TO HOP NLAN'!$A8="","",'TO HOP NLAN'!$A8)</f>
        <v/>
      </c>
      <c r="C77" s="36">
        <f t="shared" si="23"/>
        <v>0</v>
      </c>
      <c r="D77" s="36" t="str">
        <f>IF(C77=1,-'TO HOP NLAN'!$I8,"")</f>
        <v/>
      </c>
      <c r="E77" s="36" t="str">
        <f>IF(C77=1,ABS('TO HOP NLAN'!$K8),"")</f>
        <v/>
      </c>
      <c r="F77" s="36" t="str">
        <f>IF(C77=1,ABS('TO HOP NLAN'!$G8),"")</f>
        <v/>
      </c>
      <c r="G77" s="36" t="str">
        <f t="shared" si="24"/>
        <v/>
      </c>
      <c r="H77" s="36" t="str">
        <f t="shared" si="25"/>
        <v/>
      </c>
      <c r="I77" s="36" t="str">
        <f t="shared" si="26"/>
        <v/>
      </c>
      <c r="J77" s="36" t="str">
        <f t="shared" si="27"/>
        <v/>
      </c>
      <c r="K77" s="36" t="str">
        <f>IF(C77=1,IF(OR('KT THAN'!$D$36&lt;=0,$K$13&lt;=0,$K$15&lt;=0),0,$K$13*$K$8*$K$12/(TAN(RADIANS(I77))*$K$15)/1000),"")</f>
        <v/>
      </c>
      <c r="L77" s="36" t="str">
        <f t="shared" si="28"/>
        <v/>
      </c>
      <c r="M77" s="36">
        <f t="shared" si="29"/>
        <v>0</v>
      </c>
      <c r="N77" s="36" t="str">
        <f t="shared" si="30"/>
        <v/>
      </c>
      <c r="O77" s="36" t="str">
        <f t="shared" si="31"/>
        <v/>
      </c>
      <c r="P77" s="36" t="str">
        <f t="shared" si="32"/>
        <v/>
      </c>
      <c r="Q77" s="36" t="str">
        <f>IF(C77=1,IF('KT THAN'!$D$36&lt;=0,"KHÔNG YÊU CẦU",IF($K$15&lt;=P77,"ĐẠT","KHÔNG ĐẠT")),"")</f>
        <v/>
      </c>
      <c r="R77" s="36" t="str">
        <f t="shared" si="33"/>
        <v/>
      </c>
    </row>
    <row r="78" spans="1:19" hidden="1" outlineLevel="1" x14ac:dyDescent="0.3">
      <c r="A78" s="36" t="str">
        <f t="shared" si="22"/>
        <v/>
      </c>
      <c r="B78" s="36" t="str">
        <f>IF('TO HOP NLAN'!$A9="","",'TO HOP NLAN'!$A9)</f>
        <v/>
      </c>
      <c r="C78" s="36">
        <f t="shared" si="23"/>
        <v>0</v>
      </c>
      <c r="D78" s="36" t="str">
        <f>IF(C78=1,-'TO HOP NLAN'!$I9,"")</f>
        <v/>
      </c>
      <c r="E78" s="36" t="str">
        <f>IF(C78=1,ABS('TO HOP NLAN'!$K9),"")</f>
        <v/>
      </c>
      <c r="F78" s="36" t="str">
        <f>IF(C78=1,ABS('TO HOP NLAN'!$G9),"")</f>
        <v/>
      </c>
      <c r="G78" s="36" t="str">
        <f t="shared" si="24"/>
        <v/>
      </c>
      <c r="H78" s="36" t="str">
        <f t="shared" si="25"/>
        <v/>
      </c>
      <c r="I78" s="36" t="str">
        <f t="shared" si="26"/>
        <v/>
      </c>
      <c r="J78" s="36" t="str">
        <f t="shared" si="27"/>
        <v/>
      </c>
      <c r="K78" s="36" t="str">
        <f>IF(C78=1,IF(OR('KT THAN'!$D$36&lt;=0,$K$13&lt;=0,$K$15&lt;=0),0,$K$13*$K$8*$K$12/(TAN(RADIANS(I78))*$K$15)/1000),"")</f>
        <v/>
      </c>
      <c r="L78" s="36" t="str">
        <f t="shared" si="28"/>
        <v/>
      </c>
      <c r="M78" s="36">
        <f t="shared" si="29"/>
        <v>0</v>
      </c>
      <c r="N78" s="36" t="str">
        <f t="shared" si="30"/>
        <v/>
      </c>
      <c r="O78" s="36" t="str">
        <f t="shared" si="31"/>
        <v/>
      </c>
      <c r="P78" s="36" t="str">
        <f t="shared" si="32"/>
        <v/>
      </c>
      <c r="Q78" s="36" t="str">
        <f>IF(C78=1,IF('KT THAN'!$D$36&lt;=0,"KHÔNG YÊU CẦU",IF($K$15&lt;=P78,"ĐẠT","KHÔNG ĐẠT")),"")</f>
        <v/>
      </c>
      <c r="R78" s="36" t="str">
        <f t="shared" si="33"/>
        <v/>
      </c>
    </row>
    <row r="79" spans="1:19" hidden="1" outlineLevel="1" x14ac:dyDescent="0.3">
      <c r="A79" s="36" t="str">
        <f t="shared" si="22"/>
        <v/>
      </c>
      <c r="B79" s="36" t="str">
        <f>IF('TO HOP NLAN'!$A10="","",'TO HOP NLAN'!$A10)</f>
        <v/>
      </c>
      <c r="C79" s="36">
        <f t="shared" si="23"/>
        <v>0</v>
      </c>
      <c r="D79" s="36" t="str">
        <f>IF(C79=1,-'TO HOP NLAN'!$I10,"")</f>
        <v/>
      </c>
      <c r="E79" s="36" t="str">
        <f>IF(C79=1,ABS('TO HOP NLAN'!$K10),"")</f>
        <v/>
      </c>
      <c r="F79" s="36" t="str">
        <f>IF(C79=1,ABS('TO HOP NLAN'!$G10),"")</f>
        <v/>
      </c>
      <c r="G79" s="36" t="str">
        <f t="shared" si="24"/>
        <v/>
      </c>
      <c r="H79" s="36" t="str">
        <f t="shared" si="25"/>
        <v/>
      </c>
      <c r="I79" s="36" t="str">
        <f t="shared" si="26"/>
        <v/>
      </c>
      <c r="J79" s="36" t="str">
        <f t="shared" si="27"/>
        <v/>
      </c>
      <c r="K79" s="36" t="str">
        <f>IF(C79=1,IF(OR('KT THAN'!$D$36&lt;=0,$K$13&lt;=0,$K$15&lt;=0),0,$K$13*$K$8*$K$12/(TAN(RADIANS(I79))*$K$15)/1000),"")</f>
        <v/>
      </c>
      <c r="L79" s="36" t="str">
        <f t="shared" si="28"/>
        <v/>
      </c>
      <c r="M79" s="36">
        <f t="shared" si="29"/>
        <v>0</v>
      </c>
      <c r="N79" s="36" t="str">
        <f t="shared" si="30"/>
        <v/>
      </c>
      <c r="O79" s="36" t="str">
        <f t="shared" si="31"/>
        <v/>
      </c>
      <c r="P79" s="36" t="str">
        <f t="shared" si="32"/>
        <v/>
      </c>
      <c r="Q79" s="36" t="str">
        <f>IF(C79=1,IF('KT THAN'!$D$36&lt;=0,"KHÔNG YÊU CẦU",IF($K$15&lt;=P79,"ĐẠT","KHÔNG ĐẠT")),"")</f>
        <v/>
      </c>
      <c r="R79" s="36" t="str">
        <f t="shared" si="33"/>
        <v/>
      </c>
    </row>
    <row r="80" spans="1:19" hidden="1" outlineLevel="1" x14ac:dyDescent="0.3">
      <c r="A80" s="36" t="str">
        <f t="shared" si="22"/>
        <v/>
      </c>
      <c r="B80" s="36" t="str">
        <f>IF('TO HOP NLAN'!$A11="","",'TO HOP NLAN'!$A11)</f>
        <v/>
      </c>
      <c r="C80" s="36">
        <f t="shared" si="23"/>
        <v>0</v>
      </c>
      <c r="D80" s="36" t="str">
        <f>IF(C80=1,-'TO HOP NLAN'!$I11,"")</f>
        <v/>
      </c>
      <c r="E80" s="36" t="str">
        <f>IF(C80=1,ABS('TO HOP NLAN'!$K11),"")</f>
        <v/>
      </c>
      <c r="F80" s="36" t="str">
        <f>IF(C80=1,ABS('TO HOP NLAN'!$G11),"")</f>
        <v/>
      </c>
      <c r="G80" s="36" t="str">
        <f t="shared" si="24"/>
        <v/>
      </c>
      <c r="H80" s="36" t="str">
        <f t="shared" si="25"/>
        <v/>
      </c>
      <c r="I80" s="36" t="str">
        <f t="shared" si="26"/>
        <v/>
      </c>
      <c r="J80" s="36" t="str">
        <f t="shared" si="27"/>
        <v/>
      </c>
      <c r="K80" s="36" t="str">
        <f>IF(C80=1,IF(OR('KT THAN'!$D$36&lt;=0,$K$13&lt;=0,$K$15&lt;=0),0,$K$13*$K$8*$K$12/(TAN(RADIANS(I80))*$K$15)/1000),"")</f>
        <v/>
      </c>
      <c r="L80" s="36" t="str">
        <f t="shared" si="28"/>
        <v/>
      </c>
      <c r="M80" s="36">
        <f t="shared" si="29"/>
        <v>0</v>
      </c>
      <c r="N80" s="36" t="str">
        <f t="shared" si="30"/>
        <v/>
      </c>
      <c r="O80" s="36" t="str">
        <f t="shared" si="31"/>
        <v/>
      </c>
      <c r="P80" s="36" t="str">
        <f t="shared" si="32"/>
        <v/>
      </c>
      <c r="Q80" s="36" t="str">
        <f>IF(C80=1,IF('KT THAN'!$D$36&lt;=0,"KHÔNG YÊU CẦU",IF($K$15&lt;=P80,"ĐẠT","KHÔNG ĐẠT")),"")</f>
        <v/>
      </c>
      <c r="R80" s="36" t="str">
        <f t="shared" si="33"/>
        <v/>
      </c>
    </row>
    <row r="81" spans="1:18" hidden="1" outlineLevel="1" x14ac:dyDescent="0.3">
      <c r="A81" s="36" t="str">
        <f t="shared" si="22"/>
        <v/>
      </c>
      <c r="B81" s="36" t="str">
        <f>IF('TO HOP NLAN'!$A12="","",'TO HOP NLAN'!$A12)</f>
        <v/>
      </c>
      <c r="C81" s="36">
        <f t="shared" si="23"/>
        <v>0</v>
      </c>
      <c r="D81" s="36" t="str">
        <f>IF(C81=1,-'TO HOP NLAN'!$I12,"")</f>
        <v/>
      </c>
      <c r="E81" s="36" t="str">
        <f>IF(C81=1,ABS('TO HOP NLAN'!$K12),"")</f>
        <v/>
      </c>
      <c r="F81" s="36" t="str">
        <f>IF(C81=1,ABS('TO HOP NLAN'!$G12),"")</f>
        <v/>
      </c>
      <c r="G81" s="36" t="str">
        <f t="shared" si="24"/>
        <v/>
      </c>
      <c r="H81" s="36" t="str">
        <f t="shared" si="25"/>
        <v/>
      </c>
      <c r="I81" s="36" t="str">
        <f t="shared" si="26"/>
        <v/>
      </c>
      <c r="J81" s="36" t="str">
        <f t="shared" si="27"/>
        <v/>
      </c>
      <c r="K81" s="36" t="str">
        <f>IF(C81=1,IF(OR('KT THAN'!$D$36&lt;=0,$K$13&lt;=0,$K$15&lt;=0),0,$K$13*$K$8*$K$12/(TAN(RADIANS(I81))*$K$15)/1000),"")</f>
        <v/>
      </c>
      <c r="L81" s="36" t="str">
        <f t="shared" si="28"/>
        <v/>
      </c>
      <c r="M81" s="36">
        <f t="shared" si="29"/>
        <v>0</v>
      </c>
      <c r="N81" s="36" t="str">
        <f t="shared" si="30"/>
        <v/>
      </c>
      <c r="O81" s="36" t="str">
        <f t="shared" si="31"/>
        <v/>
      </c>
      <c r="P81" s="36" t="str">
        <f t="shared" si="32"/>
        <v/>
      </c>
      <c r="Q81" s="36" t="str">
        <f>IF(C81=1,IF('KT THAN'!$D$36&lt;=0,"KHÔNG YÊU CẦU",IF($K$15&lt;=P81,"ĐẠT","KHÔNG ĐẠT")),"")</f>
        <v/>
      </c>
      <c r="R81" s="36" t="str">
        <f t="shared" si="33"/>
        <v/>
      </c>
    </row>
    <row r="82" spans="1:18" hidden="1" outlineLevel="1" x14ac:dyDescent="0.3">
      <c r="A82" s="36" t="str">
        <f t="shared" si="22"/>
        <v/>
      </c>
      <c r="B82" s="36" t="str">
        <f>IF('TO HOP NLAN'!$A13="","",'TO HOP NLAN'!$A13)</f>
        <v/>
      </c>
      <c r="C82" s="36">
        <f t="shared" si="23"/>
        <v>0</v>
      </c>
      <c r="D82" s="36" t="str">
        <f>IF(C82=1,-'TO HOP NLAN'!$I13,"")</f>
        <v/>
      </c>
      <c r="E82" s="36" t="str">
        <f>IF(C82=1,ABS('TO HOP NLAN'!$K13),"")</f>
        <v/>
      </c>
      <c r="F82" s="36" t="str">
        <f>IF(C82=1,ABS('TO HOP NLAN'!$G13),"")</f>
        <v/>
      </c>
      <c r="G82" s="36" t="str">
        <f t="shared" si="24"/>
        <v/>
      </c>
      <c r="H82" s="36" t="str">
        <f t="shared" si="25"/>
        <v/>
      </c>
      <c r="I82" s="36" t="str">
        <f t="shared" si="26"/>
        <v/>
      </c>
      <c r="J82" s="36" t="str">
        <f t="shared" si="27"/>
        <v/>
      </c>
      <c r="K82" s="36" t="str">
        <f>IF(C82=1,IF(OR('KT THAN'!$D$36&lt;=0,$K$13&lt;=0,$K$15&lt;=0),0,$K$13*$K$8*$K$12/(TAN(RADIANS(I82))*$K$15)/1000),"")</f>
        <v/>
      </c>
      <c r="L82" s="36" t="str">
        <f t="shared" si="28"/>
        <v/>
      </c>
      <c r="M82" s="36">
        <f t="shared" si="29"/>
        <v>0</v>
      </c>
      <c r="N82" s="36" t="str">
        <f t="shared" si="30"/>
        <v/>
      </c>
      <c r="O82" s="36" t="str">
        <f t="shared" si="31"/>
        <v/>
      </c>
      <c r="P82" s="36" t="str">
        <f t="shared" si="32"/>
        <v/>
      </c>
      <c r="Q82" s="36" t="str">
        <f>IF(C82=1,IF('KT THAN'!$D$36&lt;=0,"KHÔNG YÊU CẦU",IF($K$15&lt;=P82,"ĐẠT","KHÔNG ĐẠT")),"")</f>
        <v/>
      </c>
      <c r="R82" s="36" t="str">
        <f t="shared" si="33"/>
        <v/>
      </c>
    </row>
    <row r="83" spans="1:18" hidden="1" outlineLevel="1" x14ac:dyDescent="0.3">
      <c r="A83" s="36" t="str">
        <f t="shared" si="22"/>
        <v/>
      </c>
      <c r="B83" s="36" t="str">
        <f>IF('TO HOP NLAN'!$A14="","",'TO HOP NLAN'!$A14)</f>
        <v/>
      </c>
      <c r="C83" s="36">
        <f t="shared" si="23"/>
        <v>0</v>
      </c>
      <c r="D83" s="36" t="str">
        <f>IF(C83=1,-'TO HOP NLAN'!$I14,"")</f>
        <v/>
      </c>
      <c r="E83" s="36" t="str">
        <f>IF(C83=1,ABS('TO HOP NLAN'!$K14),"")</f>
        <v/>
      </c>
      <c r="F83" s="36" t="str">
        <f>IF(C83=1,ABS('TO HOP NLAN'!$G14),"")</f>
        <v/>
      </c>
      <c r="G83" s="36" t="str">
        <f t="shared" si="24"/>
        <v/>
      </c>
      <c r="H83" s="36" t="str">
        <f t="shared" si="25"/>
        <v/>
      </c>
      <c r="I83" s="36" t="str">
        <f t="shared" si="26"/>
        <v/>
      </c>
      <c r="J83" s="36" t="str">
        <f t="shared" si="27"/>
        <v/>
      </c>
      <c r="K83" s="36" t="str">
        <f>IF(C83=1,IF(OR('KT THAN'!$D$36&lt;=0,$K$13&lt;=0,$K$15&lt;=0),0,$K$13*$K$8*$K$12/(TAN(RADIANS(I83))*$K$15)/1000),"")</f>
        <v/>
      </c>
      <c r="L83" s="36" t="str">
        <f t="shared" si="28"/>
        <v/>
      </c>
      <c r="M83" s="36">
        <f t="shared" si="29"/>
        <v>0</v>
      </c>
      <c r="N83" s="36" t="str">
        <f t="shared" si="30"/>
        <v/>
      </c>
      <c r="O83" s="36" t="str">
        <f t="shared" si="31"/>
        <v/>
      </c>
      <c r="P83" s="36" t="str">
        <f t="shared" si="32"/>
        <v/>
      </c>
      <c r="Q83" s="36" t="str">
        <f>IF(C83=1,IF('KT THAN'!$D$36&lt;=0,"KHÔNG YÊU CẦU",IF($K$15&lt;=P83,"ĐẠT","KHÔNG ĐẠT")),"")</f>
        <v/>
      </c>
      <c r="R83" s="36" t="str">
        <f t="shared" si="33"/>
        <v/>
      </c>
    </row>
    <row r="84" spans="1:18" hidden="1" outlineLevel="1" x14ac:dyDescent="0.3">
      <c r="A84" s="36" t="str">
        <f t="shared" si="22"/>
        <v/>
      </c>
      <c r="B84" s="36" t="str">
        <f>IF('TO HOP NLAN'!$A15="","",'TO HOP NLAN'!$A15)</f>
        <v/>
      </c>
      <c r="C84" s="36">
        <f t="shared" si="23"/>
        <v>0</v>
      </c>
      <c r="D84" s="36" t="str">
        <f>IF(C84=1,-'TO HOP NLAN'!$I15,"")</f>
        <v/>
      </c>
      <c r="E84" s="36" t="str">
        <f>IF(C84=1,ABS('TO HOP NLAN'!$K15),"")</f>
        <v/>
      </c>
      <c r="F84" s="36" t="str">
        <f>IF(C84=1,ABS('TO HOP NLAN'!$G15),"")</f>
        <v/>
      </c>
      <c r="G84" s="36" t="str">
        <f t="shared" si="24"/>
        <v/>
      </c>
      <c r="H84" s="36" t="str">
        <f t="shared" si="25"/>
        <v/>
      </c>
      <c r="I84" s="36" t="str">
        <f t="shared" si="26"/>
        <v/>
      </c>
      <c r="J84" s="36" t="str">
        <f t="shared" si="27"/>
        <v/>
      </c>
      <c r="K84" s="36" t="str">
        <f>IF(C84=1,IF(OR('KT THAN'!$D$36&lt;=0,$K$13&lt;=0,$K$15&lt;=0),0,$K$13*$K$8*$K$12/(TAN(RADIANS(I84))*$K$15)/1000),"")</f>
        <v/>
      </c>
      <c r="L84" s="36" t="str">
        <f t="shared" si="28"/>
        <v/>
      </c>
      <c r="M84" s="36">
        <f t="shared" si="29"/>
        <v>0</v>
      </c>
      <c r="N84" s="36" t="str">
        <f t="shared" si="30"/>
        <v/>
      </c>
      <c r="O84" s="36" t="str">
        <f t="shared" si="31"/>
        <v/>
      </c>
      <c r="P84" s="36" t="str">
        <f t="shared" si="32"/>
        <v/>
      </c>
      <c r="Q84" s="36" t="str">
        <f>IF(C84=1,IF('KT THAN'!$D$36&lt;=0,"KHÔNG YÊU CẦU",IF($K$15&lt;=P84,"ĐẠT","KHÔNG ĐẠT")),"")</f>
        <v/>
      </c>
      <c r="R84" s="36" t="str">
        <f t="shared" si="33"/>
        <v/>
      </c>
    </row>
    <row r="85" spans="1:18" hidden="1" outlineLevel="1" x14ac:dyDescent="0.3">
      <c r="A85" s="36" t="str">
        <f t="shared" si="22"/>
        <v/>
      </c>
      <c r="B85" s="36" t="str">
        <f>IF('TO HOP NLAN'!$A16="","",'TO HOP NLAN'!$A16)</f>
        <v/>
      </c>
      <c r="C85" s="36">
        <f t="shared" si="23"/>
        <v>0</v>
      </c>
      <c r="D85" s="36" t="str">
        <f>IF(C85=1,-'TO HOP NLAN'!$I16,"")</f>
        <v/>
      </c>
      <c r="E85" s="36" t="str">
        <f>IF(C85=1,ABS('TO HOP NLAN'!$K16),"")</f>
        <v/>
      </c>
      <c r="F85" s="36" t="str">
        <f>IF(C85=1,ABS('TO HOP NLAN'!$G16),"")</f>
        <v/>
      </c>
      <c r="G85" s="36" t="str">
        <f t="shared" si="24"/>
        <v/>
      </c>
      <c r="H85" s="36" t="str">
        <f t="shared" si="25"/>
        <v/>
      </c>
      <c r="I85" s="36" t="str">
        <f t="shared" si="26"/>
        <v/>
      </c>
      <c r="J85" s="36" t="str">
        <f t="shared" si="27"/>
        <v/>
      </c>
      <c r="K85" s="36" t="str">
        <f>IF(C85=1,IF(OR('KT THAN'!$D$36&lt;=0,$K$13&lt;=0,$K$15&lt;=0),0,$K$13*$K$8*$K$12/(TAN(RADIANS(I85))*$K$15)/1000),"")</f>
        <v/>
      </c>
      <c r="L85" s="36" t="str">
        <f t="shared" si="28"/>
        <v/>
      </c>
      <c r="M85" s="36">
        <f t="shared" si="29"/>
        <v>0</v>
      </c>
      <c r="N85" s="36" t="str">
        <f t="shared" si="30"/>
        <v/>
      </c>
      <c r="O85" s="36" t="str">
        <f t="shared" si="31"/>
        <v/>
      </c>
      <c r="P85" s="36" t="str">
        <f t="shared" si="32"/>
        <v/>
      </c>
      <c r="Q85" s="36" t="str">
        <f>IF(C85=1,IF('KT THAN'!$D$36&lt;=0,"KHÔNG YÊU CẦU",IF($K$15&lt;=P85,"ĐẠT","KHÔNG ĐẠT")),"")</f>
        <v/>
      </c>
      <c r="R85" s="36" t="str">
        <f t="shared" si="33"/>
        <v/>
      </c>
    </row>
    <row r="86" spans="1:18" hidden="1" outlineLevel="1" x14ac:dyDescent="0.3">
      <c r="A86" s="36" t="str">
        <f t="shared" si="22"/>
        <v/>
      </c>
      <c r="B86" s="36" t="str">
        <f>IF('TO HOP NLAN'!$A17="","",'TO HOP NLAN'!$A17)</f>
        <v/>
      </c>
      <c r="C86" s="36">
        <f t="shared" si="23"/>
        <v>0</v>
      </c>
      <c r="D86" s="36" t="str">
        <f>IF(C86=1,-'TO HOP NLAN'!$I17,"")</f>
        <v/>
      </c>
      <c r="E86" s="36" t="str">
        <f>IF(C86=1,ABS('TO HOP NLAN'!$K17),"")</f>
        <v/>
      </c>
      <c r="F86" s="36" t="str">
        <f>IF(C86=1,ABS('TO HOP NLAN'!$G17),"")</f>
        <v/>
      </c>
      <c r="G86" s="36" t="str">
        <f t="shared" si="24"/>
        <v/>
      </c>
      <c r="H86" s="36" t="str">
        <f t="shared" si="25"/>
        <v/>
      </c>
      <c r="I86" s="36" t="str">
        <f t="shared" si="26"/>
        <v/>
      </c>
      <c r="J86" s="36" t="str">
        <f t="shared" si="27"/>
        <v/>
      </c>
      <c r="K86" s="36" t="str">
        <f>IF(C86=1,IF(OR('KT THAN'!$D$36&lt;=0,$K$13&lt;=0,$K$15&lt;=0),0,$K$13*$K$8*$K$12/(TAN(RADIANS(I86))*$K$15)/1000),"")</f>
        <v/>
      </c>
      <c r="L86" s="36" t="str">
        <f t="shared" si="28"/>
        <v/>
      </c>
      <c r="M86" s="36">
        <f t="shared" si="29"/>
        <v>0</v>
      </c>
      <c r="N86" s="36" t="str">
        <f t="shared" si="30"/>
        <v/>
      </c>
      <c r="O86" s="36" t="str">
        <f t="shared" si="31"/>
        <v/>
      </c>
      <c r="P86" s="36" t="str">
        <f t="shared" si="32"/>
        <v/>
      </c>
      <c r="Q86" s="36" t="str">
        <f>IF(C86=1,IF('KT THAN'!$D$36&lt;=0,"KHÔNG YÊU CẦU",IF($K$15&lt;=P86,"ĐẠT","KHÔNG ĐẠT")),"")</f>
        <v/>
      </c>
      <c r="R86" s="36" t="str">
        <f t="shared" si="33"/>
        <v/>
      </c>
    </row>
    <row r="87" spans="1:18" hidden="1" outlineLevel="1" x14ac:dyDescent="0.3">
      <c r="A87" s="36" t="str">
        <f t="shared" si="22"/>
        <v/>
      </c>
      <c r="B87" s="36" t="str">
        <f>IF('TO HOP NLAN'!$A18="","",'TO HOP NLAN'!$A18)</f>
        <v/>
      </c>
      <c r="C87" s="36">
        <f t="shared" si="23"/>
        <v>0</v>
      </c>
      <c r="D87" s="36" t="str">
        <f>IF(C87=1,-'TO HOP NLAN'!$I18,"")</f>
        <v/>
      </c>
      <c r="E87" s="36" t="str">
        <f>IF(C87=1,ABS('TO HOP NLAN'!$K18),"")</f>
        <v/>
      </c>
      <c r="F87" s="36" t="str">
        <f>IF(C87=1,ABS('TO HOP NLAN'!$G18),"")</f>
        <v/>
      </c>
      <c r="G87" s="36" t="str">
        <f t="shared" si="24"/>
        <v/>
      </c>
      <c r="H87" s="36" t="str">
        <f t="shared" si="25"/>
        <v/>
      </c>
      <c r="I87" s="36" t="str">
        <f t="shared" si="26"/>
        <v/>
      </c>
      <c r="J87" s="36" t="str">
        <f t="shared" si="27"/>
        <v/>
      </c>
      <c r="K87" s="36" t="str">
        <f>IF(C87=1,IF(OR('KT THAN'!$D$36&lt;=0,$K$13&lt;=0,$K$15&lt;=0),0,$K$13*$K$8*$K$12/(TAN(RADIANS(I87))*$K$15)/1000),"")</f>
        <v/>
      </c>
      <c r="L87" s="36" t="str">
        <f t="shared" si="28"/>
        <v/>
      </c>
      <c r="M87" s="36">
        <f t="shared" si="29"/>
        <v>0</v>
      </c>
      <c r="N87" s="36" t="str">
        <f t="shared" si="30"/>
        <v/>
      </c>
      <c r="O87" s="36" t="str">
        <f t="shared" si="31"/>
        <v/>
      </c>
      <c r="P87" s="36" t="str">
        <f t="shared" si="32"/>
        <v/>
      </c>
      <c r="Q87" s="36" t="str">
        <f>IF(C87=1,IF('KT THAN'!$D$36&lt;=0,"KHÔNG YÊU CẦU",IF($K$15&lt;=P87,"ĐẠT","KHÔNG ĐẠT")),"")</f>
        <v/>
      </c>
      <c r="R87" s="36" t="str">
        <f t="shared" si="33"/>
        <v/>
      </c>
    </row>
    <row r="88" spans="1:18" hidden="1" outlineLevel="1" x14ac:dyDescent="0.3">
      <c r="A88" s="36" t="str">
        <f t="shared" si="22"/>
        <v/>
      </c>
      <c r="B88" s="36" t="str">
        <f>IF('TO HOP NLAN'!$A19="","",'TO HOP NLAN'!$A19)</f>
        <v/>
      </c>
      <c r="C88" s="36">
        <f t="shared" si="23"/>
        <v>0</v>
      </c>
      <c r="D88" s="36" t="str">
        <f>IF(C88=1,-'TO HOP NLAN'!$I19,"")</f>
        <v/>
      </c>
      <c r="E88" s="36" t="str">
        <f>IF(C88=1,ABS('TO HOP NLAN'!$K19),"")</f>
        <v/>
      </c>
      <c r="F88" s="36" t="str">
        <f>IF(C88=1,ABS('TO HOP NLAN'!$G19),"")</f>
        <v/>
      </c>
      <c r="G88" s="36" t="str">
        <f t="shared" si="24"/>
        <v/>
      </c>
      <c r="H88" s="36" t="str">
        <f t="shared" si="25"/>
        <v/>
      </c>
      <c r="I88" s="36" t="str">
        <f t="shared" si="26"/>
        <v/>
      </c>
      <c r="J88" s="36" t="str">
        <f t="shared" si="27"/>
        <v/>
      </c>
      <c r="K88" s="36" t="str">
        <f>IF(C88=1,IF(OR('KT THAN'!$D$36&lt;=0,$K$13&lt;=0,$K$15&lt;=0),0,$K$13*$K$8*$K$12/(TAN(RADIANS(I88))*$K$15)/1000),"")</f>
        <v/>
      </c>
      <c r="L88" s="36" t="str">
        <f t="shared" si="28"/>
        <v/>
      </c>
      <c r="M88" s="36">
        <f t="shared" si="29"/>
        <v>0</v>
      </c>
      <c r="N88" s="36" t="str">
        <f t="shared" si="30"/>
        <v/>
      </c>
      <c r="O88" s="36" t="str">
        <f t="shared" si="31"/>
        <v/>
      </c>
      <c r="P88" s="36" t="str">
        <f t="shared" si="32"/>
        <v/>
      </c>
      <c r="Q88" s="36" t="str">
        <f>IF(C88=1,IF('KT THAN'!$D$36&lt;=0,"KHÔNG YÊU CẦU",IF($K$15&lt;=P88,"ĐẠT","KHÔNG ĐẠT")),"")</f>
        <v/>
      </c>
      <c r="R88" s="36" t="str">
        <f t="shared" si="33"/>
        <v/>
      </c>
    </row>
    <row r="89" spans="1:18" hidden="1" outlineLevel="1" x14ac:dyDescent="0.3">
      <c r="A89" s="36" t="str">
        <f t="shared" si="22"/>
        <v/>
      </c>
      <c r="B89" s="36" t="str">
        <f>IF('TO HOP NLAN'!$A20="","",'TO HOP NLAN'!$A20)</f>
        <v/>
      </c>
      <c r="C89" s="36">
        <f t="shared" si="23"/>
        <v>0</v>
      </c>
      <c r="D89" s="36" t="str">
        <f>IF(C89=1,-'TO HOP NLAN'!$I20,"")</f>
        <v/>
      </c>
      <c r="E89" s="36" t="str">
        <f>IF(C89=1,ABS('TO HOP NLAN'!$K20),"")</f>
        <v/>
      </c>
      <c r="F89" s="36" t="str">
        <f>IF(C89=1,ABS('TO HOP NLAN'!$G20),"")</f>
        <v/>
      </c>
      <c r="G89" s="36" t="str">
        <f t="shared" si="24"/>
        <v/>
      </c>
      <c r="H89" s="36" t="str">
        <f t="shared" si="25"/>
        <v/>
      </c>
      <c r="I89" s="36" t="str">
        <f t="shared" si="26"/>
        <v/>
      </c>
      <c r="J89" s="36" t="str">
        <f t="shared" si="27"/>
        <v/>
      </c>
      <c r="K89" s="36" t="str">
        <f>IF(C89=1,IF(OR('KT THAN'!$D$36&lt;=0,$K$13&lt;=0,$K$15&lt;=0),0,$K$13*$K$8*$K$12/(TAN(RADIANS(I89))*$K$15)/1000),"")</f>
        <v/>
      </c>
      <c r="L89" s="36" t="str">
        <f t="shared" si="28"/>
        <v/>
      </c>
      <c r="M89" s="36">
        <f t="shared" si="29"/>
        <v>0</v>
      </c>
      <c r="N89" s="36" t="str">
        <f t="shared" si="30"/>
        <v/>
      </c>
      <c r="O89" s="36" t="str">
        <f t="shared" si="31"/>
        <v/>
      </c>
      <c r="P89" s="36" t="str">
        <f t="shared" si="32"/>
        <v/>
      </c>
      <c r="Q89" s="36" t="str">
        <f>IF(C89=1,IF('KT THAN'!$D$36&lt;=0,"KHÔNG YÊU CẦU",IF($K$15&lt;=P89,"ĐẠT","KHÔNG ĐẠT")),"")</f>
        <v/>
      </c>
      <c r="R89" s="36" t="str">
        <f t="shared" si="33"/>
        <v/>
      </c>
    </row>
    <row r="90" spans="1:18" hidden="1" outlineLevel="1" x14ac:dyDescent="0.3">
      <c r="A90" s="36" t="str">
        <f t="shared" si="22"/>
        <v/>
      </c>
      <c r="B90" s="36" t="str">
        <f>IF('TO HOP NLAN'!$A21="","",'TO HOP NLAN'!$A21)</f>
        <v/>
      </c>
      <c r="C90" s="36">
        <f t="shared" si="23"/>
        <v>0</v>
      </c>
      <c r="D90" s="36" t="str">
        <f>IF(C90=1,-'TO HOP NLAN'!$I21,"")</f>
        <v/>
      </c>
      <c r="E90" s="36" t="str">
        <f>IF(C90=1,ABS('TO HOP NLAN'!$K21),"")</f>
        <v/>
      </c>
      <c r="F90" s="36" t="str">
        <f>IF(C90=1,ABS('TO HOP NLAN'!$G21),"")</f>
        <v/>
      </c>
      <c r="G90" s="36" t="str">
        <f t="shared" si="24"/>
        <v/>
      </c>
      <c r="H90" s="36" t="str">
        <f t="shared" si="25"/>
        <v/>
      </c>
      <c r="I90" s="36" t="str">
        <f t="shared" si="26"/>
        <v/>
      </c>
      <c r="J90" s="36" t="str">
        <f t="shared" si="27"/>
        <v/>
      </c>
      <c r="K90" s="36" t="str">
        <f>IF(C90=1,IF(OR('KT THAN'!$D$36&lt;=0,$K$13&lt;=0,$K$15&lt;=0),0,$K$13*$K$8*$K$12/(TAN(RADIANS(I90))*$K$15)/1000),"")</f>
        <v/>
      </c>
      <c r="L90" s="36" t="str">
        <f t="shared" si="28"/>
        <v/>
      </c>
      <c r="M90" s="36">
        <f t="shared" si="29"/>
        <v>0</v>
      </c>
      <c r="N90" s="36" t="str">
        <f t="shared" si="30"/>
        <v/>
      </c>
      <c r="O90" s="36" t="str">
        <f t="shared" si="31"/>
        <v/>
      </c>
      <c r="P90" s="36" t="str">
        <f t="shared" si="32"/>
        <v/>
      </c>
      <c r="Q90" s="36" t="str">
        <f>IF(C90=1,IF('KT THAN'!$D$36&lt;=0,"KHÔNG YÊU CẦU",IF($K$15&lt;=P90,"ĐẠT","KHÔNG ĐẠT")),"")</f>
        <v/>
      </c>
      <c r="R90" s="36" t="str">
        <f t="shared" si="33"/>
        <v/>
      </c>
    </row>
    <row r="91" spans="1:18" hidden="1" outlineLevel="1" x14ac:dyDescent="0.3">
      <c r="A91" s="36" t="str">
        <f t="shared" si="22"/>
        <v/>
      </c>
      <c r="B91" s="36" t="str">
        <f>IF('TO HOP NLAN'!$A22="","",'TO HOP NLAN'!$A22)</f>
        <v/>
      </c>
      <c r="C91" s="36">
        <f t="shared" si="23"/>
        <v>0</v>
      </c>
      <c r="D91" s="36" t="str">
        <f>IF(C91=1,-'TO HOP NLAN'!$I22,"")</f>
        <v/>
      </c>
      <c r="E91" s="36" t="str">
        <f>IF(C91=1,ABS('TO HOP NLAN'!$K22),"")</f>
        <v/>
      </c>
      <c r="F91" s="36" t="str">
        <f>IF(C91=1,ABS('TO HOP NLAN'!$G22),"")</f>
        <v/>
      </c>
      <c r="G91" s="36" t="str">
        <f t="shared" si="24"/>
        <v/>
      </c>
      <c r="H91" s="36" t="str">
        <f t="shared" si="25"/>
        <v/>
      </c>
      <c r="I91" s="36" t="str">
        <f t="shared" si="26"/>
        <v/>
      </c>
      <c r="J91" s="36" t="str">
        <f t="shared" si="27"/>
        <v/>
      </c>
      <c r="K91" s="36" t="str">
        <f>IF(C91=1,IF(OR('KT THAN'!$D$36&lt;=0,$K$13&lt;=0,$K$15&lt;=0),0,$K$13*$K$8*$K$12/(TAN(RADIANS(I91))*$K$15)/1000),"")</f>
        <v/>
      </c>
      <c r="L91" s="36" t="str">
        <f t="shared" si="28"/>
        <v/>
      </c>
      <c r="M91" s="36">
        <f t="shared" si="29"/>
        <v>0</v>
      </c>
      <c r="N91" s="36" t="str">
        <f t="shared" si="30"/>
        <v/>
      </c>
      <c r="O91" s="36" t="str">
        <f t="shared" si="31"/>
        <v/>
      </c>
      <c r="P91" s="36" t="str">
        <f t="shared" si="32"/>
        <v/>
      </c>
      <c r="Q91" s="36" t="str">
        <f>IF(C91=1,IF('KT THAN'!$D$36&lt;=0,"KHÔNG YÊU CẦU",IF($K$15&lt;=P91,"ĐẠT","KHÔNG ĐẠT")),"")</f>
        <v/>
      </c>
      <c r="R91" s="36" t="str">
        <f t="shared" si="33"/>
        <v/>
      </c>
    </row>
    <row r="92" spans="1:18" hidden="1" outlineLevel="1" x14ac:dyDescent="0.3">
      <c r="A92" s="36" t="str">
        <f t="shared" si="22"/>
        <v/>
      </c>
      <c r="B92" s="36" t="str">
        <f>IF('TO HOP NLAN'!$A23="","",'TO HOP NLAN'!$A23)</f>
        <v/>
      </c>
      <c r="C92" s="36">
        <f t="shared" si="23"/>
        <v>0</v>
      </c>
      <c r="D92" s="36" t="str">
        <f>IF(C92=1,-'TO HOP NLAN'!$I23,"")</f>
        <v/>
      </c>
      <c r="E92" s="36" t="str">
        <f>IF(C92=1,ABS('TO HOP NLAN'!$K23),"")</f>
        <v/>
      </c>
      <c r="F92" s="36" t="str">
        <f>IF(C92=1,ABS('TO HOP NLAN'!$G23),"")</f>
        <v/>
      </c>
      <c r="G92" s="36" t="str">
        <f t="shared" si="24"/>
        <v/>
      </c>
      <c r="H92" s="36" t="str">
        <f t="shared" si="25"/>
        <v/>
      </c>
      <c r="I92" s="36" t="str">
        <f t="shared" si="26"/>
        <v/>
      </c>
      <c r="J92" s="36" t="str">
        <f t="shared" si="27"/>
        <v/>
      </c>
      <c r="K92" s="36" t="str">
        <f>IF(C92=1,IF(OR('KT THAN'!$D$36&lt;=0,$K$13&lt;=0,$K$15&lt;=0),0,$K$13*$K$8*$K$12/(TAN(RADIANS(I92))*$K$15)/1000),"")</f>
        <v/>
      </c>
      <c r="L92" s="36" t="str">
        <f t="shared" si="28"/>
        <v/>
      </c>
      <c r="M92" s="36">
        <f t="shared" si="29"/>
        <v>0</v>
      </c>
      <c r="N92" s="36" t="str">
        <f t="shared" si="30"/>
        <v/>
      </c>
      <c r="O92" s="36" t="str">
        <f t="shared" si="31"/>
        <v/>
      </c>
      <c r="P92" s="36" t="str">
        <f t="shared" si="32"/>
        <v/>
      </c>
      <c r="Q92" s="36" t="str">
        <f>IF(C92=1,IF('KT THAN'!$D$36&lt;=0,"KHÔNG YÊU CẦU",IF($K$15&lt;=P92,"ĐẠT","KHÔNG ĐẠT")),"")</f>
        <v/>
      </c>
      <c r="R92" s="36" t="str">
        <f t="shared" si="33"/>
        <v/>
      </c>
    </row>
    <row r="93" spans="1:18" hidden="1" outlineLevel="1" x14ac:dyDescent="0.3">
      <c r="A93" s="36" t="str">
        <f t="shared" si="22"/>
        <v/>
      </c>
      <c r="B93" s="36" t="str">
        <f>IF('TO HOP NLAN'!$A24="","",'TO HOP NLAN'!$A24)</f>
        <v/>
      </c>
      <c r="C93" s="36">
        <f t="shared" si="23"/>
        <v>0</v>
      </c>
      <c r="D93" s="36" t="str">
        <f>IF(C93=1,-'TO HOP NLAN'!$I24,"")</f>
        <v/>
      </c>
      <c r="E93" s="36" t="str">
        <f>IF(C93=1,ABS('TO HOP NLAN'!$K24),"")</f>
        <v/>
      </c>
      <c r="F93" s="36" t="str">
        <f>IF(C93=1,ABS('TO HOP NLAN'!$G24),"")</f>
        <v/>
      </c>
      <c r="G93" s="36" t="str">
        <f t="shared" si="24"/>
        <v/>
      </c>
      <c r="H93" s="36" t="str">
        <f t="shared" si="25"/>
        <v/>
      </c>
      <c r="I93" s="36" t="str">
        <f t="shared" si="26"/>
        <v/>
      </c>
      <c r="J93" s="36" t="str">
        <f t="shared" si="27"/>
        <v/>
      </c>
      <c r="K93" s="36" t="str">
        <f>IF(C93=1,IF(OR('KT THAN'!$D$36&lt;=0,$K$13&lt;=0,$K$15&lt;=0),0,$K$13*$K$8*$K$12/(TAN(RADIANS(I93))*$K$15)/1000),"")</f>
        <v/>
      </c>
      <c r="L93" s="36" t="str">
        <f t="shared" si="28"/>
        <v/>
      </c>
      <c r="M93" s="36">
        <f t="shared" si="29"/>
        <v>0</v>
      </c>
      <c r="N93" s="36" t="str">
        <f t="shared" si="30"/>
        <v/>
      </c>
      <c r="O93" s="36" t="str">
        <f t="shared" si="31"/>
        <v/>
      </c>
      <c r="P93" s="36" t="str">
        <f t="shared" si="32"/>
        <v/>
      </c>
      <c r="Q93" s="36" t="str">
        <f>IF(C93=1,IF('KT THAN'!$D$36&lt;=0,"KHÔNG YÊU CẦU",IF($K$15&lt;=P93,"ĐẠT","KHÔNG ĐẠT")),"")</f>
        <v/>
      </c>
      <c r="R93" s="36" t="str">
        <f t="shared" si="33"/>
        <v/>
      </c>
    </row>
    <row r="94" spans="1:18" hidden="1" outlineLevel="1" x14ac:dyDescent="0.3">
      <c r="A94" s="36" t="str">
        <f t="shared" si="22"/>
        <v/>
      </c>
      <c r="B94" s="36" t="str">
        <f>IF('TO HOP NLAN'!$A25="","",'TO HOP NLAN'!$A25)</f>
        <v/>
      </c>
      <c r="C94" s="36">
        <f t="shared" si="23"/>
        <v>0</v>
      </c>
      <c r="D94" s="36" t="str">
        <f>IF(C94=1,-'TO HOP NLAN'!$I25,"")</f>
        <v/>
      </c>
      <c r="E94" s="36" t="str">
        <f>IF(C94=1,ABS('TO HOP NLAN'!$K25),"")</f>
        <v/>
      </c>
      <c r="F94" s="36" t="str">
        <f>IF(C94=1,ABS('TO HOP NLAN'!$G25),"")</f>
        <v/>
      </c>
      <c r="G94" s="36" t="str">
        <f t="shared" si="24"/>
        <v/>
      </c>
      <c r="H94" s="36" t="str">
        <f t="shared" si="25"/>
        <v/>
      </c>
      <c r="I94" s="36" t="str">
        <f t="shared" si="26"/>
        <v/>
      </c>
      <c r="J94" s="36" t="str">
        <f t="shared" si="27"/>
        <v/>
      </c>
      <c r="K94" s="36" t="str">
        <f>IF(C94=1,IF(OR('KT THAN'!$D$36&lt;=0,$K$13&lt;=0,$K$15&lt;=0),0,$K$13*$K$8*$K$12/(TAN(RADIANS(I94))*$K$15)/1000),"")</f>
        <v/>
      </c>
      <c r="L94" s="36" t="str">
        <f t="shared" si="28"/>
        <v/>
      </c>
      <c r="M94" s="36">
        <f t="shared" si="29"/>
        <v>0</v>
      </c>
      <c r="N94" s="36" t="str">
        <f t="shared" si="30"/>
        <v/>
      </c>
      <c r="O94" s="36" t="str">
        <f t="shared" si="31"/>
        <v/>
      </c>
      <c r="P94" s="36" t="str">
        <f t="shared" si="32"/>
        <v/>
      </c>
      <c r="Q94" s="36" t="str">
        <f>IF(C94=1,IF('KT THAN'!$D$36&lt;=0,"KHÔNG YÊU CẦU",IF($K$15&lt;=P94,"ĐẠT","KHÔNG ĐẠT")),"")</f>
        <v/>
      </c>
      <c r="R94" s="36" t="str">
        <f t="shared" si="33"/>
        <v/>
      </c>
    </row>
    <row r="95" spans="1:18" hidden="1" outlineLevel="1" x14ac:dyDescent="0.3">
      <c r="A95" s="36" t="str">
        <f t="shared" si="22"/>
        <v/>
      </c>
      <c r="B95" s="36" t="str">
        <f>IF('TO HOP NLAN'!$A26="","",'TO HOP NLAN'!$A26)</f>
        <v/>
      </c>
      <c r="C95" s="36">
        <f t="shared" si="23"/>
        <v>0</v>
      </c>
      <c r="D95" s="36" t="str">
        <f>IF(C95=1,-'TO HOP NLAN'!$I26,"")</f>
        <v/>
      </c>
      <c r="E95" s="36" t="str">
        <f>IF(C95=1,ABS('TO HOP NLAN'!$K26),"")</f>
        <v/>
      </c>
      <c r="F95" s="36" t="str">
        <f>IF(C95=1,ABS('TO HOP NLAN'!$G26),"")</f>
        <v/>
      </c>
      <c r="G95" s="36" t="str">
        <f t="shared" si="24"/>
        <v/>
      </c>
      <c r="H95" s="36" t="str">
        <f t="shared" si="25"/>
        <v/>
      </c>
      <c r="I95" s="36" t="str">
        <f t="shared" si="26"/>
        <v/>
      </c>
      <c r="J95" s="36" t="str">
        <f t="shared" si="27"/>
        <v/>
      </c>
      <c r="K95" s="36" t="str">
        <f>IF(C95=1,IF(OR('KT THAN'!$D$36&lt;=0,$K$13&lt;=0,$K$15&lt;=0),0,$K$13*$K$8*$K$12/(TAN(RADIANS(I95))*$K$15)/1000),"")</f>
        <v/>
      </c>
      <c r="L95" s="36" t="str">
        <f t="shared" si="28"/>
        <v/>
      </c>
      <c r="M95" s="36">
        <f t="shared" si="29"/>
        <v>0</v>
      </c>
      <c r="N95" s="36" t="str">
        <f t="shared" si="30"/>
        <v/>
      </c>
      <c r="O95" s="36" t="str">
        <f t="shared" si="31"/>
        <v/>
      </c>
      <c r="P95" s="36" t="str">
        <f t="shared" si="32"/>
        <v/>
      </c>
      <c r="Q95" s="36" t="str">
        <f>IF(C95=1,IF('KT THAN'!$D$36&lt;=0,"KHÔNG YÊU CẦU",IF($K$15&lt;=P95,"ĐẠT","KHÔNG ĐẠT")),"")</f>
        <v/>
      </c>
      <c r="R95" s="36" t="str">
        <f t="shared" si="33"/>
        <v/>
      </c>
    </row>
    <row r="96" spans="1:18" hidden="1" outlineLevel="1" x14ac:dyDescent="0.3">
      <c r="A96" s="36" t="str">
        <f t="shared" si="22"/>
        <v/>
      </c>
      <c r="B96" s="36" t="str">
        <f>IF('TO HOP NLAN'!$A27="","",'TO HOP NLAN'!$A27)</f>
        <v/>
      </c>
      <c r="C96" s="36">
        <f t="shared" si="23"/>
        <v>0</v>
      </c>
      <c r="D96" s="36" t="str">
        <f>IF(C96=1,-'TO HOP NLAN'!$I27,"")</f>
        <v/>
      </c>
      <c r="E96" s="36" t="str">
        <f>IF(C96=1,ABS('TO HOP NLAN'!$K27),"")</f>
        <v/>
      </c>
      <c r="F96" s="36" t="str">
        <f>IF(C96=1,ABS('TO HOP NLAN'!$G27),"")</f>
        <v/>
      </c>
      <c r="G96" s="36" t="str">
        <f t="shared" si="24"/>
        <v/>
      </c>
      <c r="H96" s="36" t="str">
        <f t="shared" si="25"/>
        <v/>
      </c>
      <c r="I96" s="36" t="str">
        <f t="shared" si="26"/>
        <v/>
      </c>
      <c r="J96" s="36" t="str">
        <f t="shared" si="27"/>
        <v/>
      </c>
      <c r="K96" s="36" t="str">
        <f>IF(C96=1,IF(OR('KT THAN'!$D$36&lt;=0,$K$13&lt;=0,$K$15&lt;=0),0,$K$13*$K$8*$K$12/(TAN(RADIANS(I96))*$K$15)/1000),"")</f>
        <v/>
      </c>
      <c r="L96" s="36" t="str">
        <f t="shared" si="28"/>
        <v/>
      </c>
      <c r="M96" s="36">
        <f t="shared" si="29"/>
        <v>0</v>
      </c>
      <c r="N96" s="36" t="str">
        <f t="shared" si="30"/>
        <v/>
      </c>
      <c r="O96" s="36" t="str">
        <f t="shared" si="31"/>
        <v/>
      </c>
      <c r="P96" s="36" t="str">
        <f t="shared" si="32"/>
        <v/>
      </c>
      <c r="Q96" s="36" t="str">
        <f>IF(C96=1,IF('KT THAN'!$D$36&lt;=0,"KHÔNG YÊU CẦU",IF($K$15&lt;=P96,"ĐẠT","KHÔNG ĐẠT")),"")</f>
        <v/>
      </c>
      <c r="R96" s="36" t="str">
        <f t="shared" si="33"/>
        <v/>
      </c>
    </row>
    <row r="97" spans="1:18" hidden="1" outlineLevel="1" x14ac:dyDescent="0.3">
      <c r="A97" s="36" t="str">
        <f t="shared" si="22"/>
        <v/>
      </c>
      <c r="B97" s="36" t="str">
        <f>IF('TO HOP NLAN'!$A28="","",'TO HOP NLAN'!$A28)</f>
        <v/>
      </c>
      <c r="C97" s="36">
        <f t="shared" si="23"/>
        <v>0</v>
      </c>
      <c r="D97" s="36" t="str">
        <f>IF(C97=1,-'TO HOP NLAN'!$I28,"")</f>
        <v/>
      </c>
      <c r="E97" s="36" t="str">
        <f>IF(C97=1,ABS('TO HOP NLAN'!$K28),"")</f>
        <v/>
      </c>
      <c r="F97" s="36" t="str">
        <f>IF(C97=1,ABS('TO HOP NLAN'!$G28),"")</f>
        <v/>
      </c>
      <c r="G97" s="36" t="str">
        <f t="shared" si="24"/>
        <v/>
      </c>
      <c r="H97" s="36" t="str">
        <f t="shared" si="25"/>
        <v/>
      </c>
      <c r="I97" s="36" t="str">
        <f t="shared" si="26"/>
        <v/>
      </c>
      <c r="J97" s="36" t="str">
        <f t="shared" si="27"/>
        <v/>
      </c>
      <c r="K97" s="36" t="str">
        <f>IF(C97=1,IF(OR('KT THAN'!$D$36&lt;=0,$K$13&lt;=0,$K$15&lt;=0),0,$K$13*$K$8*$K$12/(TAN(RADIANS(I97))*$K$15)/1000),"")</f>
        <v/>
      </c>
      <c r="L97" s="36" t="str">
        <f t="shared" si="28"/>
        <v/>
      </c>
      <c r="M97" s="36">
        <f t="shared" si="29"/>
        <v>0</v>
      </c>
      <c r="N97" s="36" t="str">
        <f t="shared" si="30"/>
        <v/>
      </c>
      <c r="O97" s="36" t="str">
        <f t="shared" si="31"/>
        <v/>
      </c>
      <c r="P97" s="36" t="str">
        <f t="shared" si="32"/>
        <v/>
      </c>
      <c r="Q97" s="36" t="str">
        <f>IF(C97=1,IF('KT THAN'!$D$36&lt;=0,"KHÔNG YÊU CẦU",IF($K$15&lt;=P97,"ĐẠT","KHÔNG ĐẠT")),"")</f>
        <v/>
      </c>
      <c r="R97" s="36" t="str">
        <f t="shared" si="33"/>
        <v/>
      </c>
    </row>
    <row r="98" spans="1:18" hidden="1" outlineLevel="1" x14ac:dyDescent="0.3">
      <c r="A98" s="36" t="str">
        <f t="shared" si="22"/>
        <v/>
      </c>
      <c r="B98" s="36" t="str">
        <f>IF('TO HOP NLAN'!$A29="","",'TO HOP NLAN'!$A29)</f>
        <v/>
      </c>
      <c r="C98" s="36">
        <f t="shared" si="23"/>
        <v>0</v>
      </c>
      <c r="D98" s="36" t="str">
        <f>IF(C98=1,-'TO HOP NLAN'!$I29,"")</f>
        <v/>
      </c>
      <c r="E98" s="36" t="str">
        <f>IF(C98=1,ABS('TO HOP NLAN'!$K29),"")</f>
        <v/>
      </c>
      <c r="F98" s="36" t="str">
        <f>IF(C98=1,ABS('TO HOP NLAN'!$G29),"")</f>
        <v/>
      </c>
      <c r="G98" s="36" t="str">
        <f t="shared" si="24"/>
        <v/>
      </c>
      <c r="H98" s="36" t="str">
        <f t="shared" si="25"/>
        <v/>
      </c>
      <c r="I98" s="36" t="str">
        <f t="shared" si="26"/>
        <v/>
      </c>
      <c r="J98" s="36" t="str">
        <f t="shared" si="27"/>
        <v/>
      </c>
      <c r="K98" s="36" t="str">
        <f>IF(C98=1,IF(OR('KT THAN'!$D$36&lt;=0,$K$13&lt;=0,$K$15&lt;=0),0,$K$13*$K$8*$K$12/(TAN(RADIANS(I98))*$K$15)/1000),"")</f>
        <v/>
      </c>
      <c r="L98" s="36" t="str">
        <f t="shared" si="28"/>
        <v/>
      </c>
      <c r="M98" s="36">
        <f t="shared" si="29"/>
        <v>0</v>
      </c>
      <c r="N98" s="36" t="str">
        <f t="shared" si="30"/>
        <v/>
      </c>
      <c r="O98" s="36" t="str">
        <f t="shared" si="31"/>
        <v/>
      </c>
      <c r="P98" s="36" t="str">
        <f t="shared" si="32"/>
        <v/>
      </c>
      <c r="Q98" s="36" t="str">
        <f>IF(C98=1,IF('KT THAN'!$D$36&lt;=0,"KHÔNG YÊU CẦU",IF($K$15&lt;=P98,"ĐẠT","KHÔNG ĐẠT")),"")</f>
        <v/>
      </c>
      <c r="R98" s="36" t="str">
        <f t="shared" si="33"/>
        <v/>
      </c>
    </row>
    <row r="99" spans="1:18" hidden="1" outlineLevel="1" x14ac:dyDescent="0.3">
      <c r="A99" s="36" t="str">
        <f t="shared" si="22"/>
        <v/>
      </c>
      <c r="B99" s="36" t="str">
        <f>IF('TO HOP NLAN'!$A30="","",'TO HOP NLAN'!$A30)</f>
        <v/>
      </c>
      <c r="C99" s="36">
        <f t="shared" si="23"/>
        <v>0</v>
      </c>
      <c r="D99" s="36" t="str">
        <f>IF(C99=1,-'TO HOP NLAN'!$I30,"")</f>
        <v/>
      </c>
      <c r="E99" s="36" t="str">
        <f>IF(C99=1,ABS('TO HOP NLAN'!$K30),"")</f>
        <v/>
      </c>
      <c r="F99" s="36" t="str">
        <f>IF(C99=1,ABS('TO HOP NLAN'!$G30),"")</f>
        <v/>
      </c>
      <c r="G99" s="36" t="str">
        <f t="shared" si="24"/>
        <v/>
      </c>
      <c r="H99" s="36" t="str">
        <f t="shared" si="25"/>
        <v/>
      </c>
      <c r="I99" s="36" t="str">
        <f t="shared" si="26"/>
        <v/>
      </c>
      <c r="J99" s="36" t="str">
        <f t="shared" si="27"/>
        <v/>
      </c>
      <c r="K99" s="36" t="str">
        <f>IF(C99=1,IF(OR('KT THAN'!$D$36&lt;=0,$K$13&lt;=0,$K$15&lt;=0),0,$K$13*$K$8*$K$12/(TAN(RADIANS(I99))*$K$15)/1000),"")</f>
        <v/>
      </c>
      <c r="L99" s="36" t="str">
        <f t="shared" si="28"/>
        <v/>
      </c>
      <c r="M99" s="36">
        <f t="shared" si="29"/>
        <v>0</v>
      </c>
      <c r="N99" s="36" t="str">
        <f t="shared" si="30"/>
        <v/>
      </c>
      <c r="O99" s="36" t="str">
        <f t="shared" si="31"/>
        <v/>
      </c>
      <c r="P99" s="36" t="str">
        <f t="shared" si="32"/>
        <v/>
      </c>
      <c r="Q99" s="36" t="str">
        <f>IF(C99=1,IF('KT THAN'!$D$36&lt;=0,"KHÔNG YÊU CẦU",IF($K$15&lt;=P99,"ĐẠT","KHÔNG ĐẠT")),"")</f>
        <v/>
      </c>
      <c r="R99" s="36" t="str">
        <f t="shared" si="33"/>
        <v/>
      </c>
    </row>
    <row r="100" spans="1:18" hidden="1" outlineLevel="1" x14ac:dyDescent="0.3">
      <c r="A100" s="36" t="str">
        <f t="shared" si="22"/>
        <v/>
      </c>
      <c r="B100" s="36" t="str">
        <f>IF('TO HOP NLAN'!$A31="","",'TO HOP NLAN'!$A31)</f>
        <v/>
      </c>
      <c r="C100" s="36">
        <f t="shared" si="23"/>
        <v>0</v>
      </c>
      <c r="D100" s="36" t="str">
        <f>IF(C100=1,-'TO HOP NLAN'!$I31,"")</f>
        <v/>
      </c>
      <c r="E100" s="36" t="str">
        <f>IF(C100=1,ABS('TO HOP NLAN'!$K31),"")</f>
        <v/>
      </c>
      <c r="F100" s="36" t="str">
        <f>IF(C100=1,ABS('TO HOP NLAN'!$G31),"")</f>
        <v/>
      </c>
      <c r="G100" s="36" t="str">
        <f t="shared" si="24"/>
        <v/>
      </c>
      <c r="H100" s="36" t="str">
        <f t="shared" si="25"/>
        <v/>
      </c>
      <c r="I100" s="36" t="str">
        <f t="shared" si="26"/>
        <v/>
      </c>
      <c r="J100" s="36" t="str">
        <f t="shared" si="27"/>
        <v/>
      </c>
      <c r="K100" s="36" t="str">
        <f>IF(C100=1,IF(OR('KT THAN'!$D$36&lt;=0,$K$13&lt;=0,$K$15&lt;=0),0,$K$13*$K$8*$K$12/(TAN(RADIANS(I100))*$K$15)/1000),"")</f>
        <v/>
      </c>
      <c r="L100" s="36" t="str">
        <f t="shared" si="28"/>
        <v/>
      </c>
      <c r="M100" s="36">
        <f t="shared" si="29"/>
        <v>0</v>
      </c>
      <c r="N100" s="36" t="str">
        <f t="shared" si="30"/>
        <v/>
      </c>
      <c r="O100" s="36" t="str">
        <f t="shared" si="31"/>
        <v/>
      </c>
      <c r="P100" s="36" t="str">
        <f t="shared" si="32"/>
        <v/>
      </c>
      <c r="Q100" s="36" t="str">
        <f>IF(C100=1,IF('KT THAN'!$D$36&lt;=0,"KHÔNG YÊU CẦU",IF($K$15&lt;=P100,"ĐẠT","KHÔNG ĐẠT")),"")</f>
        <v/>
      </c>
      <c r="R100" s="36" t="str">
        <f t="shared" si="33"/>
        <v/>
      </c>
    </row>
    <row r="101" spans="1:18" hidden="1" outlineLevel="1" x14ac:dyDescent="0.3">
      <c r="A101" s="36" t="str">
        <f t="shared" si="22"/>
        <v/>
      </c>
      <c r="B101" s="36" t="str">
        <f>IF('TO HOP NLAN'!$A32="","",'TO HOP NLAN'!$A32)</f>
        <v/>
      </c>
      <c r="C101" s="36">
        <f t="shared" si="23"/>
        <v>0</v>
      </c>
      <c r="D101" s="36" t="str">
        <f>IF(C101=1,-'TO HOP NLAN'!$I32,"")</f>
        <v/>
      </c>
      <c r="E101" s="36" t="str">
        <f>IF(C101=1,ABS('TO HOP NLAN'!$K32),"")</f>
        <v/>
      </c>
      <c r="F101" s="36" t="str">
        <f>IF(C101=1,ABS('TO HOP NLAN'!$G32),"")</f>
        <v/>
      </c>
      <c r="G101" s="36" t="str">
        <f t="shared" si="24"/>
        <v/>
      </c>
      <c r="H101" s="36" t="str">
        <f t="shared" si="25"/>
        <v/>
      </c>
      <c r="I101" s="36" t="str">
        <f t="shared" si="26"/>
        <v/>
      </c>
      <c r="J101" s="36" t="str">
        <f t="shared" si="27"/>
        <v/>
      </c>
      <c r="K101" s="36" t="str">
        <f>IF(C101=1,IF(OR('KT THAN'!$D$36&lt;=0,$K$13&lt;=0,$K$15&lt;=0),0,$K$13*$K$8*$K$12/(TAN(RADIANS(I101))*$K$15)/1000),"")</f>
        <v/>
      </c>
      <c r="L101" s="36" t="str">
        <f t="shared" si="28"/>
        <v/>
      </c>
      <c r="M101" s="36">
        <f t="shared" si="29"/>
        <v>0</v>
      </c>
      <c r="N101" s="36" t="str">
        <f t="shared" si="30"/>
        <v/>
      </c>
      <c r="O101" s="36" t="str">
        <f t="shared" si="31"/>
        <v/>
      </c>
      <c r="P101" s="36" t="str">
        <f t="shared" si="32"/>
        <v/>
      </c>
      <c r="Q101" s="36" t="str">
        <f>IF(C101=1,IF('KT THAN'!$D$36&lt;=0,"KHÔNG YÊU CẦU",IF($K$15&lt;=P101,"ĐẠT","KHÔNG ĐẠT")),"")</f>
        <v/>
      </c>
      <c r="R101" s="36" t="str">
        <f t="shared" si="33"/>
        <v/>
      </c>
    </row>
    <row r="102" spans="1:18" hidden="1" outlineLevel="1" x14ac:dyDescent="0.3">
      <c r="A102" s="36" t="str">
        <f t="shared" si="22"/>
        <v/>
      </c>
      <c r="B102" s="36" t="str">
        <f>IF('TO HOP NLAN'!$A33="","",'TO HOP NLAN'!$A33)</f>
        <v/>
      </c>
      <c r="C102" s="36">
        <f t="shared" si="23"/>
        <v>0</v>
      </c>
      <c r="D102" s="36" t="str">
        <f>IF(C102=1,-'TO HOP NLAN'!$I33,"")</f>
        <v/>
      </c>
      <c r="E102" s="36" t="str">
        <f>IF(C102=1,ABS('TO HOP NLAN'!$K33),"")</f>
        <v/>
      </c>
      <c r="F102" s="36" t="str">
        <f>IF(C102=1,ABS('TO HOP NLAN'!$G33),"")</f>
        <v/>
      </c>
      <c r="G102" s="36" t="str">
        <f t="shared" si="24"/>
        <v/>
      </c>
      <c r="H102" s="36" t="str">
        <f t="shared" si="25"/>
        <v/>
      </c>
      <c r="I102" s="36" t="str">
        <f t="shared" si="26"/>
        <v/>
      </c>
      <c r="J102" s="36" t="str">
        <f t="shared" si="27"/>
        <v/>
      </c>
      <c r="K102" s="36" t="str">
        <f>IF(C102=1,IF(OR('KT THAN'!$D$36&lt;=0,$K$13&lt;=0,$K$15&lt;=0),0,$K$13*$K$8*$K$12/(TAN(RADIANS(I102))*$K$15)/1000),"")</f>
        <v/>
      </c>
      <c r="L102" s="36" t="str">
        <f t="shared" si="28"/>
        <v/>
      </c>
      <c r="M102" s="36">
        <f t="shared" si="29"/>
        <v>0</v>
      </c>
      <c r="N102" s="36" t="str">
        <f t="shared" si="30"/>
        <v/>
      </c>
      <c r="O102" s="36" t="str">
        <f t="shared" si="31"/>
        <v/>
      </c>
      <c r="P102" s="36" t="str">
        <f t="shared" si="32"/>
        <v/>
      </c>
      <c r="Q102" s="36" t="str">
        <f>IF(C102=1,IF('KT THAN'!$D$36&lt;=0,"KHÔNG YÊU CẦU",IF($K$15&lt;=P102,"ĐẠT","KHÔNG ĐẠT")),"")</f>
        <v/>
      </c>
      <c r="R102" s="36" t="str">
        <f t="shared" si="33"/>
        <v/>
      </c>
    </row>
    <row r="103" spans="1:18" hidden="1" outlineLevel="1" x14ac:dyDescent="0.3">
      <c r="A103" s="36" t="str">
        <f t="shared" si="22"/>
        <v/>
      </c>
      <c r="B103" s="36" t="str">
        <f>IF('TO HOP NLAN'!$A34="","",'TO HOP NLAN'!$A34)</f>
        <v/>
      </c>
      <c r="C103" s="36">
        <f t="shared" si="23"/>
        <v>0</v>
      </c>
      <c r="D103" s="36" t="str">
        <f>IF(C103=1,-'TO HOP NLAN'!$I34,"")</f>
        <v/>
      </c>
      <c r="E103" s="36" t="str">
        <f>IF(C103=1,ABS('TO HOP NLAN'!$K34),"")</f>
        <v/>
      </c>
      <c r="F103" s="36" t="str">
        <f>IF(C103=1,ABS('TO HOP NLAN'!$G34),"")</f>
        <v/>
      </c>
      <c r="G103" s="36" t="str">
        <f t="shared" si="24"/>
        <v/>
      </c>
      <c r="H103" s="36" t="str">
        <f t="shared" si="25"/>
        <v/>
      </c>
      <c r="I103" s="36" t="str">
        <f t="shared" si="26"/>
        <v/>
      </c>
      <c r="J103" s="36" t="str">
        <f t="shared" si="27"/>
        <v/>
      </c>
      <c r="K103" s="36" t="str">
        <f>IF(C103=1,IF(OR('KT THAN'!$D$36&lt;=0,$K$13&lt;=0,$K$15&lt;=0),0,$K$13*$K$8*$K$12/(TAN(RADIANS(I103))*$K$15)/1000),"")</f>
        <v/>
      </c>
      <c r="L103" s="36" t="str">
        <f t="shared" si="28"/>
        <v/>
      </c>
      <c r="M103" s="36">
        <f t="shared" si="29"/>
        <v>0</v>
      </c>
      <c r="N103" s="36" t="str">
        <f t="shared" si="30"/>
        <v/>
      </c>
      <c r="O103" s="36" t="str">
        <f t="shared" si="31"/>
        <v/>
      </c>
      <c r="P103" s="36" t="str">
        <f t="shared" si="32"/>
        <v/>
      </c>
      <c r="Q103" s="36" t="str">
        <f>IF(C103=1,IF('KT THAN'!$D$36&lt;=0,"KHÔNG YÊU CẦU",IF($K$15&lt;=P103,"ĐẠT","KHÔNG ĐẠT")),"")</f>
        <v/>
      </c>
      <c r="R103" s="36" t="str">
        <f t="shared" si="33"/>
        <v/>
      </c>
    </row>
    <row r="104" spans="1:18" hidden="1" outlineLevel="1" x14ac:dyDescent="0.3">
      <c r="A104" s="36" t="str">
        <f t="shared" si="22"/>
        <v/>
      </c>
      <c r="B104" s="36" t="str">
        <f>IF('TO HOP NLAN'!$A35="","",'TO HOP NLAN'!$A35)</f>
        <v/>
      </c>
      <c r="C104" s="36">
        <f t="shared" si="23"/>
        <v>0</v>
      </c>
      <c r="D104" s="36" t="str">
        <f>IF(C104=1,-'TO HOP NLAN'!$I35,"")</f>
        <v/>
      </c>
      <c r="E104" s="36" t="str">
        <f>IF(C104=1,ABS('TO HOP NLAN'!$K35),"")</f>
        <v/>
      </c>
      <c r="F104" s="36" t="str">
        <f>IF(C104=1,ABS('TO HOP NLAN'!$G35),"")</f>
        <v/>
      </c>
      <c r="G104" s="36" t="str">
        <f t="shared" si="24"/>
        <v/>
      </c>
      <c r="H104" s="36" t="str">
        <f t="shared" si="25"/>
        <v/>
      </c>
      <c r="I104" s="36" t="str">
        <f t="shared" si="26"/>
        <v/>
      </c>
      <c r="J104" s="36" t="str">
        <f t="shared" si="27"/>
        <v/>
      </c>
      <c r="K104" s="36" t="str">
        <f>IF(C104=1,IF(OR('KT THAN'!$D$36&lt;=0,$K$13&lt;=0,$K$15&lt;=0),0,$K$13*$K$8*$K$12/(TAN(RADIANS(I104))*$K$15)/1000),"")</f>
        <v/>
      </c>
      <c r="L104" s="36" t="str">
        <f t="shared" si="28"/>
        <v/>
      </c>
      <c r="M104" s="36">
        <f t="shared" si="29"/>
        <v>0</v>
      </c>
      <c r="N104" s="36" t="str">
        <f t="shared" si="30"/>
        <v/>
      </c>
      <c r="O104" s="36" t="str">
        <f t="shared" si="31"/>
        <v/>
      </c>
      <c r="P104" s="36" t="str">
        <f t="shared" si="32"/>
        <v/>
      </c>
      <c r="Q104" s="36" t="str">
        <f>IF(C104=1,IF('KT THAN'!$D$36&lt;=0,"KHÔNG YÊU CẦU",IF($K$15&lt;=P104,"ĐẠT","KHÔNG ĐẠT")),"")</f>
        <v/>
      </c>
      <c r="R104" s="36" t="str">
        <f t="shared" si="33"/>
        <v/>
      </c>
    </row>
    <row r="105" spans="1:18" hidden="1" outlineLevel="1" x14ac:dyDescent="0.3">
      <c r="A105" s="36" t="str">
        <f t="shared" si="22"/>
        <v/>
      </c>
      <c r="B105" s="36" t="str">
        <f>IF('TO HOP NLAN'!$A36="","",'TO HOP NLAN'!$A36)</f>
        <v/>
      </c>
      <c r="C105" s="36">
        <f t="shared" si="23"/>
        <v>0</v>
      </c>
      <c r="D105" s="36" t="str">
        <f>IF(C105=1,-'TO HOP NLAN'!$I36,"")</f>
        <v/>
      </c>
      <c r="E105" s="36" t="str">
        <f>IF(C105=1,ABS('TO HOP NLAN'!$K36),"")</f>
        <v/>
      </c>
      <c r="F105" s="36" t="str">
        <f>IF(C105=1,ABS('TO HOP NLAN'!$G36),"")</f>
        <v/>
      </c>
      <c r="G105" s="36" t="str">
        <f t="shared" si="24"/>
        <v/>
      </c>
      <c r="H105" s="36" t="str">
        <f t="shared" si="25"/>
        <v/>
      </c>
      <c r="I105" s="36" t="str">
        <f t="shared" si="26"/>
        <v/>
      </c>
      <c r="J105" s="36" t="str">
        <f t="shared" si="27"/>
        <v/>
      </c>
      <c r="K105" s="36" t="str">
        <f>IF(C105=1,IF(OR('KT THAN'!$D$36&lt;=0,$K$13&lt;=0,$K$15&lt;=0),0,$K$13*$K$8*$K$12/(TAN(RADIANS(I105))*$K$15)/1000),"")</f>
        <v/>
      </c>
      <c r="L105" s="36" t="str">
        <f t="shared" si="28"/>
        <v/>
      </c>
      <c r="M105" s="36">
        <f t="shared" si="29"/>
        <v>0</v>
      </c>
      <c r="N105" s="36" t="str">
        <f t="shared" si="30"/>
        <v/>
      </c>
      <c r="O105" s="36" t="str">
        <f t="shared" si="31"/>
        <v/>
      </c>
      <c r="P105" s="36" t="str">
        <f t="shared" si="32"/>
        <v/>
      </c>
      <c r="Q105" s="36" t="str">
        <f>IF(C105=1,IF('KT THAN'!$D$36&lt;=0,"KHÔNG YÊU CẦU",IF($K$15&lt;=P105,"ĐẠT","KHÔNG ĐẠT")),"")</f>
        <v/>
      </c>
      <c r="R105" s="36" t="str">
        <f t="shared" si="33"/>
        <v/>
      </c>
    </row>
    <row r="106" spans="1:18" hidden="1" outlineLevel="1" x14ac:dyDescent="0.3">
      <c r="A106" s="36" t="str">
        <f t="shared" si="22"/>
        <v/>
      </c>
      <c r="B106" s="36" t="str">
        <f>IF('TO HOP NLAN'!$A37="","",'TO HOP NLAN'!$A37)</f>
        <v/>
      </c>
      <c r="C106" s="36">
        <f t="shared" si="23"/>
        <v>0</v>
      </c>
      <c r="D106" s="36" t="str">
        <f>IF(C106=1,-'TO HOP NLAN'!$I37,"")</f>
        <v/>
      </c>
      <c r="E106" s="36" t="str">
        <f>IF(C106=1,ABS('TO HOP NLAN'!$K37),"")</f>
        <v/>
      </c>
      <c r="F106" s="36" t="str">
        <f>IF(C106=1,ABS('TO HOP NLAN'!$G37),"")</f>
        <v/>
      </c>
      <c r="G106" s="36" t="str">
        <f t="shared" si="24"/>
        <v/>
      </c>
      <c r="H106" s="36" t="str">
        <f t="shared" si="25"/>
        <v/>
      </c>
      <c r="I106" s="36" t="str">
        <f t="shared" si="26"/>
        <v/>
      </c>
      <c r="J106" s="36" t="str">
        <f t="shared" si="27"/>
        <v/>
      </c>
      <c r="K106" s="36" t="str">
        <f>IF(C106=1,IF(OR('KT THAN'!$D$36&lt;=0,$K$13&lt;=0,$K$15&lt;=0),0,$K$13*$K$8*$K$12/(TAN(RADIANS(I106))*$K$15)/1000),"")</f>
        <v/>
      </c>
      <c r="L106" s="36" t="str">
        <f t="shared" si="28"/>
        <v/>
      </c>
      <c r="M106" s="36">
        <f t="shared" si="29"/>
        <v>0</v>
      </c>
      <c r="N106" s="36" t="str">
        <f t="shared" si="30"/>
        <v/>
      </c>
      <c r="O106" s="36" t="str">
        <f t="shared" si="31"/>
        <v/>
      </c>
      <c r="P106" s="36" t="str">
        <f t="shared" si="32"/>
        <v/>
      </c>
      <c r="Q106" s="36" t="str">
        <f>IF(C106=1,IF('KT THAN'!$D$36&lt;=0,"KHÔNG YÊU CẦU",IF($K$15&lt;=P106,"ĐẠT","KHÔNG ĐẠT")),"")</f>
        <v/>
      </c>
      <c r="R106" s="36" t="str">
        <f t="shared" si="33"/>
        <v/>
      </c>
    </row>
    <row r="107" spans="1:18" hidden="1" outlineLevel="1" x14ac:dyDescent="0.3">
      <c r="A107" s="36" t="str">
        <f t="shared" si="22"/>
        <v/>
      </c>
      <c r="B107" s="36" t="str">
        <f>IF('TO HOP NLAN'!$A38="","",'TO HOP NLAN'!$A38)</f>
        <v/>
      </c>
      <c r="C107" s="36">
        <f t="shared" si="23"/>
        <v>0</v>
      </c>
      <c r="D107" s="36" t="str">
        <f>IF(C107=1,-'TO HOP NLAN'!$I38,"")</f>
        <v/>
      </c>
      <c r="E107" s="36" t="str">
        <f>IF(C107=1,ABS('TO HOP NLAN'!$K38),"")</f>
        <v/>
      </c>
      <c r="F107" s="36" t="str">
        <f>IF(C107=1,ABS('TO HOP NLAN'!$G38),"")</f>
        <v/>
      </c>
      <c r="G107" s="36" t="str">
        <f t="shared" si="24"/>
        <v/>
      </c>
      <c r="H107" s="36" t="str">
        <f t="shared" si="25"/>
        <v/>
      </c>
      <c r="I107" s="36" t="str">
        <f t="shared" si="26"/>
        <v/>
      </c>
      <c r="J107" s="36" t="str">
        <f t="shared" si="27"/>
        <v/>
      </c>
      <c r="K107" s="36" t="str">
        <f>IF(C107=1,IF(OR('KT THAN'!$D$36&lt;=0,$K$13&lt;=0,$K$15&lt;=0),0,$K$13*$K$8*$K$12/(TAN(RADIANS(I107))*$K$15)/1000),"")</f>
        <v/>
      </c>
      <c r="L107" s="36" t="str">
        <f t="shared" si="28"/>
        <v/>
      </c>
      <c r="M107" s="36">
        <f t="shared" si="29"/>
        <v>0</v>
      </c>
      <c r="N107" s="36" t="str">
        <f t="shared" si="30"/>
        <v/>
      </c>
      <c r="O107" s="36" t="str">
        <f t="shared" si="31"/>
        <v/>
      </c>
      <c r="P107" s="36" t="str">
        <f t="shared" si="32"/>
        <v/>
      </c>
      <c r="Q107" s="36" t="str">
        <f>IF(C107=1,IF('KT THAN'!$D$36&lt;=0,"KHÔNG YÊU CẦU",IF($K$15&lt;=P107,"ĐẠT","KHÔNG ĐẠT")),"")</f>
        <v/>
      </c>
      <c r="R107" s="36" t="str">
        <f t="shared" si="33"/>
        <v/>
      </c>
    </row>
    <row r="108" spans="1:18" hidden="1" outlineLevel="1" x14ac:dyDescent="0.3">
      <c r="A108" s="36" t="str">
        <f t="shared" si="22"/>
        <v/>
      </c>
      <c r="B108" s="36" t="str">
        <f>IF('TO HOP NLAN'!$A39="","",'TO HOP NLAN'!$A39)</f>
        <v/>
      </c>
      <c r="C108" s="36">
        <f t="shared" si="23"/>
        <v>0</v>
      </c>
      <c r="D108" s="36" t="str">
        <f>IF(C108=1,-'TO HOP NLAN'!$I39,"")</f>
        <v/>
      </c>
      <c r="E108" s="36" t="str">
        <f>IF(C108=1,ABS('TO HOP NLAN'!$K39),"")</f>
        <v/>
      </c>
      <c r="F108" s="36" t="str">
        <f>IF(C108=1,ABS('TO HOP NLAN'!$G39),"")</f>
        <v/>
      </c>
      <c r="G108" s="36" t="str">
        <f t="shared" si="24"/>
        <v/>
      </c>
      <c r="H108" s="36" t="str">
        <f t="shared" si="25"/>
        <v/>
      </c>
      <c r="I108" s="36" t="str">
        <f t="shared" si="26"/>
        <v/>
      </c>
      <c r="J108" s="36" t="str">
        <f t="shared" si="27"/>
        <v/>
      </c>
      <c r="K108" s="36" t="str">
        <f>IF(C108=1,IF(OR('KT THAN'!$D$36&lt;=0,$K$13&lt;=0,$K$15&lt;=0),0,$K$13*$K$8*$K$12/(TAN(RADIANS(I108))*$K$15)/1000),"")</f>
        <v/>
      </c>
      <c r="L108" s="36" t="str">
        <f t="shared" si="28"/>
        <v/>
      </c>
      <c r="M108" s="36">
        <f t="shared" si="29"/>
        <v>0</v>
      </c>
      <c r="N108" s="36" t="str">
        <f t="shared" si="30"/>
        <v/>
      </c>
      <c r="O108" s="36" t="str">
        <f t="shared" si="31"/>
        <v/>
      </c>
      <c r="P108" s="36" t="str">
        <f t="shared" si="32"/>
        <v/>
      </c>
      <c r="Q108" s="36" t="str">
        <f>IF(C108=1,IF('KT THAN'!$D$36&lt;=0,"KHÔNG YÊU CẦU",IF($K$15&lt;=P108,"ĐẠT","KHÔNG ĐẠT")),"")</f>
        <v/>
      </c>
      <c r="R108" s="36" t="str">
        <f t="shared" si="33"/>
        <v/>
      </c>
    </row>
    <row r="109" spans="1:18" hidden="1" outlineLevel="1" x14ac:dyDescent="0.3">
      <c r="A109" s="36" t="str">
        <f t="shared" si="22"/>
        <v/>
      </c>
      <c r="B109" s="36" t="str">
        <f>IF('TO HOP NLAN'!$A40="","",'TO HOP NLAN'!$A40)</f>
        <v/>
      </c>
      <c r="C109" s="36">
        <f t="shared" si="23"/>
        <v>0</v>
      </c>
      <c r="D109" s="36" t="str">
        <f>IF(C109=1,-'TO HOP NLAN'!$I40,"")</f>
        <v/>
      </c>
      <c r="E109" s="36" t="str">
        <f>IF(C109=1,ABS('TO HOP NLAN'!$K40),"")</f>
        <v/>
      </c>
      <c r="F109" s="36" t="str">
        <f>IF(C109=1,ABS('TO HOP NLAN'!$G40),"")</f>
        <v/>
      </c>
      <c r="G109" s="36" t="str">
        <f t="shared" si="24"/>
        <v/>
      </c>
      <c r="H109" s="36" t="str">
        <f t="shared" si="25"/>
        <v/>
      </c>
      <c r="I109" s="36" t="str">
        <f t="shared" si="26"/>
        <v/>
      </c>
      <c r="J109" s="36" t="str">
        <f t="shared" si="27"/>
        <v/>
      </c>
      <c r="K109" s="36" t="str">
        <f>IF(C109=1,IF(OR('KT THAN'!$D$36&lt;=0,$K$13&lt;=0,$K$15&lt;=0),0,$K$13*$K$8*$K$12/(TAN(RADIANS(I109))*$K$15)/1000),"")</f>
        <v/>
      </c>
      <c r="L109" s="36" t="str">
        <f t="shared" si="28"/>
        <v/>
      </c>
      <c r="M109" s="36">
        <f t="shared" si="29"/>
        <v>0</v>
      </c>
      <c r="N109" s="36" t="str">
        <f t="shared" si="30"/>
        <v/>
      </c>
      <c r="O109" s="36" t="str">
        <f t="shared" si="31"/>
        <v/>
      </c>
      <c r="P109" s="36" t="str">
        <f t="shared" si="32"/>
        <v/>
      </c>
      <c r="Q109" s="36" t="str">
        <f>IF(C109=1,IF('KT THAN'!$D$36&lt;=0,"KHÔNG YÊU CẦU",IF($K$15&lt;=P109,"ĐẠT","KHÔNG ĐẠT")),"")</f>
        <v/>
      </c>
      <c r="R109" s="36" t="str">
        <f t="shared" si="33"/>
        <v/>
      </c>
    </row>
    <row r="110" spans="1:18" hidden="1" outlineLevel="1" x14ac:dyDescent="0.3">
      <c r="A110" s="36" t="str">
        <f t="shared" si="22"/>
        <v/>
      </c>
      <c r="B110" s="36" t="str">
        <f>IF('TO HOP NLAN'!$A41="","",'TO HOP NLAN'!$A41)</f>
        <v/>
      </c>
      <c r="C110" s="36">
        <f t="shared" si="23"/>
        <v>0</v>
      </c>
      <c r="D110" s="36" t="str">
        <f>IF(C110=1,-'TO HOP NLAN'!$I41,"")</f>
        <v/>
      </c>
      <c r="E110" s="36" t="str">
        <f>IF(C110=1,ABS('TO HOP NLAN'!$K41),"")</f>
        <v/>
      </c>
      <c r="F110" s="36" t="str">
        <f>IF(C110=1,ABS('TO HOP NLAN'!$G41),"")</f>
        <v/>
      </c>
      <c r="G110" s="36" t="str">
        <f t="shared" si="24"/>
        <v/>
      </c>
      <c r="H110" s="36" t="str">
        <f t="shared" si="25"/>
        <v/>
      </c>
      <c r="I110" s="36" t="str">
        <f t="shared" si="26"/>
        <v/>
      </c>
      <c r="J110" s="36" t="str">
        <f t="shared" si="27"/>
        <v/>
      </c>
      <c r="K110" s="36" t="str">
        <f>IF(C110=1,IF(OR('KT THAN'!$D$36&lt;=0,$K$13&lt;=0,$K$15&lt;=0),0,$K$13*$K$8*$K$12/(TAN(RADIANS(I110))*$K$15)/1000),"")</f>
        <v/>
      </c>
      <c r="L110" s="36" t="str">
        <f t="shared" si="28"/>
        <v/>
      </c>
      <c r="M110" s="36">
        <f t="shared" si="29"/>
        <v>0</v>
      </c>
      <c r="N110" s="36" t="str">
        <f t="shared" si="30"/>
        <v/>
      </c>
      <c r="O110" s="36" t="str">
        <f t="shared" si="31"/>
        <v/>
      </c>
      <c r="P110" s="36" t="str">
        <f t="shared" si="32"/>
        <v/>
      </c>
      <c r="Q110" s="36" t="str">
        <f>IF(C110=1,IF('KT THAN'!$D$36&lt;=0,"KHÔNG YÊU CẦU",IF($K$15&lt;=P110,"ĐẠT","KHÔNG ĐẠT")),"")</f>
        <v/>
      </c>
      <c r="R110" s="36" t="str">
        <f t="shared" si="33"/>
        <v/>
      </c>
    </row>
    <row r="111" spans="1:18" hidden="1" outlineLevel="1" x14ac:dyDescent="0.3">
      <c r="A111" s="36" t="str">
        <f t="shared" si="22"/>
        <v/>
      </c>
      <c r="B111" s="36" t="str">
        <f>IF('TO HOP NLAN'!$A42="","",'TO HOP NLAN'!$A42)</f>
        <v/>
      </c>
      <c r="C111" s="36">
        <f t="shared" si="23"/>
        <v>0</v>
      </c>
      <c r="D111" s="36" t="str">
        <f>IF(C111=1,-'TO HOP NLAN'!$I42,"")</f>
        <v/>
      </c>
      <c r="E111" s="36" t="str">
        <f>IF(C111=1,ABS('TO HOP NLAN'!$K42),"")</f>
        <v/>
      </c>
      <c r="F111" s="36" t="str">
        <f>IF(C111=1,ABS('TO HOP NLAN'!$G42),"")</f>
        <v/>
      </c>
      <c r="G111" s="36" t="str">
        <f t="shared" si="24"/>
        <v/>
      </c>
      <c r="H111" s="36" t="str">
        <f t="shared" si="25"/>
        <v/>
      </c>
      <c r="I111" s="36" t="str">
        <f t="shared" si="26"/>
        <v/>
      </c>
      <c r="J111" s="36" t="str">
        <f t="shared" si="27"/>
        <v/>
      </c>
      <c r="K111" s="36" t="str">
        <f>IF(C111=1,IF(OR('KT THAN'!$D$36&lt;=0,$K$13&lt;=0,$K$15&lt;=0),0,$K$13*$K$8*$K$12/(TAN(RADIANS(I111))*$K$15)/1000),"")</f>
        <v/>
      </c>
      <c r="L111" s="36" t="str">
        <f t="shared" si="28"/>
        <v/>
      </c>
      <c r="M111" s="36">
        <f t="shared" si="29"/>
        <v>0</v>
      </c>
      <c r="N111" s="36" t="str">
        <f t="shared" si="30"/>
        <v/>
      </c>
      <c r="O111" s="36" t="str">
        <f t="shared" si="31"/>
        <v/>
      </c>
      <c r="P111" s="36" t="str">
        <f t="shared" si="32"/>
        <v/>
      </c>
      <c r="Q111" s="36" t="str">
        <f>IF(C111=1,IF('KT THAN'!$D$36&lt;=0,"KHÔNG YÊU CẦU",IF($K$15&lt;=P111,"ĐẠT","KHÔNG ĐẠT")),"")</f>
        <v/>
      </c>
      <c r="R111" s="36" t="str">
        <f t="shared" si="33"/>
        <v/>
      </c>
    </row>
    <row r="112" spans="1:18" hidden="1" outlineLevel="1" x14ac:dyDescent="0.3">
      <c r="A112" s="36" t="str">
        <f t="shared" si="22"/>
        <v/>
      </c>
      <c r="B112" s="36" t="str">
        <f>IF('TO HOP NLAN'!$A43="","",'TO HOP NLAN'!$A43)</f>
        <v/>
      </c>
      <c r="C112" s="36">
        <f t="shared" si="23"/>
        <v>0</v>
      </c>
      <c r="D112" s="36" t="str">
        <f>IF(C112=1,-'TO HOP NLAN'!$I43,"")</f>
        <v/>
      </c>
      <c r="E112" s="36" t="str">
        <f>IF(C112=1,ABS('TO HOP NLAN'!$K43),"")</f>
        <v/>
      </c>
      <c r="F112" s="36" t="str">
        <f>IF(C112=1,ABS('TO HOP NLAN'!$G43),"")</f>
        <v/>
      </c>
      <c r="G112" s="36" t="str">
        <f t="shared" si="24"/>
        <v/>
      </c>
      <c r="H112" s="36" t="str">
        <f t="shared" si="25"/>
        <v/>
      </c>
      <c r="I112" s="36" t="str">
        <f t="shared" si="26"/>
        <v/>
      </c>
      <c r="J112" s="36" t="str">
        <f t="shared" si="27"/>
        <v/>
      </c>
      <c r="K112" s="36" t="str">
        <f>IF(C112=1,IF(OR('KT THAN'!$D$36&lt;=0,$K$13&lt;=0,$K$15&lt;=0),0,$K$13*$K$8*$K$12/(TAN(RADIANS(I112))*$K$15)/1000),"")</f>
        <v/>
      </c>
      <c r="L112" s="36" t="str">
        <f t="shared" si="28"/>
        <v/>
      </c>
      <c r="M112" s="36">
        <f t="shared" si="29"/>
        <v>0</v>
      </c>
      <c r="N112" s="36" t="str">
        <f t="shared" si="30"/>
        <v/>
      </c>
      <c r="O112" s="36" t="str">
        <f t="shared" si="31"/>
        <v/>
      </c>
      <c r="P112" s="36" t="str">
        <f t="shared" si="32"/>
        <v/>
      </c>
      <c r="Q112" s="36" t="str">
        <f>IF(C112=1,IF('KT THAN'!$D$36&lt;=0,"KHÔNG YÊU CẦU",IF($K$15&lt;=P112,"ĐẠT","KHÔNG ĐẠT")),"")</f>
        <v/>
      </c>
      <c r="R112" s="36" t="str">
        <f t="shared" si="33"/>
        <v/>
      </c>
    </row>
    <row r="113" spans="1:18" hidden="1" outlineLevel="1" x14ac:dyDescent="0.3">
      <c r="A113" s="36" t="str">
        <f t="shared" si="22"/>
        <v/>
      </c>
      <c r="B113" s="36" t="str">
        <f>IF('TO HOP NLAN'!$A44="","",'TO HOP NLAN'!$A44)</f>
        <v/>
      </c>
      <c r="C113" s="36">
        <f t="shared" si="23"/>
        <v>0</v>
      </c>
      <c r="D113" s="36" t="str">
        <f>IF(C113=1,-'TO HOP NLAN'!$I44,"")</f>
        <v/>
      </c>
      <c r="E113" s="36" t="str">
        <f>IF(C113=1,ABS('TO HOP NLAN'!$K44),"")</f>
        <v/>
      </c>
      <c r="F113" s="36" t="str">
        <f>IF(C113=1,ABS('TO HOP NLAN'!$G44),"")</f>
        <v/>
      </c>
      <c r="G113" s="36" t="str">
        <f t="shared" si="24"/>
        <v/>
      </c>
      <c r="H113" s="36" t="str">
        <f t="shared" si="25"/>
        <v/>
      </c>
      <c r="I113" s="36" t="str">
        <f t="shared" si="26"/>
        <v/>
      </c>
      <c r="J113" s="36" t="str">
        <f t="shared" si="27"/>
        <v/>
      </c>
      <c r="K113" s="36" t="str">
        <f>IF(C113=1,IF(OR('KT THAN'!$D$36&lt;=0,$K$13&lt;=0,$K$15&lt;=0),0,$K$13*$K$8*$K$12/(TAN(RADIANS(I113))*$K$15)/1000),"")</f>
        <v/>
      </c>
      <c r="L113" s="36" t="str">
        <f t="shared" si="28"/>
        <v/>
      </c>
      <c r="M113" s="36">
        <f t="shared" si="29"/>
        <v>0</v>
      </c>
      <c r="N113" s="36" t="str">
        <f t="shared" si="30"/>
        <v/>
      </c>
      <c r="O113" s="36" t="str">
        <f t="shared" si="31"/>
        <v/>
      </c>
      <c r="P113" s="36" t="str">
        <f t="shared" si="32"/>
        <v/>
      </c>
      <c r="Q113" s="36" t="str">
        <f>IF(C113=1,IF('KT THAN'!$D$36&lt;=0,"KHÔNG YÊU CẦU",IF($K$15&lt;=P113,"ĐẠT","KHÔNG ĐẠT")),"")</f>
        <v/>
      </c>
      <c r="R113" s="36" t="str">
        <f t="shared" si="33"/>
        <v/>
      </c>
    </row>
    <row r="114" spans="1:18" hidden="1" outlineLevel="1" x14ac:dyDescent="0.3">
      <c r="A114" s="36" t="str">
        <f t="shared" si="22"/>
        <v/>
      </c>
      <c r="B114" s="36" t="str">
        <f>IF('TO HOP NLAN'!$A45="","",'TO HOP NLAN'!$A45)</f>
        <v/>
      </c>
      <c r="C114" s="36">
        <f t="shared" si="23"/>
        <v>0</v>
      </c>
      <c r="D114" s="36" t="str">
        <f>IF(C114=1,-'TO HOP NLAN'!$I45,"")</f>
        <v/>
      </c>
      <c r="E114" s="36" t="str">
        <f>IF(C114=1,ABS('TO HOP NLAN'!$K45),"")</f>
        <v/>
      </c>
      <c r="F114" s="36" t="str">
        <f>IF(C114=1,ABS('TO HOP NLAN'!$G45),"")</f>
        <v/>
      </c>
      <c r="G114" s="36" t="str">
        <f t="shared" si="24"/>
        <v/>
      </c>
      <c r="H114" s="36" t="str">
        <f t="shared" si="25"/>
        <v/>
      </c>
      <c r="I114" s="36" t="str">
        <f t="shared" si="26"/>
        <v/>
      </c>
      <c r="J114" s="36" t="str">
        <f t="shared" si="27"/>
        <v/>
      </c>
      <c r="K114" s="36" t="str">
        <f>IF(C114=1,IF(OR('KT THAN'!$D$36&lt;=0,$K$13&lt;=0,$K$15&lt;=0),0,$K$13*$K$8*$K$12/(TAN(RADIANS(I114))*$K$15)/1000),"")</f>
        <v/>
      </c>
      <c r="L114" s="36" t="str">
        <f t="shared" si="28"/>
        <v/>
      </c>
      <c r="M114" s="36">
        <f t="shared" si="29"/>
        <v>0</v>
      </c>
      <c r="N114" s="36" t="str">
        <f t="shared" si="30"/>
        <v/>
      </c>
      <c r="O114" s="36" t="str">
        <f t="shared" si="31"/>
        <v/>
      </c>
      <c r="P114" s="36" t="str">
        <f t="shared" si="32"/>
        <v/>
      </c>
      <c r="Q114" s="36" t="str">
        <f>IF(C114=1,IF('KT THAN'!$D$36&lt;=0,"KHÔNG YÊU CẦU",IF($K$15&lt;=P114,"ĐẠT","KHÔNG ĐẠT")),"")</f>
        <v/>
      </c>
      <c r="R114" s="36" t="str">
        <f t="shared" si="33"/>
        <v/>
      </c>
    </row>
    <row r="115" spans="1:18" hidden="1" outlineLevel="1" x14ac:dyDescent="0.3">
      <c r="A115" s="36" t="str">
        <f t="shared" si="22"/>
        <v/>
      </c>
      <c r="B115" s="36" t="str">
        <f>IF('TO HOP NLAN'!$A46="","",'TO HOP NLAN'!$A46)</f>
        <v/>
      </c>
      <c r="C115" s="36">
        <f t="shared" si="23"/>
        <v>0</v>
      </c>
      <c r="D115" s="36" t="str">
        <f>IF(C115=1,-'TO HOP NLAN'!$I46,"")</f>
        <v/>
      </c>
      <c r="E115" s="36" t="str">
        <f>IF(C115=1,ABS('TO HOP NLAN'!$K46),"")</f>
        <v/>
      </c>
      <c r="F115" s="36" t="str">
        <f>IF(C115=1,ABS('TO HOP NLAN'!$G46),"")</f>
        <v/>
      </c>
      <c r="G115" s="36" t="str">
        <f t="shared" si="24"/>
        <v/>
      </c>
      <c r="H115" s="36" t="str">
        <f t="shared" si="25"/>
        <v/>
      </c>
      <c r="I115" s="36" t="str">
        <f t="shared" si="26"/>
        <v/>
      </c>
      <c r="J115" s="36" t="str">
        <f t="shared" si="27"/>
        <v/>
      </c>
      <c r="K115" s="36" t="str">
        <f>IF(C115=1,IF(OR('KT THAN'!$D$36&lt;=0,$K$13&lt;=0,$K$15&lt;=0),0,$K$13*$K$8*$K$12/(TAN(RADIANS(I115))*$K$15)/1000),"")</f>
        <v/>
      </c>
      <c r="L115" s="36" t="str">
        <f t="shared" si="28"/>
        <v/>
      </c>
      <c r="M115" s="36">
        <f t="shared" si="29"/>
        <v>0</v>
      </c>
      <c r="N115" s="36" t="str">
        <f t="shared" si="30"/>
        <v/>
      </c>
      <c r="O115" s="36" t="str">
        <f t="shared" si="31"/>
        <v/>
      </c>
      <c r="P115" s="36" t="str">
        <f t="shared" si="32"/>
        <v/>
      </c>
      <c r="Q115" s="36" t="str">
        <f>IF(C115=1,IF('KT THAN'!$D$36&lt;=0,"KHÔNG YÊU CẦU",IF($K$15&lt;=P115,"ĐẠT","KHÔNG ĐẠT")),"")</f>
        <v/>
      </c>
      <c r="R115" s="36" t="str">
        <f t="shared" si="33"/>
        <v/>
      </c>
    </row>
    <row r="116" spans="1:18" hidden="1" outlineLevel="1" x14ac:dyDescent="0.3">
      <c r="A116" s="36" t="str">
        <f t="shared" si="22"/>
        <v/>
      </c>
      <c r="B116" s="36" t="str">
        <f>IF('TO HOP NLAN'!$A47="","",'TO HOP NLAN'!$A47)</f>
        <v/>
      </c>
      <c r="C116" s="36">
        <f t="shared" si="23"/>
        <v>0</v>
      </c>
      <c r="D116" s="36" t="str">
        <f>IF(C116=1,-'TO HOP NLAN'!$I47,"")</f>
        <v/>
      </c>
      <c r="E116" s="36" t="str">
        <f>IF(C116=1,ABS('TO HOP NLAN'!$K47),"")</f>
        <v/>
      </c>
      <c r="F116" s="36" t="str">
        <f>IF(C116=1,ABS('TO HOP NLAN'!$G47),"")</f>
        <v/>
      </c>
      <c r="G116" s="36" t="str">
        <f t="shared" si="24"/>
        <v/>
      </c>
      <c r="H116" s="36" t="str">
        <f t="shared" si="25"/>
        <v/>
      </c>
      <c r="I116" s="36" t="str">
        <f t="shared" si="26"/>
        <v/>
      </c>
      <c r="J116" s="36" t="str">
        <f t="shared" si="27"/>
        <v/>
      </c>
      <c r="K116" s="36" t="str">
        <f>IF(C116=1,IF(OR('KT THAN'!$D$36&lt;=0,$K$13&lt;=0,$K$15&lt;=0),0,$K$13*$K$8*$K$12/(TAN(RADIANS(I116))*$K$15)/1000),"")</f>
        <v/>
      </c>
      <c r="L116" s="36" t="str">
        <f t="shared" si="28"/>
        <v/>
      </c>
      <c r="M116" s="36">
        <f t="shared" si="29"/>
        <v>0</v>
      </c>
      <c r="N116" s="36" t="str">
        <f t="shared" si="30"/>
        <v/>
      </c>
      <c r="O116" s="36" t="str">
        <f t="shared" si="31"/>
        <v/>
      </c>
      <c r="P116" s="36" t="str">
        <f t="shared" si="32"/>
        <v/>
      </c>
      <c r="Q116" s="36" t="str">
        <f>IF(C116=1,IF('KT THAN'!$D$36&lt;=0,"KHÔNG YÊU CẦU",IF($K$15&lt;=P116,"ĐẠT","KHÔNG ĐẠT")),"")</f>
        <v/>
      </c>
      <c r="R116" s="36" t="str">
        <f t="shared" si="33"/>
        <v/>
      </c>
    </row>
    <row r="117" spans="1:18" hidden="1" outlineLevel="1" x14ac:dyDescent="0.3">
      <c r="A117" s="36" t="str">
        <f t="shared" si="22"/>
        <v/>
      </c>
      <c r="B117" s="36" t="str">
        <f>IF('TO HOP NLAN'!$A48="","",'TO HOP NLAN'!$A48)</f>
        <v/>
      </c>
      <c r="C117" s="36">
        <f t="shared" si="23"/>
        <v>0</v>
      </c>
      <c r="D117" s="36" t="str">
        <f>IF(C117=1,-'TO HOP NLAN'!$I48,"")</f>
        <v/>
      </c>
      <c r="E117" s="36" t="str">
        <f>IF(C117=1,ABS('TO HOP NLAN'!$K48),"")</f>
        <v/>
      </c>
      <c r="F117" s="36" t="str">
        <f>IF(C117=1,ABS('TO HOP NLAN'!$G48),"")</f>
        <v/>
      </c>
      <c r="G117" s="36" t="str">
        <f t="shared" si="24"/>
        <v/>
      </c>
      <c r="H117" s="36" t="str">
        <f t="shared" si="25"/>
        <v/>
      </c>
      <c r="I117" s="36" t="str">
        <f t="shared" si="26"/>
        <v/>
      </c>
      <c r="J117" s="36" t="str">
        <f t="shared" si="27"/>
        <v/>
      </c>
      <c r="K117" s="36" t="str">
        <f>IF(C117=1,IF(OR('KT THAN'!$D$36&lt;=0,$K$13&lt;=0,$K$15&lt;=0),0,$K$13*$K$8*$K$12/(TAN(RADIANS(I117))*$K$15)/1000),"")</f>
        <v/>
      </c>
      <c r="L117" s="36" t="str">
        <f t="shared" si="28"/>
        <v/>
      </c>
      <c r="M117" s="36">
        <f t="shared" si="29"/>
        <v>0</v>
      </c>
      <c r="N117" s="36" t="str">
        <f t="shared" si="30"/>
        <v/>
      </c>
      <c r="O117" s="36" t="str">
        <f t="shared" si="31"/>
        <v/>
      </c>
      <c r="P117" s="36" t="str">
        <f t="shared" si="32"/>
        <v/>
      </c>
      <c r="Q117" s="36" t="str">
        <f>IF(C117=1,IF('KT THAN'!$D$36&lt;=0,"KHÔNG YÊU CẦU",IF($K$15&lt;=P117,"ĐẠT","KHÔNG ĐẠT")),"")</f>
        <v/>
      </c>
      <c r="R117" s="36" t="str">
        <f t="shared" si="33"/>
        <v/>
      </c>
    </row>
    <row r="118" spans="1:18" hidden="1" outlineLevel="1" x14ac:dyDescent="0.3">
      <c r="A118" s="36" t="str">
        <f t="shared" si="22"/>
        <v/>
      </c>
      <c r="B118" s="36" t="str">
        <f>IF('TO HOP NLAN'!$A49="","",'TO HOP NLAN'!$A49)</f>
        <v/>
      </c>
      <c r="C118" s="36">
        <f t="shared" si="23"/>
        <v>0</v>
      </c>
      <c r="D118" s="36" t="str">
        <f>IF(C118=1,-'TO HOP NLAN'!$I49,"")</f>
        <v/>
      </c>
      <c r="E118" s="36" t="str">
        <f>IF(C118=1,ABS('TO HOP NLAN'!$K49),"")</f>
        <v/>
      </c>
      <c r="F118" s="36" t="str">
        <f>IF(C118=1,ABS('TO HOP NLAN'!$G49),"")</f>
        <v/>
      </c>
      <c r="G118" s="36" t="str">
        <f t="shared" si="24"/>
        <v/>
      </c>
      <c r="H118" s="36" t="str">
        <f t="shared" si="25"/>
        <v/>
      </c>
      <c r="I118" s="36" t="str">
        <f t="shared" si="26"/>
        <v/>
      </c>
      <c r="J118" s="36" t="str">
        <f t="shared" si="27"/>
        <v/>
      </c>
      <c r="K118" s="36" t="str">
        <f>IF(C118=1,IF(OR('KT THAN'!$D$36&lt;=0,$K$13&lt;=0,$K$15&lt;=0),0,$K$13*$K$8*$K$12/(TAN(RADIANS(I118))*$K$15)/1000),"")</f>
        <v/>
      </c>
      <c r="L118" s="36" t="str">
        <f t="shared" si="28"/>
        <v/>
      </c>
      <c r="M118" s="36">
        <f t="shared" si="29"/>
        <v>0</v>
      </c>
      <c r="N118" s="36" t="str">
        <f t="shared" si="30"/>
        <v/>
      </c>
      <c r="O118" s="36" t="str">
        <f t="shared" si="31"/>
        <v/>
      </c>
      <c r="P118" s="36" t="str">
        <f t="shared" si="32"/>
        <v/>
      </c>
      <c r="Q118" s="36" t="str">
        <f>IF(C118=1,IF('KT THAN'!$D$36&lt;=0,"KHÔNG YÊU CẦU",IF($K$15&lt;=P118,"ĐẠT","KHÔNG ĐẠT")),"")</f>
        <v/>
      </c>
      <c r="R118" s="36" t="str">
        <f t="shared" si="33"/>
        <v/>
      </c>
    </row>
    <row r="119" spans="1:18" hidden="1" outlineLevel="1" x14ac:dyDescent="0.3">
      <c r="A119" s="36" t="str">
        <f t="shared" si="22"/>
        <v/>
      </c>
      <c r="B119" s="36" t="str">
        <f>IF('TO HOP NLAN'!$A50="","",'TO HOP NLAN'!$A50)</f>
        <v/>
      </c>
      <c r="C119" s="36">
        <f t="shared" si="23"/>
        <v>0</v>
      </c>
      <c r="D119" s="36" t="str">
        <f>IF(C119=1,-'TO HOP NLAN'!$I50,"")</f>
        <v/>
      </c>
      <c r="E119" s="36" t="str">
        <f>IF(C119=1,ABS('TO HOP NLAN'!$K50),"")</f>
        <v/>
      </c>
      <c r="F119" s="36" t="str">
        <f>IF(C119=1,ABS('TO HOP NLAN'!$G50),"")</f>
        <v/>
      </c>
      <c r="G119" s="36" t="str">
        <f t="shared" si="24"/>
        <v/>
      </c>
      <c r="H119" s="36" t="str">
        <f t="shared" si="25"/>
        <v/>
      </c>
      <c r="I119" s="36" t="str">
        <f t="shared" si="26"/>
        <v/>
      </c>
      <c r="J119" s="36" t="str">
        <f t="shared" si="27"/>
        <v/>
      </c>
      <c r="K119" s="36" t="str">
        <f>IF(C119=1,IF(OR('KT THAN'!$D$36&lt;=0,$K$13&lt;=0,$K$15&lt;=0),0,$K$13*$K$8*$K$12/(TAN(RADIANS(I119))*$K$15)/1000),"")</f>
        <v/>
      </c>
      <c r="L119" s="36" t="str">
        <f t="shared" si="28"/>
        <v/>
      </c>
      <c r="M119" s="36">
        <f t="shared" si="29"/>
        <v>0</v>
      </c>
      <c r="N119" s="36" t="str">
        <f t="shared" si="30"/>
        <v/>
      </c>
      <c r="O119" s="36" t="str">
        <f t="shared" si="31"/>
        <v/>
      </c>
      <c r="P119" s="36" t="str">
        <f t="shared" si="32"/>
        <v/>
      </c>
      <c r="Q119" s="36" t="str">
        <f>IF(C119=1,IF('KT THAN'!$D$36&lt;=0,"KHÔNG YÊU CẦU",IF($K$15&lt;=P119,"ĐẠT","KHÔNG ĐẠT")),"")</f>
        <v/>
      </c>
      <c r="R119" s="36" t="str">
        <f t="shared" si="33"/>
        <v/>
      </c>
    </row>
    <row r="120" spans="1:18" hidden="1" outlineLevel="1" x14ac:dyDescent="0.3">
      <c r="A120" s="36" t="str">
        <f t="shared" si="22"/>
        <v/>
      </c>
      <c r="B120" s="36" t="str">
        <f>IF('TO HOP NLAN'!$A51="","",'TO HOP NLAN'!$A51)</f>
        <v/>
      </c>
      <c r="C120" s="36">
        <f t="shared" si="23"/>
        <v>0</v>
      </c>
      <c r="D120" s="36" t="str">
        <f>IF(C120=1,-'TO HOP NLAN'!$I51,"")</f>
        <v/>
      </c>
      <c r="E120" s="36" t="str">
        <f>IF(C120=1,ABS('TO HOP NLAN'!$K51),"")</f>
        <v/>
      </c>
      <c r="F120" s="36" t="str">
        <f>IF(C120=1,ABS('TO HOP NLAN'!$G51),"")</f>
        <v/>
      </c>
      <c r="G120" s="36" t="str">
        <f t="shared" si="24"/>
        <v/>
      </c>
      <c r="H120" s="36" t="str">
        <f t="shared" si="25"/>
        <v/>
      </c>
      <c r="I120" s="36" t="str">
        <f t="shared" si="26"/>
        <v/>
      </c>
      <c r="J120" s="36" t="str">
        <f t="shared" si="27"/>
        <v/>
      </c>
      <c r="K120" s="36" t="str">
        <f>IF(C120=1,IF(OR('KT THAN'!$D$36&lt;=0,$K$13&lt;=0,$K$15&lt;=0),0,$K$13*$K$8*$K$12/(TAN(RADIANS(I120))*$K$15)/1000),"")</f>
        <v/>
      </c>
      <c r="L120" s="36" t="str">
        <f t="shared" si="28"/>
        <v/>
      </c>
      <c r="M120" s="36">
        <f t="shared" si="29"/>
        <v>0</v>
      </c>
      <c r="N120" s="36" t="str">
        <f t="shared" si="30"/>
        <v/>
      </c>
      <c r="O120" s="36" t="str">
        <f t="shared" si="31"/>
        <v/>
      </c>
      <c r="P120" s="36" t="str">
        <f t="shared" si="32"/>
        <v/>
      </c>
      <c r="Q120" s="36" t="str">
        <f>IF(C120=1,IF('KT THAN'!$D$36&lt;=0,"KHÔNG YÊU CẦU",IF($K$15&lt;=P120,"ĐẠT","KHÔNG ĐẠT")),"")</f>
        <v/>
      </c>
      <c r="R120" s="36" t="str">
        <f t="shared" si="33"/>
        <v/>
      </c>
    </row>
    <row r="121" spans="1:18" hidden="1" outlineLevel="1" x14ac:dyDescent="0.3">
      <c r="A121" s="36" t="str">
        <f t="shared" si="22"/>
        <v/>
      </c>
      <c r="B121" s="36" t="str">
        <f>IF('TO HOP NLAN'!$A52="","",'TO HOP NLAN'!$A52)</f>
        <v/>
      </c>
      <c r="C121" s="36">
        <f t="shared" si="23"/>
        <v>0</v>
      </c>
      <c r="D121" s="36" t="str">
        <f>IF(C121=1,-'TO HOP NLAN'!$I52,"")</f>
        <v/>
      </c>
      <c r="E121" s="36" t="str">
        <f>IF(C121=1,ABS('TO HOP NLAN'!$K52),"")</f>
        <v/>
      </c>
      <c r="F121" s="36" t="str">
        <f>IF(C121=1,ABS('TO HOP NLAN'!$G52),"")</f>
        <v/>
      </c>
      <c r="G121" s="36" t="str">
        <f t="shared" si="24"/>
        <v/>
      </c>
      <c r="H121" s="36" t="str">
        <f t="shared" si="25"/>
        <v/>
      </c>
      <c r="I121" s="36" t="str">
        <f t="shared" si="26"/>
        <v/>
      </c>
      <c r="J121" s="36" t="str">
        <f t="shared" si="27"/>
        <v/>
      </c>
      <c r="K121" s="36" t="str">
        <f>IF(C121=1,IF(OR('KT THAN'!$D$36&lt;=0,$K$13&lt;=0,$K$15&lt;=0),0,$K$13*$K$8*$K$12/(TAN(RADIANS(I121))*$K$15)/1000),"")</f>
        <v/>
      </c>
      <c r="L121" s="36" t="str">
        <f t="shared" si="28"/>
        <v/>
      </c>
      <c r="M121" s="36">
        <f t="shared" si="29"/>
        <v>0</v>
      </c>
      <c r="N121" s="36" t="str">
        <f t="shared" si="30"/>
        <v/>
      </c>
      <c r="O121" s="36" t="str">
        <f t="shared" si="31"/>
        <v/>
      </c>
      <c r="P121" s="36" t="str">
        <f t="shared" si="32"/>
        <v/>
      </c>
      <c r="Q121" s="36" t="str">
        <f>IF(C121=1,IF('KT THAN'!$D$36&lt;=0,"KHÔNG YÊU CẦU",IF($K$15&lt;=P121,"ĐẠT","KHÔNG ĐẠT")),"")</f>
        <v/>
      </c>
      <c r="R121" s="36" t="str">
        <f t="shared" si="33"/>
        <v/>
      </c>
    </row>
    <row r="122" spans="1:18" hidden="1" outlineLevel="1" x14ac:dyDescent="0.3">
      <c r="A122" s="36" t="str">
        <f t="shared" si="22"/>
        <v/>
      </c>
      <c r="B122" s="36" t="str">
        <f>IF('TO HOP NLAN'!$A53="","",'TO HOP NLAN'!$A53)</f>
        <v/>
      </c>
      <c r="C122" s="36">
        <f t="shared" si="23"/>
        <v>0</v>
      </c>
      <c r="D122" s="36" t="str">
        <f>IF(C122=1,-'TO HOP NLAN'!$I53,"")</f>
        <v/>
      </c>
      <c r="E122" s="36" t="str">
        <f>IF(C122=1,ABS('TO HOP NLAN'!$K53),"")</f>
        <v/>
      </c>
      <c r="F122" s="36" t="str">
        <f>IF(C122=1,ABS('TO HOP NLAN'!$G53),"")</f>
        <v/>
      </c>
      <c r="G122" s="36" t="str">
        <f t="shared" si="24"/>
        <v/>
      </c>
      <c r="H122" s="36" t="str">
        <f t="shared" si="25"/>
        <v/>
      </c>
      <c r="I122" s="36" t="str">
        <f t="shared" si="26"/>
        <v/>
      </c>
      <c r="J122" s="36" t="str">
        <f t="shared" si="27"/>
        <v/>
      </c>
      <c r="K122" s="36" t="str">
        <f>IF(C122=1,IF(OR('KT THAN'!$D$36&lt;=0,$K$13&lt;=0,$K$15&lt;=0),0,$K$13*$K$8*$K$12/(TAN(RADIANS(I122))*$K$15)/1000),"")</f>
        <v/>
      </c>
      <c r="L122" s="36" t="str">
        <f t="shared" si="28"/>
        <v/>
      </c>
      <c r="M122" s="36">
        <f t="shared" si="29"/>
        <v>0</v>
      </c>
      <c r="N122" s="36" t="str">
        <f t="shared" si="30"/>
        <v/>
      </c>
      <c r="O122" s="36" t="str">
        <f t="shared" si="31"/>
        <v/>
      </c>
      <c r="P122" s="36" t="str">
        <f t="shared" si="32"/>
        <v/>
      </c>
      <c r="Q122" s="36" t="str">
        <f>IF(C122=1,IF('KT THAN'!$D$36&lt;=0,"KHÔNG YÊU CẦU",IF($K$15&lt;=P122,"ĐẠT","KHÔNG ĐẠT")),"")</f>
        <v/>
      </c>
      <c r="R122" s="36" t="str">
        <f t="shared" si="33"/>
        <v/>
      </c>
    </row>
    <row r="123" spans="1:18" hidden="1" outlineLevel="1" x14ac:dyDescent="0.3">
      <c r="A123" s="36" t="str">
        <f t="shared" si="22"/>
        <v/>
      </c>
      <c r="B123" s="36" t="str">
        <f>IF('TO HOP NLAN'!$A54="","",'TO HOP NLAN'!$A54)</f>
        <v/>
      </c>
      <c r="C123" s="36">
        <f t="shared" si="23"/>
        <v>0</v>
      </c>
      <c r="D123" s="36" t="str">
        <f>IF(C123=1,-'TO HOP NLAN'!$I54,"")</f>
        <v/>
      </c>
      <c r="E123" s="36" t="str">
        <f>IF(C123=1,ABS('TO HOP NLAN'!$K54),"")</f>
        <v/>
      </c>
      <c r="F123" s="36" t="str">
        <f>IF(C123=1,ABS('TO HOP NLAN'!$G54),"")</f>
        <v/>
      </c>
      <c r="G123" s="36" t="str">
        <f t="shared" si="24"/>
        <v/>
      </c>
      <c r="H123" s="36" t="str">
        <f t="shared" si="25"/>
        <v/>
      </c>
      <c r="I123" s="36" t="str">
        <f t="shared" si="26"/>
        <v/>
      </c>
      <c r="J123" s="36" t="str">
        <f t="shared" si="27"/>
        <v/>
      </c>
      <c r="K123" s="36" t="str">
        <f>IF(C123=1,IF(OR('KT THAN'!$D$36&lt;=0,$K$13&lt;=0,$K$15&lt;=0),0,$K$13*$K$8*$K$12/(TAN(RADIANS(I123))*$K$15)/1000),"")</f>
        <v/>
      </c>
      <c r="L123" s="36" t="str">
        <f t="shared" si="28"/>
        <v/>
      </c>
      <c r="M123" s="36">
        <f t="shared" si="29"/>
        <v>0</v>
      </c>
      <c r="N123" s="36" t="str">
        <f t="shared" si="30"/>
        <v/>
      </c>
      <c r="O123" s="36" t="str">
        <f t="shared" si="31"/>
        <v/>
      </c>
      <c r="P123" s="36" t="str">
        <f t="shared" si="32"/>
        <v/>
      </c>
      <c r="Q123" s="36" t="str">
        <f>IF(C123=1,IF('KT THAN'!$D$36&lt;=0,"KHÔNG YÊU CẦU",IF($K$15&lt;=P123,"ĐẠT","KHÔNG ĐẠT")),"")</f>
        <v/>
      </c>
      <c r="R123" s="36" t="str">
        <f t="shared" si="33"/>
        <v/>
      </c>
    </row>
    <row r="124" spans="1:18" hidden="1" outlineLevel="1" x14ac:dyDescent="0.3">
      <c r="A124" s="36" t="str">
        <f t="shared" si="22"/>
        <v/>
      </c>
      <c r="B124" s="36" t="str">
        <f>IF('TO HOP NLAN'!$A55="","",'TO HOP NLAN'!$A55)</f>
        <v/>
      </c>
      <c r="C124" s="36">
        <f t="shared" si="23"/>
        <v>0</v>
      </c>
      <c r="D124" s="36" t="str">
        <f>IF(C124=1,-'TO HOP NLAN'!$I55,"")</f>
        <v/>
      </c>
      <c r="E124" s="36" t="str">
        <f>IF(C124=1,ABS('TO HOP NLAN'!$K55),"")</f>
        <v/>
      </c>
      <c r="F124" s="36" t="str">
        <f>IF(C124=1,ABS('TO HOP NLAN'!$G55),"")</f>
        <v/>
      </c>
      <c r="G124" s="36" t="str">
        <f t="shared" si="24"/>
        <v/>
      </c>
      <c r="H124" s="36" t="str">
        <f t="shared" si="25"/>
        <v/>
      </c>
      <c r="I124" s="36" t="str">
        <f t="shared" si="26"/>
        <v/>
      </c>
      <c r="J124" s="36" t="str">
        <f t="shared" si="27"/>
        <v/>
      </c>
      <c r="K124" s="36" t="str">
        <f>IF(C124=1,IF(OR('KT THAN'!$D$36&lt;=0,$K$13&lt;=0,$K$15&lt;=0),0,$K$13*$K$8*$K$12/(TAN(RADIANS(I124))*$K$15)/1000),"")</f>
        <v/>
      </c>
      <c r="L124" s="36" t="str">
        <f t="shared" si="28"/>
        <v/>
      </c>
      <c r="M124" s="36">
        <f t="shared" si="29"/>
        <v>0</v>
      </c>
      <c r="N124" s="36" t="str">
        <f t="shared" si="30"/>
        <v/>
      </c>
      <c r="O124" s="36" t="str">
        <f t="shared" si="31"/>
        <v/>
      </c>
      <c r="P124" s="36" t="str">
        <f t="shared" si="32"/>
        <v/>
      </c>
      <c r="Q124" s="36" t="str">
        <f>IF(C124=1,IF('KT THAN'!$D$36&lt;=0,"KHÔNG YÊU CẦU",IF($K$15&lt;=P124,"ĐẠT","KHÔNG ĐẠT")),"")</f>
        <v/>
      </c>
      <c r="R124" s="36" t="str">
        <f t="shared" si="33"/>
        <v/>
      </c>
    </row>
    <row r="125" spans="1:18" hidden="1" outlineLevel="1" x14ac:dyDescent="0.3">
      <c r="A125" s="36" t="str">
        <f t="shared" si="22"/>
        <v/>
      </c>
      <c r="B125" s="36" t="str">
        <f>IF('TO HOP NLAN'!$A56="","",'TO HOP NLAN'!$A56)</f>
        <v/>
      </c>
      <c r="C125" s="36">
        <f t="shared" si="23"/>
        <v>0</v>
      </c>
      <c r="D125" s="36" t="str">
        <f>IF(C125=1,-'TO HOP NLAN'!$I56,"")</f>
        <v/>
      </c>
      <c r="E125" s="36" t="str">
        <f>IF(C125=1,ABS('TO HOP NLAN'!$K56),"")</f>
        <v/>
      </c>
      <c r="F125" s="36" t="str">
        <f>IF(C125=1,ABS('TO HOP NLAN'!$G56),"")</f>
        <v/>
      </c>
      <c r="G125" s="36" t="str">
        <f t="shared" si="24"/>
        <v/>
      </c>
      <c r="H125" s="36" t="str">
        <f t="shared" si="25"/>
        <v/>
      </c>
      <c r="I125" s="36" t="str">
        <f t="shared" si="26"/>
        <v/>
      </c>
      <c r="J125" s="36" t="str">
        <f t="shared" si="27"/>
        <v/>
      </c>
      <c r="K125" s="36" t="str">
        <f>IF(C125=1,IF(OR('KT THAN'!$D$36&lt;=0,$K$13&lt;=0,$K$15&lt;=0),0,$K$13*$K$8*$K$12/(TAN(RADIANS(I125))*$K$15)/1000),"")</f>
        <v/>
      </c>
      <c r="L125" s="36" t="str">
        <f t="shared" si="28"/>
        <v/>
      </c>
      <c r="M125" s="36">
        <f t="shared" si="29"/>
        <v>0</v>
      </c>
      <c r="N125" s="36" t="str">
        <f t="shared" si="30"/>
        <v/>
      </c>
      <c r="O125" s="36" t="str">
        <f t="shared" si="31"/>
        <v/>
      </c>
      <c r="P125" s="36" t="str">
        <f t="shared" si="32"/>
        <v/>
      </c>
      <c r="Q125" s="36" t="str">
        <f>IF(C125=1,IF('KT THAN'!$D$36&lt;=0,"KHÔNG YÊU CẦU",IF($K$15&lt;=P125,"ĐẠT","KHÔNG ĐẠT")),"")</f>
        <v/>
      </c>
      <c r="R125" s="36" t="str">
        <f t="shared" si="33"/>
        <v/>
      </c>
    </row>
    <row r="126" spans="1:18" hidden="1" outlineLevel="1" x14ac:dyDescent="0.3">
      <c r="A126" s="36" t="str">
        <f t="shared" si="22"/>
        <v/>
      </c>
      <c r="B126" s="36" t="str">
        <f>IF('TO HOP NLAN'!$A57="","",'TO HOP NLAN'!$A57)</f>
        <v/>
      </c>
      <c r="C126" s="36">
        <f t="shared" si="23"/>
        <v>0</v>
      </c>
      <c r="D126" s="36" t="str">
        <f>IF(C126=1,-'TO HOP NLAN'!$I57,"")</f>
        <v/>
      </c>
      <c r="E126" s="36" t="str">
        <f>IF(C126=1,ABS('TO HOP NLAN'!$K57),"")</f>
        <v/>
      </c>
      <c r="F126" s="36" t="str">
        <f>IF(C126=1,ABS('TO HOP NLAN'!$G57),"")</f>
        <v/>
      </c>
      <c r="G126" s="36" t="str">
        <f t="shared" si="24"/>
        <v/>
      </c>
      <c r="H126" s="36" t="str">
        <f t="shared" si="25"/>
        <v/>
      </c>
      <c r="I126" s="36" t="str">
        <f t="shared" si="26"/>
        <v/>
      </c>
      <c r="J126" s="36" t="str">
        <f t="shared" si="27"/>
        <v/>
      </c>
      <c r="K126" s="36" t="str">
        <f>IF(C126=1,IF(OR('KT THAN'!$D$36&lt;=0,$K$13&lt;=0,$K$15&lt;=0),0,$K$13*$K$8*$K$12/(TAN(RADIANS(I126))*$K$15)/1000),"")</f>
        <v/>
      </c>
      <c r="L126" s="36" t="str">
        <f t="shared" si="28"/>
        <v/>
      </c>
      <c r="M126" s="36">
        <f t="shared" si="29"/>
        <v>0</v>
      </c>
      <c r="N126" s="36" t="str">
        <f t="shared" si="30"/>
        <v/>
      </c>
      <c r="O126" s="36" t="str">
        <f t="shared" si="31"/>
        <v/>
      </c>
      <c r="P126" s="36" t="str">
        <f t="shared" si="32"/>
        <v/>
      </c>
      <c r="Q126" s="36" t="str">
        <f>IF(C126=1,IF('KT THAN'!$D$36&lt;=0,"KHÔNG YÊU CẦU",IF($K$15&lt;=P126,"ĐẠT","KHÔNG ĐẠT")),"")</f>
        <v/>
      </c>
      <c r="R126" s="36" t="str">
        <f t="shared" si="33"/>
        <v/>
      </c>
    </row>
    <row r="127" spans="1:18" hidden="1" outlineLevel="1" x14ac:dyDescent="0.3">
      <c r="A127" s="36" t="str">
        <f t="shared" si="22"/>
        <v/>
      </c>
      <c r="B127" s="36" t="str">
        <f>IF('TO HOP NLAN'!$A58="","",'TO HOP NLAN'!$A58)</f>
        <v/>
      </c>
      <c r="C127" s="36">
        <f t="shared" si="23"/>
        <v>0</v>
      </c>
      <c r="D127" s="36" t="str">
        <f>IF(C127=1,-'TO HOP NLAN'!$I58,"")</f>
        <v/>
      </c>
      <c r="E127" s="36" t="str">
        <f>IF(C127=1,ABS('TO HOP NLAN'!$K58),"")</f>
        <v/>
      </c>
      <c r="F127" s="36" t="str">
        <f>IF(C127=1,ABS('TO HOP NLAN'!$G58),"")</f>
        <v/>
      </c>
      <c r="G127" s="36" t="str">
        <f t="shared" si="24"/>
        <v/>
      </c>
      <c r="H127" s="36" t="str">
        <f t="shared" si="25"/>
        <v/>
      </c>
      <c r="I127" s="36" t="str">
        <f t="shared" si="26"/>
        <v/>
      </c>
      <c r="J127" s="36" t="str">
        <f t="shared" si="27"/>
        <v/>
      </c>
      <c r="K127" s="36" t="str">
        <f>IF(C127=1,IF(OR('KT THAN'!$D$36&lt;=0,$K$13&lt;=0,$K$15&lt;=0),0,$K$13*$K$8*$K$12/(TAN(RADIANS(I127))*$K$15)/1000),"")</f>
        <v/>
      </c>
      <c r="L127" s="36" t="str">
        <f t="shared" si="28"/>
        <v/>
      </c>
      <c r="M127" s="36">
        <f t="shared" si="29"/>
        <v>0</v>
      </c>
      <c r="N127" s="36" t="str">
        <f t="shared" si="30"/>
        <v/>
      </c>
      <c r="O127" s="36" t="str">
        <f t="shared" si="31"/>
        <v/>
      </c>
      <c r="P127" s="36" t="str">
        <f t="shared" si="32"/>
        <v/>
      </c>
      <c r="Q127" s="36" t="str">
        <f>IF(C127=1,IF('KT THAN'!$D$36&lt;=0,"KHÔNG YÊU CẦU",IF($K$15&lt;=P127,"ĐẠT","KHÔNG ĐẠT")),"")</f>
        <v/>
      </c>
      <c r="R127" s="36" t="str">
        <f t="shared" si="33"/>
        <v/>
      </c>
    </row>
    <row r="128" spans="1:18" hidden="1" outlineLevel="1" x14ac:dyDescent="0.3">
      <c r="A128" s="36" t="str">
        <f t="shared" si="22"/>
        <v/>
      </c>
      <c r="B128" s="36" t="str">
        <f>IF('TO HOP NLAN'!$A59="","",'TO HOP NLAN'!$A59)</f>
        <v/>
      </c>
      <c r="C128" s="36">
        <f t="shared" si="23"/>
        <v>0</v>
      </c>
      <c r="D128" s="36" t="str">
        <f>IF(C128=1,-'TO HOP NLAN'!$I59,"")</f>
        <v/>
      </c>
      <c r="E128" s="36" t="str">
        <f>IF(C128=1,ABS('TO HOP NLAN'!$K59),"")</f>
        <v/>
      </c>
      <c r="F128" s="36" t="str">
        <f>IF(C128=1,ABS('TO HOP NLAN'!$G59),"")</f>
        <v/>
      </c>
      <c r="G128" s="36" t="str">
        <f t="shared" si="24"/>
        <v/>
      </c>
      <c r="H128" s="36" t="str">
        <f t="shared" si="25"/>
        <v/>
      </c>
      <c r="I128" s="36" t="str">
        <f t="shared" si="26"/>
        <v/>
      </c>
      <c r="J128" s="36" t="str">
        <f t="shared" si="27"/>
        <v/>
      </c>
      <c r="K128" s="36" t="str">
        <f>IF(C128=1,IF(OR('KT THAN'!$D$36&lt;=0,$K$13&lt;=0,$K$15&lt;=0),0,$K$13*$K$8*$K$12/(TAN(RADIANS(I128))*$K$15)/1000),"")</f>
        <v/>
      </c>
      <c r="L128" s="36" t="str">
        <f t="shared" si="28"/>
        <v/>
      </c>
      <c r="M128" s="36">
        <f t="shared" si="29"/>
        <v>0</v>
      </c>
      <c r="N128" s="36" t="str">
        <f t="shared" si="30"/>
        <v/>
      </c>
      <c r="O128" s="36" t="str">
        <f t="shared" si="31"/>
        <v/>
      </c>
      <c r="P128" s="36" t="str">
        <f t="shared" si="32"/>
        <v/>
      </c>
      <c r="Q128" s="36" t="str">
        <f>IF(C128=1,IF('KT THAN'!$D$36&lt;=0,"KHÔNG YÊU CẦU",IF($K$15&lt;=P128,"ĐẠT","KHÔNG ĐẠT")),"")</f>
        <v/>
      </c>
      <c r="R128" s="36" t="str">
        <f t="shared" si="33"/>
        <v/>
      </c>
    </row>
    <row r="129" spans="1:18" hidden="1" outlineLevel="1" x14ac:dyDescent="0.3">
      <c r="A129" s="36" t="str">
        <f t="shared" si="22"/>
        <v/>
      </c>
      <c r="B129" s="36" t="str">
        <f>IF('TO HOP NLAN'!$A60="","",'TO HOP NLAN'!$A60)</f>
        <v/>
      </c>
      <c r="C129" s="36">
        <f t="shared" si="23"/>
        <v>0</v>
      </c>
      <c r="D129" s="36" t="str">
        <f>IF(C129=1,-'TO HOP NLAN'!$I60,"")</f>
        <v/>
      </c>
      <c r="E129" s="36" t="str">
        <f>IF(C129=1,ABS('TO HOP NLAN'!$K60),"")</f>
        <v/>
      </c>
      <c r="F129" s="36" t="str">
        <f>IF(C129=1,ABS('TO HOP NLAN'!$G60),"")</f>
        <v/>
      </c>
      <c r="G129" s="36" t="str">
        <f t="shared" si="24"/>
        <v/>
      </c>
      <c r="H129" s="36" t="str">
        <f t="shared" si="25"/>
        <v/>
      </c>
      <c r="I129" s="36" t="str">
        <f t="shared" si="26"/>
        <v/>
      </c>
      <c r="J129" s="36" t="str">
        <f t="shared" si="27"/>
        <v/>
      </c>
      <c r="K129" s="36" t="str">
        <f>IF(C129=1,IF(OR('KT THAN'!$D$36&lt;=0,$K$13&lt;=0,$K$15&lt;=0),0,$K$13*$K$8*$K$12/(TAN(RADIANS(I129))*$K$15)/1000),"")</f>
        <v/>
      </c>
      <c r="L129" s="36" t="str">
        <f t="shared" si="28"/>
        <v/>
      </c>
      <c r="M129" s="36">
        <f t="shared" si="29"/>
        <v>0</v>
      </c>
      <c r="N129" s="36" t="str">
        <f t="shared" si="30"/>
        <v/>
      </c>
      <c r="O129" s="36" t="str">
        <f t="shared" si="31"/>
        <v/>
      </c>
      <c r="P129" s="36" t="str">
        <f t="shared" si="32"/>
        <v/>
      </c>
      <c r="Q129" s="36" t="str">
        <f>IF(C129=1,IF('KT THAN'!$D$36&lt;=0,"KHÔNG YÊU CẦU",IF($K$15&lt;=P129,"ĐẠT","KHÔNG ĐẠT")),"")</f>
        <v/>
      </c>
      <c r="R129" s="36" t="str">
        <f t="shared" si="33"/>
        <v/>
      </c>
    </row>
    <row r="130" spans="1:18" hidden="1" outlineLevel="1" x14ac:dyDescent="0.3">
      <c r="A130" s="36" t="str">
        <f t="shared" si="22"/>
        <v/>
      </c>
      <c r="B130" s="36" t="str">
        <f>IF('TO HOP NLAN'!$A61="","",'TO HOP NLAN'!$A61)</f>
        <v/>
      </c>
      <c r="C130" s="36">
        <f t="shared" si="23"/>
        <v>0</v>
      </c>
      <c r="D130" s="36" t="str">
        <f>IF(C130=1,-'TO HOP NLAN'!$I61,"")</f>
        <v/>
      </c>
      <c r="E130" s="36" t="str">
        <f>IF(C130=1,ABS('TO HOP NLAN'!$K61),"")</f>
        <v/>
      </c>
      <c r="F130" s="36" t="str">
        <f>IF(C130=1,ABS('TO HOP NLAN'!$G61),"")</f>
        <v/>
      </c>
      <c r="G130" s="36" t="str">
        <f t="shared" si="24"/>
        <v/>
      </c>
      <c r="H130" s="36" t="str">
        <f t="shared" si="25"/>
        <v/>
      </c>
      <c r="I130" s="36" t="str">
        <f t="shared" si="26"/>
        <v/>
      </c>
      <c r="J130" s="36" t="str">
        <f t="shared" si="27"/>
        <v/>
      </c>
      <c r="K130" s="36" t="str">
        <f>IF(C130=1,IF(OR('KT THAN'!$D$36&lt;=0,$K$13&lt;=0,$K$15&lt;=0),0,$K$13*$K$8*$K$12/(TAN(RADIANS(I130))*$K$15)/1000),"")</f>
        <v/>
      </c>
      <c r="L130" s="36" t="str">
        <f t="shared" si="28"/>
        <v/>
      </c>
      <c r="M130" s="36">
        <f t="shared" si="29"/>
        <v>0</v>
      </c>
      <c r="N130" s="36" t="str">
        <f t="shared" si="30"/>
        <v/>
      </c>
      <c r="O130" s="36" t="str">
        <f t="shared" si="31"/>
        <v/>
      </c>
      <c r="P130" s="36" t="str">
        <f t="shared" si="32"/>
        <v/>
      </c>
      <c r="Q130" s="36" t="str">
        <f>IF(C130=1,IF('KT THAN'!$D$36&lt;=0,"KHÔNG YÊU CẦU",IF($K$15&lt;=P130,"ĐẠT","KHÔNG ĐẠT")),"")</f>
        <v/>
      </c>
      <c r="R130" s="36" t="str">
        <f t="shared" si="33"/>
        <v/>
      </c>
    </row>
    <row r="131" spans="1:18" hidden="1" outlineLevel="1" x14ac:dyDescent="0.3">
      <c r="A131" s="36" t="str">
        <f t="shared" si="22"/>
        <v/>
      </c>
      <c r="B131" s="36" t="str">
        <f>IF('TO HOP NLAN'!$A62="","",'TO HOP NLAN'!$A62)</f>
        <v/>
      </c>
      <c r="C131" s="36">
        <f t="shared" si="23"/>
        <v>0</v>
      </c>
      <c r="D131" s="36" t="str">
        <f>IF(C131=1,-'TO HOP NLAN'!$I62,"")</f>
        <v/>
      </c>
      <c r="E131" s="36" t="str">
        <f>IF(C131=1,ABS('TO HOP NLAN'!$K62),"")</f>
        <v/>
      </c>
      <c r="F131" s="36" t="str">
        <f>IF(C131=1,ABS('TO HOP NLAN'!$G62),"")</f>
        <v/>
      </c>
      <c r="G131" s="36" t="str">
        <f t="shared" si="24"/>
        <v/>
      </c>
      <c r="H131" s="36" t="str">
        <f t="shared" si="25"/>
        <v/>
      </c>
      <c r="I131" s="36" t="str">
        <f t="shared" si="26"/>
        <v/>
      </c>
      <c r="J131" s="36" t="str">
        <f t="shared" si="27"/>
        <v/>
      </c>
      <c r="K131" s="36" t="str">
        <f>IF(C131=1,IF(OR('KT THAN'!$D$36&lt;=0,$K$13&lt;=0,$K$15&lt;=0),0,$K$13*$K$8*$K$12/(TAN(RADIANS(I131))*$K$15)/1000),"")</f>
        <v/>
      </c>
      <c r="L131" s="36" t="str">
        <f t="shared" si="28"/>
        <v/>
      </c>
      <c r="M131" s="36">
        <f t="shared" si="29"/>
        <v>0</v>
      </c>
      <c r="N131" s="36" t="str">
        <f t="shared" si="30"/>
        <v/>
      </c>
      <c r="O131" s="36" t="str">
        <f t="shared" si="31"/>
        <v/>
      </c>
      <c r="P131" s="36" t="str">
        <f t="shared" si="32"/>
        <v/>
      </c>
      <c r="Q131" s="36" t="str">
        <f>IF(C131=1,IF('KT THAN'!$D$36&lt;=0,"KHÔNG YÊU CẦU",IF($K$15&lt;=P131,"ĐẠT","KHÔNG ĐẠT")),"")</f>
        <v/>
      </c>
      <c r="R131" s="36" t="str">
        <f t="shared" si="33"/>
        <v/>
      </c>
    </row>
    <row r="132" spans="1:18" hidden="1" outlineLevel="1" x14ac:dyDescent="0.3">
      <c r="A132" s="36" t="str">
        <f t="shared" si="22"/>
        <v/>
      </c>
      <c r="B132" s="36" t="str">
        <f>IF('TO HOP NLAN'!$A63="","",'TO HOP NLAN'!$A63)</f>
        <v/>
      </c>
      <c r="C132" s="36">
        <f t="shared" si="23"/>
        <v>0</v>
      </c>
      <c r="D132" s="36" t="str">
        <f>IF(C132=1,-'TO HOP NLAN'!$I63,"")</f>
        <v/>
      </c>
      <c r="E132" s="36" t="str">
        <f>IF(C132=1,ABS('TO HOP NLAN'!$K63),"")</f>
        <v/>
      </c>
      <c r="F132" s="36" t="str">
        <f>IF(C132=1,ABS('TO HOP NLAN'!$G63),"")</f>
        <v/>
      </c>
      <c r="G132" s="36" t="str">
        <f t="shared" si="24"/>
        <v/>
      </c>
      <c r="H132" s="36" t="str">
        <f t="shared" si="25"/>
        <v/>
      </c>
      <c r="I132" s="36" t="str">
        <f t="shared" si="26"/>
        <v/>
      </c>
      <c r="J132" s="36" t="str">
        <f t="shared" si="27"/>
        <v/>
      </c>
      <c r="K132" s="36" t="str">
        <f>IF(C132=1,IF(OR('KT THAN'!$D$36&lt;=0,$K$13&lt;=0,$K$15&lt;=0),0,$K$13*$K$8*$K$12/(TAN(RADIANS(I132))*$K$15)/1000),"")</f>
        <v/>
      </c>
      <c r="L132" s="36" t="str">
        <f t="shared" si="28"/>
        <v/>
      </c>
      <c r="M132" s="36">
        <f t="shared" si="29"/>
        <v>0</v>
      </c>
      <c r="N132" s="36" t="str">
        <f t="shared" si="30"/>
        <v/>
      </c>
      <c r="O132" s="36" t="str">
        <f t="shared" si="31"/>
        <v/>
      </c>
      <c r="P132" s="36" t="str">
        <f t="shared" si="32"/>
        <v/>
      </c>
      <c r="Q132" s="36" t="str">
        <f>IF(C132=1,IF('KT THAN'!$D$36&lt;=0,"KHÔNG YÊU CẦU",IF($K$15&lt;=P132,"ĐẠT","KHÔNG ĐẠT")),"")</f>
        <v/>
      </c>
      <c r="R132" s="36" t="str">
        <f t="shared" si="33"/>
        <v/>
      </c>
    </row>
    <row r="133" spans="1:18" hidden="1" outlineLevel="1" x14ac:dyDescent="0.3">
      <c r="A133" s="36" t="str">
        <f t="shared" si="22"/>
        <v/>
      </c>
      <c r="B133" s="36" t="str">
        <f>IF('TO HOP NLAN'!$A64="","",'TO HOP NLAN'!$A64)</f>
        <v/>
      </c>
      <c r="C133" s="36">
        <f t="shared" si="23"/>
        <v>0</v>
      </c>
      <c r="D133" s="36" t="str">
        <f>IF(C133=1,-'TO HOP NLAN'!$I64,"")</f>
        <v/>
      </c>
      <c r="E133" s="36" t="str">
        <f>IF(C133=1,ABS('TO HOP NLAN'!$K64),"")</f>
        <v/>
      </c>
      <c r="F133" s="36" t="str">
        <f>IF(C133=1,ABS('TO HOP NLAN'!$G64),"")</f>
        <v/>
      </c>
      <c r="G133" s="36" t="str">
        <f t="shared" si="24"/>
        <v/>
      </c>
      <c r="H133" s="36" t="str">
        <f t="shared" si="25"/>
        <v/>
      </c>
      <c r="I133" s="36" t="str">
        <f t="shared" si="26"/>
        <v/>
      </c>
      <c r="J133" s="36" t="str">
        <f t="shared" si="27"/>
        <v/>
      </c>
      <c r="K133" s="36" t="str">
        <f>IF(C133=1,IF(OR('KT THAN'!$D$36&lt;=0,$K$13&lt;=0,$K$15&lt;=0),0,$K$13*$K$8*$K$12/(TAN(RADIANS(I133))*$K$15)/1000),"")</f>
        <v/>
      </c>
      <c r="L133" s="36" t="str">
        <f t="shared" si="28"/>
        <v/>
      </c>
      <c r="M133" s="36">
        <f t="shared" si="29"/>
        <v>0</v>
      </c>
      <c r="N133" s="36" t="str">
        <f t="shared" si="30"/>
        <v/>
      </c>
      <c r="O133" s="36" t="str">
        <f t="shared" si="31"/>
        <v/>
      </c>
      <c r="P133" s="36" t="str">
        <f t="shared" si="32"/>
        <v/>
      </c>
      <c r="Q133" s="36" t="str">
        <f>IF(C133=1,IF('KT THAN'!$D$36&lt;=0,"KHÔNG YÊU CẦU",IF($K$15&lt;=P133,"ĐẠT","KHÔNG ĐẠT")),"")</f>
        <v/>
      </c>
      <c r="R133" s="36" t="str">
        <f t="shared" si="33"/>
        <v/>
      </c>
    </row>
    <row r="134" spans="1:18" hidden="1" outlineLevel="1" x14ac:dyDescent="0.3">
      <c r="A134" s="36" t="str">
        <f t="shared" si="22"/>
        <v/>
      </c>
      <c r="B134" s="36" t="str">
        <f>IF('TO HOP NLAN'!$A65="","",'TO HOP NLAN'!$A65)</f>
        <v/>
      </c>
      <c r="C134" s="36">
        <f t="shared" si="23"/>
        <v>0</v>
      </c>
      <c r="D134" s="36" t="str">
        <f>IF(C134=1,-'TO HOP NLAN'!$I65,"")</f>
        <v/>
      </c>
      <c r="E134" s="36" t="str">
        <f>IF(C134=1,ABS('TO HOP NLAN'!$K65),"")</f>
        <v/>
      </c>
      <c r="F134" s="36" t="str">
        <f>IF(C134=1,ABS('TO HOP NLAN'!$G65),"")</f>
        <v/>
      </c>
      <c r="G134" s="36" t="str">
        <f t="shared" si="24"/>
        <v/>
      </c>
      <c r="H134" s="36" t="str">
        <f t="shared" si="25"/>
        <v/>
      </c>
      <c r="I134" s="36" t="str">
        <f t="shared" si="26"/>
        <v/>
      </c>
      <c r="J134" s="36" t="str">
        <f t="shared" si="27"/>
        <v/>
      </c>
      <c r="K134" s="36" t="str">
        <f>IF(C134=1,IF(OR('KT THAN'!$D$36&lt;=0,$K$13&lt;=0,$K$15&lt;=0),0,$K$13*$K$8*$K$12/(TAN(RADIANS(I134))*$K$15)/1000),"")</f>
        <v/>
      </c>
      <c r="L134" s="36" t="str">
        <f t="shared" si="28"/>
        <v/>
      </c>
      <c r="M134" s="36">
        <f t="shared" si="29"/>
        <v>0</v>
      </c>
      <c r="N134" s="36" t="str">
        <f t="shared" si="30"/>
        <v/>
      </c>
      <c r="O134" s="36" t="str">
        <f t="shared" si="31"/>
        <v/>
      </c>
      <c r="P134" s="36" t="str">
        <f t="shared" si="32"/>
        <v/>
      </c>
      <c r="Q134" s="36" t="str">
        <f>IF(C134=1,IF('KT THAN'!$D$36&lt;=0,"KHÔNG YÊU CẦU",IF($K$15&lt;=P134,"ĐẠT","KHÔNG ĐẠT")),"")</f>
        <v/>
      </c>
      <c r="R134" s="36" t="str">
        <f t="shared" si="33"/>
        <v/>
      </c>
    </row>
    <row r="135" spans="1:18" hidden="1" outlineLevel="1" x14ac:dyDescent="0.3">
      <c r="A135" s="36" t="str">
        <f t="shared" si="22"/>
        <v/>
      </c>
      <c r="B135" s="36" t="str">
        <f>IF('TO HOP NLAN'!$A66="","",'TO HOP NLAN'!$A66)</f>
        <v/>
      </c>
      <c r="C135" s="36">
        <f t="shared" si="23"/>
        <v>0</v>
      </c>
      <c r="D135" s="36" t="str">
        <f>IF(C135=1,-'TO HOP NLAN'!$I66,"")</f>
        <v/>
      </c>
      <c r="E135" s="36" t="str">
        <f>IF(C135=1,ABS('TO HOP NLAN'!$K66),"")</f>
        <v/>
      </c>
      <c r="F135" s="36" t="str">
        <f>IF(C135=1,ABS('TO HOP NLAN'!$G66),"")</f>
        <v/>
      </c>
      <c r="G135" s="36" t="str">
        <f t="shared" si="24"/>
        <v/>
      </c>
      <c r="H135" s="36" t="str">
        <f t="shared" si="25"/>
        <v/>
      </c>
      <c r="I135" s="36" t="str">
        <f t="shared" si="26"/>
        <v/>
      </c>
      <c r="J135" s="36" t="str">
        <f t="shared" si="27"/>
        <v/>
      </c>
      <c r="K135" s="36" t="str">
        <f>IF(C135=1,IF(OR('KT THAN'!$D$36&lt;=0,$K$13&lt;=0,$K$15&lt;=0),0,$K$13*$K$8*$K$12/(TAN(RADIANS(I135))*$K$15)/1000),"")</f>
        <v/>
      </c>
      <c r="L135" s="36" t="str">
        <f t="shared" si="28"/>
        <v/>
      </c>
      <c r="M135" s="36">
        <f t="shared" si="29"/>
        <v>0</v>
      </c>
      <c r="N135" s="36" t="str">
        <f t="shared" si="30"/>
        <v/>
      </c>
      <c r="O135" s="36" t="str">
        <f t="shared" si="31"/>
        <v/>
      </c>
      <c r="P135" s="36" t="str">
        <f t="shared" si="32"/>
        <v/>
      </c>
      <c r="Q135" s="36" t="str">
        <f>IF(C135=1,IF('KT THAN'!$D$36&lt;=0,"KHÔNG YÊU CẦU",IF($K$15&lt;=P135,"ĐẠT","KHÔNG ĐẠT")),"")</f>
        <v/>
      </c>
      <c r="R135" s="36" t="str">
        <f t="shared" si="33"/>
        <v/>
      </c>
    </row>
    <row r="136" spans="1:18" hidden="1" outlineLevel="1" x14ac:dyDescent="0.3">
      <c r="A136" s="36" t="str">
        <f t="shared" si="22"/>
        <v/>
      </c>
      <c r="B136" s="36" t="str">
        <f>IF('TO HOP NLAN'!$A67="","",'TO HOP NLAN'!$A67)</f>
        <v/>
      </c>
      <c r="C136" s="36">
        <f t="shared" si="23"/>
        <v>0</v>
      </c>
      <c r="D136" s="36" t="str">
        <f>IF(C136=1,-'TO HOP NLAN'!$I67,"")</f>
        <v/>
      </c>
      <c r="E136" s="36" t="str">
        <f>IF(C136=1,ABS('TO HOP NLAN'!$K67),"")</f>
        <v/>
      </c>
      <c r="F136" s="36" t="str">
        <f>IF(C136=1,ABS('TO HOP NLAN'!$G67),"")</f>
        <v/>
      </c>
      <c r="G136" s="36" t="str">
        <f t="shared" si="24"/>
        <v/>
      </c>
      <c r="H136" s="36" t="str">
        <f t="shared" si="25"/>
        <v/>
      </c>
      <c r="I136" s="36" t="str">
        <f t="shared" si="26"/>
        <v/>
      </c>
      <c r="J136" s="36" t="str">
        <f t="shared" si="27"/>
        <v/>
      </c>
      <c r="K136" s="36" t="str">
        <f>IF(C136=1,IF(OR('KT THAN'!$D$36&lt;=0,$K$13&lt;=0,$K$15&lt;=0),0,$K$13*$K$8*$K$12/(TAN(RADIANS(I136))*$K$15)/1000),"")</f>
        <v/>
      </c>
      <c r="L136" s="36" t="str">
        <f t="shared" si="28"/>
        <v/>
      </c>
      <c r="M136" s="36">
        <f t="shared" si="29"/>
        <v>0</v>
      </c>
      <c r="N136" s="36" t="str">
        <f t="shared" si="30"/>
        <v/>
      </c>
      <c r="O136" s="36" t="str">
        <f t="shared" si="31"/>
        <v/>
      </c>
      <c r="P136" s="36" t="str">
        <f t="shared" si="32"/>
        <v/>
      </c>
      <c r="Q136" s="36" t="str">
        <f>IF(C136=1,IF('KT THAN'!$D$36&lt;=0,"KHÔNG YÊU CẦU",IF($K$15&lt;=P136,"ĐẠT","KHÔNG ĐẠT")),"")</f>
        <v/>
      </c>
      <c r="R136" s="36" t="str">
        <f t="shared" si="33"/>
        <v/>
      </c>
    </row>
    <row r="137" spans="1:18" hidden="1" outlineLevel="1" x14ac:dyDescent="0.3">
      <c r="A137" s="36" t="str">
        <f t="shared" si="22"/>
        <v/>
      </c>
      <c r="B137" s="36" t="str">
        <f>IF('TO HOP NLAN'!$A68="","",'TO HOP NLAN'!$A68)</f>
        <v/>
      </c>
      <c r="C137" s="36">
        <f t="shared" si="23"/>
        <v>0</v>
      </c>
      <c r="D137" s="36" t="str">
        <f>IF(C137=1,-'TO HOP NLAN'!$I68,"")</f>
        <v/>
      </c>
      <c r="E137" s="36" t="str">
        <f>IF(C137=1,ABS('TO HOP NLAN'!$K68),"")</f>
        <v/>
      </c>
      <c r="F137" s="36" t="str">
        <f>IF(C137=1,ABS('TO HOP NLAN'!$G68),"")</f>
        <v/>
      </c>
      <c r="G137" s="36" t="str">
        <f t="shared" si="24"/>
        <v/>
      </c>
      <c r="H137" s="36" t="str">
        <f t="shared" si="25"/>
        <v/>
      </c>
      <c r="I137" s="36" t="str">
        <f t="shared" si="26"/>
        <v/>
      </c>
      <c r="J137" s="36" t="str">
        <f t="shared" si="27"/>
        <v/>
      </c>
      <c r="K137" s="36" t="str">
        <f>IF(C137=1,IF(OR('KT THAN'!$D$36&lt;=0,$K$13&lt;=0,$K$15&lt;=0),0,$K$13*$K$8*$K$12/(TAN(RADIANS(I137))*$K$15)/1000),"")</f>
        <v/>
      </c>
      <c r="L137" s="36" t="str">
        <f t="shared" si="28"/>
        <v/>
      </c>
      <c r="M137" s="36">
        <f t="shared" si="29"/>
        <v>0</v>
      </c>
      <c r="N137" s="36" t="str">
        <f t="shared" si="30"/>
        <v/>
      </c>
      <c r="O137" s="36" t="str">
        <f t="shared" si="31"/>
        <v/>
      </c>
      <c r="P137" s="36" t="str">
        <f t="shared" si="32"/>
        <v/>
      </c>
      <c r="Q137" s="36" t="str">
        <f>IF(C137=1,IF('KT THAN'!$D$36&lt;=0,"KHÔNG YÊU CẦU",IF($K$15&lt;=P137,"ĐẠT","KHÔNG ĐẠT")),"")</f>
        <v/>
      </c>
      <c r="R137" s="36" t="str">
        <f t="shared" si="33"/>
        <v/>
      </c>
    </row>
    <row r="138" spans="1:18" hidden="1" outlineLevel="1" x14ac:dyDescent="0.3">
      <c r="A138" s="36" t="str">
        <f t="shared" si="22"/>
        <v/>
      </c>
      <c r="B138" s="36" t="str">
        <f>IF('TO HOP NLAN'!$A69="","",'TO HOP NLAN'!$A69)</f>
        <v/>
      </c>
      <c r="C138" s="36">
        <f t="shared" si="23"/>
        <v>0</v>
      </c>
      <c r="D138" s="36" t="str">
        <f>IF(C138=1,-'TO HOP NLAN'!$I69,"")</f>
        <v/>
      </c>
      <c r="E138" s="36" t="str">
        <f>IF(C138=1,ABS('TO HOP NLAN'!$K69),"")</f>
        <v/>
      </c>
      <c r="F138" s="36" t="str">
        <f>IF(C138=1,ABS('TO HOP NLAN'!$G69),"")</f>
        <v/>
      </c>
      <c r="G138" s="36" t="str">
        <f t="shared" si="24"/>
        <v/>
      </c>
      <c r="H138" s="36" t="str">
        <f t="shared" si="25"/>
        <v/>
      </c>
      <c r="I138" s="36" t="str">
        <f t="shared" si="26"/>
        <v/>
      </c>
      <c r="J138" s="36" t="str">
        <f t="shared" si="27"/>
        <v/>
      </c>
      <c r="K138" s="36" t="str">
        <f>IF(C138=1,IF(OR('KT THAN'!$D$36&lt;=0,$K$13&lt;=0,$K$15&lt;=0),0,$K$13*$K$8*$K$12/(TAN(RADIANS(I138))*$K$15)/1000),"")</f>
        <v/>
      </c>
      <c r="L138" s="36" t="str">
        <f t="shared" si="28"/>
        <v/>
      </c>
      <c r="M138" s="36">
        <f t="shared" si="29"/>
        <v>0</v>
      </c>
      <c r="N138" s="36" t="str">
        <f t="shared" si="30"/>
        <v/>
      </c>
      <c r="O138" s="36" t="str">
        <f t="shared" si="31"/>
        <v/>
      </c>
      <c r="P138" s="36" t="str">
        <f t="shared" si="32"/>
        <v/>
      </c>
      <c r="Q138" s="36" t="str">
        <f>IF(C138=1,IF('KT THAN'!$D$36&lt;=0,"KHÔNG YÊU CẦU",IF($K$15&lt;=P138,"ĐẠT","KHÔNG ĐẠT")),"")</f>
        <v/>
      </c>
      <c r="R138" s="36" t="str">
        <f t="shared" si="33"/>
        <v/>
      </c>
    </row>
    <row r="139" spans="1:18" hidden="1" outlineLevel="1" x14ac:dyDescent="0.3">
      <c r="A139" s="36" t="str">
        <f t="shared" si="22"/>
        <v/>
      </c>
      <c r="B139" s="36" t="str">
        <f>IF('TO HOP NLAN'!$A70="","",'TO HOP NLAN'!$A70)</f>
        <v/>
      </c>
      <c r="C139" s="36">
        <f t="shared" si="23"/>
        <v>0</v>
      </c>
      <c r="D139" s="36" t="str">
        <f>IF(C139=1,-'TO HOP NLAN'!$I70,"")</f>
        <v/>
      </c>
      <c r="E139" s="36" t="str">
        <f>IF(C139=1,ABS('TO HOP NLAN'!$K70),"")</f>
        <v/>
      </c>
      <c r="F139" s="36" t="str">
        <f>IF(C139=1,ABS('TO HOP NLAN'!$G70),"")</f>
        <v/>
      </c>
      <c r="G139" s="36" t="str">
        <f t="shared" si="24"/>
        <v/>
      </c>
      <c r="H139" s="36" t="str">
        <f t="shared" si="25"/>
        <v/>
      </c>
      <c r="I139" s="36" t="str">
        <f t="shared" si="26"/>
        <v/>
      </c>
      <c r="J139" s="36" t="str">
        <f t="shared" si="27"/>
        <v/>
      </c>
      <c r="K139" s="36" t="str">
        <f>IF(C139=1,IF(OR('KT THAN'!$D$36&lt;=0,$K$13&lt;=0,$K$15&lt;=0),0,$K$13*$K$8*$K$12/(TAN(RADIANS(I139))*$K$15)/1000),"")</f>
        <v/>
      </c>
      <c r="L139" s="36" t="str">
        <f t="shared" si="28"/>
        <v/>
      </c>
      <c r="M139" s="36">
        <f t="shared" si="29"/>
        <v>0</v>
      </c>
      <c r="N139" s="36" t="str">
        <f t="shared" si="30"/>
        <v/>
      </c>
      <c r="O139" s="36" t="str">
        <f t="shared" si="31"/>
        <v/>
      </c>
      <c r="P139" s="36" t="str">
        <f t="shared" si="32"/>
        <v/>
      </c>
      <c r="Q139" s="36" t="str">
        <f>IF(C139=1,IF('KT THAN'!$D$36&lt;=0,"KHÔNG YÊU CẦU",IF($K$15&lt;=P139,"ĐẠT","KHÔNG ĐẠT")),"")</f>
        <v/>
      </c>
      <c r="R139" s="36" t="str">
        <f t="shared" si="33"/>
        <v/>
      </c>
    </row>
    <row r="140" spans="1:18" hidden="1" outlineLevel="1" x14ac:dyDescent="0.3">
      <c r="A140" s="36" t="str">
        <f t="shared" ref="A140:A203" si="34">IF($B140="","",ROW()-28)</f>
        <v/>
      </c>
      <c r="B140" s="36" t="str">
        <f>IF('TO HOP NLAN'!$A71="","",'TO HOP NLAN'!$A71)</f>
        <v/>
      </c>
      <c r="C140" s="36">
        <f t="shared" ref="C140:C203" si="35">IF(LEFT(B140,2)="CĐ",1,0)</f>
        <v>0</v>
      </c>
      <c r="D140" s="36" t="str">
        <f>IF(C140=1,-'TO HOP NLAN'!$I71,"")</f>
        <v/>
      </c>
      <c r="E140" s="36" t="str">
        <f>IF(C140=1,ABS('TO HOP NLAN'!$K71),"")</f>
        <v/>
      </c>
      <c r="F140" s="36" t="str">
        <f>IF(C140=1,ABS('TO HOP NLAN'!$G71),"")</f>
        <v/>
      </c>
      <c r="G140" s="36" t="str">
        <f t="shared" ref="G140:G203" si="36">IF(C140=1,MAX(0,(MAX(E140*1000000,F140*1000*$K$12)/$K$12+0.5*D140*1000+0.5*F140*1000)/($K$7*$K$11)),"")</f>
        <v/>
      </c>
      <c r="H140" s="36" t="str">
        <f t="shared" ref="H140:H203" si="37">IF(C140=1,IF($K$13&gt;=$K$14,4.8/(1+750*G140),4.8/(1+750*G140)*1300/(1000+MIN(2000,MAX(294,$K$12*35/(16+$K$6))))),"")</f>
        <v/>
      </c>
      <c r="I140" s="36" t="str">
        <f t="shared" ref="I140:I203" si="38">IF(C140=1,29+3500*G140,"")</f>
        <v/>
      </c>
      <c r="J140" s="36" t="str">
        <f t="shared" ref="J140:J203" si="39">IF(C140=1,0.083*H140*SQRT($K$9)*$K$10*$K$12/1000,"")</f>
        <v/>
      </c>
      <c r="K140" s="36" t="str">
        <f>IF(C140=1,IF(OR('KT THAN'!$D$36&lt;=0,$K$13&lt;=0,$K$15&lt;=0),0,$K$13*$K$8*$K$12/(TAN(RADIANS(I140))*$K$15)/1000),"")</f>
        <v/>
      </c>
      <c r="L140" s="36" t="str">
        <f t="shared" ref="L140:L203" si="40">IF(C140=1,$K$4*MIN(J140+K140,0.25*$K$9*$K$10*$K$12/1000),"")</f>
        <v/>
      </c>
      <c r="M140" s="36">
        <f t="shared" ref="M140:M203" si="41">IF(C140=1,IF(L140=0,999,F140/L140),0)</f>
        <v>0</v>
      </c>
      <c r="N140" s="36" t="str">
        <f t="shared" ref="N140:N203" si="42">IF(C140=1,IF(F140&gt;0.5*$K$4*J140,"CÓ","KHÔNG"),"")</f>
        <v/>
      </c>
      <c r="O140" s="36" t="str">
        <f t="shared" ref="O140:O203" si="43">IF(C140=1,IF(N140="KHÔNG","KHÔNG YÊU CẦU",IF($K$13&gt;=$K$14,"ĐẠT","KHÔNG ĐẠT")),"")</f>
        <v/>
      </c>
      <c r="P140" s="36" t="str">
        <f t="shared" ref="P140:P203" si="44">IF(C140=1,IF(F140*1000/($K$4*$K$10*$K$12)&lt;0.125*$K$9,MIN(0.8*$K$12,600),MIN(0.4*$K$12,300)),"")</f>
        <v/>
      </c>
      <c r="Q140" s="36" t="str">
        <f>IF(C140=1,IF('KT THAN'!$D$36&lt;=0,"KHÔNG YÊU CẦU",IF($K$15&lt;=P140,"ĐẠT","KHÔNG ĐẠT")),"")</f>
        <v/>
      </c>
      <c r="R140" s="36" t="str">
        <f t="shared" ref="R140:R203" si="45">IF(C140=1,IF(AND(L140&gt;=F140,O140&lt;&gt;"KHÔNG ĐẠT",Q140&lt;&gt;"KHÔNG ĐẠT"),"ĐẠT","KHÔNG ĐẠT"),"")</f>
        <v/>
      </c>
    </row>
    <row r="141" spans="1:18" hidden="1" outlineLevel="1" x14ac:dyDescent="0.3">
      <c r="A141" s="36" t="str">
        <f t="shared" si="34"/>
        <v/>
      </c>
      <c r="B141" s="36" t="str">
        <f>IF('TO HOP NLAN'!$A72="","",'TO HOP NLAN'!$A72)</f>
        <v/>
      </c>
      <c r="C141" s="36">
        <f t="shared" si="35"/>
        <v>0</v>
      </c>
      <c r="D141" s="36" t="str">
        <f>IF(C141=1,-'TO HOP NLAN'!$I72,"")</f>
        <v/>
      </c>
      <c r="E141" s="36" t="str">
        <f>IF(C141=1,ABS('TO HOP NLAN'!$K72),"")</f>
        <v/>
      </c>
      <c r="F141" s="36" t="str">
        <f>IF(C141=1,ABS('TO HOP NLAN'!$G72),"")</f>
        <v/>
      </c>
      <c r="G141" s="36" t="str">
        <f t="shared" si="36"/>
        <v/>
      </c>
      <c r="H141" s="36" t="str">
        <f t="shared" si="37"/>
        <v/>
      </c>
      <c r="I141" s="36" t="str">
        <f t="shared" si="38"/>
        <v/>
      </c>
      <c r="J141" s="36" t="str">
        <f t="shared" si="39"/>
        <v/>
      </c>
      <c r="K141" s="36" t="str">
        <f>IF(C141=1,IF(OR('KT THAN'!$D$36&lt;=0,$K$13&lt;=0,$K$15&lt;=0),0,$K$13*$K$8*$K$12/(TAN(RADIANS(I141))*$K$15)/1000),"")</f>
        <v/>
      </c>
      <c r="L141" s="36" t="str">
        <f t="shared" si="40"/>
        <v/>
      </c>
      <c r="M141" s="36">
        <f t="shared" si="41"/>
        <v>0</v>
      </c>
      <c r="N141" s="36" t="str">
        <f t="shared" si="42"/>
        <v/>
      </c>
      <c r="O141" s="36" t="str">
        <f t="shared" si="43"/>
        <v/>
      </c>
      <c r="P141" s="36" t="str">
        <f t="shared" si="44"/>
        <v/>
      </c>
      <c r="Q141" s="36" t="str">
        <f>IF(C141=1,IF('KT THAN'!$D$36&lt;=0,"KHÔNG YÊU CẦU",IF($K$15&lt;=P141,"ĐẠT","KHÔNG ĐẠT")),"")</f>
        <v/>
      </c>
      <c r="R141" s="36" t="str">
        <f t="shared" si="45"/>
        <v/>
      </c>
    </row>
    <row r="142" spans="1:18" hidden="1" outlineLevel="1" x14ac:dyDescent="0.3">
      <c r="A142" s="36" t="str">
        <f t="shared" si="34"/>
        <v/>
      </c>
      <c r="B142" s="36" t="str">
        <f>IF('TO HOP NLAN'!$A73="","",'TO HOP NLAN'!$A73)</f>
        <v/>
      </c>
      <c r="C142" s="36">
        <f t="shared" si="35"/>
        <v>0</v>
      </c>
      <c r="D142" s="36" t="str">
        <f>IF(C142=1,-'TO HOP NLAN'!$I73,"")</f>
        <v/>
      </c>
      <c r="E142" s="36" t="str">
        <f>IF(C142=1,ABS('TO HOP NLAN'!$K73),"")</f>
        <v/>
      </c>
      <c r="F142" s="36" t="str">
        <f>IF(C142=1,ABS('TO HOP NLAN'!$G73),"")</f>
        <v/>
      </c>
      <c r="G142" s="36" t="str">
        <f t="shared" si="36"/>
        <v/>
      </c>
      <c r="H142" s="36" t="str">
        <f t="shared" si="37"/>
        <v/>
      </c>
      <c r="I142" s="36" t="str">
        <f t="shared" si="38"/>
        <v/>
      </c>
      <c r="J142" s="36" t="str">
        <f t="shared" si="39"/>
        <v/>
      </c>
      <c r="K142" s="36" t="str">
        <f>IF(C142=1,IF(OR('KT THAN'!$D$36&lt;=0,$K$13&lt;=0,$K$15&lt;=0),0,$K$13*$K$8*$K$12/(TAN(RADIANS(I142))*$K$15)/1000),"")</f>
        <v/>
      </c>
      <c r="L142" s="36" t="str">
        <f t="shared" si="40"/>
        <v/>
      </c>
      <c r="M142" s="36">
        <f t="shared" si="41"/>
        <v>0</v>
      </c>
      <c r="N142" s="36" t="str">
        <f t="shared" si="42"/>
        <v/>
      </c>
      <c r="O142" s="36" t="str">
        <f t="shared" si="43"/>
        <v/>
      </c>
      <c r="P142" s="36" t="str">
        <f t="shared" si="44"/>
        <v/>
      </c>
      <c r="Q142" s="36" t="str">
        <f>IF(C142=1,IF('KT THAN'!$D$36&lt;=0,"KHÔNG YÊU CẦU",IF($K$15&lt;=P142,"ĐẠT","KHÔNG ĐẠT")),"")</f>
        <v/>
      </c>
      <c r="R142" s="36" t="str">
        <f t="shared" si="45"/>
        <v/>
      </c>
    </row>
    <row r="143" spans="1:18" hidden="1" outlineLevel="1" x14ac:dyDescent="0.3">
      <c r="A143" s="36" t="str">
        <f t="shared" si="34"/>
        <v/>
      </c>
      <c r="B143" s="36" t="str">
        <f>IF('TO HOP NLAN'!$A74="","",'TO HOP NLAN'!$A74)</f>
        <v/>
      </c>
      <c r="C143" s="36">
        <f t="shared" si="35"/>
        <v>0</v>
      </c>
      <c r="D143" s="36" t="str">
        <f>IF(C143=1,-'TO HOP NLAN'!$I74,"")</f>
        <v/>
      </c>
      <c r="E143" s="36" t="str">
        <f>IF(C143=1,ABS('TO HOP NLAN'!$K74),"")</f>
        <v/>
      </c>
      <c r="F143" s="36" t="str">
        <f>IF(C143=1,ABS('TO HOP NLAN'!$G74),"")</f>
        <v/>
      </c>
      <c r="G143" s="36" t="str">
        <f t="shared" si="36"/>
        <v/>
      </c>
      <c r="H143" s="36" t="str">
        <f t="shared" si="37"/>
        <v/>
      </c>
      <c r="I143" s="36" t="str">
        <f t="shared" si="38"/>
        <v/>
      </c>
      <c r="J143" s="36" t="str">
        <f t="shared" si="39"/>
        <v/>
      </c>
      <c r="K143" s="36" t="str">
        <f>IF(C143=1,IF(OR('KT THAN'!$D$36&lt;=0,$K$13&lt;=0,$K$15&lt;=0),0,$K$13*$K$8*$K$12/(TAN(RADIANS(I143))*$K$15)/1000),"")</f>
        <v/>
      </c>
      <c r="L143" s="36" t="str">
        <f t="shared" si="40"/>
        <v/>
      </c>
      <c r="M143" s="36">
        <f t="shared" si="41"/>
        <v>0</v>
      </c>
      <c r="N143" s="36" t="str">
        <f t="shared" si="42"/>
        <v/>
      </c>
      <c r="O143" s="36" t="str">
        <f t="shared" si="43"/>
        <v/>
      </c>
      <c r="P143" s="36" t="str">
        <f t="shared" si="44"/>
        <v/>
      </c>
      <c r="Q143" s="36" t="str">
        <f>IF(C143=1,IF('KT THAN'!$D$36&lt;=0,"KHÔNG YÊU CẦU",IF($K$15&lt;=P143,"ĐẠT","KHÔNG ĐẠT")),"")</f>
        <v/>
      </c>
      <c r="R143" s="36" t="str">
        <f t="shared" si="45"/>
        <v/>
      </c>
    </row>
    <row r="144" spans="1:18" hidden="1" outlineLevel="1" x14ac:dyDescent="0.3">
      <c r="A144" s="36" t="str">
        <f t="shared" si="34"/>
        <v/>
      </c>
      <c r="B144" s="36" t="str">
        <f>IF('TO HOP NLAN'!$A75="","",'TO HOP NLAN'!$A75)</f>
        <v/>
      </c>
      <c r="C144" s="36">
        <f t="shared" si="35"/>
        <v>0</v>
      </c>
      <c r="D144" s="36" t="str">
        <f>IF(C144=1,-'TO HOP NLAN'!$I75,"")</f>
        <v/>
      </c>
      <c r="E144" s="36" t="str">
        <f>IF(C144=1,ABS('TO HOP NLAN'!$K75),"")</f>
        <v/>
      </c>
      <c r="F144" s="36" t="str">
        <f>IF(C144=1,ABS('TO HOP NLAN'!$G75),"")</f>
        <v/>
      </c>
      <c r="G144" s="36" t="str">
        <f t="shared" si="36"/>
        <v/>
      </c>
      <c r="H144" s="36" t="str">
        <f t="shared" si="37"/>
        <v/>
      </c>
      <c r="I144" s="36" t="str">
        <f t="shared" si="38"/>
        <v/>
      </c>
      <c r="J144" s="36" t="str">
        <f t="shared" si="39"/>
        <v/>
      </c>
      <c r="K144" s="36" t="str">
        <f>IF(C144=1,IF(OR('KT THAN'!$D$36&lt;=0,$K$13&lt;=0,$K$15&lt;=0),0,$K$13*$K$8*$K$12/(TAN(RADIANS(I144))*$K$15)/1000),"")</f>
        <v/>
      </c>
      <c r="L144" s="36" t="str">
        <f t="shared" si="40"/>
        <v/>
      </c>
      <c r="M144" s="36">
        <f t="shared" si="41"/>
        <v>0</v>
      </c>
      <c r="N144" s="36" t="str">
        <f t="shared" si="42"/>
        <v/>
      </c>
      <c r="O144" s="36" t="str">
        <f t="shared" si="43"/>
        <v/>
      </c>
      <c r="P144" s="36" t="str">
        <f t="shared" si="44"/>
        <v/>
      </c>
      <c r="Q144" s="36" t="str">
        <f>IF(C144=1,IF('KT THAN'!$D$36&lt;=0,"KHÔNG YÊU CẦU",IF($K$15&lt;=P144,"ĐẠT","KHÔNG ĐẠT")),"")</f>
        <v/>
      </c>
      <c r="R144" s="36" t="str">
        <f t="shared" si="45"/>
        <v/>
      </c>
    </row>
    <row r="145" spans="1:18" hidden="1" outlineLevel="1" x14ac:dyDescent="0.3">
      <c r="A145" s="36" t="str">
        <f t="shared" si="34"/>
        <v/>
      </c>
      <c r="B145" s="36" t="str">
        <f>IF('TO HOP NLAN'!$A76="","",'TO HOP NLAN'!$A76)</f>
        <v/>
      </c>
      <c r="C145" s="36">
        <f t="shared" si="35"/>
        <v>0</v>
      </c>
      <c r="D145" s="36" t="str">
        <f>IF(C145=1,-'TO HOP NLAN'!$I76,"")</f>
        <v/>
      </c>
      <c r="E145" s="36" t="str">
        <f>IF(C145=1,ABS('TO HOP NLAN'!$K76),"")</f>
        <v/>
      </c>
      <c r="F145" s="36" t="str">
        <f>IF(C145=1,ABS('TO HOP NLAN'!$G76),"")</f>
        <v/>
      </c>
      <c r="G145" s="36" t="str">
        <f t="shared" si="36"/>
        <v/>
      </c>
      <c r="H145" s="36" t="str">
        <f t="shared" si="37"/>
        <v/>
      </c>
      <c r="I145" s="36" t="str">
        <f t="shared" si="38"/>
        <v/>
      </c>
      <c r="J145" s="36" t="str">
        <f t="shared" si="39"/>
        <v/>
      </c>
      <c r="K145" s="36" t="str">
        <f>IF(C145=1,IF(OR('KT THAN'!$D$36&lt;=0,$K$13&lt;=0,$K$15&lt;=0),0,$K$13*$K$8*$K$12/(TAN(RADIANS(I145))*$K$15)/1000),"")</f>
        <v/>
      </c>
      <c r="L145" s="36" t="str">
        <f t="shared" si="40"/>
        <v/>
      </c>
      <c r="M145" s="36">
        <f t="shared" si="41"/>
        <v>0</v>
      </c>
      <c r="N145" s="36" t="str">
        <f t="shared" si="42"/>
        <v/>
      </c>
      <c r="O145" s="36" t="str">
        <f t="shared" si="43"/>
        <v/>
      </c>
      <c r="P145" s="36" t="str">
        <f t="shared" si="44"/>
        <v/>
      </c>
      <c r="Q145" s="36" t="str">
        <f>IF(C145=1,IF('KT THAN'!$D$36&lt;=0,"KHÔNG YÊU CẦU",IF($K$15&lt;=P145,"ĐẠT","KHÔNG ĐẠT")),"")</f>
        <v/>
      </c>
      <c r="R145" s="36" t="str">
        <f t="shared" si="45"/>
        <v/>
      </c>
    </row>
    <row r="146" spans="1:18" hidden="1" outlineLevel="1" x14ac:dyDescent="0.3">
      <c r="A146" s="36" t="str">
        <f t="shared" si="34"/>
        <v/>
      </c>
      <c r="B146" s="36" t="str">
        <f>IF('TO HOP NLAN'!$A77="","",'TO HOP NLAN'!$A77)</f>
        <v/>
      </c>
      <c r="C146" s="36">
        <f t="shared" si="35"/>
        <v>0</v>
      </c>
      <c r="D146" s="36" t="str">
        <f>IF(C146=1,-'TO HOP NLAN'!$I77,"")</f>
        <v/>
      </c>
      <c r="E146" s="36" t="str">
        <f>IF(C146=1,ABS('TO HOP NLAN'!$K77),"")</f>
        <v/>
      </c>
      <c r="F146" s="36" t="str">
        <f>IF(C146=1,ABS('TO HOP NLAN'!$G77),"")</f>
        <v/>
      </c>
      <c r="G146" s="36" t="str">
        <f t="shared" si="36"/>
        <v/>
      </c>
      <c r="H146" s="36" t="str">
        <f t="shared" si="37"/>
        <v/>
      </c>
      <c r="I146" s="36" t="str">
        <f t="shared" si="38"/>
        <v/>
      </c>
      <c r="J146" s="36" t="str">
        <f t="shared" si="39"/>
        <v/>
      </c>
      <c r="K146" s="36" t="str">
        <f>IF(C146=1,IF(OR('KT THAN'!$D$36&lt;=0,$K$13&lt;=0,$K$15&lt;=0),0,$K$13*$K$8*$K$12/(TAN(RADIANS(I146))*$K$15)/1000),"")</f>
        <v/>
      </c>
      <c r="L146" s="36" t="str">
        <f t="shared" si="40"/>
        <v/>
      </c>
      <c r="M146" s="36">
        <f t="shared" si="41"/>
        <v>0</v>
      </c>
      <c r="N146" s="36" t="str">
        <f t="shared" si="42"/>
        <v/>
      </c>
      <c r="O146" s="36" t="str">
        <f t="shared" si="43"/>
        <v/>
      </c>
      <c r="P146" s="36" t="str">
        <f t="shared" si="44"/>
        <v/>
      </c>
      <c r="Q146" s="36" t="str">
        <f>IF(C146=1,IF('KT THAN'!$D$36&lt;=0,"KHÔNG YÊU CẦU",IF($K$15&lt;=P146,"ĐẠT","KHÔNG ĐẠT")),"")</f>
        <v/>
      </c>
      <c r="R146" s="36" t="str">
        <f t="shared" si="45"/>
        <v/>
      </c>
    </row>
    <row r="147" spans="1:18" hidden="1" outlineLevel="1" x14ac:dyDescent="0.3">
      <c r="A147" s="36" t="str">
        <f t="shared" si="34"/>
        <v/>
      </c>
      <c r="B147" s="36" t="str">
        <f>IF('TO HOP NLAN'!$A78="","",'TO HOP NLAN'!$A78)</f>
        <v/>
      </c>
      <c r="C147" s="36">
        <f t="shared" si="35"/>
        <v>0</v>
      </c>
      <c r="D147" s="36" t="str">
        <f>IF(C147=1,-'TO HOP NLAN'!$I78,"")</f>
        <v/>
      </c>
      <c r="E147" s="36" t="str">
        <f>IF(C147=1,ABS('TO HOP NLAN'!$K78),"")</f>
        <v/>
      </c>
      <c r="F147" s="36" t="str">
        <f>IF(C147=1,ABS('TO HOP NLAN'!$G78),"")</f>
        <v/>
      </c>
      <c r="G147" s="36" t="str">
        <f t="shared" si="36"/>
        <v/>
      </c>
      <c r="H147" s="36" t="str">
        <f t="shared" si="37"/>
        <v/>
      </c>
      <c r="I147" s="36" t="str">
        <f t="shared" si="38"/>
        <v/>
      </c>
      <c r="J147" s="36" t="str">
        <f t="shared" si="39"/>
        <v/>
      </c>
      <c r="K147" s="36" t="str">
        <f>IF(C147=1,IF(OR('KT THAN'!$D$36&lt;=0,$K$13&lt;=0,$K$15&lt;=0),0,$K$13*$K$8*$K$12/(TAN(RADIANS(I147))*$K$15)/1000),"")</f>
        <v/>
      </c>
      <c r="L147" s="36" t="str">
        <f t="shared" si="40"/>
        <v/>
      </c>
      <c r="M147" s="36">
        <f t="shared" si="41"/>
        <v>0</v>
      </c>
      <c r="N147" s="36" t="str">
        <f t="shared" si="42"/>
        <v/>
      </c>
      <c r="O147" s="36" t="str">
        <f t="shared" si="43"/>
        <v/>
      </c>
      <c r="P147" s="36" t="str">
        <f t="shared" si="44"/>
        <v/>
      </c>
      <c r="Q147" s="36" t="str">
        <f>IF(C147=1,IF('KT THAN'!$D$36&lt;=0,"KHÔNG YÊU CẦU",IF($K$15&lt;=P147,"ĐẠT","KHÔNG ĐẠT")),"")</f>
        <v/>
      </c>
      <c r="R147" s="36" t="str">
        <f t="shared" si="45"/>
        <v/>
      </c>
    </row>
    <row r="148" spans="1:18" hidden="1" outlineLevel="1" x14ac:dyDescent="0.3">
      <c r="A148" s="36" t="str">
        <f t="shared" si="34"/>
        <v/>
      </c>
      <c r="B148" s="36" t="str">
        <f>IF('TO HOP NLAN'!$A79="","",'TO HOP NLAN'!$A79)</f>
        <v/>
      </c>
      <c r="C148" s="36">
        <f t="shared" si="35"/>
        <v>0</v>
      </c>
      <c r="D148" s="36" t="str">
        <f>IF(C148=1,-'TO HOP NLAN'!$I79,"")</f>
        <v/>
      </c>
      <c r="E148" s="36" t="str">
        <f>IF(C148=1,ABS('TO HOP NLAN'!$K79),"")</f>
        <v/>
      </c>
      <c r="F148" s="36" t="str">
        <f>IF(C148=1,ABS('TO HOP NLAN'!$G79),"")</f>
        <v/>
      </c>
      <c r="G148" s="36" t="str">
        <f t="shared" si="36"/>
        <v/>
      </c>
      <c r="H148" s="36" t="str">
        <f t="shared" si="37"/>
        <v/>
      </c>
      <c r="I148" s="36" t="str">
        <f t="shared" si="38"/>
        <v/>
      </c>
      <c r="J148" s="36" t="str">
        <f t="shared" si="39"/>
        <v/>
      </c>
      <c r="K148" s="36" t="str">
        <f>IF(C148=1,IF(OR('KT THAN'!$D$36&lt;=0,$K$13&lt;=0,$K$15&lt;=0),0,$K$13*$K$8*$K$12/(TAN(RADIANS(I148))*$K$15)/1000),"")</f>
        <v/>
      </c>
      <c r="L148" s="36" t="str">
        <f t="shared" si="40"/>
        <v/>
      </c>
      <c r="M148" s="36">
        <f t="shared" si="41"/>
        <v>0</v>
      </c>
      <c r="N148" s="36" t="str">
        <f t="shared" si="42"/>
        <v/>
      </c>
      <c r="O148" s="36" t="str">
        <f t="shared" si="43"/>
        <v/>
      </c>
      <c r="P148" s="36" t="str">
        <f t="shared" si="44"/>
        <v/>
      </c>
      <c r="Q148" s="36" t="str">
        <f>IF(C148=1,IF('KT THAN'!$D$36&lt;=0,"KHÔNG YÊU CẦU",IF($K$15&lt;=P148,"ĐẠT","KHÔNG ĐẠT")),"")</f>
        <v/>
      </c>
      <c r="R148" s="36" t="str">
        <f t="shared" si="45"/>
        <v/>
      </c>
    </row>
    <row r="149" spans="1:18" hidden="1" outlineLevel="1" x14ac:dyDescent="0.3">
      <c r="A149" s="36" t="str">
        <f t="shared" si="34"/>
        <v/>
      </c>
      <c r="B149" s="36" t="str">
        <f>IF('TO HOP NLAN'!$A80="","",'TO HOP NLAN'!$A80)</f>
        <v/>
      </c>
      <c r="C149" s="36">
        <f t="shared" si="35"/>
        <v>0</v>
      </c>
      <c r="D149" s="36" t="str">
        <f>IF(C149=1,-'TO HOP NLAN'!$I80,"")</f>
        <v/>
      </c>
      <c r="E149" s="36" t="str">
        <f>IF(C149=1,ABS('TO HOP NLAN'!$K80),"")</f>
        <v/>
      </c>
      <c r="F149" s="36" t="str">
        <f>IF(C149=1,ABS('TO HOP NLAN'!$G80),"")</f>
        <v/>
      </c>
      <c r="G149" s="36" t="str">
        <f t="shared" si="36"/>
        <v/>
      </c>
      <c r="H149" s="36" t="str">
        <f t="shared" si="37"/>
        <v/>
      </c>
      <c r="I149" s="36" t="str">
        <f t="shared" si="38"/>
        <v/>
      </c>
      <c r="J149" s="36" t="str">
        <f t="shared" si="39"/>
        <v/>
      </c>
      <c r="K149" s="36" t="str">
        <f>IF(C149=1,IF(OR('KT THAN'!$D$36&lt;=0,$K$13&lt;=0,$K$15&lt;=0),0,$K$13*$K$8*$K$12/(TAN(RADIANS(I149))*$K$15)/1000),"")</f>
        <v/>
      </c>
      <c r="L149" s="36" t="str">
        <f t="shared" si="40"/>
        <v/>
      </c>
      <c r="M149" s="36">
        <f t="shared" si="41"/>
        <v>0</v>
      </c>
      <c r="N149" s="36" t="str">
        <f t="shared" si="42"/>
        <v/>
      </c>
      <c r="O149" s="36" t="str">
        <f t="shared" si="43"/>
        <v/>
      </c>
      <c r="P149" s="36" t="str">
        <f t="shared" si="44"/>
        <v/>
      </c>
      <c r="Q149" s="36" t="str">
        <f>IF(C149=1,IF('KT THAN'!$D$36&lt;=0,"KHÔNG YÊU CẦU",IF($K$15&lt;=P149,"ĐẠT","KHÔNG ĐẠT")),"")</f>
        <v/>
      </c>
      <c r="R149" s="36" t="str">
        <f t="shared" si="45"/>
        <v/>
      </c>
    </row>
    <row r="150" spans="1:18" hidden="1" outlineLevel="1" x14ac:dyDescent="0.3">
      <c r="A150" s="36" t="str">
        <f t="shared" si="34"/>
        <v/>
      </c>
      <c r="B150" s="36" t="str">
        <f>IF('TO HOP NLAN'!$A81="","",'TO HOP NLAN'!$A81)</f>
        <v/>
      </c>
      <c r="C150" s="36">
        <f t="shared" si="35"/>
        <v>0</v>
      </c>
      <c r="D150" s="36" t="str">
        <f>IF(C150=1,-'TO HOP NLAN'!$I81,"")</f>
        <v/>
      </c>
      <c r="E150" s="36" t="str">
        <f>IF(C150=1,ABS('TO HOP NLAN'!$K81),"")</f>
        <v/>
      </c>
      <c r="F150" s="36" t="str">
        <f>IF(C150=1,ABS('TO HOP NLAN'!$G81),"")</f>
        <v/>
      </c>
      <c r="G150" s="36" t="str">
        <f t="shared" si="36"/>
        <v/>
      </c>
      <c r="H150" s="36" t="str">
        <f t="shared" si="37"/>
        <v/>
      </c>
      <c r="I150" s="36" t="str">
        <f t="shared" si="38"/>
        <v/>
      </c>
      <c r="J150" s="36" t="str">
        <f t="shared" si="39"/>
        <v/>
      </c>
      <c r="K150" s="36" t="str">
        <f>IF(C150=1,IF(OR('KT THAN'!$D$36&lt;=0,$K$13&lt;=0,$K$15&lt;=0),0,$K$13*$K$8*$K$12/(TAN(RADIANS(I150))*$K$15)/1000),"")</f>
        <v/>
      </c>
      <c r="L150" s="36" t="str">
        <f t="shared" si="40"/>
        <v/>
      </c>
      <c r="M150" s="36">
        <f t="shared" si="41"/>
        <v>0</v>
      </c>
      <c r="N150" s="36" t="str">
        <f t="shared" si="42"/>
        <v/>
      </c>
      <c r="O150" s="36" t="str">
        <f t="shared" si="43"/>
        <v/>
      </c>
      <c r="P150" s="36" t="str">
        <f t="shared" si="44"/>
        <v/>
      </c>
      <c r="Q150" s="36" t="str">
        <f>IF(C150=1,IF('KT THAN'!$D$36&lt;=0,"KHÔNG YÊU CẦU",IF($K$15&lt;=P150,"ĐẠT","KHÔNG ĐẠT")),"")</f>
        <v/>
      </c>
      <c r="R150" s="36" t="str">
        <f t="shared" si="45"/>
        <v/>
      </c>
    </row>
    <row r="151" spans="1:18" hidden="1" outlineLevel="1" x14ac:dyDescent="0.3">
      <c r="A151" s="36" t="str">
        <f t="shared" si="34"/>
        <v/>
      </c>
      <c r="B151" s="36" t="str">
        <f>IF('TO HOP NLAN'!$A82="","",'TO HOP NLAN'!$A82)</f>
        <v/>
      </c>
      <c r="C151" s="36">
        <f t="shared" si="35"/>
        <v>0</v>
      </c>
      <c r="D151" s="36" t="str">
        <f>IF(C151=1,-'TO HOP NLAN'!$I82,"")</f>
        <v/>
      </c>
      <c r="E151" s="36" t="str">
        <f>IF(C151=1,ABS('TO HOP NLAN'!$K82),"")</f>
        <v/>
      </c>
      <c r="F151" s="36" t="str">
        <f>IF(C151=1,ABS('TO HOP NLAN'!$G82),"")</f>
        <v/>
      </c>
      <c r="G151" s="36" t="str">
        <f t="shared" si="36"/>
        <v/>
      </c>
      <c r="H151" s="36" t="str">
        <f t="shared" si="37"/>
        <v/>
      </c>
      <c r="I151" s="36" t="str">
        <f t="shared" si="38"/>
        <v/>
      </c>
      <c r="J151" s="36" t="str">
        <f t="shared" si="39"/>
        <v/>
      </c>
      <c r="K151" s="36" t="str">
        <f>IF(C151=1,IF(OR('KT THAN'!$D$36&lt;=0,$K$13&lt;=0,$K$15&lt;=0),0,$K$13*$K$8*$K$12/(TAN(RADIANS(I151))*$K$15)/1000),"")</f>
        <v/>
      </c>
      <c r="L151" s="36" t="str">
        <f t="shared" si="40"/>
        <v/>
      </c>
      <c r="M151" s="36">
        <f t="shared" si="41"/>
        <v>0</v>
      </c>
      <c r="N151" s="36" t="str">
        <f t="shared" si="42"/>
        <v/>
      </c>
      <c r="O151" s="36" t="str">
        <f t="shared" si="43"/>
        <v/>
      </c>
      <c r="P151" s="36" t="str">
        <f t="shared" si="44"/>
        <v/>
      </c>
      <c r="Q151" s="36" t="str">
        <f>IF(C151=1,IF('KT THAN'!$D$36&lt;=0,"KHÔNG YÊU CẦU",IF($K$15&lt;=P151,"ĐẠT","KHÔNG ĐẠT")),"")</f>
        <v/>
      </c>
      <c r="R151" s="36" t="str">
        <f t="shared" si="45"/>
        <v/>
      </c>
    </row>
    <row r="152" spans="1:18" hidden="1" outlineLevel="1" x14ac:dyDescent="0.3">
      <c r="A152" s="36" t="str">
        <f t="shared" si="34"/>
        <v/>
      </c>
      <c r="B152" s="36" t="str">
        <f>IF('TO HOP NLAN'!$A83="","",'TO HOP NLAN'!$A83)</f>
        <v/>
      </c>
      <c r="C152" s="36">
        <f t="shared" si="35"/>
        <v>0</v>
      </c>
      <c r="D152" s="36" t="str">
        <f>IF(C152=1,-'TO HOP NLAN'!$I83,"")</f>
        <v/>
      </c>
      <c r="E152" s="36" t="str">
        <f>IF(C152=1,ABS('TO HOP NLAN'!$K83),"")</f>
        <v/>
      </c>
      <c r="F152" s="36" t="str">
        <f>IF(C152=1,ABS('TO HOP NLAN'!$G83),"")</f>
        <v/>
      </c>
      <c r="G152" s="36" t="str">
        <f t="shared" si="36"/>
        <v/>
      </c>
      <c r="H152" s="36" t="str">
        <f t="shared" si="37"/>
        <v/>
      </c>
      <c r="I152" s="36" t="str">
        <f t="shared" si="38"/>
        <v/>
      </c>
      <c r="J152" s="36" t="str">
        <f t="shared" si="39"/>
        <v/>
      </c>
      <c r="K152" s="36" t="str">
        <f>IF(C152=1,IF(OR('KT THAN'!$D$36&lt;=0,$K$13&lt;=0,$K$15&lt;=0),0,$K$13*$K$8*$K$12/(TAN(RADIANS(I152))*$K$15)/1000),"")</f>
        <v/>
      </c>
      <c r="L152" s="36" t="str">
        <f t="shared" si="40"/>
        <v/>
      </c>
      <c r="M152" s="36">
        <f t="shared" si="41"/>
        <v>0</v>
      </c>
      <c r="N152" s="36" t="str">
        <f t="shared" si="42"/>
        <v/>
      </c>
      <c r="O152" s="36" t="str">
        <f t="shared" si="43"/>
        <v/>
      </c>
      <c r="P152" s="36" t="str">
        <f t="shared" si="44"/>
        <v/>
      </c>
      <c r="Q152" s="36" t="str">
        <f>IF(C152=1,IF('KT THAN'!$D$36&lt;=0,"KHÔNG YÊU CẦU",IF($K$15&lt;=P152,"ĐẠT","KHÔNG ĐẠT")),"")</f>
        <v/>
      </c>
      <c r="R152" s="36" t="str">
        <f t="shared" si="45"/>
        <v/>
      </c>
    </row>
    <row r="153" spans="1:18" hidden="1" outlineLevel="1" x14ac:dyDescent="0.3">
      <c r="A153" s="36" t="str">
        <f t="shared" si="34"/>
        <v/>
      </c>
      <c r="B153" s="36" t="str">
        <f>IF('TO HOP NLAN'!$A84="","",'TO HOP NLAN'!$A84)</f>
        <v/>
      </c>
      <c r="C153" s="36">
        <f t="shared" si="35"/>
        <v>0</v>
      </c>
      <c r="D153" s="36" t="str">
        <f>IF(C153=1,-'TO HOP NLAN'!$I84,"")</f>
        <v/>
      </c>
      <c r="E153" s="36" t="str">
        <f>IF(C153=1,ABS('TO HOP NLAN'!$K84),"")</f>
        <v/>
      </c>
      <c r="F153" s="36" t="str">
        <f>IF(C153=1,ABS('TO HOP NLAN'!$G84),"")</f>
        <v/>
      </c>
      <c r="G153" s="36" t="str">
        <f t="shared" si="36"/>
        <v/>
      </c>
      <c r="H153" s="36" t="str">
        <f t="shared" si="37"/>
        <v/>
      </c>
      <c r="I153" s="36" t="str">
        <f t="shared" si="38"/>
        <v/>
      </c>
      <c r="J153" s="36" t="str">
        <f t="shared" si="39"/>
        <v/>
      </c>
      <c r="K153" s="36" t="str">
        <f>IF(C153=1,IF(OR('KT THAN'!$D$36&lt;=0,$K$13&lt;=0,$K$15&lt;=0),0,$K$13*$K$8*$K$12/(TAN(RADIANS(I153))*$K$15)/1000),"")</f>
        <v/>
      </c>
      <c r="L153" s="36" t="str">
        <f t="shared" si="40"/>
        <v/>
      </c>
      <c r="M153" s="36">
        <f t="shared" si="41"/>
        <v>0</v>
      </c>
      <c r="N153" s="36" t="str">
        <f t="shared" si="42"/>
        <v/>
      </c>
      <c r="O153" s="36" t="str">
        <f t="shared" si="43"/>
        <v/>
      </c>
      <c r="P153" s="36" t="str">
        <f t="shared" si="44"/>
        <v/>
      </c>
      <c r="Q153" s="36" t="str">
        <f>IF(C153=1,IF('KT THAN'!$D$36&lt;=0,"KHÔNG YÊU CẦU",IF($K$15&lt;=P153,"ĐẠT","KHÔNG ĐẠT")),"")</f>
        <v/>
      </c>
      <c r="R153" s="36" t="str">
        <f t="shared" si="45"/>
        <v/>
      </c>
    </row>
    <row r="154" spans="1:18" hidden="1" outlineLevel="1" x14ac:dyDescent="0.3">
      <c r="A154" s="36" t="str">
        <f t="shared" si="34"/>
        <v/>
      </c>
      <c r="B154" s="36" t="str">
        <f>IF('TO HOP NLAN'!$A85="","",'TO HOP NLAN'!$A85)</f>
        <v/>
      </c>
      <c r="C154" s="36">
        <f t="shared" si="35"/>
        <v>0</v>
      </c>
      <c r="D154" s="36" t="str">
        <f>IF(C154=1,-'TO HOP NLAN'!$I85,"")</f>
        <v/>
      </c>
      <c r="E154" s="36" t="str">
        <f>IF(C154=1,ABS('TO HOP NLAN'!$K85),"")</f>
        <v/>
      </c>
      <c r="F154" s="36" t="str">
        <f>IF(C154=1,ABS('TO HOP NLAN'!$G85),"")</f>
        <v/>
      </c>
      <c r="G154" s="36" t="str">
        <f t="shared" si="36"/>
        <v/>
      </c>
      <c r="H154" s="36" t="str">
        <f t="shared" si="37"/>
        <v/>
      </c>
      <c r="I154" s="36" t="str">
        <f t="shared" si="38"/>
        <v/>
      </c>
      <c r="J154" s="36" t="str">
        <f t="shared" si="39"/>
        <v/>
      </c>
      <c r="K154" s="36" t="str">
        <f>IF(C154=1,IF(OR('KT THAN'!$D$36&lt;=0,$K$13&lt;=0,$K$15&lt;=0),0,$K$13*$K$8*$K$12/(TAN(RADIANS(I154))*$K$15)/1000),"")</f>
        <v/>
      </c>
      <c r="L154" s="36" t="str">
        <f t="shared" si="40"/>
        <v/>
      </c>
      <c r="M154" s="36">
        <f t="shared" si="41"/>
        <v>0</v>
      </c>
      <c r="N154" s="36" t="str">
        <f t="shared" si="42"/>
        <v/>
      </c>
      <c r="O154" s="36" t="str">
        <f t="shared" si="43"/>
        <v/>
      </c>
      <c r="P154" s="36" t="str">
        <f t="shared" si="44"/>
        <v/>
      </c>
      <c r="Q154" s="36" t="str">
        <f>IF(C154=1,IF('KT THAN'!$D$36&lt;=0,"KHÔNG YÊU CẦU",IF($K$15&lt;=P154,"ĐẠT","KHÔNG ĐẠT")),"")</f>
        <v/>
      </c>
      <c r="R154" s="36" t="str">
        <f t="shared" si="45"/>
        <v/>
      </c>
    </row>
    <row r="155" spans="1:18" hidden="1" outlineLevel="1" x14ac:dyDescent="0.3">
      <c r="A155" s="36" t="str">
        <f t="shared" si="34"/>
        <v/>
      </c>
      <c r="B155" s="36" t="str">
        <f>IF('TO HOP NLAN'!$A86="","",'TO HOP NLAN'!$A86)</f>
        <v/>
      </c>
      <c r="C155" s="36">
        <f t="shared" si="35"/>
        <v>0</v>
      </c>
      <c r="D155" s="36" t="str">
        <f>IF(C155=1,-'TO HOP NLAN'!$I86,"")</f>
        <v/>
      </c>
      <c r="E155" s="36" t="str">
        <f>IF(C155=1,ABS('TO HOP NLAN'!$K86),"")</f>
        <v/>
      </c>
      <c r="F155" s="36" t="str">
        <f>IF(C155=1,ABS('TO HOP NLAN'!$G86),"")</f>
        <v/>
      </c>
      <c r="G155" s="36" t="str">
        <f t="shared" si="36"/>
        <v/>
      </c>
      <c r="H155" s="36" t="str">
        <f t="shared" si="37"/>
        <v/>
      </c>
      <c r="I155" s="36" t="str">
        <f t="shared" si="38"/>
        <v/>
      </c>
      <c r="J155" s="36" t="str">
        <f t="shared" si="39"/>
        <v/>
      </c>
      <c r="K155" s="36" t="str">
        <f>IF(C155=1,IF(OR('KT THAN'!$D$36&lt;=0,$K$13&lt;=0,$K$15&lt;=0),0,$K$13*$K$8*$K$12/(TAN(RADIANS(I155))*$K$15)/1000),"")</f>
        <v/>
      </c>
      <c r="L155" s="36" t="str">
        <f t="shared" si="40"/>
        <v/>
      </c>
      <c r="M155" s="36">
        <f t="shared" si="41"/>
        <v>0</v>
      </c>
      <c r="N155" s="36" t="str">
        <f t="shared" si="42"/>
        <v/>
      </c>
      <c r="O155" s="36" t="str">
        <f t="shared" si="43"/>
        <v/>
      </c>
      <c r="P155" s="36" t="str">
        <f t="shared" si="44"/>
        <v/>
      </c>
      <c r="Q155" s="36" t="str">
        <f>IF(C155=1,IF('KT THAN'!$D$36&lt;=0,"KHÔNG YÊU CẦU",IF($K$15&lt;=P155,"ĐẠT","KHÔNG ĐẠT")),"")</f>
        <v/>
      </c>
      <c r="R155" s="36" t="str">
        <f t="shared" si="45"/>
        <v/>
      </c>
    </row>
    <row r="156" spans="1:18" hidden="1" outlineLevel="1" x14ac:dyDescent="0.3">
      <c r="A156" s="36" t="str">
        <f t="shared" si="34"/>
        <v/>
      </c>
      <c r="B156" s="36" t="str">
        <f>IF('TO HOP NLAN'!$A87="","",'TO HOP NLAN'!$A87)</f>
        <v/>
      </c>
      <c r="C156" s="36">
        <f t="shared" si="35"/>
        <v>0</v>
      </c>
      <c r="D156" s="36" t="str">
        <f>IF(C156=1,-'TO HOP NLAN'!$I87,"")</f>
        <v/>
      </c>
      <c r="E156" s="36" t="str">
        <f>IF(C156=1,ABS('TO HOP NLAN'!$K87),"")</f>
        <v/>
      </c>
      <c r="F156" s="36" t="str">
        <f>IF(C156=1,ABS('TO HOP NLAN'!$G87),"")</f>
        <v/>
      </c>
      <c r="G156" s="36" t="str">
        <f t="shared" si="36"/>
        <v/>
      </c>
      <c r="H156" s="36" t="str">
        <f t="shared" si="37"/>
        <v/>
      </c>
      <c r="I156" s="36" t="str">
        <f t="shared" si="38"/>
        <v/>
      </c>
      <c r="J156" s="36" t="str">
        <f t="shared" si="39"/>
        <v/>
      </c>
      <c r="K156" s="36" t="str">
        <f>IF(C156=1,IF(OR('KT THAN'!$D$36&lt;=0,$K$13&lt;=0,$K$15&lt;=0),0,$K$13*$K$8*$K$12/(TAN(RADIANS(I156))*$K$15)/1000),"")</f>
        <v/>
      </c>
      <c r="L156" s="36" t="str">
        <f t="shared" si="40"/>
        <v/>
      </c>
      <c r="M156" s="36">
        <f t="shared" si="41"/>
        <v>0</v>
      </c>
      <c r="N156" s="36" t="str">
        <f t="shared" si="42"/>
        <v/>
      </c>
      <c r="O156" s="36" t="str">
        <f t="shared" si="43"/>
        <v/>
      </c>
      <c r="P156" s="36" t="str">
        <f t="shared" si="44"/>
        <v/>
      </c>
      <c r="Q156" s="36" t="str">
        <f>IF(C156=1,IF('KT THAN'!$D$36&lt;=0,"KHÔNG YÊU CẦU",IF($K$15&lt;=P156,"ĐẠT","KHÔNG ĐẠT")),"")</f>
        <v/>
      </c>
      <c r="R156" s="36" t="str">
        <f t="shared" si="45"/>
        <v/>
      </c>
    </row>
    <row r="157" spans="1:18" hidden="1" outlineLevel="1" x14ac:dyDescent="0.3">
      <c r="A157" s="36" t="str">
        <f t="shared" si="34"/>
        <v/>
      </c>
      <c r="B157" s="36" t="str">
        <f>IF('TO HOP NLAN'!$A88="","",'TO HOP NLAN'!$A88)</f>
        <v/>
      </c>
      <c r="C157" s="36">
        <f t="shared" si="35"/>
        <v>0</v>
      </c>
      <c r="D157" s="36" t="str">
        <f>IF(C157=1,-'TO HOP NLAN'!$I88,"")</f>
        <v/>
      </c>
      <c r="E157" s="36" t="str">
        <f>IF(C157=1,ABS('TO HOP NLAN'!$K88),"")</f>
        <v/>
      </c>
      <c r="F157" s="36" t="str">
        <f>IF(C157=1,ABS('TO HOP NLAN'!$G88),"")</f>
        <v/>
      </c>
      <c r="G157" s="36" t="str">
        <f t="shared" si="36"/>
        <v/>
      </c>
      <c r="H157" s="36" t="str">
        <f t="shared" si="37"/>
        <v/>
      </c>
      <c r="I157" s="36" t="str">
        <f t="shared" si="38"/>
        <v/>
      </c>
      <c r="J157" s="36" t="str">
        <f t="shared" si="39"/>
        <v/>
      </c>
      <c r="K157" s="36" t="str">
        <f>IF(C157=1,IF(OR('KT THAN'!$D$36&lt;=0,$K$13&lt;=0,$K$15&lt;=0),0,$K$13*$K$8*$K$12/(TAN(RADIANS(I157))*$K$15)/1000),"")</f>
        <v/>
      </c>
      <c r="L157" s="36" t="str">
        <f t="shared" si="40"/>
        <v/>
      </c>
      <c r="M157" s="36">
        <f t="shared" si="41"/>
        <v>0</v>
      </c>
      <c r="N157" s="36" t="str">
        <f t="shared" si="42"/>
        <v/>
      </c>
      <c r="O157" s="36" t="str">
        <f t="shared" si="43"/>
        <v/>
      </c>
      <c r="P157" s="36" t="str">
        <f t="shared" si="44"/>
        <v/>
      </c>
      <c r="Q157" s="36" t="str">
        <f>IF(C157=1,IF('KT THAN'!$D$36&lt;=0,"KHÔNG YÊU CẦU",IF($K$15&lt;=P157,"ĐẠT","KHÔNG ĐẠT")),"")</f>
        <v/>
      </c>
      <c r="R157" s="36" t="str">
        <f t="shared" si="45"/>
        <v/>
      </c>
    </row>
    <row r="158" spans="1:18" hidden="1" outlineLevel="1" x14ac:dyDescent="0.3">
      <c r="A158" s="36" t="str">
        <f t="shared" si="34"/>
        <v/>
      </c>
      <c r="B158" s="36" t="str">
        <f>IF('TO HOP NLAN'!$A89="","",'TO HOP NLAN'!$A89)</f>
        <v/>
      </c>
      <c r="C158" s="36">
        <f t="shared" si="35"/>
        <v>0</v>
      </c>
      <c r="D158" s="36" t="str">
        <f>IF(C158=1,-'TO HOP NLAN'!$I89,"")</f>
        <v/>
      </c>
      <c r="E158" s="36" t="str">
        <f>IF(C158=1,ABS('TO HOP NLAN'!$K89),"")</f>
        <v/>
      </c>
      <c r="F158" s="36" t="str">
        <f>IF(C158=1,ABS('TO HOP NLAN'!$G89),"")</f>
        <v/>
      </c>
      <c r="G158" s="36" t="str">
        <f t="shared" si="36"/>
        <v/>
      </c>
      <c r="H158" s="36" t="str">
        <f t="shared" si="37"/>
        <v/>
      </c>
      <c r="I158" s="36" t="str">
        <f t="shared" si="38"/>
        <v/>
      </c>
      <c r="J158" s="36" t="str">
        <f t="shared" si="39"/>
        <v/>
      </c>
      <c r="K158" s="36" t="str">
        <f>IF(C158=1,IF(OR('KT THAN'!$D$36&lt;=0,$K$13&lt;=0,$K$15&lt;=0),0,$K$13*$K$8*$K$12/(TAN(RADIANS(I158))*$K$15)/1000),"")</f>
        <v/>
      </c>
      <c r="L158" s="36" t="str">
        <f t="shared" si="40"/>
        <v/>
      </c>
      <c r="M158" s="36">
        <f t="shared" si="41"/>
        <v>0</v>
      </c>
      <c r="N158" s="36" t="str">
        <f t="shared" si="42"/>
        <v/>
      </c>
      <c r="O158" s="36" t="str">
        <f t="shared" si="43"/>
        <v/>
      </c>
      <c r="P158" s="36" t="str">
        <f t="shared" si="44"/>
        <v/>
      </c>
      <c r="Q158" s="36" t="str">
        <f>IF(C158=1,IF('KT THAN'!$D$36&lt;=0,"KHÔNG YÊU CẦU",IF($K$15&lt;=P158,"ĐẠT","KHÔNG ĐẠT")),"")</f>
        <v/>
      </c>
      <c r="R158" s="36" t="str">
        <f t="shared" si="45"/>
        <v/>
      </c>
    </row>
    <row r="159" spans="1:18" hidden="1" outlineLevel="1" x14ac:dyDescent="0.3">
      <c r="A159" s="36" t="str">
        <f t="shared" si="34"/>
        <v/>
      </c>
      <c r="B159" s="36" t="str">
        <f>IF('TO HOP NLAN'!$A90="","",'TO HOP NLAN'!$A90)</f>
        <v/>
      </c>
      <c r="C159" s="36">
        <f t="shared" si="35"/>
        <v>0</v>
      </c>
      <c r="D159" s="36" t="str">
        <f>IF(C159=1,-'TO HOP NLAN'!$I90,"")</f>
        <v/>
      </c>
      <c r="E159" s="36" t="str">
        <f>IF(C159=1,ABS('TO HOP NLAN'!$K90),"")</f>
        <v/>
      </c>
      <c r="F159" s="36" t="str">
        <f>IF(C159=1,ABS('TO HOP NLAN'!$G90),"")</f>
        <v/>
      </c>
      <c r="G159" s="36" t="str">
        <f t="shared" si="36"/>
        <v/>
      </c>
      <c r="H159" s="36" t="str">
        <f t="shared" si="37"/>
        <v/>
      </c>
      <c r="I159" s="36" t="str">
        <f t="shared" si="38"/>
        <v/>
      </c>
      <c r="J159" s="36" t="str">
        <f t="shared" si="39"/>
        <v/>
      </c>
      <c r="K159" s="36" t="str">
        <f>IF(C159=1,IF(OR('KT THAN'!$D$36&lt;=0,$K$13&lt;=0,$K$15&lt;=0),0,$K$13*$K$8*$K$12/(TAN(RADIANS(I159))*$K$15)/1000),"")</f>
        <v/>
      </c>
      <c r="L159" s="36" t="str">
        <f t="shared" si="40"/>
        <v/>
      </c>
      <c r="M159" s="36">
        <f t="shared" si="41"/>
        <v>0</v>
      </c>
      <c r="N159" s="36" t="str">
        <f t="shared" si="42"/>
        <v/>
      </c>
      <c r="O159" s="36" t="str">
        <f t="shared" si="43"/>
        <v/>
      </c>
      <c r="P159" s="36" t="str">
        <f t="shared" si="44"/>
        <v/>
      </c>
      <c r="Q159" s="36" t="str">
        <f>IF(C159=1,IF('KT THAN'!$D$36&lt;=0,"KHÔNG YÊU CẦU",IF($K$15&lt;=P159,"ĐẠT","KHÔNG ĐẠT")),"")</f>
        <v/>
      </c>
      <c r="R159" s="36" t="str">
        <f t="shared" si="45"/>
        <v/>
      </c>
    </row>
    <row r="160" spans="1:18" hidden="1" outlineLevel="1" x14ac:dyDescent="0.3">
      <c r="A160" s="36" t="str">
        <f t="shared" si="34"/>
        <v/>
      </c>
      <c r="B160" s="36" t="str">
        <f>IF('TO HOP NLAN'!$A91="","",'TO HOP NLAN'!$A91)</f>
        <v/>
      </c>
      <c r="C160" s="36">
        <f t="shared" si="35"/>
        <v>0</v>
      </c>
      <c r="D160" s="36" t="str">
        <f>IF(C160=1,-'TO HOP NLAN'!$I91,"")</f>
        <v/>
      </c>
      <c r="E160" s="36" t="str">
        <f>IF(C160=1,ABS('TO HOP NLAN'!$K91),"")</f>
        <v/>
      </c>
      <c r="F160" s="36" t="str">
        <f>IF(C160=1,ABS('TO HOP NLAN'!$G91),"")</f>
        <v/>
      </c>
      <c r="G160" s="36" t="str">
        <f t="shared" si="36"/>
        <v/>
      </c>
      <c r="H160" s="36" t="str">
        <f t="shared" si="37"/>
        <v/>
      </c>
      <c r="I160" s="36" t="str">
        <f t="shared" si="38"/>
        <v/>
      </c>
      <c r="J160" s="36" t="str">
        <f t="shared" si="39"/>
        <v/>
      </c>
      <c r="K160" s="36" t="str">
        <f>IF(C160=1,IF(OR('KT THAN'!$D$36&lt;=0,$K$13&lt;=0,$K$15&lt;=0),0,$K$13*$K$8*$K$12/(TAN(RADIANS(I160))*$K$15)/1000),"")</f>
        <v/>
      </c>
      <c r="L160" s="36" t="str">
        <f t="shared" si="40"/>
        <v/>
      </c>
      <c r="M160" s="36">
        <f t="shared" si="41"/>
        <v>0</v>
      </c>
      <c r="N160" s="36" t="str">
        <f t="shared" si="42"/>
        <v/>
      </c>
      <c r="O160" s="36" t="str">
        <f t="shared" si="43"/>
        <v/>
      </c>
      <c r="P160" s="36" t="str">
        <f t="shared" si="44"/>
        <v/>
      </c>
      <c r="Q160" s="36" t="str">
        <f>IF(C160=1,IF('KT THAN'!$D$36&lt;=0,"KHÔNG YÊU CẦU",IF($K$15&lt;=P160,"ĐẠT","KHÔNG ĐẠT")),"")</f>
        <v/>
      </c>
      <c r="R160" s="36" t="str">
        <f t="shared" si="45"/>
        <v/>
      </c>
    </row>
    <row r="161" spans="1:18" hidden="1" outlineLevel="1" x14ac:dyDescent="0.3">
      <c r="A161" s="36" t="str">
        <f t="shared" si="34"/>
        <v/>
      </c>
      <c r="B161" s="36" t="str">
        <f>IF('TO HOP NLAN'!$A92="","",'TO HOP NLAN'!$A92)</f>
        <v/>
      </c>
      <c r="C161" s="36">
        <f t="shared" si="35"/>
        <v>0</v>
      </c>
      <c r="D161" s="36" t="str">
        <f>IF(C161=1,-'TO HOP NLAN'!$I92,"")</f>
        <v/>
      </c>
      <c r="E161" s="36" t="str">
        <f>IF(C161=1,ABS('TO HOP NLAN'!$K92),"")</f>
        <v/>
      </c>
      <c r="F161" s="36" t="str">
        <f>IF(C161=1,ABS('TO HOP NLAN'!$G92),"")</f>
        <v/>
      </c>
      <c r="G161" s="36" t="str">
        <f t="shared" si="36"/>
        <v/>
      </c>
      <c r="H161" s="36" t="str">
        <f t="shared" si="37"/>
        <v/>
      </c>
      <c r="I161" s="36" t="str">
        <f t="shared" si="38"/>
        <v/>
      </c>
      <c r="J161" s="36" t="str">
        <f t="shared" si="39"/>
        <v/>
      </c>
      <c r="K161" s="36" t="str">
        <f>IF(C161=1,IF(OR('KT THAN'!$D$36&lt;=0,$K$13&lt;=0,$K$15&lt;=0),0,$K$13*$K$8*$K$12/(TAN(RADIANS(I161))*$K$15)/1000),"")</f>
        <v/>
      </c>
      <c r="L161" s="36" t="str">
        <f t="shared" si="40"/>
        <v/>
      </c>
      <c r="M161" s="36">
        <f t="shared" si="41"/>
        <v>0</v>
      </c>
      <c r="N161" s="36" t="str">
        <f t="shared" si="42"/>
        <v/>
      </c>
      <c r="O161" s="36" t="str">
        <f t="shared" si="43"/>
        <v/>
      </c>
      <c r="P161" s="36" t="str">
        <f t="shared" si="44"/>
        <v/>
      </c>
      <c r="Q161" s="36" t="str">
        <f>IF(C161=1,IF('KT THAN'!$D$36&lt;=0,"KHÔNG YÊU CẦU",IF($K$15&lt;=P161,"ĐẠT","KHÔNG ĐẠT")),"")</f>
        <v/>
      </c>
      <c r="R161" s="36" t="str">
        <f t="shared" si="45"/>
        <v/>
      </c>
    </row>
    <row r="162" spans="1:18" hidden="1" outlineLevel="1" x14ac:dyDescent="0.3">
      <c r="A162" s="36" t="str">
        <f t="shared" si="34"/>
        <v/>
      </c>
      <c r="B162" s="36" t="str">
        <f>IF('TO HOP NLAN'!$A93="","",'TO HOP NLAN'!$A93)</f>
        <v/>
      </c>
      <c r="C162" s="36">
        <f t="shared" si="35"/>
        <v>0</v>
      </c>
      <c r="D162" s="36" t="str">
        <f>IF(C162=1,-'TO HOP NLAN'!$I93,"")</f>
        <v/>
      </c>
      <c r="E162" s="36" t="str">
        <f>IF(C162=1,ABS('TO HOP NLAN'!$K93),"")</f>
        <v/>
      </c>
      <c r="F162" s="36" t="str">
        <f>IF(C162=1,ABS('TO HOP NLAN'!$G93),"")</f>
        <v/>
      </c>
      <c r="G162" s="36" t="str">
        <f t="shared" si="36"/>
        <v/>
      </c>
      <c r="H162" s="36" t="str">
        <f t="shared" si="37"/>
        <v/>
      </c>
      <c r="I162" s="36" t="str">
        <f t="shared" si="38"/>
        <v/>
      </c>
      <c r="J162" s="36" t="str">
        <f t="shared" si="39"/>
        <v/>
      </c>
      <c r="K162" s="36" t="str">
        <f>IF(C162=1,IF(OR('KT THAN'!$D$36&lt;=0,$K$13&lt;=0,$K$15&lt;=0),0,$K$13*$K$8*$K$12/(TAN(RADIANS(I162))*$K$15)/1000),"")</f>
        <v/>
      </c>
      <c r="L162" s="36" t="str">
        <f t="shared" si="40"/>
        <v/>
      </c>
      <c r="M162" s="36">
        <f t="shared" si="41"/>
        <v>0</v>
      </c>
      <c r="N162" s="36" t="str">
        <f t="shared" si="42"/>
        <v/>
      </c>
      <c r="O162" s="36" t="str">
        <f t="shared" si="43"/>
        <v/>
      </c>
      <c r="P162" s="36" t="str">
        <f t="shared" si="44"/>
        <v/>
      </c>
      <c r="Q162" s="36" t="str">
        <f>IF(C162=1,IF('KT THAN'!$D$36&lt;=0,"KHÔNG YÊU CẦU",IF($K$15&lt;=P162,"ĐẠT","KHÔNG ĐẠT")),"")</f>
        <v/>
      </c>
      <c r="R162" s="36" t="str">
        <f t="shared" si="45"/>
        <v/>
      </c>
    </row>
    <row r="163" spans="1:18" hidden="1" outlineLevel="1" x14ac:dyDescent="0.3">
      <c r="A163" s="36" t="str">
        <f t="shared" si="34"/>
        <v/>
      </c>
      <c r="B163" s="36" t="str">
        <f>IF('TO HOP NLAN'!$A94="","",'TO HOP NLAN'!$A94)</f>
        <v/>
      </c>
      <c r="C163" s="36">
        <f t="shared" si="35"/>
        <v>0</v>
      </c>
      <c r="D163" s="36" t="str">
        <f>IF(C163=1,-'TO HOP NLAN'!$I94,"")</f>
        <v/>
      </c>
      <c r="E163" s="36" t="str">
        <f>IF(C163=1,ABS('TO HOP NLAN'!$K94),"")</f>
        <v/>
      </c>
      <c r="F163" s="36" t="str">
        <f>IF(C163=1,ABS('TO HOP NLAN'!$G94),"")</f>
        <v/>
      </c>
      <c r="G163" s="36" t="str">
        <f t="shared" si="36"/>
        <v/>
      </c>
      <c r="H163" s="36" t="str">
        <f t="shared" si="37"/>
        <v/>
      </c>
      <c r="I163" s="36" t="str">
        <f t="shared" si="38"/>
        <v/>
      </c>
      <c r="J163" s="36" t="str">
        <f t="shared" si="39"/>
        <v/>
      </c>
      <c r="K163" s="36" t="str">
        <f>IF(C163=1,IF(OR('KT THAN'!$D$36&lt;=0,$K$13&lt;=0,$K$15&lt;=0),0,$K$13*$K$8*$K$12/(TAN(RADIANS(I163))*$K$15)/1000),"")</f>
        <v/>
      </c>
      <c r="L163" s="36" t="str">
        <f t="shared" si="40"/>
        <v/>
      </c>
      <c r="M163" s="36">
        <f t="shared" si="41"/>
        <v>0</v>
      </c>
      <c r="N163" s="36" t="str">
        <f t="shared" si="42"/>
        <v/>
      </c>
      <c r="O163" s="36" t="str">
        <f t="shared" si="43"/>
        <v/>
      </c>
      <c r="P163" s="36" t="str">
        <f t="shared" si="44"/>
        <v/>
      </c>
      <c r="Q163" s="36" t="str">
        <f>IF(C163=1,IF('KT THAN'!$D$36&lt;=0,"KHÔNG YÊU CẦU",IF($K$15&lt;=P163,"ĐẠT","KHÔNG ĐẠT")),"")</f>
        <v/>
      </c>
      <c r="R163" s="36" t="str">
        <f t="shared" si="45"/>
        <v/>
      </c>
    </row>
    <row r="164" spans="1:18" hidden="1" outlineLevel="1" x14ac:dyDescent="0.3">
      <c r="A164" s="36" t="str">
        <f t="shared" si="34"/>
        <v/>
      </c>
      <c r="B164" s="36" t="str">
        <f>IF('TO HOP NLAN'!$A95="","",'TO HOP NLAN'!$A95)</f>
        <v/>
      </c>
      <c r="C164" s="36">
        <f t="shared" si="35"/>
        <v>0</v>
      </c>
      <c r="D164" s="36" t="str">
        <f>IF(C164=1,-'TO HOP NLAN'!$I95,"")</f>
        <v/>
      </c>
      <c r="E164" s="36" t="str">
        <f>IF(C164=1,ABS('TO HOP NLAN'!$K95),"")</f>
        <v/>
      </c>
      <c r="F164" s="36" t="str">
        <f>IF(C164=1,ABS('TO HOP NLAN'!$G95),"")</f>
        <v/>
      </c>
      <c r="G164" s="36" t="str">
        <f t="shared" si="36"/>
        <v/>
      </c>
      <c r="H164" s="36" t="str">
        <f t="shared" si="37"/>
        <v/>
      </c>
      <c r="I164" s="36" t="str">
        <f t="shared" si="38"/>
        <v/>
      </c>
      <c r="J164" s="36" t="str">
        <f t="shared" si="39"/>
        <v/>
      </c>
      <c r="K164" s="36" t="str">
        <f>IF(C164=1,IF(OR('KT THAN'!$D$36&lt;=0,$K$13&lt;=0,$K$15&lt;=0),0,$K$13*$K$8*$K$12/(TAN(RADIANS(I164))*$K$15)/1000),"")</f>
        <v/>
      </c>
      <c r="L164" s="36" t="str">
        <f t="shared" si="40"/>
        <v/>
      </c>
      <c r="M164" s="36">
        <f t="shared" si="41"/>
        <v>0</v>
      </c>
      <c r="N164" s="36" t="str">
        <f t="shared" si="42"/>
        <v/>
      </c>
      <c r="O164" s="36" t="str">
        <f t="shared" si="43"/>
        <v/>
      </c>
      <c r="P164" s="36" t="str">
        <f t="shared" si="44"/>
        <v/>
      </c>
      <c r="Q164" s="36" t="str">
        <f>IF(C164=1,IF('KT THAN'!$D$36&lt;=0,"KHÔNG YÊU CẦU",IF($K$15&lt;=P164,"ĐẠT","KHÔNG ĐẠT")),"")</f>
        <v/>
      </c>
      <c r="R164" s="36" t="str">
        <f t="shared" si="45"/>
        <v/>
      </c>
    </row>
    <row r="165" spans="1:18" hidden="1" outlineLevel="1" x14ac:dyDescent="0.3">
      <c r="A165" s="36" t="str">
        <f t="shared" si="34"/>
        <v/>
      </c>
      <c r="B165" s="36" t="str">
        <f>IF('TO HOP NLAN'!$A96="","",'TO HOP NLAN'!$A96)</f>
        <v/>
      </c>
      <c r="C165" s="36">
        <f t="shared" si="35"/>
        <v>0</v>
      </c>
      <c r="D165" s="36" t="str">
        <f>IF(C165=1,-'TO HOP NLAN'!$I96,"")</f>
        <v/>
      </c>
      <c r="E165" s="36" t="str">
        <f>IF(C165=1,ABS('TO HOP NLAN'!$K96),"")</f>
        <v/>
      </c>
      <c r="F165" s="36" t="str">
        <f>IF(C165=1,ABS('TO HOP NLAN'!$G96),"")</f>
        <v/>
      </c>
      <c r="G165" s="36" t="str">
        <f t="shared" si="36"/>
        <v/>
      </c>
      <c r="H165" s="36" t="str">
        <f t="shared" si="37"/>
        <v/>
      </c>
      <c r="I165" s="36" t="str">
        <f t="shared" si="38"/>
        <v/>
      </c>
      <c r="J165" s="36" t="str">
        <f t="shared" si="39"/>
        <v/>
      </c>
      <c r="K165" s="36" t="str">
        <f>IF(C165=1,IF(OR('KT THAN'!$D$36&lt;=0,$K$13&lt;=0,$K$15&lt;=0),0,$K$13*$K$8*$K$12/(TAN(RADIANS(I165))*$K$15)/1000),"")</f>
        <v/>
      </c>
      <c r="L165" s="36" t="str">
        <f t="shared" si="40"/>
        <v/>
      </c>
      <c r="M165" s="36">
        <f t="shared" si="41"/>
        <v>0</v>
      </c>
      <c r="N165" s="36" t="str">
        <f t="shared" si="42"/>
        <v/>
      </c>
      <c r="O165" s="36" t="str">
        <f t="shared" si="43"/>
        <v/>
      </c>
      <c r="P165" s="36" t="str">
        <f t="shared" si="44"/>
        <v/>
      </c>
      <c r="Q165" s="36" t="str">
        <f>IF(C165=1,IF('KT THAN'!$D$36&lt;=0,"KHÔNG YÊU CẦU",IF($K$15&lt;=P165,"ĐẠT","KHÔNG ĐẠT")),"")</f>
        <v/>
      </c>
      <c r="R165" s="36" t="str">
        <f t="shared" si="45"/>
        <v/>
      </c>
    </row>
    <row r="166" spans="1:18" hidden="1" outlineLevel="1" x14ac:dyDescent="0.3">
      <c r="A166" s="36" t="str">
        <f t="shared" si="34"/>
        <v/>
      </c>
      <c r="B166" s="36" t="str">
        <f>IF('TO HOP NLAN'!$A97="","",'TO HOP NLAN'!$A97)</f>
        <v/>
      </c>
      <c r="C166" s="36">
        <f t="shared" si="35"/>
        <v>0</v>
      </c>
      <c r="D166" s="36" t="str">
        <f>IF(C166=1,-'TO HOP NLAN'!$I97,"")</f>
        <v/>
      </c>
      <c r="E166" s="36" t="str">
        <f>IF(C166=1,ABS('TO HOP NLAN'!$K97),"")</f>
        <v/>
      </c>
      <c r="F166" s="36" t="str">
        <f>IF(C166=1,ABS('TO HOP NLAN'!$G97),"")</f>
        <v/>
      </c>
      <c r="G166" s="36" t="str">
        <f t="shared" si="36"/>
        <v/>
      </c>
      <c r="H166" s="36" t="str">
        <f t="shared" si="37"/>
        <v/>
      </c>
      <c r="I166" s="36" t="str">
        <f t="shared" si="38"/>
        <v/>
      </c>
      <c r="J166" s="36" t="str">
        <f t="shared" si="39"/>
        <v/>
      </c>
      <c r="K166" s="36" t="str">
        <f>IF(C166=1,IF(OR('KT THAN'!$D$36&lt;=0,$K$13&lt;=0,$K$15&lt;=0),0,$K$13*$K$8*$K$12/(TAN(RADIANS(I166))*$K$15)/1000),"")</f>
        <v/>
      </c>
      <c r="L166" s="36" t="str">
        <f t="shared" si="40"/>
        <v/>
      </c>
      <c r="M166" s="36">
        <f t="shared" si="41"/>
        <v>0</v>
      </c>
      <c r="N166" s="36" t="str">
        <f t="shared" si="42"/>
        <v/>
      </c>
      <c r="O166" s="36" t="str">
        <f t="shared" si="43"/>
        <v/>
      </c>
      <c r="P166" s="36" t="str">
        <f t="shared" si="44"/>
        <v/>
      </c>
      <c r="Q166" s="36" t="str">
        <f>IF(C166=1,IF('KT THAN'!$D$36&lt;=0,"KHÔNG YÊU CẦU",IF($K$15&lt;=P166,"ĐẠT","KHÔNG ĐẠT")),"")</f>
        <v/>
      </c>
      <c r="R166" s="36" t="str">
        <f t="shared" si="45"/>
        <v/>
      </c>
    </row>
    <row r="167" spans="1:18" hidden="1" outlineLevel="1" x14ac:dyDescent="0.3">
      <c r="A167" s="36" t="str">
        <f t="shared" si="34"/>
        <v/>
      </c>
      <c r="B167" s="36" t="str">
        <f>IF('TO HOP NLAN'!$A98="","",'TO HOP NLAN'!$A98)</f>
        <v/>
      </c>
      <c r="C167" s="36">
        <f t="shared" si="35"/>
        <v>0</v>
      </c>
      <c r="D167" s="36" t="str">
        <f>IF(C167=1,-'TO HOP NLAN'!$I98,"")</f>
        <v/>
      </c>
      <c r="E167" s="36" t="str">
        <f>IF(C167=1,ABS('TO HOP NLAN'!$K98),"")</f>
        <v/>
      </c>
      <c r="F167" s="36" t="str">
        <f>IF(C167=1,ABS('TO HOP NLAN'!$G98),"")</f>
        <v/>
      </c>
      <c r="G167" s="36" t="str">
        <f t="shared" si="36"/>
        <v/>
      </c>
      <c r="H167" s="36" t="str">
        <f t="shared" si="37"/>
        <v/>
      </c>
      <c r="I167" s="36" t="str">
        <f t="shared" si="38"/>
        <v/>
      </c>
      <c r="J167" s="36" t="str">
        <f t="shared" si="39"/>
        <v/>
      </c>
      <c r="K167" s="36" t="str">
        <f>IF(C167=1,IF(OR('KT THAN'!$D$36&lt;=0,$K$13&lt;=0,$K$15&lt;=0),0,$K$13*$K$8*$K$12/(TAN(RADIANS(I167))*$K$15)/1000),"")</f>
        <v/>
      </c>
      <c r="L167" s="36" t="str">
        <f t="shared" si="40"/>
        <v/>
      </c>
      <c r="M167" s="36">
        <f t="shared" si="41"/>
        <v>0</v>
      </c>
      <c r="N167" s="36" t="str">
        <f t="shared" si="42"/>
        <v/>
      </c>
      <c r="O167" s="36" t="str">
        <f t="shared" si="43"/>
        <v/>
      </c>
      <c r="P167" s="36" t="str">
        <f t="shared" si="44"/>
        <v/>
      </c>
      <c r="Q167" s="36" t="str">
        <f>IF(C167=1,IF('KT THAN'!$D$36&lt;=0,"KHÔNG YÊU CẦU",IF($K$15&lt;=P167,"ĐẠT","KHÔNG ĐẠT")),"")</f>
        <v/>
      </c>
      <c r="R167" s="36" t="str">
        <f t="shared" si="45"/>
        <v/>
      </c>
    </row>
    <row r="168" spans="1:18" hidden="1" outlineLevel="1" x14ac:dyDescent="0.3">
      <c r="A168" s="36" t="str">
        <f t="shared" si="34"/>
        <v/>
      </c>
      <c r="B168" s="36" t="str">
        <f>IF('TO HOP NLAN'!$A99="","",'TO HOP NLAN'!$A99)</f>
        <v/>
      </c>
      <c r="C168" s="36">
        <f t="shared" si="35"/>
        <v>0</v>
      </c>
      <c r="D168" s="36" t="str">
        <f>IF(C168=1,-'TO HOP NLAN'!$I99,"")</f>
        <v/>
      </c>
      <c r="E168" s="36" t="str">
        <f>IF(C168=1,ABS('TO HOP NLAN'!$K99),"")</f>
        <v/>
      </c>
      <c r="F168" s="36" t="str">
        <f>IF(C168=1,ABS('TO HOP NLAN'!$G99),"")</f>
        <v/>
      </c>
      <c r="G168" s="36" t="str">
        <f t="shared" si="36"/>
        <v/>
      </c>
      <c r="H168" s="36" t="str">
        <f t="shared" si="37"/>
        <v/>
      </c>
      <c r="I168" s="36" t="str">
        <f t="shared" si="38"/>
        <v/>
      </c>
      <c r="J168" s="36" t="str">
        <f t="shared" si="39"/>
        <v/>
      </c>
      <c r="K168" s="36" t="str">
        <f>IF(C168=1,IF(OR('KT THAN'!$D$36&lt;=0,$K$13&lt;=0,$K$15&lt;=0),0,$K$13*$K$8*$K$12/(TAN(RADIANS(I168))*$K$15)/1000),"")</f>
        <v/>
      </c>
      <c r="L168" s="36" t="str">
        <f t="shared" si="40"/>
        <v/>
      </c>
      <c r="M168" s="36">
        <f t="shared" si="41"/>
        <v>0</v>
      </c>
      <c r="N168" s="36" t="str">
        <f t="shared" si="42"/>
        <v/>
      </c>
      <c r="O168" s="36" t="str">
        <f t="shared" si="43"/>
        <v/>
      </c>
      <c r="P168" s="36" t="str">
        <f t="shared" si="44"/>
        <v/>
      </c>
      <c r="Q168" s="36" t="str">
        <f>IF(C168=1,IF('KT THAN'!$D$36&lt;=0,"KHÔNG YÊU CẦU",IF($K$15&lt;=P168,"ĐẠT","KHÔNG ĐẠT")),"")</f>
        <v/>
      </c>
      <c r="R168" s="36" t="str">
        <f t="shared" si="45"/>
        <v/>
      </c>
    </row>
    <row r="169" spans="1:18" hidden="1" outlineLevel="1" x14ac:dyDescent="0.3">
      <c r="A169" s="36" t="str">
        <f t="shared" si="34"/>
        <v/>
      </c>
      <c r="B169" s="36" t="str">
        <f>IF('TO HOP NLAN'!$A100="","",'TO HOP NLAN'!$A100)</f>
        <v/>
      </c>
      <c r="C169" s="36">
        <f t="shared" si="35"/>
        <v>0</v>
      </c>
      <c r="D169" s="36" t="str">
        <f>IF(C169=1,-'TO HOP NLAN'!$I100,"")</f>
        <v/>
      </c>
      <c r="E169" s="36" t="str">
        <f>IF(C169=1,ABS('TO HOP NLAN'!$K100),"")</f>
        <v/>
      </c>
      <c r="F169" s="36" t="str">
        <f>IF(C169=1,ABS('TO HOP NLAN'!$G100),"")</f>
        <v/>
      </c>
      <c r="G169" s="36" t="str">
        <f t="shared" si="36"/>
        <v/>
      </c>
      <c r="H169" s="36" t="str">
        <f t="shared" si="37"/>
        <v/>
      </c>
      <c r="I169" s="36" t="str">
        <f t="shared" si="38"/>
        <v/>
      </c>
      <c r="J169" s="36" t="str">
        <f t="shared" si="39"/>
        <v/>
      </c>
      <c r="K169" s="36" t="str">
        <f>IF(C169=1,IF(OR('KT THAN'!$D$36&lt;=0,$K$13&lt;=0,$K$15&lt;=0),0,$K$13*$K$8*$K$12/(TAN(RADIANS(I169))*$K$15)/1000),"")</f>
        <v/>
      </c>
      <c r="L169" s="36" t="str">
        <f t="shared" si="40"/>
        <v/>
      </c>
      <c r="M169" s="36">
        <f t="shared" si="41"/>
        <v>0</v>
      </c>
      <c r="N169" s="36" t="str">
        <f t="shared" si="42"/>
        <v/>
      </c>
      <c r="O169" s="36" t="str">
        <f t="shared" si="43"/>
        <v/>
      </c>
      <c r="P169" s="36" t="str">
        <f t="shared" si="44"/>
        <v/>
      </c>
      <c r="Q169" s="36" t="str">
        <f>IF(C169=1,IF('KT THAN'!$D$36&lt;=0,"KHÔNG YÊU CẦU",IF($K$15&lt;=P169,"ĐẠT","KHÔNG ĐẠT")),"")</f>
        <v/>
      </c>
      <c r="R169" s="36" t="str">
        <f t="shared" si="45"/>
        <v/>
      </c>
    </row>
    <row r="170" spans="1:18" hidden="1" outlineLevel="1" x14ac:dyDescent="0.3">
      <c r="A170" s="36" t="str">
        <f t="shared" si="34"/>
        <v/>
      </c>
      <c r="B170" s="36" t="str">
        <f>IF('TO HOP NLAN'!$A101="","",'TO HOP NLAN'!$A101)</f>
        <v/>
      </c>
      <c r="C170" s="36">
        <f t="shared" si="35"/>
        <v>0</v>
      </c>
      <c r="D170" s="36" t="str">
        <f>IF(C170=1,-'TO HOP NLAN'!$I101,"")</f>
        <v/>
      </c>
      <c r="E170" s="36" t="str">
        <f>IF(C170=1,ABS('TO HOP NLAN'!$K101),"")</f>
        <v/>
      </c>
      <c r="F170" s="36" t="str">
        <f>IF(C170=1,ABS('TO HOP NLAN'!$G101),"")</f>
        <v/>
      </c>
      <c r="G170" s="36" t="str">
        <f t="shared" si="36"/>
        <v/>
      </c>
      <c r="H170" s="36" t="str">
        <f t="shared" si="37"/>
        <v/>
      </c>
      <c r="I170" s="36" t="str">
        <f t="shared" si="38"/>
        <v/>
      </c>
      <c r="J170" s="36" t="str">
        <f t="shared" si="39"/>
        <v/>
      </c>
      <c r="K170" s="36" t="str">
        <f>IF(C170=1,IF(OR('KT THAN'!$D$36&lt;=0,$K$13&lt;=0,$K$15&lt;=0),0,$K$13*$K$8*$K$12/(TAN(RADIANS(I170))*$K$15)/1000),"")</f>
        <v/>
      </c>
      <c r="L170" s="36" t="str">
        <f t="shared" si="40"/>
        <v/>
      </c>
      <c r="M170" s="36">
        <f t="shared" si="41"/>
        <v>0</v>
      </c>
      <c r="N170" s="36" t="str">
        <f t="shared" si="42"/>
        <v/>
      </c>
      <c r="O170" s="36" t="str">
        <f t="shared" si="43"/>
        <v/>
      </c>
      <c r="P170" s="36" t="str">
        <f t="shared" si="44"/>
        <v/>
      </c>
      <c r="Q170" s="36" t="str">
        <f>IF(C170=1,IF('KT THAN'!$D$36&lt;=0,"KHÔNG YÊU CẦU",IF($K$15&lt;=P170,"ĐẠT","KHÔNG ĐẠT")),"")</f>
        <v/>
      </c>
      <c r="R170" s="36" t="str">
        <f t="shared" si="45"/>
        <v/>
      </c>
    </row>
    <row r="171" spans="1:18" hidden="1" outlineLevel="1" x14ac:dyDescent="0.3">
      <c r="A171" s="36" t="str">
        <f t="shared" si="34"/>
        <v/>
      </c>
      <c r="B171" s="36" t="str">
        <f>IF('TO HOP NLAN'!$A102="","",'TO HOP NLAN'!$A102)</f>
        <v/>
      </c>
      <c r="C171" s="36">
        <f t="shared" si="35"/>
        <v>0</v>
      </c>
      <c r="D171" s="36" t="str">
        <f>IF(C171=1,-'TO HOP NLAN'!$I102,"")</f>
        <v/>
      </c>
      <c r="E171" s="36" t="str">
        <f>IF(C171=1,ABS('TO HOP NLAN'!$K102),"")</f>
        <v/>
      </c>
      <c r="F171" s="36" t="str">
        <f>IF(C171=1,ABS('TO HOP NLAN'!$G102),"")</f>
        <v/>
      </c>
      <c r="G171" s="36" t="str">
        <f t="shared" si="36"/>
        <v/>
      </c>
      <c r="H171" s="36" t="str">
        <f t="shared" si="37"/>
        <v/>
      </c>
      <c r="I171" s="36" t="str">
        <f t="shared" si="38"/>
        <v/>
      </c>
      <c r="J171" s="36" t="str">
        <f t="shared" si="39"/>
        <v/>
      </c>
      <c r="K171" s="36" t="str">
        <f>IF(C171=1,IF(OR('KT THAN'!$D$36&lt;=0,$K$13&lt;=0,$K$15&lt;=0),0,$K$13*$K$8*$K$12/(TAN(RADIANS(I171))*$K$15)/1000),"")</f>
        <v/>
      </c>
      <c r="L171" s="36" t="str">
        <f t="shared" si="40"/>
        <v/>
      </c>
      <c r="M171" s="36">
        <f t="shared" si="41"/>
        <v>0</v>
      </c>
      <c r="N171" s="36" t="str">
        <f t="shared" si="42"/>
        <v/>
      </c>
      <c r="O171" s="36" t="str">
        <f t="shared" si="43"/>
        <v/>
      </c>
      <c r="P171" s="36" t="str">
        <f t="shared" si="44"/>
        <v/>
      </c>
      <c r="Q171" s="36" t="str">
        <f>IF(C171=1,IF('KT THAN'!$D$36&lt;=0,"KHÔNG YÊU CẦU",IF($K$15&lt;=P171,"ĐẠT","KHÔNG ĐẠT")),"")</f>
        <v/>
      </c>
      <c r="R171" s="36" t="str">
        <f t="shared" si="45"/>
        <v/>
      </c>
    </row>
    <row r="172" spans="1:18" hidden="1" outlineLevel="1" x14ac:dyDescent="0.3">
      <c r="A172" s="36" t="str">
        <f t="shared" si="34"/>
        <v/>
      </c>
      <c r="B172" s="36" t="str">
        <f>IF('TO HOP NLAN'!$A103="","",'TO HOP NLAN'!$A103)</f>
        <v/>
      </c>
      <c r="C172" s="36">
        <f t="shared" si="35"/>
        <v>0</v>
      </c>
      <c r="D172" s="36" t="str">
        <f>IF(C172=1,-'TO HOP NLAN'!$I103,"")</f>
        <v/>
      </c>
      <c r="E172" s="36" t="str">
        <f>IF(C172=1,ABS('TO HOP NLAN'!$K103),"")</f>
        <v/>
      </c>
      <c r="F172" s="36" t="str">
        <f>IF(C172=1,ABS('TO HOP NLAN'!$G103),"")</f>
        <v/>
      </c>
      <c r="G172" s="36" t="str">
        <f t="shared" si="36"/>
        <v/>
      </c>
      <c r="H172" s="36" t="str">
        <f t="shared" si="37"/>
        <v/>
      </c>
      <c r="I172" s="36" t="str">
        <f t="shared" si="38"/>
        <v/>
      </c>
      <c r="J172" s="36" t="str">
        <f t="shared" si="39"/>
        <v/>
      </c>
      <c r="K172" s="36" t="str">
        <f>IF(C172=1,IF(OR('KT THAN'!$D$36&lt;=0,$K$13&lt;=0,$K$15&lt;=0),0,$K$13*$K$8*$K$12/(TAN(RADIANS(I172))*$K$15)/1000),"")</f>
        <v/>
      </c>
      <c r="L172" s="36" t="str">
        <f t="shared" si="40"/>
        <v/>
      </c>
      <c r="M172" s="36">
        <f t="shared" si="41"/>
        <v>0</v>
      </c>
      <c r="N172" s="36" t="str">
        <f t="shared" si="42"/>
        <v/>
      </c>
      <c r="O172" s="36" t="str">
        <f t="shared" si="43"/>
        <v/>
      </c>
      <c r="P172" s="36" t="str">
        <f t="shared" si="44"/>
        <v/>
      </c>
      <c r="Q172" s="36" t="str">
        <f>IF(C172=1,IF('KT THAN'!$D$36&lt;=0,"KHÔNG YÊU CẦU",IF($K$15&lt;=P172,"ĐẠT","KHÔNG ĐẠT")),"")</f>
        <v/>
      </c>
      <c r="R172" s="36" t="str">
        <f t="shared" si="45"/>
        <v/>
      </c>
    </row>
    <row r="173" spans="1:18" hidden="1" outlineLevel="1" x14ac:dyDescent="0.3">
      <c r="A173" s="36" t="str">
        <f t="shared" si="34"/>
        <v/>
      </c>
      <c r="B173" s="36" t="str">
        <f>IF('TO HOP NLAN'!$A104="","",'TO HOP NLAN'!$A104)</f>
        <v/>
      </c>
      <c r="C173" s="36">
        <f t="shared" si="35"/>
        <v>0</v>
      </c>
      <c r="D173" s="36" t="str">
        <f>IF(C173=1,-'TO HOP NLAN'!$I104,"")</f>
        <v/>
      </c>
      <c r="E173" s="36" t="str">
        <f>IF(C173=1,ABS('TO HOP NLAN'!$K104),"")</f>
        <v/>
      </c>
      <c r="F173" s="36" t="str">
        <f>IF(C173=1,ABS('TO HOP NLAN'!$G104),"")</f>
        <v/>
      </c>
      <c r="G173" s="36" t="str">
        <f t="shared" si="36"/>
        <v/>
      </c>
      <c r="H173" s="36" t="str">
        <f t="shared" si="37"/>
        <v/>
      </c>
      <c r="I173" s="36" t="str">
        <f t="shared" si="38"/>
        <v/>
      </c>
      <c r="J173" s="36" t="str">
        <f t="shared" si="39"/>
        <v/>
      </c>
      <c r="K173" s="36" t="str">
        <f>IF(C173=1,IF(OR('KT THAN'!$D$36&lt;=0,$K$13&lt;=0,$K$15&lt;=0),0,$K$13*$K$8*$K$12/(TAN(RADIANS(I173))*$K$15)/1000),"")</f>
        <v/>
      </c>
      <c r="L173" s="36" t="str">
        <f t="shared" si="40"/>
        <v/>
      </c>
      <c r="M173" s="36">
        <f t="shared" si="41"/>
        <v>0</v>
      </c>
      <c r="N173" s="36" t="str">
        <f t="shared" si="42"/>
        <v/>
      </c>
      <c r="O173" s="36" t="str">
        <f t="shared" si="43"/>
        <v/>
      </c>
      <c r="P173" s="36" t="str">
        <f t="shared" si="44"/>
        <v/>
      </c>
      <c r="Q173" s="36" t="str">
        <f>IF(C173=1,IF('KT THAN'!$D$36&lt;=0,"KHÔNG YÊU CẦU",IF($K$15&lt;=P173,"ĐẠT","KHÔNG ĐẠT")),"")</f>
        <v/>
      </c>
      <c r="R173" s="36" t="str">
        <f t="shared" si="45"/>
        <v/>
      </c>
    </row>
    <row r="174" spans="1:18" hidden="1" outlineLevel="1" x14ac:dyDescent="0.3">
      <c r="A174" s="36" t="str">
        <f t="shared" si="34"/>
        <v/>
      </c>
      <c r="B174" s="36" t="str">
        <f>IF('TO HOP NLAN'!$A105="","",'TO HOP NLAN'!$A105)</f>
        <v/>
      </c>
      <c r="C174" s="36">
        <f t="shared" si="35"/>
        <v>0</v>
      </c>
      <c r="D174" s="36" t="str">
        <f>IF(C174=1,-'TO HOP NLAN'!$I105,"")</f>
        <v/>
      </c>
      <c r="E174" s="36" t="str">
        <f>IF(C174=1,ABS('TO HOP NLAN'!$K105),"")</f>
        <v/>
      </c>
      <c r="F174" s="36" t="str">
        <f>IF(C174=1,ABS('TO HOP NLAN'!$G105),"")</f>
        <v/>
      </c>
      <c r="G174" s="36" t="str">
        <f t="shared" si="36"/>
        <v/>
      </c>
      <c r="H174" s="36" t="str">
        <f t="shared" si="37"/>
        <v/>
      </c>
      <c r="I174" s="36" t="str">
        <f t="shared" si="38"/>
        <v/>
      </c>
      <c r="J174" s="36" t="str">
        <f t="shared" si="39"/>
        <v/>
      </c>
      <c r="K174" s="36" t="str">
        <f>IF(C174=1,IF(OR('KT THAN'!$D$36&lt;=0,$K$13&lt;=0,$K$15&lt;=0),0,$K$13*$K$8*$K$12/(TAN(RADIANS(I174))*$K$15)/1000),"")</f>
        <v/>
      </c>
      <c r="L174" s="36" t="str">
        <f t="shared" si="40"/>
        <v/>
      </c>
      <c r="M174" s="36">
        <f t="shared" si="41"/>
        <v>0</v>
      </c>
      <c r="N174" s="36" t="str">
        <f t="shared" si="42"/>
        <v/>
      </c>
      <c r="O174" s="36" t="str">
        <f t="shared" si="43"/>
        <v/>
      </c>
      <c r="P174" s="36" t="str">
        <f t="shared" si="44"/>
        <v/>
      </c>
      <c r="Q174" s="36" t="str">
        <f>IF(C174=1,IF('KT THAN'!$D$36&lt;=0,"KHÔNG YÊU CẦU",IF($K$15&lt;=P174,"ĐẠT","KHÔNG ĐẠT")),"")</f>
        <v/>
      </c>
      <c r="R174" s="36" t="str">
        <f t="shared" si="45"/>
        <v/>
      </c>
    </row>
    <row r="175" spans="1:18" hidden="1" outlineLevel="1" x14ac:dyDescent="0.3">
      <c r="A175" s="36" t="str">
        <f t="shared" si="34"/>
        <v/>
      </c>
      <c r="B175" s="36" t="str">
        <f>IF('TO HOP NLAN'!$A106="","",'TO HOP NLAN'!$A106)</f>
        <v/>
      </c>
      <c r="C175" s="36">
        <f t="shared" si="35"/>
        <v>0</v>
      </c>
      <c r="D175" s="36" t="str">
        <f>IF(C175=1,-'TO HOP NLAN'!$I106,"")</f>
        <v/>
      </c>
      <c r="E175" s="36" t="str">
        <f>IF(C175=1,ABS('TO HOP NLAN'!$K106),"")</f>
        <v/>
      </c>
      <c r="F175" s="36" t="str">
        <f>IF(C175=1,ABS('TO HOP NLAN'!$G106),"")</f>
        <v/>
      </c>
      <c r="G175" s="36" t="str">
        <f t="shared" si="36"/>
        <v/>
      </c>
      <c r="H175" s="36" t="str">
        <f t="shared" si="37"/>
        <v/>
      </c>
      <c r="I175" s="36" t="str">
        <f t="shared" si="38"/>
        <v/>
      </c>
      <c r="J175" s="36" t="str">
        <f t="shared" si="39"/>
        <v/>
      </c>
      <c r="K175" s="36" t="str">
        <f>IF(C175=1,IF(OR('KT THAN'!$D$36&lt;=0,$K$13&lt;=0,$K$15&lt;=0),0,$K$13*$K$8*$K$12/(TAN(RADIANS(I175))*$K$15)/1000),"")</f>
        <v/>
      </c>
      <c r="L175" s="36" t="str">
        <f t="shared" si="40"/>
        <v/>
      </c>
      <c r="M175" s="36">
        <f t="shared" si="41"/>
        <v>0</v>
      </c>
      <c r="N175" s="36" t="str">
        <f t="shared" si="42"/>
        <v/>
      </c>
      <c r="O175" s="36" t="str">
        <f t="shared" si="43"/>
        <v/>
      </c>
      <c r="P175" s="36" t="str">
        <f t="shared" si="44"/>
        <v/>
      </c>
      <c r="Q175" s="36" t="str">
        <f>IF(C175=1,IF('KT THAN'!$D$36&lt;=0,"KHÔNG YÊU CẦU",IF($K$15&lt;=P175,"ĐẠT","KHÔNG ĐẠT")),"")</f>
        <v/>
      </c>
      <c r="R175" s="36" t="str">
        <f t="shared" si="45"/>
        <v/>
      </c>
    </row>
    <row r="176" spans="1:18" hidden="1" outlineLevel="1" x14ac:dyDescent="0.3">
      <c r="A176" s="36" t="str">
        <f t="shared" si="34"/>
        <v/>
      </c>
      <c r="B176" s="36" t="str">
        <f>IF('TO HOP NLAN'!$A107="","",'TO HOP NLAN'!$A107)</f>
        <v/>
      </c>
      <c r="C176" s="36">
        <f t="shared" si="35"/>
        <v>0</v>
      </c>
      <c r="D176" s="36" t="str">
        <f>IF(C176=1,-'TO HOP NLAN'!$I107,"")</f>
        <v/>
      </c>
      <c r="E176" s="36" t="str">
        <f>IF(C176=1,ABS('TO HOP NLAN'!$K107),"")</f>
        <v/>
      </c>
      <c r="F176" s="36" t="str">
        <f>IF(C176=1,ABS('TO HOP NLAN'!$G107),"")</f>
        <v/>
      </c>
      <c r="G176" s="36" t="str">
        <f t="shared" si="36"/>
        <v/>
      </c>
      <c r="H176" s="36" t="str">
        <f t="shared" si="37"/>
        <v/>
      </c>
      <c r="I176" s="36" t="str">
        <f t="shared" si="38"/>
        <v/>
      </c>
      <c r="J176" s="36" t="str">
        <f t="shared" si="39"/>
        <v/>
      </c>
      <c r="K176" s="36" t="str">
        <f>IF(C176=1,IF(OR('KT THAN'!$D$36&lt;=0,$K$13&lt;=0,$K$15&lt;=0),0,$K$13*$K$8*$K$12/(TAN(RADIANS(I176))*$K$15)/1000),"")</f>
        <v/>
      </c>
      <c r="L176" s="36" t="str">
        <f t="shared" si="40"/>
        <v/>
      </c>
      <c r="M176" s="36">
        <f t="shared" si="41"/>
        <v>0</v>
      </c>
      <c r="N176" s="36" t="str">
        <f t="shared" si="42"/>
        <v/>
      </c>
      <c r="O176" s="36" t="str">
        <f t="shared" si="43"/>
        <v/>
      </c>
      <c r="P176" s="36" t="str">
        <f t="shared" si="44"/>
        <v/>
      </c>
      <c r="Q176" s="36" t="str">
        <f>IF(C176=1,IF('KT THAN'!$D$36&lt;=0,"KHÔNG YÊU CẦU",IF($K$15&lt;=P176,"ĐẠT","KHÔNG ĐẠT")),"")</f>
        <v/>
      </c>
      <c r="R176" s="36" t="str">
        <f t="shared" si="45"/>
        <v/>
      </c>
    </row>
    <row r="177" spans="1:18" hidden="1" outlineLevel="1" x14ac:dyDescent="0.3">
      <c r="A177" s="36" t="str">
        <f t="shared" si="34"/>
        <v/>
      </c>
      <c r="B177" s="36" t="str">
        <f>IF('TO HOP NLAN'!$A108="","",'TO HOP NLAN'!$A108)</f>
        <v/>
      </c>
      <c r="C177" s="36">
        <f t="shared" si="35"/>
        <v>0</v>
      </c>
      <c r="D177" s="36" t="str">
        <f>IF(C177=1,-'TO HOP NLAN'!$I108,"")</f>
        <v/>
      </c>
      <c r="E177" s="36" t="str">
        <f>IF(C177=1,ABS('TO HOP NLAN'!$K108),"")</f>
        <v/>
      </c>
      <c r="F177" s="36" t="str">
        <f>IF(C177=1,ABS('TO HOP NLAN'!$G108),"")</f>
        <v/>
      </c>
      <c r="G177" s="36" t="str">
        <f t="shared" si="36"/>
        <v/>
      </c>
      <c r="H177" s="36" t="str">
        <f t="shared" si="37"/>
        <v/>
      </c>
      <c r="I177" s="36" t="str">
        <f t="shared" si="38"/>
        <v/>
      </c>
      <c r="J177" s="36" t="str">
        <f t="shared" si="39"/>
        <v/>
      </c>
      <c r="K177" s="36" t="str">
        <f>IF(C177=1,IF(OR('KT THAN'!$D$36&lt;=0,$K$13&lt;=0,$K$15&lt;=0),0,$K$13*$K$8*$K$12/(TAN(RADIANS(I177))*$K$15)/1000),"")</f>
        <v/>
      </c>
      <c r="L177" s="36" t="str">
        <f t="shared" si="40"/>
        <v/>
      </c>
      <c r="M177" s="36">
        <f t="shared" si="41"/>
        <v>0</v>
      </c>
      <c r="N177" s="36" t="str">
        <f t="shared" si="42"/>
        <v/>
      </c>
      <c r="O177" s="36" t="str">
        <f t="shared" si="43"/>
        <v/>
      </c>
      <c r="P177" s="36" t="str">
        <f t="shared" si="44"/>
        <v/>
      </c>
      <c r="Q177" s="36" t="str">
        <f>IF(C177=1,IF('KT THAN'!$D$36&lt;=0,"KHÔNG YÊU CẦU",IF($K$15&lt;=P177,"ĐẠT","KHÔNG ĐẠT")),"")</f>
        <v/>
      </c>
      <c r="R177" s="36" t="str">
        <f t="shared" si="45"/>
        <v/>
      </c>
    </row>
    <row r="178" spans="1:18" hidden="1" outlineLevel="1" x14ac:dyDescent="0.3">
      <c r="A178" s="36" t="str">
        <f t="shared" si="34"/>
        <v/>
      </c>
      <c r="B178" s="36" t="str">
        <f>IF('TO HOP NLAN'!$A109="","",'TO HOP NLAN'!$A109)</f>
        <v/>
      </c>
      <c r="C178" s="36">
        <f t="shared" si="35"/>
        <v>0</v>
      </c>
      <c r="D178" s="36" t="str">
        <f>IF(C178=1,-'TO HOP NLAN'!$I109,"")</f>
        <v/>
      </c>
      <c r="E178" s="36" t="str">
        <f>IF(C178=1,ABS('TO HOP NLAN'!$K109),"")</f>
        <v/>
      </c>
      <c r="F178" s="36" t="str">
        <f>IF(C178=1,ABS('TO HOP NLAN'!$G109),"")</f>
        <v/>
      </c>
      <c r="G178" s="36" t="str">
        <f t="shared" si="36"/>
        <v/>
      </c>
      <c r="H178" s="36" t="str">
        <f t="shared" si="37"/>
        <v/>
      </c>
      <c r="I178" s="36" t="str">
        <f t="shared" si="38"/>
        <v/>
      </c>
      <c r="J178" s="36" t="str">
        <f t="shared" si="39"/>
        <v/>
      </c>
      <c r="K178" s="36" t="str">
        <f>IF(C178=1,IF(OR('KT THAN'!$D$36&lt;=0,$K$13&lt;=0,$K$15&lt;=0),0,$K$13*$K$8*$K$12/(TAN(RADIANS(I178))*$K$15)/1000),"")</f>
        <v/>
      </c>
      <c r="L178" s="36" t="str">
        <f t="shared" si="40"/>
        <v/>
      </c>
      <c r="M178" s="36">
        <f t="shared" si="41"/>
        <v>0</v>
      </c>
      <c r="N178" s="36" t="str">
        <f t="shared" si="42"/>
        <v/>
      </c>
      <c r="O178" s="36" t="str">
        <f t="shared" si="43"/>
        <v/>
      </c>
      <c r="P178" s="36" t="str">
        <f t="shared" si="44"/>
        <v/>
      </c>
      <c r="Q178" s="36" t="str">
        <f>IF(C178=1,IF('KT THAN'!$D$36&lt;=0,"KHÔNG YÊU CẦU",IF($K$15&lt;=P178,"ĐẠT","KHÔNG ĐẠT")),"")</f>
        <v/>
      </c>
      <c r="R178" s="36" t="str">
        <f t="shared" si="45"/>
        <v/>
      </c>
    </row>
    <row r="179" spans="1:18" hidden="1" outlineLevel="1" x14ac:dyDescent="0.3">
      <c r="A179" s="36" t="str">
        <f t="shared" si="34"/>
        <v/>
      </c>
      <c r="B179" s="36" t="str">
        <f>IF('TO HOP NLAN'!$A110="","",'TO HOP NLAN'!$A110)</f>
        <v/>
      </c>
      <c r="C179" s="36">
        <f t="shared" si="35"/>
        <v>0</v>
      </c>
      <c r="D179" s="36" t="str">
        <f>IF(C179=1,-'TO HOP NLAN'!$I110,"")</f>
        <v/>
      </c>
      <c r="E179" s="36" t="str">
        <f>IF(C179=1,ABS('TO HOP NLAN'!$K110),"")</f>
        <v/>
      </c>
      <c r="F179" s="36" t="str">
        <f>IF(C179=1,ABS('TO HOP NLAN'!$G110),"")</f>
        <v/>
      </c>
      <c r="G179" s="36" t="str">
        <f t="shared" si="36"/>
        <v/>
      </c>
      <c r="H179" s="36" t="str">
        <f t="shared" si="37"/>
        <v/>
      </c>
      <c r="I179" s="36" t="str">
        <f t="shared" si="38"/>
        <v/>
      </c>
      <c r="J179" s="36" t="str">
        <f t="shared" si="39"/>
        <v/>
      </c>
      <c r="K179" s="36" t="str">
        <f>IF(C179=1,IF(OR('KT THAN'!$D$36&lt;=0,$K$13&lt;=0,$K$15&lt;=0),0,$K$13*$K$8*$K$12/(TAN(RADIANS(I179))*$K$15)/1000),"")</f>
        <v/>
      </c>
      <c r="L179" s="36" t="str">
        <f t="shared" si="40"/>
        <v/>
      </c>
      <c r="M179" s="36">
        <f t="shared" si="41"/>
        <v>0</v>
      </c>
      <c r="N179" s="36" t="str">
        <f t="shared" si="42"/>
        <v/>
      </c>
      <c r="O179" s="36" t="str">
        <f t="shared" si="43"/>
        <v/>
      </c>
      <c r="P179" s="36" t="str">
        <f t="shared" si="44"/>
        <v/>
      </c>
      <c r="Q179" s="36" t="str">
        <f>IF(C179=1,IF('KT THAN'!$D$36&lt;=0,"KHÔNG YÊU CẦU",IF($K$15&lt;=P179,"ĐẠT","KHÔNG ĐẠT")),"")</f>
        <v/>
      </c>
      <c r="R179" s="36" t="str">
        <f t="shared" si="45"/>
        <v/>
      </c>
    </row>
    <row r="180" spans="1:18" hidden="1" outlineLevel="1" x14ac:dyDescent="0.3">
      <c r="A180" s="36" t="str">
        <f t="shared" si="34"/>
        <v/>
      </c>
      <c r="B180" s="36" t="str">
        <f>IF('TO HOP NLAN'!$A111="","",'TO HOP NLAN'!$A111)</f>
        <v/>
      </c>
      <c r="C180" s="36">
        <f t="shared" si="35"/>
        <v>0</v>
      </c>
      <c r="D180" s="36" t="str">
        <f>IF(C180=1,-'TO HOP NLAN'!$I111,"")</f>
        <v/>
      </c>
      <c r="E180" s="36" t="str">
        <f>IF(C180=1,ABS('TO HOP NLAN'!$K111),"")</f>
        <v/>
      </c>
      <c r="F180" s="36" t="str">
        <f>IF(C180=1,ABS('TO HOP NLAN'!$G111),"")</f>
        <v/>
      </c>
      <c r="G180" s="36" t="str">
        <f t="shared" si="36"/>
        <v/>
      </c>
      <c r="H180" s="36" t="str">
        <f t="shared" si="37"/>
        <v/>
      </c>
      <c r="I180" s="36" t="str">
        <f t="shared" si="38"/>
        <v/>
      </c>
      <c r="J180" s="36" t="str">
        <f t="shared" si="39"/>
        <v/>
      </c>
      <c r="K180" s="36" t="str">
        <f>IF(C180=1,IF(OR('KT THAN'!$D$36&lt;=0,$K$13&lt;=0,$K$15&lt;=0),0,$K$13*$K$8*$K$12/(TAN(RADIANS(I180))*$K$15)/1000),"")</f>
        <v/>
      </c>
      <c r="L180" s="36" t="str">
        <f t="shared" si="40"/>
        <v/>
      </c>
      <c r="M180" s="36">
        <f t="shared" si="41"/>
        <v>0</v>
      </c>
      <c r="N180" s="36" t="str">
        <f t="shared" si="42"/>
        <v/>
      </c>
      <c r="O180" s="36" t="str">
        <f t="shared" si="43"/>
        <v/>
      </c>
      <c r="P180" s="36" t="str">
        <f t="shared" si="44"/>
        <v/>
      </c>
      <c r="Q180" s="36" t="str">
        <f>IF(C180=1,IF('KT THAN'!$D$36&lt;=0,"KHÔNG YÊU CẦU",IF($K$15&lt;=P180,"ĐẠT","KHÔNG ĐẠT")),"")</f>
        <v/>
      </c>
      <c r="R180" s="36" t="str">
        <f t="shared" si="45"/>
        <v/>
      </c>
    </row>
    <row r="181" spans="1:18" hidden="1" outlineLevel="1" x14ac:dyDescent="0.3">
      <c r="A181" s="36" t="str">
        <f t="shared" si="34"/>
        <v/>
      </c>
      <c r="B181" s="36" t="str">
        <f>IF('TO HOP NLAN'!$A112="","",'TO HOP NLAN'!$A112)</f>
        <v/>
      </c>
      <c r="C181" s="36">
        <f t="shared" si="35"/>
        <v>0</v>
      </c>
      <c r="D181" s="36" t="str">
        <f>IF(C181=1,-'TO HOP NLAN'!$I112,"")</f>
        <v/>
      </c>
      <c r="E181" s="36" t="str">
        <f>IF(C181=1,ABS('TO HOP NLAN'!$K112),"")</f>
        <v/>
      </c>
      <c r="F181" s="36" t="str">
        <f>IF(C181=1,ABS('TO HOP NLAN'!$G112),"")</f>
        <v/>
      </c>
      <c r="G181" s="36" t="str">
        <f t="shared" si="36"/>
        <v/>
      </c>
      <c r="H181" s="36" t="str">
        <f t="shared" si="37"/>
        <v/>
      </c>
      <c r="I181" s="36" t="str">
        <f t="shared" si="38"/>
        <v/>
      </c>
      <c r="J181" s="36" t="str">
        <f t="shared" si="39"/>
        <v/>
      </c>
      <c r="K181" s="36" t="str">
        <f>IF(C181=1,IF(OR('KT THAN'!$D$36&lt;=0,$K$13&lt;=0,$K$15&lt;=0),0,$K$13*$K$8*$K$12/(TAN(RADIANS(I181))*$K$15)/1000),"")</f>
        <v/>
      </c>
      <c r="L181" s="36" t="str">
        <f t="shared" si="40"/>
        <v/>
      </c>
      <c r="M181" s="36">
        <f t="shared" si="41"/>
        <v>0</v>
      </c>
      <c r="N181" s="36" t="str">
        <f t="shared" si="42"/>
        <v/>
      </c>
      <c r="O181" s="36" t="str">
        <f t="shared" si="43"/>
        <v/>
      </c>
      <c r="P181" s="36" t="str">
        <f t="shared" si="44"/>
        <v/>
      </c>
      <c r="Q181" s="36" t="str">
        <f>IF(C181=1,IF('KT THAN'!$D$36&lt;=0,"KHÔNG YÊU CẦU",IF($K$15&lt;=P181,"ĐẠT","KHÔNG ĐẠT")),"")</f>
        <v/>
      </c>
      <c r="R181" s="36" t="str">
        <f t="shared" si="45"/>
        <v/>
      </c>
    </row>
    <row r="182" spans="1:18" hidden="1" outlineLevel="1" x14ac:dyDescent="0.3">
      <c r="A182" s="36" t="str">
        <f t="shared" si="34"/>
        <v/>
      </c>
      <c r="B182" s="36" t="str">
        <f>IF('TO HOP NLAN'!$A113="","",'TO HOP NLAN'!$A113)</f>
        <v/>
      </c>
      <c r="C182" s="36">
        <f t="shared" si="35"/>
        <v>0</v>
      </c>
      <c r="D182" s="36" t="str">
        <f>IF(C182=1,-'TO HOP NLAN'!$I113,"")</f>
        <v/>
      </c>
      <c r="E182" s="36" t="str">
        <f>IF(C182=1,ABS('TO HOP NLAN'!$K113),"")</f>
        <v/>
      </c>
      <c r="F182" s="36" t="str">
        <f>IF(C182=1,ABS('TO HOP NLAN'!$G113),"")</f>
        <v/>
      </c>
      <c r="G182" s="36" t="str">
        <f t="shared" si="36"/>
        <v/>
      </c>
      <c r="H182" s="36" t="str">
        <f t="shared" si="37"/>
        <v/>
      </c>
      <c r="I182" s="36" t="str">
        <f t="shared" si="38"/>
        <v/>
      </c>
      <c r="J182" s="36" t="str">
        <f t="shared" si="39"/>
        <v/>
      </c>
      <c r="K182" s="36" t="str">
        <f>IF(C182=1,IF(OR('KT THAN'!$D$36&lt;=0,$K$13&lt;=0,$K$15&lt;=0),0,$K$13*$K$8*$K$12/(TAN(RADIANS(I182))*$K$15)/1000),"")</f>
        <v/>
      </c>
      <c r="L182" s="36" t="str">
        <f t="shared" si="40"/>
        <v/>
      </c>
      <c r="M182" s="36">
        <f t="shared" si="41"/>
        <v>0</v>
      </c>
      <c r="N182" s="36" t="str">
        <f t="shared" si="42"/>
        <v/>
      </c>
      <c r="O182" s="36" t="str">
        <f t="shared" si="43"/>
        <v/>
      </c>
      <c r="P182" s="36" t="str">
        <f t="shared" si="44"/>
        <v/>
      </c>
      <c r="Q182" s="36" t="str">
        <f>IF(C182=1,IF('KT THAN'!$D$36&lt;=0,"KHÔNG YÊU CẦU",IF($K$15&lt;=P182,"ĐẠT","KHÔNG ĐẠT")),"")</f>
        <v/>
      </c>
      <c r="R182" s="36" t="str">
        <f t="shared" si="45"/>
        <v/>
      </c>
    </row>
    <row r="183" spans="1:18" hidden="1" outlineLevel="1" x14ac:dyDescent="0.3">
      <c r="A183" s="36" t="str">
        <f t="shared" si="34"/>
        <v/>
      </c>
      <c r="B183" s="36" t="str">
        <f>IF('TO HOP NLAN'!$A114="","",'TO HOP NLAN'!$A114)</f>
        <v/>
      </c>
      <c r="C183" s="36">
        <f t="shared" si="35"/>
        <v>0</v>
      </c>
      <c r="D183" s="36" t="str">
        <f>IF(C183=1,-'TO HOP NLAN'!$I114,"")</f>
        <v/>
      </c>
      <c r="E183" s="36" t="str">
        <f>IF(C183=1,ABS('TO HOP NLAN'!$K114),"")</f>
        <v/>
      </c>
      <c r="F183" s="36" t="str">
        <f>IF(C183=1,ABS('TO HOP NLAN'!$G114),"")</f>
        <v/>
      </c>
      <c r="G183" s="36" t="str">
        <f t="shared" si="36"/>
        <v/>
      </c>
      <c r="H183" s="36" t="str">
        <f t="shared" si="37"/>
        <v/>
      </c>
      <c r="I183" s="36" t="str">
        <f t="shared" si="38"/>
        <v/>
      </c>
      <c r="J183" s="36" t="str">
        <f t="shared" si="39"/>
        <v/>
      </c>
      <c r="K183" s="36" t="str">
        <f>IF(C183=1,IF(OR('KT THAN'!$D$36&lt;=0,$K$13&lt;=0,$K$15&lt;=0),0,$K$13*$K$8*$K$12/(TAN(RADIANS(I183))*$K$15)/1000),"")</f>
        <v/>
      </c>
      <c r="L183" s="36" t="str">
        <f t="shared" si="40"/>
        <v/>
      </c>
      <c r="M183" s="36">
        <f t="shared" si="41"/>
        <v>0</v>
      </c>
      <c r="N183" s="36" t="str">
        <f t="shared" si="42"/>
        <v/>
      </c>
      <c r="O183" s="36" t="str">
        <f t="shared" si="43"/>
        <v/>
      </c>
      <c r="P183" s="36" t="str">
        <f t="shared" si="44"/>
        <v/>
      </c>
      <c r="Q183" s="36" t="str">
        <f>IF(C183=1,IF('KT THAN'!$D$36&lt;=0,"KHÔNG YÊU CẦU",IF($K$15&lt;=P183,"ĐẠT","KHÔNG ĐẠT")),"")</f>
        <v/>
      </c>
      <c r="R183" s="36" t="str">
        <f t="shared" si="45"/>
        <v/>
      </c>
    </row>
    <row r="184" spans="1:18" hidden="1" outlineLevel="1" x14ac:dyDescent="0.3">
      <c r="A184" s="36" t="str">
        <f t="shared" si="34"/>
        <v/>
      </c>
      <c r="B184" s="36" t="str">
        <f>IF('TO HOP NLAN'!$A115="","",'TO HOP NLAN'!$A115)</f>
        <v/>
      </c>
      <c r="C184" s="36">
        <f t="shared" si="35"/>
        <v>0</v>
      </c>
      <c r="D184" s="36" t="str">
        <f>IF(C184=1,-'TO HOP NLAN'!$I115,"")</f>
        <v/>
      </c>
      <c r="E184" s="36" t="str">
        <f>IF(C184=1,ABS('TO HOP NLAN'!$K115),"")</f>
        <v/>
      </c>
      <c r="F184" s="36" t="str">
        <f>IF(C184=1,ABS('TO HOP NLAN'!$G115),"")</f>
        <v/>
      </c>
      <c r="G184" s="36" t="str">
        <f t="shared" si="36"/>
        <v/>
      </c>
      <c r="H184" s="36" t="str">
        <f t="shared" si="37"/>
        <v/>
      </c>
      <c r="I184" s="36" t="str">
        <f t="shared" si="38"/>
        <v/>
      </c>
      <c r="J184" s="36" t="str">
        <f t="shared" si="39"/>
        <v/>
      </c>
      <c r="K184" s="36" t="str">
        <f>IF(C184=1,IF(OR('KT THAN'!$D$36&lt;=0,$K$13&lt;=0,$K$15&lt;=0),0,$K$13*$K$8*$K$12/(TAN(RADIANS(I184))*$K$15)/1000),"")</f>
        <v/>
      </c>
      <c r="L184" s="36" t="str">
        <f t="shared" si="40"/>
        <v/>
      </c>
      <c r="M184" s="36">
        <f t="shared" si="41"/>
        <v>0</v>
      </c>
      <c r="N184" s="36" t="str">
        <f t="shared" si="42"/>
        <v/>
      </c>
      <c r="O184" s="36" t="str">
        <f t="shared" si="43"/>
        <v/>
      </c>
      <c r="P184" s="36" t="str">
        <f t="shared" si="44"/>
        <v/>
      </c>
      <c r="Q184" s="36" t="str">
        <f>IF(C184=1,IF('KT THAN'!$D$36&lt;=0,"KHÔNG YÊU CẦU",IF($K$15&lt;=P184,"ĐẠT","KHÔNG ĐẠT")),"")</f>
        <v/>
      </c>
      <c r="R184" s="36" t="str">
        <f t="shared" si="45"/>
        <v/>
      </c>
    </row>
    <row r="185" spans="1:18" hidden="1" outlineLevel="1" x14ac:dyDescent="0.3">
      <c r="A185" s="36" t="str">
        <f t="shared" si="34"/>
        <v/>
      </c>
      <c r="B185" s="36" t="str">
        <f>IF('TO HOP NLAN'!$A116="","",'TO HOP NLAN'!$A116)</f>
        <v/>
      </c>
      <c r="C185" s="36">
        <f t="shared" si="35"/>
        <v>0</v>
      </c>
      <c r="D185" s="36" t="str">
        <f>IF(C185=1,-'TO HOP NLAN'!$I116,"")</f>
        <v/>
      </c>
      <c r="E185" s="36" t="str">
        <f>IF(C185=1,ABS('TO HOP NLAN'!$K116),"")</f>
        <v/>
      </c>
      <c r="F185" s="36" t="str">
        <f>IF(C185=1,ABS('TO HOP NLAN'!$G116),"")</f>
        <v/>
      </c>
      <c r="G185" s="36" t="str">
        <f t="shared" si="36"/>
        <v/>
      </c>
      <c r="H185" s="36" t="str">
        <f t="shared" si="37"/>
        <v/>
      </c>
      <c r="I185" s="36" t="str">
        <f t="shared" si="38"/>
        <v/>
      </c>
      <c r="J185" s="36" t="str">
        <f t="shared" si="39"/>
        <v/>
      </c>
      <c r="K185" s="36" t="str">
        <f>IF(C185=1,IF(OR('KT THAN'!$D$36&lt;=0,$K$13&lt;=0,$K$15&lt;=0),0,$K$13*$K$8*$K$12/(TAN(RADIANS(I185))*$K$15)/1000),"")</f>
        <v/>
      </c>
      <c r="L185" s="36" t="str">
        <f t="shared" si="40"/>
        <v/>
      </c>
      <c r="M185" s="36">
        <f t="shared" si="41"/>
        <v>0</v>
      </c>
      <c r="N185" s="36" t="str">
        <f t="shared" si="42"/>
        <v/>
      </c>
      <c r="O185" s="36" t="str">
        <f t="shared" si="43"/>
        <v/>
      </c>
      <c r="P185" s="36" t="str">
        <f t="shared" si="44"/>
        <v/>
      </c>
      <c r="Q185" s="36" t="str">
        <f>IF(C185=1,IF('KT THAN'!$D$36&lt;=0,"KHÔNG YÊU CẦU",IF($K$15&lt;=P185,"ĐẠT","KHÔNG ĐẠT")),"")</f>
        <v/>
      </c>
      <c r="R185" s="36" t="str">
        <f t="shared" si="45"/>
        <v/>
      </c>
    </row>
    <row r="186" spans="1:18" hidden="1" outlineLevel="1" x14ac:dyDescent="0.3">
      <c r="A186" s="36" t="str">
        <f t="shared" si="34"/>
        <v/>
      </c>
      <c r="B186" s="36" t="str">
        <f>IF('TO HOP NLAN'!$A117="","",'TO HOP NLAN'!$A117)</f>
        <v/>
      </c>
      <c r="C186" s="36">
        <f t="shared" si="35"/>
        <v>0</v>
      </c>
      <c r="D186" s="36" t="str">
        <f>IF(C186=1,-'TO HOP NLAN'!$I117,"")</f>
        <v/>
      </c>
      <c r="E186" s="36" t="str">
        <f>IF(C186=1,ABS('TO HOP NLAN'!$K117),"")</f>
        <v/>
      </c>
      <c r="F186" s="36" t="str">
        <f>IF(C186=1,ABS('TO HOP NLAN'!$G117),"")</f>
        <v/>
      </c>
      <c r="G186" s="36" t="str">
        <f t="shared" si="36"/>
        <v/>
      </c>
      <c r="H186" s="36" t="str">
        <f t="shared" si="37"/>
        <v/>
      </c>
      <c r="I186" s="36" t="str">
        <f t="shared" si="38"/>
        <v/>
      </c>
      <c r="J186" s="36" t="str">
        <f t="shared" si="39"/>
        <v/>
      </c>
      <c r="K186" s="36" t="str">
        <f>IF(C186=1,IF(OR('KT THAN'!$D$36&lt;=0,$K$13&lt;=0,$K$15&lt;=0),0,$K$13*$K$8*$K$12/(TAN(RADIANS(I186))*$K$15)/1000),"")</f>
        <v/>
      </c>
      <c r="L186" s="36" t="str">
        <f t="shared" si="40"/>
        <v/>
      </c>
      <c r="M186" s="36">
        <f t="shared" si="41"/>
        <v>0</v>
      </c>
      <c r="N186" s="36" t="str">
        <f t="shared" si="42"/>
        <v/>
      </c>
      <c r="O186" s="36" t="str">
        <f t="shared" si="43"/>
        <v/>
      </c>
      <c r="P186" s="36" t="str">
        <f t="shared" si="44"/>
        <v/>
      </c>
      <c r="Q186" s="36" t="str">
        <f>IF(C186=1,IF('KT THAN'!$D$36&lt;=0,"KHÔNG YÊU CẦU",IF($K$15&lt;=P186,"ĐẠT","KHÔNG ĐẠT")),"")</f>
        <v/>
      </c>
      <c r="R186" s="36" t="str">
        <f t="shared" si="45"/>
        <v/>
      </c>
    </row>
    <row r="187" spans="1:18" hidden="1" outlineLevel="1" x14ac:dyDescent="0.3">
      <c r="A187" s="36" t="str">
        <f t="shared" si="34"/>
        <v/>
      </c>
      <c r="B187" s="36" t="str">
        <f>IF('TO HOP NLAN'!$A118="","",'TO HOP NLAN'!$A118)</f>
        <v/>
      </c>
      <c r="C187" s="36">
        <f t="shared" si="35"/>
        <v>0</v>
      </c>
      <c r="D187" s="36" t="str">
        <f>IF(C187=1,-'TO HOP NLAN'!$I118,"")</f>
        <v/>
      </c>
      <c r="E187" s="36" t="str">
        <f>IF(C187=1,ABS('TO HOP NLAN'!$K118),"")</f>
        <v/>
      </c>
      <c r="F187" s="36" t="str">
        <f>IF(C187=1,ABS('TO HOP NLAN'!$G118),"")</f>
        <v/>
      </c>
      <c r="G187" s="36" t="str">
        <f t="shared" si="36"/>
        <v/>
      </c>
      <c r="H187" s="36" t="str">
        <f t="shared" si="37"/>
        <v/>
      </c>
      <c r="I187" s="36" t="str">
        <f t="shared" si="38"/>
        <v/>
      </c>
      <c r="J187" s="36" t="str">
        <f t="shared" si="39"/>
        <v/>
      </c>
      <c r="K187" s="36" t="str">
        <f>IF(C187=1,IF(OR('KT THAN'!$D$36&lt;=0,$K$13&lt;=0,$K$15&lt;=0),0,$K$13*$K$8*$K$12/(TAN(RADIANS(I187))*$K$15)/1000),"")</f>
        <v/>
      </c>
      <c r="L187" s="36" t="str">
        <f t="shared" si="40"/>
        <v/>
      </c>
      <c r="M187" s="36">
        <f t="shared" si="41"/>
        <v>0</v>
      </c>
      <c r="N187" s="36" t="str">
        <f t="shared" si="42"/>
        <v/>
      </c>
      <c r="O187" s="36" t="str">
        <f t="shared" si="43"/>
        <v/>
      </c>
      <c r="P187" s="36" t="str">
        <f t="shared" si="44"/>
        <v/>
      </c>
      <c r="Q187" s="36" t="str">
        <f>IF(C187=1,IF('KT THAN'!$D$36&lt;=0,"KHÔNG YÊU CẦU",IF($K$15&lt;=P187,"ĐẠT","KHÔNG ĐẠT")),"")</f>
        <v/>
      </c>
      <c r="R187" s="36" t="str">
        <f t="shared" si="45"/>
        <v/>
      </c>
    </row>
    <row r="188" spans="1:18" hidden="1" outlineLevel="1" x14ac:dyDescent="0.3">
      <c r="A188" s="36" t="str">
        <f t="shared" si="34"/>
        <v/>
      </c>
      <c r="B188" s="36" t="str">
        <f>IF('TO HOP NLAN'!$A119="","",'TO HOP NLAN'!$A119)</f>
        <v/>
      </c>
      <c r="C188" s="36">
        <f t="shared" si="35"/>
        <v>0</v>
      </c>
      <c r="D188" s="36" t="str">
        <f>IF(C188=1,-'TO HOP NLAN'!$I119,"")</f>
        <v/>
      </c>
      <c r="E188" s="36" t="str">
        <f>IF(C188=1,ABS('TO HOP NLAN'!$K119),"")</f>
        <v/>
      </c>
      <c r="F188" s="36" t="str">
        <f>IF(C188=1,ABS('TO HOP NLAN'!$G119),"")</f>
        <v/>
      </c>
      <c r="G188" s="36" t="str">
        <f t="shared" si="36"/>
        <v/>
      </c>
      <c r="H188" s="36" t="str">
        <f t="shared" si="37"/>
        <v/>
      </c>
      <c r="I188" s="36" t="str">
        <f t="shared" si="38"/>
        <v/>
      </c>
      <c r="J188" s="36" t="str">
        <f t="shared" si="39"/>
        <v/>
      </c>
      <c r="K188" s="36" t="str">
        <f>IF(C188=1,IF(OR('KT THAN'!$D$36&lt;=0,$K$13&lt;=0,$K$15&lt;=0),0,$K$13*$K$8*$K$12/(TAN(RADIANS(I188))*$K$15)/1000),"")</f>
        <v/>
      </c>
      <c r="L188" s="36" t="str">
        <f t="shared" si="40"/>
        <v/>
      </c>
      <c r="M188" s="36">
        <f t="shared" si="41"/>
        <v>0</v>
      </c>
      <c r="N188" s="36" t="str">
        <f t="shared" si="42"/>
        <v/>
      </c>
      <c r="O188" s="36" t="str">
        <f t="shared" si="43"/>
        <v/>
      </c>
      <c r="P188" s="36" t="str">
        <f t="shared" si="44"/>
        <v/>
      </c>
      <c r="Q188" s="36" t="str">
        <f>IF(C188=1,IF('KT THAN'!$D$36&lt;=0,"KHÔNG YÊU CẦU",IF($K$15&lt;=P188,"ĐẠT","KHÔNG ĐẠT")),"")</f>
        <v/>
      </c>
      <c r="R188" s="36" t="str">
        <f t="shared" si="45"/>
        <v/>
      </c>
    </row>
    <row r="189" spans="1:18" hidden="1" outlineLevel="1" x14ac:dyDescent="0.3">
      <c r="A189" s="36" t="str">
        <f t="shared" si="34"/>
        <v/>
      </c>
      <c r="B189" s="36" t="str">
        <f>IF('TO HOP NLAN'!$A120="","",'TO HOP NLAN'!$A120)</f>
        <v/>
      </c>
      <c r="C189" s="36">
        <f t="shared" si="35"/>
        <v>0</v>
      </c>
      <c r="D189" s="36" t="str">
        <f>IF(C189=1,-'TO HOP NLAN'!$I120,"")</f>
        <v/>
      </c>
      <c r="E189" s="36" t="str">
        <f>IF(C189=1,ABS('TO HOP NLAN'!$K120),"")</f>
        <v/>
      </c>
      <c r="F189" s="36" t="str">
        <f>IF(C189=1,ABS('TO HOP NLAN'!$G120),"")</f>
        <v/>
      </c>
      <c r="G189" s="36" t="str">
        <f t="shared" si="36"/>
        <v/>
      </c>
      <c r="H189" s="36" t="str">
        <f t="shared" si="37"/>
        <v/>
      </c>
      <c r="I189" s="36" t="str">
        <f t="shared" si="38"/>
        <v/>
      </c>
      <c r="J189" s="36" t="str">
        <f t="shared" si="39"/>
        <v/>
      </c>
      <c r="K189" s="36" t="str">
        <f>IF(C189=1,IF(OR('KT THAN'!$D$36&lt;=0,$K$13&lt;=0,$K$15&lt;=0),0,$K$13*$K$8*$K$12/(TAN(RADIANS(I189))*$K$15)/1000),"")</f>
        <v/>
      </c>
      <c r="L189" s="36" t="str">
        <f t="shared" si="40"/>
        <v/>
      </c>
      <c r="M189" s="36">
        <f t="shared" si="41"/>
        <v>0</v>
      </c>
      <c r="N189" s="36" t="str">
        <f t="shared" si="42"/>
        <v/>
      </c>
      <c r="O189" s="36" t="str">
        <f t="shared" si="43"/>
        <v/>
      </c>
      <c r="P189" s="36" t="str">
        <f t="shared" si="44"/>
        <v/>
      </c>
      <c r="Q189" s="36" t="str">
        <f>IF(C189=1,IF('KT THAN'!$D$36&lt;=0,"KHÔNG YÊU CẦU",IF($K$15&lt;=P189,"ĐẠT","KHÔNG ĐẠT")),"")</f>
        <v/>
      </c>
      <c r="R189" s="36" t="str">
        <f t="shared" si="45"/>
        <v/>
      </c>
    </row>
    <row r="190" spans="1:18" hidden="1" outlineLevel="1" x14ac:dyDescent="0.3">
      <c r="A190" s="36" t="str">
        <f t="shared" si="34"/>
        <v/>
      </c>
      <c r="B190" s="36" t="str">
        <f>IF('TO HOP NLAN'!$A121="","",'TO HOP NLAN'!$A121)</f>
        <v/>
      </c>
      <c r="C190" s="36">
        <f t="shared" si="35"/>
        <v>0</v>
      </c>
      <c r="D190" s="36" t="str">
        <f>IF(C190=1,-'TO HOP NLAN'!$I121,"")</f>
        <v/>
      </c>
      <c r="E190" s="36" t="str">
        <f>IF(C190=1,ABS('TO HOP NLAN'!$K121),"")</f>
        <v/>
      </c>
      <c r="F190" s="36" t="str">
        <f>IF(C190=1,ABS('TO HOP NLAN'!$G121),"")</f>
        <v/>
      </c>
      <c r="G190" s="36" t="str">
        <f t="shared" si="36"/>
        <v/>
      </c>
      <c r="H190" s="36" t="str">
        <f t="shared" si="37"/>
        <v/>
      </c>
      <c r="I190" s="36" t="str">
        <f t="shared" si="38"/>
        <v/>
      </c>
      <c r="J190" s="36" t="str">
        <f t="shared" si="39"/>
        <v/>
      </c>
      <c r="K190" s="36" t="str">
        <f>IF(C190=1,IF(OR('KT THAN'!$D$36&lt;=0,$K$13&lt;=0,$K$15&lt;=0),0,$K$13*$K$8*$K$12/(TAN(RADIANS(I190))*$K$15)/1000),"")</f>
        <v/>
      </c>
      <c r="L190" s="36" t="str">
        <f t="shared" si="40"/>
        <v/>
      </c>
      <c r="M190" s="36">
        <f t="shared" si="41"/>
        <v>0</v>
      </c>
      <c r="N190" s="36" t="str">
        <f t="shared" si="42"/>
        <v/>
      </c>
      <c r="O190" s="36" t="str">
        <f t="shared" si="43"/>
        <v/>
      </c>
      <c r="P190" s="36" t="str">
        <f t="shared" si="44"/>
        <v/>
      </c>
      <c r="Q190" s="36" t="str">
        <f>IF(C190=1,IF('KT THAN'!$D$36&lt;=0,"KHÔNG YÊU CẦU",IF($K$15&lt;=P190,"ĐẠT","KHÔNG ĐẠT")),"")</f>
        <v/>
      </c>
      <c r="R190" s="36" t="str">
        <f t="shared" si="45"/>
        <v/>
      </c>
    </row>
    <row r="191" spans="1:18" hidden="1" outlineLevel="1" x14ac:dyDescent="0.3">
      <c r="A191" s="36" t="str">
        <f t="shared" si="34"/>
        <v/>
      </c>
      <c r="B191" s="36" t="str">
        <f>IF('TO HOP NLAN'!$A122="","",'TO HOP NLAN'!$A122)</f>
        <v/>
      </c>
      <c r="C191" s="36">
        <f t="shared" si="35"/>
        <v>0</v>
      </c>
      <c r="D191" s="36" t="str">
        <f>IF(C191=1,-'TO HOP NLAN'!$I122,"")</f>
        <v/>
      </c>
      <c r="E191" s="36" t="str">
        <f>IF(C191=1,ABS('TO HOP NLAN'!$K122),"")</f>
        <v/>
      </c>
      <c r="F191" s="36" t="str">
        <f>IF(C191=1,ABS('TO HOP NLAN'!$G122),"")</f>
        <v/>
      </c>
      <c r="G191" s="36" t="str">
        <f t="shared" si="36"/>
        <v/>
      </c>
      <c r="H191" s="36" t="str">
        <f t="shared" si="37"/>
        <v/>
      </c>
      <c r="I191" s="36" t="str">
        <f t="shared" si="38"/>
        <v/>
      </c>
      <c r="J191" s="36" t="str">
        <f t="shared" si="39"/>
        <v/>
      </c>
      <c r="K191" s="36" t="str">
        <f>IF(C191=1,IF(OR('KT THAN'!$D$36&lt;=0,$K$13&lt;=0,$K$15&lt;=0),0,$K$13*$K$8*$K$12/(TAN(RADIANS(I191))*$K$15)/1000),"")</f>
        <v/>
      </c>
      <c r="L191" s="36" t="str">
        <f t="shared" si="40"/>
        <v/>
      </c>
      <c r="M191" s="36">
        <f t="shared" si="41"/>
        <v>0</v>
      </c>
      <c r="N191" s="36" t="str">
        <f t="shared" si="42"/>
        <v/>
      </c>
      <c r="O191" s="36" t="str">
        <f t="shared" si="43"/>
        <v/>
      </c>
      <c r="P191" s="36" t="str">
        <f t="shared" si="44"/>
        <v/>
      </c>
      <c r="Q191" s="36" t="str">
        <f>IF(C191=1,IF('KT THAN'!$D$36&lt;=0,"KHÔNG YÊU CẦU",IF($K$15&lt;=P191,"ĐẠT","KHÔNG ĐẠT")),"")</f>
        <v/>
      </c>
      <c r="R191" s="36" t="str">
        <f t="shared" si="45"/>
        <v/>
      </c>
    </row>
    <row r="192" spans="1:18" hidden="1" outlineLevel="1" x14ac:dyDescent="0.3">
      <c r="A192" s="36" t="str">
        <f t="shared" si="34"/>
        <v/>
      </c>
      <c r="B192" s="36" t="str">
        <f>IF('TO HOP NLAN'!$A123="","",'TO HOP NLAN'!$A123)</f>
        <v/>
      </c>
      <c r="C192" s="36">
        <f t="shared" si="35"/>
        <v>0</v>
      </c>
      <c r="D192" s="36" t="str">
        <f>IF(C192=1,-'TO HOP NLAN'!$I123,"")</f>
        <v/>
      </c>
      <c r="E192" s="36" t="str">
        <f>IF(C192=1,ABS('TO HOP NLAN'!$K123),"")</f>
        <v/>
      </c>
      <c r="F192" s="36" t="str">
        <f>IF(C192=1,ABS('TO HOP NLAN'!$G123),"")</f>
        <v/>
      </c>
      <c r="G192" s="36" t="str">
        <f t="shared" si="36"/>
        <v/>
      </c>
      <c r="H192" s="36" t="str">
        <f t="shared" si="37"/>
        <v/>
      </c>
      <c r="I192" s="36" t="str">
        <f t="shared" si="38"/>
        <v/>
      </c>
      <c r="J192" s="36" t="str">
        <f t="shared" si="39"/>
        <v/>
      </c>
      <c r="K192" s="36" t="str">
        <f>IF(C192=1,IF(OR('KT THAN'!$D$36&lt;=0,$K$13&lt;=0,$K$15&lt;=0),0,$K$13*$K$8*$K$12/(TAN(RADIANS(I192))*$K$15)/1000),"")</f>
        <v/>
      </c>
      <c r="L192" s="36" t="str">
        <f t="shared" si="40"/>
        <v/>
      </c>
      <c r="M192" s="36">
        <f t="shared" si="41"/>
        <v>0</v>
      </c>
      <c r="N192" s="36" t="str">
        <f t="shared" si="42"/>
        <v/>
      </c>
      <c r="O192" s="36" t="str">
        <f t="shared" si="43"/>
        <v/>
      </c>
      <c r="P192" s="36" t="str">
        <f t="shared" si="44"/>
        <v/>
      </c>
      <c r="Q192" s="36" t="str">
        <f>IF(C192=1,IF('KT THAN'!$D$36&lt;=0,"KHÔNG YÊU CẦU",IF($K$15&lt;=P192,"ĐẠT","KHÔNG ĐẠT")),"")</f>
        <v/>
      </c>
      <c r="R192" s="36" t="str">
        <f t="shared" si="45"/>
        <v/>
      </c>
    </row>
    <row r="193" spans="1:18" hidden="1" outlineLevel="1" x14ac:dyDescent="0.3">
      <c r="A193" s="36" t="str">
        <f t="shared" si="34"/>
        <v/>
      </c>
      <c r="B193" s="36" t="str">
        <f>IF('TO HOP NLAN'!$A124="","",'TO HOP NLAN'!$A124)</f>
        <v/>
      </c>
      <c r="C193" s="36">
        <f t="shared" si="35"/>
        <v>0</v>
      </c>
      <c r="D193" s="36" t="str">
        <f>IF(C193=1,-'TO HOP NLAN'!$I124,"")</f>
        <v/>
      </c>
      <c r="E193" s="36" t="str">
        <f>IF(C193=1,ABS('TO HOP NLAN'!$K124),"")</f>
        <v/>
      </c>
      <c r="F193" s="36" t="str">
        <f>IF(C193=1,ABS('TO HOP NLAN'!$G124),"")</f>
        <v/>
      </c>
      <c r="G193" s="36" t="str">
        <f t="shared" si="36"/>
        <v/>
      </c>
      <c r="H193" s="36" t="str">
        <f t="shared" si="37"/>
        <v/>
      </c>
      <c r="I193" s="36" t="str">
        <f t="shared" si="38"/>
        <v/>
      </c>
      <c r="J193" s="36" t="str">
        <f t="shared" si="39"/>
        <v/>
      </c>
      <c r="K193" s="36" t="str">
        <f>IF(C193=1,IF(OR('KT THAN'!$D$36&lt;=0,$K$13&lt;=0,$K$15&lt;=0),0,$K$13*$K$8*$K$12/(TAN(RADIANS(I193))*$K$15)/1000),"")</f>
        <v/>
      </c>
      <c r="L193" s="36" t="str">
        <f t="shared" si="40"/>
        <v/>
      </c>
      <c r="M193" s="36">
        <f t="shared" si="41"/>
        <v>0</v>
      </c>
      <c r="N193" s="36" t="str">
        <f t="shared" si="42"/>
        <v/>
      </c>
      <c r="O193" s="36" t="str">
        <f t="shared" si="43"/>
        <v/>
      </c>
      <c r="P193" s="36" t="str">
        <f t="shared" si="44"/>
        <v/>
      </c>
      <c r="Q193" s="36" t="str">
        <f>IF(C193=1,IF('KT THAN'!$D$36&lt;=0,"KHÔNG YÊU CẦU",IF($K$15&lt;=P193,"ĐẠT","KHÔNG ĐẠT")),"")</f>
        <v/>
      </c>
      <c r="R193" s="36" t="str">
        <f t="shared" si="45"/>
        <v/>
      </c>
    </row>
    <row r="194" spans="1:18" hidden="1" outlineLevel="1" x14ac:dyDescent="0.3">
      <c r="A194" s="36" t="str">
        <f t="shared" si="34"/>
        <v/>
      </c>
      <c r="B194" s="36" t="str">
        <f>IF('TO HOP NLAN'!$A125="","",'TO HOP NLAN'!$A125)</f>
        <v/>
      </c>
      <c r="C194" s="36">
        <f t="shared" si="35"/>
        <v>0</v>
      </c>
      <c r="D194" s="36" t="str">
        <f>IF(C194=1,-'TO HOP NLAN'!$I125,"")</f>
        <v/>
      </c>
      <c r="E194" s="36" t="str">
        <f>IF(C194=1,ABS('TO HOP NLAN'!$K125),"")</f>
        <v/>
      </c>
      <c r="F194" s="36" t="str">
        <f>IF(C194=1,ABS('TO HOP NLAN'!$G125),"")</f>
        <v/>
      </c>
      <c r="G194" s="36" t="str">
        <f t="shared" si="36"/>
        <v/>
      </c>
      <c r="H194" s="36" t="str">
        <f t="shared" si="37"/>
        <v/>
      </c>
      <c r="I194" s="36" t="str">
        <f t="shared" si="38"/>
        <v/>
      </c>
      <c r="J194" s="36" t="str">
        <f t="shared" si="39"/>
        <v/>
      </c>
      <c r="K194" s="36" t="str">
        <f>IF(C194=1,IF(OR('KT THAN'!$D$36&lt;=0,$K$13&lt;=0,$K$15&lt;=0),0,$K$13*$K$8*$K$12/(TAN(RADIANS(I194))*$K$15)/1000),"")</f>
        <v/>
      </c>
      <c r="L194" s="36" t="str">
        <f t="shared" si="40"/>
        <v/>
      </c>
      <c r="M194" s="36">
        <f t="shared" si="41"/>
        <v>0</v>
      </c>
      <c r="N194" s="36" t="str">
        <f t="shared" si="42"/>
        <v/>
      </c>
      <c r="O194" s="36" t="str">
        <f t="shared" si="43"/>
        <v/>
      </c>
      <c r="P194" s="36" t="str">
        <f t="shared" si="44"/>
        <v/>
      </c>
      <c r="Q194" s="36" t="str">
        <f>IF(C194=1,IF('KT THAN'!$D$36&lt;=0,"KHÔNG YÊU CẦU",IF($K$15&lt;=P194,"ĐẠT","KHÔNG ĐẠT")),"")</f>
        <v/>
      </c>
      <c r="R194" s="36" t="str">
        <f t="shared" si="45"/>
        <v/>
      </c>
    </row>
    <row r="195" spans="1:18" hidden="1" outlineLevel="1" x14ac:dyDescent="0.3">
      <c r="A195" s="36" t="str">
        <f t="shared" si="34"/>
        <v/>
      </c>
      <c r="B195" s="36" t="str">
        <f>IF('TO HOP NLAN'!$A126="","",'TO HOP NLAN'!$A126)</f>
        <v/>
      </c>
      <c r="C195" s="36">
        <f t="shared" si="35"/>
        <v>0</v>
      </c>
      <c r="D195" s="36" t="str">
        <f>IF(C195=1,-'TO HOP NLAN'!$I126,"")</f>
        <v/>
      </c>
      <c r="E195" s="36" t="str">
        <f>IF(C195=1,ABS('TO HOP NLAN'!$K126),"")</f>
        <v/>
      </c>
      <c r="F195" s="36" t="str">
        <f>IF(C195=1,ABS('TO HOP NLAN'!$G126),"")</f>
        <v/>
      </c>
      <c r="G195" s="36" t="str">
        <f t="shared" si="36"/>
        <v/>
      </c>
      <c r="H195" s="36" t="str">
        <f t="shared" si="37"/>
        <v/>
      </c>
      <c r="I195" s="36" t="str">
        <f t="shared" si="38"/>
        <v/>
      </c>
      <c r="J195" s="36" t="str">
        <f t="shared" si="39"/>
        <v/>
      </c>
      <c r="K195" s="36" t="str">
        <f>IF(C195=1,IF(OR('KT THAN'!$D$36&lt;=0,$K$13&lt;=0,$K$15&lt;=0),0,$K$13*$K$8*$K$12/(TAN(RADIANS(I195))*$K$15)/1000),"")</f>
        <v/>
      </c>
      <c r="L195" s="36" t="str">
        <f t="shared" si="40"/>
        <v/>
      </c>
      <c r="M195" s="36">
        <f t="shared" si="41"/>
        <v>0</v>
      </c>
      <c r="N195" s="36" t="str">
        <f t="shared" si="42"/>
        <v/>
      </c>
      <c r="O195" s="36" t="str">
        <f t="shared" si="43"/>
        <v/>
      </c>
      <c r="P195" s="36" t="str">
        <f t="shared" si="44"/>
        <v/>
      </c>
      <c r="Q195" s="36" t="str">
        <f>IF(C195=1,IF('KT THAN'!$D$36&lt;=0,"KHÔNG YÊU CẦU",IF($K$15&lt;=P195,"ĐẠT","KHÔNG ĐẠT")),"")</f>
        <v/>
      </c>
      <c r="R195" s="36" t="str">
        <f t="shared" si="45"/>
        <v/>
      </c>
    </row>
    <row r="196" spans="1:18" hidden="1" outlineLevel="1" x14ac:dyDescent="0.3">
      <c r="A196" s="36" t="str">
        <f t="shared" si="34"/>
        <v/>
      </c>
      <c r="B196" s="36" t="str">
        <f>IF('TO HOP NLAN'!$A127="","",'TO HOP NLAN'!$A127)</f>
        <v/>
      </c>
      <c r="C196" s="36">
        <f t="shared" si="35"/>
        <v>0</v>
      </c>
      <c r="D196" s="36" t="str">
        <f>IF(C196=1,-'TO HOP NLAN'!$I127,"")</f>
        <v/>
      </c>
      <c r="E196" s="36" t="str">
        <f>IF(C196=1,ABS('TO HOP NLAN'!$K127),"")</f>
        <v/>
      </c>
      <c r="F196" s="36" t="str">
        <f>IF(C196=1,ABS('TO HOP NLAN'!$G127),"")</f>
        <v/>
      </c>
      <c r="G196" s="36" t="str">
        <f t="shared" si="36"/>
        <v/>
      </c>
      <c r="H196" s="36" t="str">
        <f t="shared" si="37"/>
        <v/>
      </c>
      <c r="I196" s="36" t="str">
        <f t="shared" si="38"/>
        <v/>
      </c>
      <c r="J196" s="36" t="str">
        <f t="shared" si="39"/>
        <v/>
      </c>
      <c r="K196" s="36" t="str">
        <f>IF(C196=1,IF(OR('KT THAN'!$D$36&lt;=0,$K$13&lt;=0,$K$15&lt;=0),0,$K$13*$K$8*$K$12/(TAN(RADIANS(I196))*$K$15)/1000),"")</f>
        <v/>
      </c>
      <c r="L196" s="36" t="str">
        <f t="shared" si="40"/>
        <v/>
      </c>
      <c r="M196" s="36">
        <f t="shared" si="41"/>
        <v>0</v>
      </c>
      <c r="N196" s="36" t="str">
        <f t="shared" si="42"/>
        <v/>
      </c>
      <c r="O196" s="36" t="str">
        <f t="shared" si="43"/>
        <v/>
      </c>
      <c r="P196" s="36" t="str">
        <f t="shared" si="44"/>
        <v/>
      </c>
      <c r="Q196" s="36" t="str">
        <f>IF(C196=1,IF('KT THAN'!$D$36&lt;=0,"KHÔNG YÊU CẦU",IF($K$15&lt;=P196,"ĐẠT","KHÔNG ĐẠT")),"")</f>
        <v/>
      </c>
      <c r="R196" s="36" t="str">
        <f t="shared" si="45"/>
        <v/>
      </c>
    </row>
    <row r="197" spans="1:18" hidden="1" outlineLevel="1" x14ac:dyDescent="0.3">
      <c r="A197" s="36" t="str">
        <f t="shared" si="34"/>
        <v/>
      </c>
      <c r="B197" s="36" t="str">
        <f>IF('TO HOP NLAN'!$A128="","",'TO HOP NLAN'!$A128)</f>
        <v/>
      </c>
      <c r="C197" s="36">
        <f t="shared" si="35"/>
        <v>0</v>
      </c>
      <c r="D197" s="36" t="str">
        <f>IF(C197=1,-'TO HOP NLAN'!$I128,"")</f>
        <v/>
      </c>
      <c r="E197" s="36" t="str">
        <f>IF(C197=1,ABS('TO HOP NLAN'!$K128),"")</f>
        <v/>
      </c>
      <c r="F197" s="36" t="str">
        <f>IF(C197=1,ABS('TO HOP NLAN'!$G128),"")</f>
        <v/>
      </c>
      <c r="G197" s="36" t="str">
        <f t="shared" si="36"/>
        <v/>
      </c>
      <c r="H197" s="36" t="str">
        <f t="shared" si="37"/>
        <v/>
      </c>
      <c r="I197" s="36" t="str">
        <f t="shared" si="38"/>
        <v/>
      </c>
      <c r="J197" s="36" t="str">
        <f t="shared" si="39"/>
        <v/>
      </c>
      <c r="K197" s="36" t="str">
        <f>IF(C197=1,IF(OR('KT THAN'!$D$36&lt;=0,$K$13&lt;=0,$K$15&lt;=0),0,$K$13*$K$8*$K$12/(TAN(RADIANS(I197))*$K$15)/1000),"")</f>
        <v/>
      </c>
      <c r="L197" s="36" t="str">
        <f t="shared" si="40"/>
        <v/>
      </c>
      <c r="M197" s="36">
        <f t="shared" si="41"/>
        <v>0</v>
      </c>
      <c r="N197" s="36" t="str">
        <f t="shared" si="42"/>
        <v/>
      </c>
      <c r="O197" s="36" t="str">
        <f t="shared" si="43"/>
        <v/>
      </c>
      <c r="P197" s="36" t="str">
        <f t="shared" si="44"/>
        <v/>
      </c>
      <c r="Q197" s="36" t="str">
        <f>IF(C197=1,IF('KT THAN'!$D$36&lt;=0,"KHÔNG YÊU CẦU",IF($K$15&lt;=P197,"ĐẠT","KHÔNG ĐẠT")),"")</f>
        <v/>
      </c>
      <c r="R197" s="36" t="str">
        <f t="shared" si="45"/>
        <v/>
      </c>
    </row>
    <row r="198" spans="1:18" hidden="1" outlineLevel="1" x14ac:dyDescent="0.3">
      <c r="A198" s="36" t="str">
        <f t="shared" si="34"/>
        <v/>
      </c>
      <c r="B198" s="36" t="str">
        <f>IF('TO HOP NLAN'!$A129="","",'TO HOP NLAN'!$A129)</f>
        <v/>
      </c>
      <c r="C198" s="36">
        <f t="shared" si="35"/>
        <v>0</v>
      </c>
      <c r="D198" s="36" t="str">
        <f>IF(C198=1,-'TO HOP NLAN'!$I129,"")</f>
        <v/>
      </c>
      <c r="E198" s="36" t="str">
        <f>IF(C198=1,ABS('TO HOP NLAN'!$K129),"")</f>
        <v/>
      </c>
      <c r="F198" s="36" t="str">
        <f>IF(C198=1,ABS('TO HOP NLAN'!$G129),"")</f>
        <v/>
      </c>
      <c r="G198" s="36" t="str">
        <f t="shared" si="36"/>
        <v/>
      </c>
      <c r="H198" s="36" t="str">
        <f t="shared" si="37"/>
        <v/>
      </c>
      <c r="I198" s="36" t="str">
        <f t="shared" si="38"/>
        <v/>
      </c>
      <c r="J198" s="36" t="str">
        <f t="shared" si="39"/>
        <v/>
      </c>
      <c r="K198" s="36" t="str">
        <f>IF(C198=1,IF(OR('KT THAN'!$D$36&lt;=0,$K$13&lt;=0,$K$15&lt;=0),0,$K$13*$K$8*$K$12/(TAN(RADIANS(I198))*$K$15)/1000),"")</f>
        <v/>
      </c>
      <c r="L198" s="36" t="str">
        <f t="shared" si="40"/>
        <v/>
      </c>
      <c r="M198" s="36">
        <f t="shared" si="41"/>
        <v>0</v>
      </c>
      <c r="N198" s="36" t="str">
        <f t="shared" si="42"/>
        <v/>
      </c>
      <c r="O198" s="36" t="str">
        <f t="shared" si="43"/>
        <v/>
      </c>
      <c r="P198" s="36" t="str">
        <f t="shared" si="44"/>
        <v/>
      </c>
      <c r="Q198" s="36" t="str">
        <f>IF(C198=1,IF('KT THAN'!$D$36&lt;=0,"KHÔNG YÊU CẦU",IF($K$15&lt;=P198,"ĐẠT","KHÔNG ĐẠT")),"")</f>
        <v/>
      </c>
      <c r="R198" s="36" t="str">
        <f t="shared" si="45"/>
        <v/>
      </c>
    </row>
    <row r="199" spans="1:18" hidden="1" outlineLevel="1" x14ac:dyDescent="0.3">
      <c r="A199" s="36" t="str">
        <f t="shared" si="34"/>
        <v/>
      </c>
      <c r="B199" s="36" t="str">
        <f>IF('TO HOP NLAN'!$A130="","",'TO HOP NLAN'!$A130)</f>
        <v/>
      </c>
      <c r="C199" s="36">
        <f t="shared" si="35"/>
        <v>0</v>
      </c>
      <c r="D199" s="36" t="str">
        <f>IF(C199=1,-'TO HOP NLAN'!$I130,"")</f>
        <v/>
      </c>
      <c r="E199" s="36" t="str">
        <f>IF(C199=1,ABS('TO HOP NLAN'!$K130),"")</f>
        <v/>
      </c>
      <c r="F199" s="36" t="str">
        <f>IF(C199=1,ABS('TO HOP NLAN'!$G130),"")</f>
        <v/>
      </c>
      <c r="G199" s="36" t="str">
        <f t="shared" si="36"/>
        <v/>
      </c>
      <c r="H199" s="36" t="str">
        <f t="shared" si="37"/>
        <v/>
      </c>
      <c r="I199" s="36" t="str">
        <f t="shared" si="38"/>
        <v/>
      </c>
      <c r="J199" s="36" t="str">
        <f t="shared" si="39"/>
        <v/>
      </c>
      <c r="K199" s="36" t="str">
        <f>IF(C199=1,IF(OR('KT THAN'!$D$36&lt;=0,$K$13&lt;=0,$K$15&lt;=0),0,$K$13*$K$8*$K$12/(TAN(RADIANS(I199))*$K$15)/1000),"")</f>
        <v/>
      </c>
      <c r="L199" s="36" t="str">
        <f t="shared" si="40"/>
        <v/>
      </c>
      <c r="M199" s="36">
        <f t="shared" si="41"/>
        <v>0</v>
      </c>
      <c r="N199" s="36" t="str">
        <f t="shared" si="42"/>
        <v/>
      </c>
      <c r="O199" s="36" t="str">
        <f t="shared" si="43"/>
        <v/>
      </c>
      <c r="P199" s="36" t="str">
        <f t="shared" si="44"/>
        <v/>
      </c>
      <c r="Q199" s="36" t="str">
        <f>IF(C199=1,IF('KT THAN'!$D$36&lt;=0,"KHÔNG YÊU CẦU",IF($K$15&lt;=P199,"ĐẠT","KHÔNG ĐẠT")),"")</f>
        <v/>
      </c>
      <c r="R199" s="36" t="str">
        <f t="shared" si="45"/>
        <v/>
      </c>
    </row>
    <row r="200" spans="1:18" hidden="1" outlineLevel="1" x14ac:dyDescent="0.3">
      <c r="A200" s="36" t="str">
        <f t="shared" si="34"/>
        <v/>
      </c>
      <c r="B200" s="36" t="str">
        <f>IF('TO HOP NLAN'!$A131="","",'TO HOP NLAN'!$A131)</f>
        <v/>
      </c>
      <c r="C200" s="36">
        <f t="shared" si="35"/>
        <v>0</v>
      </c>
      <c r="D200" s="36" t="str">
        <f>IF(C200=1,-'TO HOP NLAN'!$I131,"")</f>
        <v/>
      </c>
      <c r="E200" s="36" t="str">
        <f>IF(C200=1,ABS('TO HOP NLAN'!$K131),"")</f>
        <v/>
      </c>
      <c r="F200" s="36" t="str">
        <f>IF(C200=1,ABS('TO HOP NLAN'!$G131),"")</f>
        <v/>
      </c>
      <c r="G200" s="36" t="str">
        <f t="shared" si="36"/>
        <v/>
      </c>
      <c r="H200" s="36" t="str">
        <f t="shared" si="37"/>
        <v/>
      </c>
      <c r="I200" s="36" t="str">
        <f t="shared" si="38"/>
        <v/>
      </c>
      <c r="J200" s="36" t="str">
        <f t="shared" si="39"/>
        <v/>
      </c>
      <c r="K200" s="36" t="str">
        <f>IF(C200=1,IF(OR('KT THAN'!$D$36&lt;=0,$K$13&lt;=0,$K$15&lt;=0),0,$K$13*$K$8*$K$12/(TAN(RADIANS(I200))*$K$15)/1000),"")</f>
        <v/>
      </c>
      <c r="L200" s="36" t="str">
        <f t="shared" si="40"/>
        <v/>
      </c>
      <c r="M200" s="36">
        <f t="shared" si="41"/>
        <v>0</v>
      </c>
      <c r="N200" s="36" t="str">
        <f t="shared" si="42"/>
        <v/>
      </c>
      <c r="O200" s="36" t="str">
        <f t="shared" si="43"/>
        <v/>
      </c>
      <c r="P200" s="36" t="str">
        <f t="shared" si="44"/>
        <v/>
      </c>
      <c r="Q200" s="36" t="str">
        <f>IF(C200=1,IF('KT THAN'!$D$36&lt;=0,"KHÔNG YÊU CẦU",IF($K$15&lt;=P200,"ĐẠT","KHÔNG ĐẠT")),"")</f>
        <v/>
      </c>
      <c r="R200" s="36" t="str">
        <f t="shared" si="45"/>
        <v/>
      </c>
    </row>
    <row r="201" spans="1:18" hidden="1" outlineLevel="1" x14ac:dyDescent="0.3">
      <c r="A201" s="36" t="str">
        <f t="shared" si="34"/>
        <v/>
      </c>
      <c r="B201" s="36" t="str">
        <f>IF('TO HOP NLAN'!$A132="","",'TO HOP NLAN'!$A132)</f>
        <v/>
      </c>
      <c r="C201" s="36">
        <f t="shared" si="35"/>
        <v>0</v>
      </c>
      <c r="D201" s="36" t="str">
        <f>IF(C201=1,-'TO HOP NLAN'!$I132,"")</f>
        <v/>
      </c>
      <c r="E201" s="36" t="str">
        <f>IF(C201=1,ABS('TO HOP NLAN'!$K132),"")</f>
        <v/>
      </c>
      <c r="F201" s="36" t="str">
        <f>IF(C201=1,ABS('TO HOP NLAN'!$G132),"")</f>
        <v/>
      </c>
      <c r="G201" s="36" t="str">
        <f t="shared" si="36"/>
        <v/>
      </c>
      <c r="H201" s="36" t="str">
        <f t="shared" si="37"/>
        <v/>
      </c>
      <c r="I201" s="36" t="str">
        <f t="shared" si="38"/>
        <v/>
      </c>
      <c r="J201" s="36" t="str">
        <f t="shared" si="39"/>
        <v/>
      </c>
      <c r="K201" s="36" t="str">
        <f>IF(C201=1,IF(OR('KT THAN'!$D$36&lt;=0,$K$13&lt;=0,$K$15&lt;=0),0,$K$13*$K$8*$K$12/(TAN(RADIANS(I201))*$K$15)/1000),"")</f>
        <v/>
      </c>
      <c r="L201" s="36" t="str">
        <f t="shared" si="40"/>
        <v/>
      </c>
      <c r="M201" s="36">
        <f t="shared" si="41"/>
        <v>0</v>
      </c>
      <c r="N201" s="36" t="str">
        <f t="shared" si="42"/>
        <v/>
      </c>
      <c r="O201" s="36" t="str">
        <f t="shared" si="43"/>
        <v/>
      </c>
      <c r="P201" s="36" t="str">
        <f t="shared" si="44"/>
        <v/>
      </c>
      <c r="Q201" s="36" t="str">
        <f>IF(C201=1,IF('KT THAN'!$D$36&lt;=0,"KHÔNG YÊU CẦU",IF($K$15&lt;=P201,"ĐẠT","KHÔNG ĐẠT")),"")</f>
        <v/>
      </c>
      <c r="R201" s="36" t="str">
        <f t="shared" si="45"/>
        <v/>
      </c>
    </row>
    <row r="202" spans="1:18" hidden="1" outlineLevel="1" x14ac:dyDescent="0.3">
      <c r="A202" s="36" t="str">
        <f t="shared" si="34"/>
        <v/>
      </c>
      <c r="B202" s="36" t="str">
        <f>IF('TO HOP NLAN'!$A133="","",'TO HOP NLAN'!$A133)</f>
        <v/>
      </c>
      <c r="C202" s="36">
        <f t="shared" si="35"/>
        <v>0</v>
      </c>
      <c r="D202" s="36" t="str">
        <f>IF(C202=1,-'TO HOP NLAN'!$I133,"")</f>
        <v/>
      </c>
      <c r="E202" s="36" t="str">
        <f>IF(C202=1,ABS('TO HOP NLAN'!$K133),"")</f>
        <v/>
      </c>
      <c r="F202" s="36" t="str">
        <f>IF(C202=1,ABS('TO HOP NLAN'!$G133),"")</f>
        <v/>
      </c>
      <c r="G202" s="36" t="str">
        <f t="shared" si="36"/>
        <v/>
      </c>
      <c r="H202" s="36" t="str">
        <f t="shared" si="37"/>
        <v/>
      </c>
      <c r="I202" s="36" t="str">
        <f t="shared" si="38"/>
        <v/>
      </c>
      <c r="J202" s="36" t="str">
        <f t="shared" si="39"/>
        <v/>
      </c>
      <c r="K202" s="36" t="str">
        <f>IF(C202=1,IF(OR('KT THAN'!$D$36&lt;=0,$K$13&lt;=0,$K$15&lt;=0),0,$K$13*$K$8*$K$12/(TAN(RADIANS(I202))*$K$15)/1000),"")</f>
        <v/>
      </c>
      <c r="L202" s="36" t="str">
        <f t="shared" si="40"/>
        <v/>
      </c>
      <c r="M202" s="36">
        <f t="shared" si="41"/>
        <v>0</v>
      </c>
      <c r="N202" s="36" t="str">
        <f t="shared" si="42"/>
        <v/>
      </c>
      <c r="O202" s="36" t="str">
        <f t="shared" si="43"/>
        <v/>
      </c>
      <c r="P202" s="36" t="str">
        <f t="shared" si="44"/>
        <v/>
      </c>
      <c r="Q202" s="36" t="str">
        <f>IF(C202=1,IF('KT THAN'!$D$36&lt;=0,"KHÔNG YÊU CẦU",IF($K$15&lt;=P202,"ĐẠT","KHÔNG ĐẠT")),"")</f>
        <v/>
      </c>
      <c r="R202" s="36" t="str">
        <f t="shared" si="45"/>
        <v/>
      </c>
    </row>
    <row r="203" spans="1:18" hidden="1" outlineLevel="1" x14ac:dyDescent="0.3">
      <c r="A203" s="36" t="str">
        <f t="shared" si="34"/>
        <v/>
      </c>
      <c r="B203" s="36" t="str">
        <f>IF('TO HOP NLAN'!$A134="","",'TO HOP NLAN'!$A134)</f>
        <v/>
      </c>
      <c r="C203" s="36">
        <f t="shared" si="35"/>
        <v>0</v>
      </c>
      <c r="D203" s="36" t="str">
        <f>IF(C203=1,-'TO HOP NLAN'!$I134,"")</f>
        <v/>
      </c>
      <c r="E203" s="36" t="str">
        <f>IF(C203=1,ABS('TO HOP NLAN'!$K134),"")</f>
        <v/>
      </c>
      <c r="F203" s="36" t="str">
        <f>IF(C203=1,ABS('TO HOP NLAN'!$G134),"")</f>
        <v/>
      </c>
      <c r="G203" s="36" t="str">
        <f t="shared" si="36"/>
        <v/>
      </c>
      <c r="H203" s="36" t="str">
        <f t="shared" si="37"/>
        <v/>
      </c>
      <c r="I203" s="36" t="str">
        <f t="shared" si="38"/>
        <v/>
      </c>
      <c r="J203" s="36" t="str">
        <f t="shared" si="39"/>
        <v/>
      </c>
      <c r="K203" s="36" t="str">
        <f>IF(C203=1,IF(OR('KT THAN'!$D$36&lt;=0,$K$13&lt;=0,$K$15&lt;=0),0,$K$13*$K$8*$K$12/(TAN(RADIANS(I203))*$K$15)/1000),"")</f>
        <v/>
      </c>
      <c r="L203" s="36" t="str">
        <f t="shared" si="40"/>
        <v/>
      </c>
      <c r="M203" s="36">
        <f t="shared" si="41"/>
        <v>0</v>
      </c>
      <c r="N203" s="36" t="str">
        <f t="shared" si="42"/>
        <v/>
      </c>
      <c r="O203" s="36" t="str">
        <f t="shared" si="43"/>
        <v/>
      </c>
      <c r="P203" s="36" t="str">
        <f t="shared" si="44"/>
        <v/>
      </c>
      <c r="Q203" s="36" t="str">
        <f>IF(C203=1,IF('KT THAN'!$D$36&lt;=0,"KHÔNG YÊU CẦU",IF($K$15&lt;=P203,"ĐẠT","KHÔNG ĐẠT")),"")</f>
        <v/>
      </c>
      <c r="R203" s="36" t="str">
        <f t="shared" si="45"/>
        <v/>
      </c>
    </row>
    <row r="204" spans="1:18" hidden="1" outlineLevel="1" x14ac:dyDescent="0.3">
      <c r="A204" s="36" t="str">
        <f t="shared" ref="A204:A267" si="46">IF($B204="","",ROW()-28)</f>
        <v/>
      </c>
      <c r="B204" s="36" t="str">
        <f>IF('TO HOP NLAN'!$A135="","",'TO HOP NLAN'!$A135)</f>
        <v/>
      </c>
      <c r="C204" s="36">
        <f t="shared" ref="C204:C267" si="47">IF(LEFT(B204,2)="CĐ",1,0)</f>
        <v>0</v>
      </c>
      <c r="D204" s="36" t="str">
        <f>IF(C204=1,-'TO HOP NLAN'!$I135,"")</f>
        <v/>
      </c>
      <c r="E204" s="36" t="str">
        <f>IF(C204=1,ABS('TO HOP NLAN'!$K135),"")</f>
        <v/>
      </c>
      <c r="F204" s="36" t="str">
        <f>IF(C204=1,ABS('TO HOP NLAN'!$G135),"")</f>
        <v/>
      </c>
      <c r="G204" s="36" t="str">
        <f t="shared" ref="G204:G267" si="48">IF(C204=1,MAX(0,(MAX(E204*1000000,F204*1000*$K$12)/$K$12+0.5*D204*1000+0.5*F204*1000)/($K$7*$K$11)),"")</f>
        <v/>
      </c>
      <c r="H204" s="36" t="str">
        <f t="shared" ref="H204:H267" si="49">IF(C204=1,IF($K$13&gt;=$K$14,4.8/(1+750*G204),4.8/(1+750*G204)*1300/(1000+MIN(2000,MAX(294,$K$12*35/(16+$K$6))))),"")</f>
        <v/>
      </c>
      <c r="I204" s="36" t="str">
        <f t="shared" ref="I204:I267" si="50">IF(C204=1,29+3500*G204,"")</f>
        <v/>
      </c>
      <c r="J204" s="36" t="str">
        <f t="shared" ref="J204:J267" si="51">IF(C204=1,0.083*H204*SQRT($K$9)*$K$10*$K$12/1000,"")</f>
        <v/>
      </c>
      <c r="K204" s="36" t="str">
        <f>IF(C204=1,IF(OR('KT THAN'!$D$36&lt;=0,$K$13&lt;=0,$K$15&lt;=0),0,$K$13*$K$8*$K$12/(TAN(RADIANS(I204))*$K$15)/1000),"")</f>
        <v/>
      </c>
      <c r="L204" s="36" t="str">
        <f t="shared" ref="L204:L267" si="52">IF(C204=1,$K$4*MIN(J204+K204,0.25*$K$9*$K$10*$K$12/1000),"")</f>
        <v/>
      </c>
      <c r="M204" s="36">
        <f t="shared" ref="M204:M267" si="53">IF(C204=1,IF(L204=0,999,F204/L204),0)</f>
        <v>0</v>
      </c>
      <c r="N204" s="36" t="str">
        <f t="shared" ref="N204:N267" si="54">IF(C204=1,IF(F204&gt;0.5*$K$4*J204,"CÓ","KHÔNG"),"")</f>
        <v/>
      </c>
      <c r="O204" s="36" t="str">
        <f t="shared" ref="O204:O267" si="55">IF(C204=1,IF(N204="KHÔNG","KHÔNG YÊU CẦU",IF($K$13&gt;=$K$14,"ĐẠT","KHÔNG ĐẠT")),"")</f>
        <v/>
      </c>
      <c r="P204" s="36" t="str">
        <f t="shared" ref="P204:P267" si="56">IF(C204=1,IF(F204*1000/($K$4*$K$10*$K$12)&lt;0.125*$K$9,MIN(0.8*$K$12,600),MIN(0.4*$K$12,300)),"")</f>
        <v/>
      </c>
      <c r="Q204" s="36" t="str">
        <f>IF(C204=1,IF('KT THAN'!$D$36&lt;=0,"KHÔNG YÊU CẦU",IF($K$15&lt;=P204,"ĐẠT","KHÔNG ĐẠT")),"")</f>
        <v/>
      </c>
      <c r="R204" s="36" t="str">
        <f t="shared" ref="R204:R267" si="57">IF(C204=1,IF(AND(L204&gt;=F204,O204&lt;&gt;"KHÔNG ĐẠT",Q204&lt;&gt;"KHÔNG ĐẠT"),"ĐẠT","KHÔNG ĐẠT"),"")</f>
        <v/>
      </c>
    </row>
    <row r="205" spans="1:18" hidden="1" outlineLevel="1" x14ac:dyDescent="0.3">
      <c r="A205" s="36" t="str">
        <f t="shared" si="46"/>
        <v/>
      </c>
      <c r="B205" s="36" t="str">
        <f>IF('TO HOP NLAN'!$A136="","",'TO HOP NLAN'!$A136)</f>
        <v/>
      </c>
      <c r="C205" s="36">
        <f t="shared" si="47"/>
        <v>0</v>
      </c>
      <c r="D205" s="36" t="str">
        <f>IF(C205=1,-'TO HOP NLAN'!$I136,"")</f>
        <v/>
      </c>
      <c r="E205" s="36" t="str">
        <f>IF(C205=1,ABS('TO HOP NLAN'!$K136),"")</f>
        <v/>
      </c>
      <c r="F205" s="36" t="str">
        <f>IF(C205=1,ABS('TO HOP NLAN'!$G136),"")</f>
        <v/>
      </c>
      <c r="G205" s="36" t="str">
        <f t="shared" si="48"/>
        <v/>
      </c>
      <c r="H205" s="36" t="str">
        <f t="shared" si="49"/>
        <v/>
      </c>
      <c r="I205" s="36" t="str">
        <f t="shared" si="50"/>
        <v/>
      </c>
      <c r="J205" s="36" t="str">
        <f t="shared" si="51"/>
        <v/>
      </c>
      <c r="K205" s="36" t="str">
        <f>IF(C205=1,IF(OR('KT THAN'!$D$36&lt;=0,$K$13&lt;=0,$K$15&lt;=0),0,$K$13*$K$8*$K$12/(TAN(RADIANS(I205))*$K$15)/1000),"")</f>
        <v/>
      </c>
      <c r="L205" s="36" t="str">
        <f t="shared" si="52"/>
        <v/>
      </c>
      <c r="M205" s="36">
        <f t="shared" si="53"/>
        <v>0</v>
      </c>
      <c r="N205" s="36" t="str">
        <f t="shared" si="54"/>
        <v/>
      </c>
      <c r="O205" s="36" t="str">
        <f t="shared" si="55"/>
        <v/>
      </c>
      <c r="P205" s="36" t="str">
        <f t="shared" si="56"/>
        <v/>
      </c>
      <c r="Q205" s="36" t="str">
        <f>IF(C205=1,IF('KT THAN'!$D$36&lt;=0,"KHÔNG YÊU CẦU",IF($K$15&lt;=P205,"ĐẠT","KHÔNG ĐẠT")),"")</f>
        <v/>
      </c>
      <c r="R205" s="36" t="str">
        <f t="shared" si="57"/>
        <v/>
      </c>
    </row>
    <row r="206" spans="1:18" hidden="1" outlineLevel="1" x14ac:dyDescent="0.3">
      <c r="A206" s="36" t="str">
        <f t="shared" si="46"/>
        <v/>
      </c>
      <c r="B206" s="36" t="str">
        <f>IF('TO HOP NLAN'!$A137="","",'TO HOP NLAN'!$A137)</f>
        <v/>
      </c>
      <c r="C206" s="36">
        <f t="shared" si="47"/>
        <v>0</v>
      </c>
      <c r="D206" s="36" t="str">
        <f>IF(C206=1,-'TO HOP NLAN'!$I137,"")</f>
        <v/>
      </c>
      <c r="E206" s="36" t="str">
        <f>IF(C206=1,ABS('TO HOP NLAN'!$K137),"")</f>
        <v/>
      </c>
      <c r="F206" s="36" t="str">
        <f>IF(C206=1,ABS('TO HOP NLAN'!$G137),"")</f>
        <v/>
      </c>
      <c r="G206" s="36" t="str">
        <f t="shared" si="48"/>
        <v/>
      </c>
      <c r="H206" s="36" t="str">
        <f t="shared" si="49"/>
        <v/>
      </c>
      <c r="I206" s="36" t="str">
        <f t="shared" si="50"/>
        <v/>
      </c>
      <c r="J206" s="36" t="str">
        <f t="shared" si="51"/>
        <v/>
      </c>
      <c r="K206" s="36" t="str">
        <f>IF(C206=1,IF(OR('KT THAN'!$D$36&lt;=0,$K$13&lt;=0,$K$15&lt;=0),0,$K$13*$K$8*$K$12/(TAN(RADIANS(I206))*$K$15)/1000),"")</f>
        <v/>
      </c>
      <c r="L206" s="36" t="str">
        <f t="shared" si="52"/>
        <v/>
      </c>
      <c r="M206" s="36">
        <f t="shared" si="53"/>
        <v>0</v>
      </c>
      <c r="N206" s="36" t="str">
        <f t="shared" si="54"/>
        <v/>
      </c>
      <c r="O206" s="36" t="str">
        <f t="shared" si="55"/>
        <v/>
      </c>
      <c r="P206" s="36" t="str">
        <f t="shared" si="56"/>
        <v/>
      </c>
      <c r="Q206" s="36" t="str">
        <f>IF(C206=1,IF('KT THAN'!$D$36&lt;=0,"KHÔNG YÊU CẦU",IF($K$15&lt;=P206,"ĐẠT","KHÔNG ĐẠT")),"")</f>
        <v/>
      </c>
      <c r="R206" s="36" t="str">
        <f t="shared" si="57"/>
        <v/>
      </c>
    </row>
    <row r="207" spans="1:18" hidden="1" outlineLevel="1" x14ac:dyDescent="0.3">
      <c r="A207" s="36" t="str">
        <f t="shared" si="46"/>
        <v/>
      </c>
      <c r="B207" s="36" t="str">
        <f>IF('TO HOP NLAN'!$A138="","",'TO HOP NLAN'!$A138)</f>
        <v/>
      </c>
      <c r="C207" s="36">
        <f t="shared" si="47"/>
        <v>0</v>
      </c>
      <c r="D207" s="36" t="str">
        <f>IF(C207=1,-'TO HOP NLAN'!$I138,"")</f>
        <v/>
      </c>
      <c r="E207" s="36" t="str">
        <f>IF(C207=1,ABS('TO HOP NLAN'!$K138),"")</f>
        <v/>
      </c>
      <c r="F207" s="36" t="str">
        <f>IF(C207=1,ABS('TO HOP NLAN'!$G138),"")</f>
        <v/>
      </c>
      <c r="G207" s="36" t="str">
        <f t="shared" si="48"/>
        <v/>
      </c>
      <c r="H207" s="36" t="str">
        <f t="shared" si="49"/>
        <v/>
      </c>
      <c r="I207" s="36" t="str">
        <f t="shared" si="50"/>
        <v/>
      </c>
      <c r="J207" s="36" t="str">
        <f t="shared" si="51"/>
        <v/>
      </c>
      <c r="K207" s="36" t="str">
        <f>IF(C207=1,IF(OR('KT THAN'!$D$36&lt;=0,$K$13&lt;=0,$K$15&lt;=0),0,$K$13*$K$8*$K$12/(TAN(RADIANS(I207))*$K$15)/1000),"")</f>
        <v/>
      </c>
      <c r="L207" s="36" t="str">
        <f t="shared" si="52"/>
        <v/>
      </c>
      <c r="M207" s="36">
        <f t="shared" si="53"/>
        <v>0</v>
      </c>
      <c r="N207" s="36" t="str">
        <f t="shared" si="54"/>
        <v/>
      </c>
      <c r="O207" s="36" t="str">
        <f t="shared" si="55"/>
        <v/>
      </c>
      <c r="P207" s="36" t="str">
        <f t="shared" si="56"/>
        <v/>
      </c>
      <c r="Q207" s="36" t="str">
        <f>IF(C207=1,IF('KT THAN'!$D$36&lt;=0,"KHÔNG YÊU CẦU",IF($K$15&lt;=P207,"ĐẠT","KHÔNG ĐẠT")),"")</f>
        <v/>
      </c>
      <c r="R207" s="36" t="str">
        <f t="shared" si="57"/>
        <v/>
      </c>
    </row>
    <row r="208" spans="1:18" hidden="1" outlineLevel="1" x14ac:dyDescent="0.3">
      <c r="A208" s="36" t="str">
        <f t="shared" si="46"/>
        <v/>
      </c>
      <c r="B208" s="36" t="str">
        <f>IF('TO HOP NLAN'!$A139="","",'TO HOP NLAN'!$A139)</f>
        <v/>
      </c>
      <c r="C208" s="36">
        <f t="shared" si="47"/>
        <v>0</v>
      </c>
      <c r="D208" s="36" t="str">
        <f>IF(C208=1,-'TO HOP NLAN'!$I139,"")</f>
        <v/>
      </c>
      <c r="E208" s="36" t="str">
        <f>IF(C208=1,ABS('TO HOP NLAN'!$K139),"")</f>
        <v/>
      </c>
      <c r="F208" s="36" t="str">
        <f>IF(C208=1,ABS('TO HOP NLAN'!$G139),"")</f>
        <v/>
      </c>
      <c r="G208" s="36" t="str">
        <f t="shared" si="48"/>
        <v/>
      </c>
      <c r="H208" s="36" t="str">
        <f t="shared" si="49"/>
        <v/>
      </c>
      <c r="I208" s="36" t="str">
        <f t="shared" si="50"/>
        <v/>
      </c>
      <c r="J208" s="36" t="str">
        <f t="shared" si="51"/>
        <v/>
      </c>
      <c r="K208" s="36" t="str">
        <f>IF(C208=1,IF(OR('KT THAN'!$D$36&lt;=0,$K$13&lt;=0,$K$15&lt;=0),0,$K$13*$K$8*$K$12/(TAN(RADIANS(I208))*$K$15)/1000),"")</f>
        <v/>
      </c>
      <c r="L208" s="36" t="str">
        <f t="shared" si="52"/>
        <v/>
      </c>
      <c r="M208" s="36">
        <f t="shared" si="53"/>
        <v>0</v>
      </c>
      <c r="N208" s="36" t="str">
        <f t="shared" si="54"/>
        <v/>
      </c>
      <c r="O208" s="36" t="str">
        <f t="shared" si="55"/>
        <v/>
      </c>
      <c r="P208" s="36" t="str">
        <f t="shared" si="56"/>
        <v/>
      </c>
      <c r="Q208" s="36" t="str">
        <f>IF(C208=1,IF('KT THAN'!$D$36&lt;=0,"KHÔNG YÊU CẦU",IF($K$15&lt;=P208,"ĐẠT","KHÔNG ĐẠT")),"")</f>
        <v/>
      </c>
      <c r="R208" s="36" t="str">
        <f t="shared" si="57"/>
        <v/>
      </c>
    </row>
    <row r="209" spans="1:18" hidden="1" outlineLevel="1" x14ac:dyDescent="0.3">
      <c r="A209" s="36" t="str">
        <f t="shared" si="46"/>
        <v/>
      </c>
      <c r="B209" s="36" t="str">
        <f>IF('TO HOP NLAN'!$A140="","",'TO HOP NLAN'!$A140)</f>
        <v/>
      </c>
      <c r="C209" s="36">
        <f t="shared" si="47"/>
        <v>0</v>
      </c>
      <c r="D209" s="36" t="str">
        <f>IF(C209=1,-'TO HOP NLAN'!$I140,"")</f>
        <v/>
      </c>
      <c r="E209" s="36" t="str">
        <f>IF(C209=1,ABS('TO HOP NLAN'!$K140),"")</f>
        <v/>
      </c>
      <c r="F209" s="36" t="str">
        <f>IF(C209=1,ABS('TO HOP NLAN'!$G140),"")</f>
        <v/>
      </c>
      <c r="G209" s="36" t="str">
        <f t="shared" si="48"/>
        <v/>
      </c>
      <c r="H209" s="36" t="str">
        <f t="shared" si="49"/>
        <v/>
      </c>
      <c r="I209" s="36" t="str">
        <f t="shared" si="50"/>
        <v/>
      </c>
      <c r="J209" s="36" t="str">
        <f t="shared" si="51"/>
        <v/>
      </c>
      <c r="K209" s="36" t="str">
        <f>IF(C209=1,IF(OR('KT THAN'!$D$36&lt;=0,$K$13&lt;=0,$K$15&lt;=0),0,$K$13*$K$8*$K$12/(TAN(RADIANS(I209))*$K$15)/1000),"")</f>
        <v/>
      </c>
      <c r="L209" s="36" t="str">
        <f t="shared" si="52"/>
        <v/>
      </c>
      <c r="M209" s="36">
        <f t="shared" si="53"/>
        <v>0</v>
      </c>
      <c r="N209" s="36" t="str">
        <f t="shared" si="54"/>
        <v/>
      </c>
      <c r="O209" s="36" t="str">
        <f t="shared" si="55"/>
        <v/>
      </c>
      <c r="P209" s="36" t="str">
        <f t="shared" si="56"/>
        <v/>
      </c>
      <c r="Q209" s="36" t="str">
        <f>IF(C209=1,IF('KT THAN'!$D$36&lt;=0,"KHÔNG YÊU CẦU",IF($K$15&lt;=P209,"ĐẠT","KHÔNG ĐẠT")),"")</f>
        <v/>
      </c>
      <c r="R209" s="36" t="str">
        <f t="shared" si="57"/>
        <v/>
      </c>
    </row>
    <row r="210" spans="1:18" hidden="1" outlineLevel="1" x14ac:dyDescent="0.3">
      <c r="A210" s="36" t="str">
        <f t="shared" si="46"/>
        <v/>
      </c>
      <c r="B210" s="36" t="str">
        <f>IF('TO HOP NLAN'!$A141="","",'TO HOP NLAN'!$A141)</f>
        <v/>
      </c>
      <c r="C210" s="36">
        <f t="shared" si="47"/>
        <v>0</v>
      </c>
      <c r="D210" s="36" t="str">
        <f>IF(C210=1,-'TO HOP NLAN'!$I141,"")</f>
        <v/>
      </c>
      <c r="E210" s="36" t="str">
        <f>IF(C210=1,ABS('TO HOP NLAN'!$K141),"")</f>
        <v/>
      </c>
      <c r="F210" s="36" t="str">
        <f>IF(C210=1,ABS('TO HOP NLAN'!$G141),"")</f>
        <v/>
      </c>
      <c r="G210" s="36" t="str">
        <f t="shared" si="48"/>
        <v/>
      </c>
      <c r="H210" s="36" t="str">
        <f t="shared" si="49"/>
        <v/>
      </c>
      <c r="I210" s="36" t="str">
        <f t="shared" si="50"/>
        <v/>
      </c>
      <c r="J210" s="36" t="str">
        <f t="shared" si="51"/>
        <v/>
      </c>
      <c r="K210" s="36" t="str">
        <f>IF(C210=1,IF(OR('KT THAN'!$D$36&lt;=0,$K$13&lt;=0,$K$15&lt;=0),0,$K$13*$K$8*$K$12/(TAN(RADIANS(I210))*$K$15)/1000),"")</f>
        <v/>
      </c>
      <c r="L210" s="36" t="str">
        <f t="shared" si="52"/>
        <v/>
      </c>
      <c r="M210" s="36">
        <f t="shared" si="53"/>
        <v>0</v>
      </c>
      <c r="N210" s="36" t="str">
        <f t="shared" si="54"/>
        <v/>
      </c>
      <c r="O210" s="36" t="str">
        <f t="shared" si="55"/>
        <v/>
      </c>
      <c r="P210" s="36" t="str">
        <f t="shared" si="56"/>
        <v/>
      </c>
      <c r="Q210" s="36" t="str">
        <f>IF(C210=1,IF('KT THAN'!$D$36&lt;=0,"KHÔNG YÊU CẦU",IF($K$15&lt;=P210,"ĐẠT","KHÔNG ĐẠT")),"")</f>
        <v/>
      </c>
      <c r="R210" s="36" t="str">
        <f t="shared" si="57"/>
        <v/>
      </c>
    </row>
    <row r="211" spans="1:18" hidden="1" outlineLevel="1" x14ac:dyDescent="0.3">
      <c r="A211" s="36" t="str">
        <f t="shared" si="46"/>
        <v/>
      </c>
      <c r="B211" s="36" t="str">
        <f>IF('TO HOP NLAN'!$A142="","",'TO HOP NLAN'!$A142)</f>
        <v/>
      </c>
      <c r="C211" s="36">
        <f t="shared" si="47"/>
        <v>0</v>
      </c>
      <c r="D211" s="36" t="str">
        <f>IF(C211=1,-'TO HOP NLAN'!$I142,"")</f>
        <v/>
      </c>
      <c r="E211" s="36" t="str">
        <f>IF(C211=1,ABS('TO HOP NLAN'!$K142),"")</f>
        <v/>
      </c>
      <c r="F211" s="36" t="str">
        <f>IF(C211=1,ABS('TO HOP NLAN'!$G142),"")</f>
        <v/>
      </c>
      <c r="G211" s="36" t="str">
        <f t="shared" si="48"/>
        <v/>
      </c>
      <c r="H211" s="36" t="str">
        <f t="shared" si="49"/>
        <v/>
      </c>
      <c r="I211" s="36" t="str">
        <f t="shared" si="50"/>
        <v/>
      </c>
      <c r="J211" s="36" t="str">
        <f t="shared" si="51"/>
        <v/>
      </c>
      <c r="K211" s="36" t="str">
        <f>IF(C211=1,IF(OR('KT THAN'!$D$36&lt;=0,$K$13&lt;=0,$K$15&lt;=0),0,$K$13*$K$8*$K$12/(TAN(RADIANS(I211))*$K$15)/1000),"")</f>
        <v/>
      </c>
      <c r="L211" s="36" t="str">
        <f t="shared" si="52"/>
        <v/>
      </c>
      <c r="M211" s="36">
        <f t="shared" si="53"/>
        <v>0</v>
      </c>
      <c r="N211" s="36" t="str">
        <f t="shared" si="54"/>
        <v/>
      </c>
      <c r="O211" s="36" t="str">
        <f t="shared" si="55"/>
        <v/>
      </c>
      <c r="P211" s="36" t="str">
        <f t="shared" si="56"/>
        <v/>
      </c>
      <c r="Q211" s="36" t="str">
        <f>IF(C211=1,IF('KT THAN'!$D$36&lt;=0,"KHÔNG YÊU CẦU",IF($K$15&lt;=P211,"ĐẠT","KHÔNG ĐẠT")),"")</f>
        <v/>
      </c>
      <c r="R211" s="36" t="str">
        <f t="shared" si="57"/>
        <v/>
      </c>
    </row>
    <row r="212" spans="1:18" hidden="1" outlineLevel="1" x14ac:dyDescent="0.3">
      <c r="A212" s="36" t="str">
        <f t="shared" si="46"/>
        <v/>
      </c>
      <c r="B212" s="36" t="str">
        <f>IF('TO HOP NLAN'!$A143="","",'TO HOP NLAN'!$A143)</f>
        <v/>
      </c>
      <c r="C212" s="36">
        <f t="shared" si="47"/>
        <v>0</v>
      </c>
      <c r="D212" s="36" t="str">
        <f>IF(C212=1,-'TO HOP NLAN'!$I143,"")</f>
        <v/>
      </c>
      <c r="E212" s="36" t="str">
        <f>IF(C212=1,ABS('TO HOP NLAN'!$K143),"")</f>
        <v/>
      </c>
      <c r="F212" s="36" t="str">
        <f>IF(C212=1,ABS('TO HOP NLAN'!$G143),"")</f>
        <v/>
      </c>
      <c r="G212" s="36" t="str">
        <f t="shared" si="48"/>
        <v/>
      </c>
      <c r="H212" s="36" t="str">
        <f t="shared" si="49"/>
        <v/>
      </c>
      <c r="I212" s="36" t="str">
        <f t="shared" si="50"/>
        <v/>
      </c>
      <c r="J212" s="36" t="str">
        <f t="shared" si="51"/>
        <v/>
      </c>
      <c r="K212" s="36" t="str">
        <f>IF(C212=1,IF(OR('KT THAN'!$D$36&lt;=0,$K$13&lt;=0,$K$15&lt;=0),0,$K$13*$K$8*$K$12/(TAN(RADIANS(I212))*$K$15)/1000),"")</f>
        <v/>
      </c>
      <c r="L212" s="36" t="str">
        <f t="shared" si="52"/>
        <v/>
      </c>
      <c r="M212" s="36">
        <f t="shared" si="53"/>
        <v>0</v>
      </c>
      <c r="N212" s="36" t="str">
        <f t="shared" si="54"/>
        <v/>
      </c>
      <c r="O212" s="36" t="str">
        <f t="shared" si="55"/>
        <v/>
      </c>
      <c r="P212" s="36" t="str">
        <f t="shared" si="56"/>
        <v/>
      </c>
      <c r="Q212" s="36" t="str">
        <f>IF(C212=1,IF('KT THAN'!$D$36&lt;=0,"KHÔNG YÊU CẦU",IF($K$15&lt;=P212,"ĐẠT","KHÔNG ĐẠT")),"")</f>
        <v/>
      </c>
      <c r="R212" s="36" t="str">
        <f t="shared" si="57"/>
        <v/>
      </c>
    </row>
    <row r="213" spans="1:18" hidden="1" outlineLevel="1" x14ac:dyDescent="0.3">
      <c r="A213" s="36" t="str">
        <f t="shared" si="46"/>
        <v/>
      </c>
      <c r="B213" s="36" t="str">
        <f>IF('TO HOP NLAN'!$A144="","",'TO HOP NLAN'!$A144)</f>
        <v/>
      </c>
      <c r="C213" s="36">
        <f t="shared" si="47"/>
        <v>0</v>
      </c>
      <c r="D213" s="36" t="str">
        <f>IF(C213=1,-'TO HOP NLAN'!$I144,"")</f>
        <v/>
      </c>
      <c r="E213" s="36" t="str">
        <f>IF(C213=1,ABS('TO HOP NLAN'!$K144),"")</f>
        <v/>
      </c>
      <c r="F213" s="36" t="str">
        <f>IF(C213=1,ABS('TO HOP NLAN'!$G144),"")</f>
        <v/>
      </c>
      <c r="G213" s="36" t="str">
        <f t="shared" si="48"/>
        <v/>
      </c>
      <c r="H213" s="36" t="str">
        <f t="shared" si="49"/>
        <v/>
      </c>
      <c r="I213" s="36" t="str">
        <f t="shared" si="50"/>
        <v/>
      </c>
      <c r="J213" s="36" t="str">
        <f t="shared" si="51"/>
        <v/>
      </c>
      <c r="K213" s="36" t="str">
        <f>IF(C213=1,IF(OR('KT THAN'!$D$36&lt;=0,$K$13&lt;=0,$K$15&lt;=0),0,$K$13*$K$8*$K$12/(TAN(RADIANS(I213))*$K$15)/1000),"")</f>
        <v/>
      </c>
      <c r="L213" s="36" t="str">
        <f t="shared" si="52"/>
        <v/>
      </c>
      <c r="M213" s="36">
        <f t="shared" si="53"/>
        <v>0</v>
      </c>
      <c r="N213" s="36" t="str">
        <f t="shared" si="54"/>
        <v/>
      </c>
      <c r="O213" s="36" t="str">
        <f t="shared" si="55"/>
        <v/>
      </c>
      <c r="P213" s="36" t="str">
        <f t="shared" si="56"/>
        <v/>
      </c>
      <c r="Q213" s="36" t="str">
        <f>IF(C213=1,IF('KT THAN'!$D$36&lt;=0,"KHÔNG YÊU CẦU",IF($K$15&lt;=P213,"ĐẠT","KHÔNG ĐẠT")),"")</f>
        <v/>
      </c>
      <c r="R213" s="36" t="str">
        <f t="shared" si="57"/>
        <v/>
      </c>
    </row>
    <row r="214" spans="1:18" hidden="1" outlineLevel="1" x14ac:dyDescent="0.3">
      <c r="A214" s="36" t="str">
        <f t="shared" si="46"/>
        <v/>
      </c>
      <c r="B214" s="36" t="str">
        <f>IF('TO HOP NLAN'!$A145="","",'TO HOP NLAN'!$A145)</f>
        <v/>
      </c>
      <c r="C214" s="36">
        <f t="shared" si="47"/>
        <v>0</v>
      </c>
      <c r="D214" s="36" t="str">
        <f>IF(C214=1,-'TO HOP NLAN'!$I145,"")</f>
        <v/>
      </c>
      <c r="E214" s="36" t="str">
        <f>IF(C214=1,ABS('TO HOP NLAN'!$K145),"")</f>
        <v/>
      </c>
      <c r="F214" s="36" t="str">
        <f>IF(C214=1,ABS('TO HOP NLAN'!$G145),"")</f>
        <v/>
      </c>
      <c r="G214" s="36" t="str">
        <f t="shared" si="48"/>
        <v/>
      </c>
      <c r="H214" s="36" t="str">
        <f t="shared" si="49"/>
        <v/>
      </c>
      <c r="I214" s="36" t="str">
        <f t="shared" si="50"/>
        <v/>
      </c>
      <c r="J214" s="36" t="str">
        <f t="shared" si="51"/>
        <v/>
      </c>
      <c r="K214" s="36" t="str">
        <f>IF(C214=1,IF(OR('KT THAN'!$D$36&lt;=0,$K$13&lt;=0,$K$15&lt;=0),0,$K$13*$K$8*$K$12/(TAN(RADIANS(I214))*$K$15)/1000),"")</f>
        <v/>
      </c>
      <c r="L214" s="36" t="str">
        <f t="shared" si="52"/>
        <v/>
      </c>
      <c r="M214" s="36">
        <f t="shared" si="53"/>
        <v>0</v>
      </c>
      <c r="N214" s="36" t="str">
        <f t="shared" si="54"/>
        <v/>
      </c>
      <c r="O214" s="36" t="str">
        <f t="shared" si="55"/>
        <v/>
      </c>
      <c r="P214" s="36" t="str">
        <f t="shared" si="56"/>
        <v/>
      </c>
      <c r="Q214" s="36" t="str">
        <f>IF(C214=1,IF('KT THAN'!$D$36&lt;=0,"KHÔNG YÊU CẦU",IF($K$15&lt;=P214,"ĐẠT","KHÔNG ĐẠT")),"")</f>
        <v/>
      </c>
      <c r="R214" s="36" t="str">
        <f t="shared" si="57"/>
        <v/>
      </c>
    </row>
    <row r="215" spans="1:18" hidden="1" outlineLevel="1" x14ac:dyDescent="0.3">
      <c r="A215" s="36" t="str">
        <f t="shared" si="46"/>
        <v/>
      </c>
      <c r="B215" s="36" t="str">
        <f>IF('TO HOP NLAN'!$A146="","",'TO HOP NLAN'!$A146)</f>
        <v/>
      </c>
      <c r="C215" s="36">
        <f t="shared" si="47"/>
        <v>0</v>
      </c>
      <c r="D215" s="36" t="str">
        <f>IF(C215=1,-'TO HOP NLAN'!$I146,"")</f>
        <v/>
      </c>
      <c r="E215" s="36" t="str">
        <f>IF(C215=1,ABS('TO HOP NLAN'!$K146),"")</f>
        <v/>
      </c>
      <c r="F215" s="36" t="str">
        <f>IF(C215=1,ABS('TO HOP NLAN'!$G146),"")</f>
        <v/>
      </c>
      <c r="G215" s="36" t="str">
        <f t="shared" si="48"/>
        <v/>
      </c>
      <c r="H215" s="36" t="str">
        <f t="shared" si="49"/>
        <v/>
      </c>
      <c r="I215" s="36" t="str">
        <f t="shared" si="50"/>
        <v/>
      </c>
      <c r="J215" s="36" t="str">
        <f t="shared" si="51"/>
        <v/>
      </c>
      <c r="K215" s="36" t="str">
        <f>IF(C215=1,IF(OR('KT THAN'!$D$36&lt;=0,$K$13&lt;=0,$K$15&lt;=0),0,$K$13*$K$8*$K$12/(TAN(RADIANS(I215))*$K$15)/1000),"")</f>
        <v/>
      </c>
      <c r="L215" s="36" t="str">
        <f t="shared" si="52"/>
        <v/>
      </c>
      <c r="M215" s="36">
        <f t="shared" si="53"/>
        <v>0</v>
      </c>
      <c r="N215" s="36" t="str">
        <f t="shared" si="54"/>
        <v/>
      </c>
      <c r="O215" s="36" t="str">
        <f t="shared" si="55"/>
        <v/>
      </c>
      <c r="P215" s="36" t="str">
        <f t="shared" si="56"/>
        <v/>
      </c>
      <c r="Q215" s="36" t="str">
        <f>IF(C215=1,IF('KT THAN'!$D$36&lt;=0,"KHÔNG YÊU CẦU",IF($K$15&lt;=P215,"ĐẠT","KHÔNG ĐẠT")),"")</f>
        <v/>
      </c>
      <c r="R215" s="36" t="str">
        <f t="shared" si="57"/>
        <v/>
      </c>
    </row>
    <row r="216" spans="1:18" hidden="1" outlineLevel="1" x14ac:dyDescent="0.3">
      <c r="A216" s="36" t="str">
        <f t="shared" si="46"/>
        <v/>
      </c>
      <c r="B216" s="36" t="str">
        <f>IF('TO HOP NLAN'!$A147="","",'TO HOP NLAN'!$A147)</f>
        <v/>
      </c>
      <c r="C216" s="36">
        <f t="shared" si="47"/>
        <v>0</v>
      </c>
      <c r="D216" s="36" t="str">
        <f>IF(C216=1,-'TO HOP NLAN'!$I147,"")</f>
        <v/>
      </c>
      <c r="E216" s="36" t="str">
        <f>IF(C216=1,ABS('TO HOP NLAN'!$K147),"")</f>
        <v/>
      </c>
      <c r="F216" s="36" t="str">
        <f>IF(C216=1,ABS('TO HOP NLAN'!$G147),"")</f>
        <v/>
      </c>
      <c r="G216" s="36" t="str">
        <f t="shared" si="48"/>
        <v/>
      </c>
      <c r="H216" s="36" t="str">
        <f t="shared" si="49"/>
        <v/>
      </c>
      <c r="I216" s="36" t="str">
        <f t="shared" si="50"/>
        <v/>
      </c>
      <c r="J216" s="36" t="str">
        <f t="shared" si="51"/>
        <v/>
      </c>
      <c r="K216" s="36" t="str">
        <f>IF(C216=1,IF(OR('KT THAN'!$D$36&lt;=0,$K$13&lt;=0,$K$15&lt;=0),0,$K$13*$K$8*$K$12/(TAN(RADIANS(I216))*$K$15)/1000),"")</f>
        <v/>
      </c>
      <c r="L216" s="36" t="str">
        <f t="shared" si="52"/>
        <v/>
      </c>
      <c r="M216" s="36">
        <f t="shared" si="53"/>
        <v>0</v>
      </c>
      <c r="N216" s="36" t="str">
        <f t="shared" si="54"/>
        <v/>
      </c>
      <c r="O216" s="36" t="str">
        <f t="shared" si="55"/>
        <v/>
      </c>
      <c r="P216" s="36" t="str">
        <f t="shared" si="56"/>
        <v/>
      </c>
      <c r="Q216" s="36" t="str">
        <f>IF(C216=1,IF('KT THAN'!$D$36&lt;=0,"KHÔNG YÊU CẦU",IF($K$15&lt;=P216,"ĐẠT","KHÔNG ĐẠT")),"")</f>
        <v/>
      </c>
      <c r="R216" s="36" t="str">
        <f t="shared" si="57"/>
        <v/>
      </c>
    </row>
    <row r="217" spans="1:18" hidden="1" outlineLevel="1" x14ac:dyDescent="0.3">
      <c r="A217" s="36" t="str">
        <f t="shared" si="46"/>
        <v/>
      </c>
      <c r="B217" s="36" t="str">
        <f>IF('TO HOP NLAN'!$A148="","",'TO HOP NLAN'!$A148)</f>
        <v/>
      </c>
      <c r="C217" s="36">
        <f t="shared" si="47"/>
        <v>0</v>
      </c>
      <c r="D217" s="36" t="str">
        <f>IF(C217=1,-'TO HOP NLAN'!$I148,"")</f>
        <v/>
      </c>
      <c r="E217" s="36" t="str">
        <f>IF(C217=1,ABS('TO HOP NLAN'!$K148),"")</f>
        <v/>
      </c>
      <c r="F217" s="36" t="str">
        <f>IF(C217=1,ABS('TO HOP NLAN'!$G148),"")</f>
        <v/>
      </c>
      <c r="G217" s="36" t="str">
        <f t="shared" si="48"/>
        <v/>
      </c>
      <c r="H217" s="36" t="str">
        <f t="shared" si="49"/>
        <v/>
      </c>
      <c r="I217" s="36" t="str">
        <f t="shared" si="50"/>
        <v/>
      </c>
      <c r="J217" s="36" t="str">
        <f t="shared" si="51"/>
        <v/>
      </c>
      <c r="K217" s="36" t="str">
        <f>IF(C217=1,IF(OR('KT THAN'!$D$36&lt;=0,$K$13&lt;=0,$K$15&lt;=0),0,$K$13*$K$8*$K$12/(TAN(RADIANS(I217))*$K$15)/1000),"")</f>
        <v/>
      </c>
      <c r="L217" s="36" t="str">
        <f t="shared" si="52"/>
        <v/>
      </c>
      <c r="M217" s="36">
        <f t="shared" si="53"/>
        <v>0</v>
      </c>
      <c r="N217" s="36" t="str">
        <f t="shared" si="54"/>
        <v/>
      </c>
      <c r="O217" s="36" t="str">
        <f t="shared" si="55"/>
        <v/>
      </c>
      <c r="P217" s="36" t="str">
        <f t="shared" si="56"/>
        <v/>
      </c>
      <c r="Q217" s="36" t="str">
        <f>IF(C217=1,IF('KT THAN'!$D$36&lt;=0,"KHÔNG YÊU CẦU",IF($K$15&lt;=P217,"ĐẠT","KHÔNG ĐẠT")),"")</f>
        <v/>
      </c>
      <c r="R217" s="36" t="str">
        <f t="shared" si="57"/>
        <v/>
      </c>
    </row>
    <row r="218" spans="1:18" hidden="1" outlineLevel="1" x14ac:dyDescent="0.3">
      <c r="A218" s="36" t="str">
        <f t="shared" si="46"/>
        <v/>
      </c>
      <c r="B218" s="36" t="str">
        <f>IF('TO HOP NLAN'!$A149="","",'TO HOP NLAN'!$A149)</f>
        <v/>
      </c>
      <c r="C218" s="36">
        <f t="shared" si="47"/>
        <v>0</v>
      </c>
      <c r="D218" s="36" t="str">
        <f>IF(C218=1,-'TO HOP NLAN'!$I149,"")</f>
        <v/>
      </c>
      <c r="E218" s="36" t="str">
        <f>IF(C218=1,ABS('TO HOP NLAN'!$K149),"")</f>
        <v/>
      </c>
      <c r="F218" s="36" t="str">
        <f>IF(C218=1,ABS('TO HOP NLAN'!$G149),"")</f>
        <v/>
      </c>
      <c r="G218" s="36" t="str">
        <f t="shared" si="48"/>
        <v/>
      </c>
      <c r="H218" s="36" t="str">
        <f t="shared" si="49"/>
        <v/>
      </c>
      <c r="I218" s="36" t="str">
        <f t="shared" si="50"/>
        <v/>
      </c>
      <c r="J218" s="36" t="str">
        <f t="shared" si="51"/>
        <v/>
      </c>
      <c r="K218" s="36" t="str">
        <f>IF(C218=1,IF(OR('KT THAN'!$D$36&lt;=0,$K$13&lt;=0,$K$15&lt;=0),0,$K$13*$K$8*$K$12/(TAN(RADIANS(I218))*$K$15)/1000),"")</f>
        <v/>
      </c>
      <c r="L218" s="36" t="str">
        <f t="shared" si="52"/>
        <v/>
      </c>
      <c r="M218" s="36">
        <f t="shared" si="53"/>
        <v>0</v>
      </c>
      <c r="N218" s="36" t="str">
        <f t="shared" si="54"/>
        <v/>
      </c>
      <c r="O218" s="36" t="str">
        <f t="shared" si="55"/>
        <v/>
      </c>
      <c r="P218" s="36" t="str">
        <f t="shared" si="56"/>
        <v/>
      </c>
      <c r="Q218" s="36" t="str">
        <f>IF(C218=1,IF('KT THAN'!$D$36&lt;=0,"KHÔNG YÊU CẦU",IF($K$15&lt;=P218,"ĐẠT","KHÔNG ĐẠT")),"")</f>
        <v/>
      </c>
      <c r="R218" s="36" t="str">
        <f t="shared" si="57"/>
        <v/>
      </c>
    </row>
    <row r="219" spans="1:18" hidden="1" outlineLevel="1" x14ac:dyDescent="0.3">
      <c r="A219" s="36" t="str">
        <f t="shared" si="46"/>
        <v/>
      </c>
      <c r="B219" s="36" t="str">
        <f>IF('TO HOP NLAN'!$A150="","",'TO HOP NLAN'!$A150)</f>
        <v/>
      </c>
      <c r="C219" s="36">
        <f t="shared" si="47"/>
        <v>0</v>
      </c>
      <c r="D219" s="36" t="str">
        <f>IF(C219=1,-'TO HOP NLAN'!$I150,"")</f>
        <v/>
      </c>
      <c r="E219" s="36" t="str">
        <f>IF(C219=1,ABS('TO HOP NLAN'!$K150),"")</f>
        <v/>
      </c>
      <c r="F219" s="36" t="str">
        <f>IF(C219=1,ABS('TO HOP NLAN'!$G150),"")</f>
        <v/>
      </c>
      <c r="G219" s="36" t="str">
        <f t="shared" si="48"/>
        <v/>
      </c>
      <c r="H219" s="36" t="str">
        <f t="shared" si="49"/>
        <v/>
      </c>
      <c r="I219" s="36" t="str">
        <f t="shared" si="50"/>
        <v/>
      </c>
      <c r="J219" s="36" t="str">
        <f t="shared" si="51"/>
        <v/>
      </c>
      <c r="K219" s="36" t="str">
        <f>IF(C219=1,IF(OR('KT THAN'!$D$36&lt;=0,$K$13&lt;=0,$K$15&lt;=0),0,$K$13*$K$8*$K$12/(TAN(RADIANS(I219))*$K$15)/1000),"")</f>
        <v/>
      </c>
      <c r="L219" s="36" t="str">
        <f t="shared" si="52"/>
        <v/>
      </c>
      <c r="M219" s="36">
        <f t="shared" si="53"/>
        <v>0</v>
      </c>
      <c r="N219" s="36" t="str">
        <f t="shared" si="54"/>
        <v/>
      </c>
      <c r="O219" s="36" t="str">
        <f t="shared" si="55"/>
        <v/>
      </c>
      <c r="P219" s="36" t="str">
        <f t="shared" si="56"/>
        <v/>
      </c>
      <c r="Q219" s="36" t="str">
        <f>IF(C219=1,IF('KT THAN'!$D$36&lt;=0,"KHÔNG YÊU CẦU",IF($K$15&lt;=P219,"ĐẠT","KHÔNG ĐẠT")),"")</f>
        <v/>
      </c>
      <c r="R219" s="36" t="str">
        <f t="shared" si="57"/>
        <v/>
      </c>
    </row>
    <row r="220" spans="1:18" hidden="1" outlineLevel="1" x14ac:dyDescent="0.3">
      <c r="A220" s="36" t="str">
        <f t="shared" si="46"/>
        <v/>
      </c>
      <c r="B220" s="36" t="str">
        <f>IF('TO HOP NLAN'!$A151="","",'TO HOP NLAN'!$A151)</f>
        <v/>
      </c>
      <c r="C220" s="36">
        <f t="shared" si="47"/>
        <v>0</v>
      </c>
      <c r="D220" s="36" t="str">
        <f>IF(C220=1,-'TO HOP NLAN'!$I151,"")</f>
        <v/>
      </c>
      <c r="E220" s="36" t="str">
        <f>IF(C220=1,ABS('TO HOP NLAN'!$K151),"")</f>
        <v/>
      </c>
      <c r="F220" s="36" t="str">
        <f>IF(C220=1,ABS('TO HOP NLAN'!$G151),"")</f>
        <v/>
      </c>
      <c r="G220" s="36" t="str">
        <f t="shared" si="48"/>
        <v/>
      </c>
      <c r="H220" s="36" t="str">
        <f t="shared" si="49"/>
        <v/>
      </c>
      <c r="I220" s="36" t="str">
        <f t="shared" si="50"/>
        <v/>
      </c>
      <c r="J220" s="36" t="str">
        <f t="shared" si="51"/>
        <v/>
      </c>
      <c r="K220" s="36" t="str">
        <f>IF(C220=1,IF(OR('KT THAN'!$D$36&lt;=0,$K$13&lt;=0,$K$15&lt;=0),0,$K$13*$K$8*$K$12/(TAN(RADIANS(I220))*$K$15)/1000),"")</f>
        <v/>
      </c>
      <c r="L220" s="36" t="str">
        <f t="shared" si="52"/>
        <v/>
      </c>
      <c r="M220" s="36">
        <f t="shared" si="53"/>
        <v>0</v>
      </c>
      <c r="N220" s="36" t="str">
        <f t="shared" si="54"/>
        <v/>
      </c>
      <c r="O220" s="36" t="str">
        <f t="shared" si="55"/>
        <v/>
      </c>
      <c r="P220" s="36" t="str">
        <f t="shared" si="56"/>
        <v/>
      </c>
      <c r="Q220" s="36" t="str">
        <f>IF(C220=1,IF('KT THAN'!$D$36&lt;=0,"KHÔNG YÊU CẦU",IF($K$15&lt;=P220,"ĐẠT","KHÔNG ĐẠT")),"")</f>
        <v/>
      </c>
      <c r="R220" s="36" t="str">
        <f t="shared" si="57"/>
        <v/>
      </c>
    </row>
    <row r="221" spans="1:18" hidden="1" outlineLevel="1" x14ac:dyDescent="0.3">
      <c r="A221" s="36" t="str">
        <f t="shared" si="46"/>
        <v/>
      </c>
      <c r="B221" s="36" t="str">
        <f>IF('TO HOP NLAN'!$A152="","",'TO HOP NLAN'!$A152)</f>
        <v/>
      </c>
      <c r="C221" s="36">
        <f t="shared" si="47"/>
        <v>0</v>
      </c>
      <c r="D221" s="36" t="str">
        <f>IF(C221=1,-'TO HOP NLAN'!$I152,"")</f>
        <v/>
      </c>
      <c r="E221" s="36" t="str">
        <f>IF(C221=1,ABS('TO HOP NLAN'!$K152),"")</f>
        <v/>
      </c>
      <c r="F221" s="36" t="str">
        <f>IF(C221=1,ABS('TO HOP NLAN'!$G152),"")</f>
        <v/>
      </c>
      <c r="G221" s="36" t="str">
        <f t="shared" si="48"/>
        <v/>
      </c>
      <c r="H221" s="36" t="str">
        <f t="shared" si="49"/>
        <v/>
      </c>
      <c r="I221" s="36" t="str">
        <f t="shared" si="50"/>
        <v/>
      </c>
      <c r="J221" s="36" t="str">
        <f t="shared" si="51"/>
        <v/>
      </c>
      <c r="K221" s="36" t="str">
        <f>IF(C221=1,IF(OR('KT THAN'!$D$36&lt;=0,$K$13&lt;=0,$K$15&lt;=0),0,$K$13*$K$8*$K$12/(TAN(RADIANS(I221))*$K$15)/1000),"")</f>
        <v/>
      </c>
      <c r="L221" s="36" t="str">
        <f t="shared" si="52"/>
        <v/>
      </c>
      <c r="M221" s="36">
        <f t="shared" si="53"/>
        <v>0</v>
      </c>
      <c r="N221" s="36" t="str">
        <f t="shared" si="54"/>
        <v/>
      </c>
      <c r="O221" s="36" t="str">
        <f t="shared" si="55"/>
        <v/>
      </c>
      <c r="P221" s="36" t="str">
        <f t="shared" si="56"/>
        <v/>
      </c>
      <c r="Q221" s="36" t="str">
        <f>IF(C221=1,IF('KT THAN'!$D$36&lt;=0,"KHÔNG YÊU CẦU",IF($K$15&lt;=P221,"ĐẠT","KHÔNG ĐẠT")),"")</f>
        <v/>
      </c>
      <c r="R221" s="36" t="str">
        <f t="shared" si="57"/>
        <v/>
      </c>
    </row>
    <row r="222" spans="1:18" hidden="1" outlineLevel="1" x14ac:dyDescent="0.3">
      <c r="A222" s="36" t="str">
        <f t="shared" si="46"/>
        <v/>
      </c>
      <c r="B222" s="36" t="str">
        <f>IF('TO HOP NLAN'!$A153="","",'TO HOP NLAN'!$A153)</f>
        <v/>
      </c>
      <c r="C222" s="36">
        <f t="shared" si="47"/>
        <v>0</v>
      </c>
      <c r="D222" s="36" t="str">
        <f>IF(C222=1,-'TO HOP NLAN'!$I153,"")</f>
        <v/>
      </c>
      <c r="E222" s="36" t="str">
        <f>IF(C222=1,ABS('TO HOP NLAN'!$K153),"")</f>
        <v/>
      </c>
      <c r="F222" s="36" t="str">
        <f>IF(C222=1,ABS('TO HOP NLAN'!$G153),"")</f>
        <v/>
      </c>
      <c r="G222" s="36" t="str">
        <f t="shared" si="48"/>
        <v/>
      </c>
      <c r="H222" s="36" t="str">
        <f t="shared" si="49"/>
        <v/>
      </c>
      <c r="I222" s="36" t="str">
        <f t="shared" si="50"/>
        <v/>
      </c>
      <c r="J222" s="36" t="str">
        <f t="shared" si="51"/>
        <v/>
      </c>
      <c r="K222" s="36" t="str">
        <f>IF(C222=1,IF(OR('KT THAN'!$D$36&lt;=0,$K$13&lt;=0,$K$15&lt;=0),0,$K$13*$K$8*$K$12/(TAN(RADIANS(I222))*$K$15)/1000),"")</f>
        <v/>
      </c>
      <c r="L222" s="36" t="str">
        <f t="shared" si="52"/>
        <v/>
      </c>
      <c r="M222" s="36">
        <f t="shared" si="53"/>
        <v>0</v>
      </c>
      <c r="N222" s="36" t="str">
        <f t="shared" si="54"/>
        <v/>
      </c>
      <c r="O222" s="36" t="str">
        <f t="shared" si="55"/>
        <v/>
      </c>
      <c r="P222" s="36" t="str">
        <f t="shared" si="56"/>
        <v/>
      </c>
      <c r="Q222" s="36" t="str">
        <f>IF(C222=1,IF('KT THAN'!$D$36&lt;=0,"KHÔNG YÊU CẦU",IF($K$15&lt;=P222,"ĐẠT","KHÔNG ĐẠT")),"")</f>
        <v/>
      </c>
      <c r="R222" s="36" t="str">
        <f t="shared" si="57"/>
        <v/>
      </c>
    </row>
    <row r="223" spans="1:18" hidden="1" outlineLevel="1" x14ac:dyDescent="0.3">
      <c r="A223" s="36" t="str">
        <f t="shared" si="46"/>
        <v/>
      </c>
      <c r="B223" s="36" t="str">
        <f>IF('TO HOP NLAN'!$A154="","",'TO HOP NLAN'!$A154)</f>
        <v/>
      </c>
      <c r="C223" s="36">
        <f t="shared" si="47"/>
        <v>0</v>
      </c>
      <c r="D223" s="36" t="str">
        <f>IF(C223=1,-'TO HOP NLAN'!$I154,"")</f>
        <v/>
      </c>
      <c r="E223" s="36" t="str">
        <f>IF(C223=1,ABS('TO HOP NLAN'!$K154),"")</f>
        <v/>
      </c>
      <c r="F223" s="36" t="str">
        <f>IF(C223=1,ABS('TO HOP NLAN'!$G154),"")</f>
        <v/>
      </c>
      <c r="G223" s="36" t="str">
        <f t="shared" si="48"/>
        <v/>
      </c>
      <c r="H223" s="36" t="str">
        <f t="shared" si="49"/>
        <v/>
      </c>
      <c r="I223" s="36" t="str">
        <f t="shared" si="50"/>
        <v/>
      </c>
      <c r="J223" s="36" t="str">
        <f t="shared" si="51"/>
        <v/>
      </c>
      <c r="K223" s="36" t="str">
        <f>IF(C223=1,IF(OR('KT THAN'!$D$36&lt;=0,$K$13&lt;=0,$K$15&lt;=0),0,$K$13*$K$8*$K$12/(TAN(RADIANS(I223))*$K$15)/1000),"")</f>
        <v/>
      </c>
      <c r="L223" s="36" t="str">
        <f t="shared" si="52"/>
        <v/>
      </c>
      <c r="M223" s="36">
        <f t="shared" si="53"/>
        <v>0</v>
      </c>
      <c r="N223" s="36" t="str">
        <f t="shared" si="54"/>
        <v/>
      </c>
      <c r="O223" s="36" t="str">
        <f t="shared" si="55"/>
        <v/>
      </c>
      <c r="P223" s="36" t="str">
        <f t="shared" si="56"/>
        <v/>
      </c>
      <c r="Q223" s="36" t="str">
        <f>IF(C223=1,IF('KT THAN'!$D$36&lt;=0,"KHÔNG YÊU CẦU",IF($K$15&lt;=P223,"ĐẠT","KHÔNG ĐẠT")),"")</f>
        <v/>
      </c>
      <c r="R223" s="36" t="str">
        <f t="shared" si="57"/>
        <v/>
      </c>
    </row>
    <row r="224" spans="1:18" hidden="1" outlineLevel="1" x14ac:dyDescent="0.3">
      <c r="A224" s="36" t="str">
        <f t="shared" si="46"/>
        <v/>
      </c>
      <c r="B224" s="36" t="str">
        <f>IF('TO HOP NLAN'!$A155="","",'TO HOP NLAN'!$A155)</f>
        <v/>
      </c>
      <c r="C224" s="36">
        <f t="shared" si="47"/>
        <v>0</v>
      </c>
      <c r="D224" s="36" t="str">
        <f>IF(C224=1,-'TO HOP NLAN'!$I155,"")</f>
        <v/>
      </c>
      <c r="E224" s="36" t="str">
        <f>IF(C224=1,ABS('TO HOP NLAN'!$K155),"")</f>
        <v/>
      </c>
      <c r="F224" s="36" t="str">
        <f>IF(C224=1,ABS('TO HOP NLAN'!$G155),"")</f>
        <v/>
      </c>
      <c r="G224" s="36" t="str">
        <f t="shared" si="48"/>
        <v/>
      </c>
      <c r="H224" s="36" t="str">
        <f t="shared" si="49"/>
        <v/>
      </c>
      <c r="I224" s="36" t="str">
        <f t="shared" si="50"/>
        <v/>
      </c>
      <c r="J224" s="36" t="str">
        <f t="shared" si="51"/>
        <v/>
      </c>
      <c r="K224" s="36" t="str">
        <f>IF(C224=1,IF(OR('KT THAN'!$D$36&lt;=0,$K$13&lt;=0,$K$15&lt;=0),0,$K$13*$K$8*$K$12/(TAN(RADIANS(I224))*$K$15)/1000),"")</f>
        <v/>
      </c>
      <c r="L224" s="36" t="str">
        <f t="shared" si="52"/>
        <v/>
      </c>
      <c r="M224" s="36">
        <f t="shared" si="53"/>
        <v>0</v>
      </c>
      <c r="N224" s="36" t="str">
        <f t="shared" si="54"/>
        <v/>
      </c>
      <c r="O224" s="36" t="str">
        <f t="shared" si="55"/>
        <v/>
      </c>
      <c r="P224" s="36" t="str">
        <f t="shared" si="56"/>
        <v/>
      </c>
      <c r="Q224" s="36" t="str">
        <f>IF(C224=1,IF('KT THAN'!$D$36&lt;=0,"KHÔNG YÊU CẦU",IF($K$15&lt;=P224,"ĐẠT","KHÔNG ĐẠT")),"")</f>
        <v/>
      </c>
      <c r="R224" s="36" t="str">
        <f t="shared" si="57"/>
        <v/>
      </c>
    </row>
    <row r="225" spans="1:18" hidden="1" outlineLevel="1" x14ac:dyDescent="0.3">
      <c r="A225" s="36" t="str">
        <f t="shared" si="46"/>
        <v/>
      </c>
      <c r="B225" s="36" t="str">
        <f>IF('TO HOP NLAN'!$A156="","",'TO HOP NLAN'!$A156)</f>
        <v/>
      </c>
      <c r="C225" s="36">
        <f t="shared" si="47"/>
        <v>0</v>
      </c>
      <c r="D225" s="36" t="str">
        <f>IF(C225=1,-'TO HOP NLAN'!$I156,"")</f>
        <v/>
      </c>
      <c r="E225" s="36" t="str">
        <f>IF(C225=1,ABS('TO HOP NLAN'!$K156),"")</f>
        <v/>
      </c>
      <c r="F225" s="36" t="str">
        <f>IF(C225=1,ABS('TO HOP NLAN'!$G156),"")</f>
        <v/>
      </c>
      <c r="G225" s="36" t="str">
        <f t="shared" si="48"/>
        <v/>
      </c>
      <c r="H225" s="36" t="str">
        <f t="shared" si="49"/>
        <v/>
      </c>
      <c r="I225" s="36" t="str">
        <f t="shared" si="50"/>
        <v/>
      </c>
      <c r="J225" s="36" t="str">
        <f t="shared" si="51"/>
        <v/>
      </c>
      <c r="K225" s="36" t="str">
        <f>IF(C225=1,IF(OR('KT THAN'!$D$36&lt;=0,$K$13&lt;=0,$K$15&lt;=0),0,$K$13*$K$8*$K$12/(TAN(RADIANS(I225))*$K$15)/1000),"")</f>
        <v/>
      </c>
      <c r="L225" s="36" t="str">
        <f t="shared" si="52"/>
        <v/>
      </c>
      <c r="M225" s="36">
        <f t="shared" si="53"/>
        <v>0</v>
      </c>
      <c r="N225" s="36" t="str">
        <f t="shared" si="54"/>
        <v/>
      </c>
      <c r="O225" s="36" t="str">
        <f t="shared" si="55"/>
        <v/>
      </c>
      <c r="P225" s="36" t="str">
        <f t="shared" si="56"/>
        <v/>
      </c>
      <c r="Q225" s="36" t="str">
        <f>IF(C225=1,IF('KT THAN'!$D$36&lt;=0,"KHÔNG YÊU CẦU",IF($K$15&lt;=P225,"ĐẠT","KHÔNG ĐẠT")),"")</f>
        <v/>
      </c>
      <c r="R225" s="36" t="str">
        <f t="shared" si="57"/>
        <v/>
      </c>
    </row>
    <row r="226" spans="1:18" hidden="1" outlineLevel="1" x14ac:dyDescent="0.3">
      <c r="A226" s="36" t="str">
        <f t="shared" si="46"/>
        <v/>
      </c>
      <c r="B226" s="36" t="str">
        <f>IF('TO HOP NLAN'!$A157="","",'TO HOP NLAN'!$A157)</f>
        <v/>
      </c>
      <c r="C226" s="36">
        <f t="shared" si="47"/>
        <v>0</v>
      </c>
      <c r="D226" s="36" t="str">
        <f>IF(C226=1,-'TO HOP NLAN'!$I157,"")</f>
        <v/>
      </c>
      <c r="E226" s="36" t="str">
        <f>IF(C226=1,ABS('TO HOP NLAN'!$K157),"")</f>
        <v/>
      </c>
      <c r="F226" s="36" t="str">
        <f>IF(C226=1,ABS('TO HOP NLAN'!$G157),"")</f>
        <v/>
      </c>
      <c r="G226" s="36" t="str">
        <f t="shared" si="48"/>
        <v/>
      </c>
      <c r="H226" s="36" t="str">
        <f t="shared" si="49"/>
        <v/>
      </c>
      <c r="I226" s="36" t="str">
        <f t="shared" si="50"/>
        <v/>
      </c>
      <c r="J226" s="36" t="str">
        <f t="shared" si="51"/>
        <v/>
      </c>
      <c r="K226" s="36" t="str">
        <f>IF(C226=1,IF(OR('KT THAN'!$D$36&lt;=0,$K$13&lt;=0,$K$15&lt;=0),0,$K$13*$K$8*$K$12/(TAN(RADIANS(I226))*$K$15)/1000),"")</f>
        <v/>
      </c>
      <c r="L226" s="36" t="str">
        <f t="shared" si="52"/>
        <v/>
      </c>
      <c r="M226" s="36">
        <f t="shared" si="53"/>
        <v>0</v>
      </c>
      <c r="N226" s="36" t="str">
        <f t="shared" si="54"/>
        <v/>
      </c>
      <c r="O226" s="36" t="str">
        <f t="shared" si="55"/>
        <v/>
      </c>
      <c r="P226" s="36" t="str">
        <f t="shared" si="56"/>
        <v/>
      </c>
      <c r="Q226" s="36" t="str">
        <f>IF(C226=1,IF('KT THAN'!$D$36&lt;=0,"KHÔNG YÊU CẦU",IF($K$15&lt;=P226,"ĐẠT","KHÔNG ĐẠT")),"")</f>
        <v/>
      </c>
      <c r="R226" s="36" t="str">
        <f t="shared" si="57"/>
        <v/>
      </c>
    </row>
    <row r="227" spans="1:18" hidden="1" outlineLevel="1" x14ac:dyDescent="0.3">
      <c r="A227" s="36" t="str">
        <f t="shared" si="46"/>
        <v/>
      </c>
      <c r="B227" s="36" t="str">
        <f>IF('TO HOP NLAN'!$A158="","",'TO HOP NLAN'!$A158)</f>
        <v/>
      </c>
      <c r="C227" s="36">
        <f t="shared" si="47"/>
        <v>0</v>
      </c>
      <c r="D227" s="36" t="str">
        <f>IF(C227=1,-'TO HOP NLAN'!$I158,"")</f>
        <v/>
      </c>
      <c r="E227" s="36" t="str">
        <f>IF(C227=1,ABS('TO HOP NLAN'!$K158),"")</f>
        <v/>
      </c>
      <c r="F227" s="36" t="str">
        <f>IF(C227=1,ABS('TO HOP NLAN'!$G158),"")</f>
        <v/>
      </c>
      <c r="G227" s="36" t="str">
        <f t="shared" si="48"/>
        <v/>
      </c>
      <c r="H227" s="36" t="str">
        <f t="shared" si="49"/>
        <v/>
      </c>
      <c r="I227" s="36" t="str">
        <f t="shared" si="50"/>
        <v/>
      </c>
      <c r="J227" s="36" t="str">
        <f t="shared" si="51"/>
        <v/>
      </c>
      <c r="K227" s="36" t="str">
        <f>IF(C227=1,IF(OR('KT THAN'!$D$36&lt;=0,$K$13&lt;=0,$K$15&lt;=0),0,$K$13*$K$8*$K$12/(TAN(RADIANS(I227))*$K$15)/1000),"")</f>
        <v/>
      </c>
      <c r="L227" s="36" t="str">
        <f t="shared" si="52"/>
        <v/>
      </c>
      <c r="M227" s="36">
        <f t="shared" si="53"/>
        <v>0</v>
      </c>
      <c r="N227" s="36" t="str">
        <f t="shared" si="54"/>
        <v/>
      </c>
      <c r="O227" s="36" t="str">
        <f t="shared" si="55"/>
        <v/>
      </c>
      <c r="P227" s="36" t="str">
        <f t="shared" si="56"/>
        <v/>
      </c>
      <c r="Q227" s="36" t="str">
        <f>IF(C227=1,IF('KT THAN'!$D$36&lt;=0,"KHÔNG YÊU CẦU",IF($K$15&lt;=P227,"ĐẠT","KHÔNG ĐẠT")),"")</f>
        <v/>
      </c>
      <c r="R227" s="36" t="str">
        <f t="shared" si="57"/>
        <v/>
      </c>
    </row>
    <row r="228" spans="1:18" hidden="1" outlineLevel="1" x14ac:dyDescent="0.3">
      <c r="A228" s="36" t="str">
        <f t="shared" si="46"/>
        <v/>
      </c>
      <c r="B228" s="36" t="str">
        <f>IF('TO HOP NLAN'!$A159="","",'TO HOP NLAN'!$A159)</f>
        <v/>
      </c>
      <c r="C228" s="36">
        <f t="shared" si="47"/>
        <v>0</v>
      </c>
      <c r="D228" s="36" t="str">
        <f>IF(C228=1,-'TO HOP NLAN'!$I159,"")</f>
        <v/>
      </c>
      <c r="E228" s="36" t="str">
        <f>IF(C228=1,ABS('TO HOP NLAN'!$K159),"")</f>
        <v/>
      </c>
      <c r="F228" s="36" t="str">
        <f>IF(C228=1,ABS('TO HOP NLAN'!$G159),"")</f>
        <v/>
      </c>
      <c r="G228" s="36" t="str">
        <f t="shared" si="48"/>
        <v/>
      </c>
      <c r="H228" s="36" t="str">
        <f t="shared" si="49"/>
        <v/>
      </c>
      <c r="I228" s="36" t="str">
        <f t="shared" si="50"/>
        <v/>
      </c>
      <c r="J228" s="36" t="str">
        <f t="shared" si="51"/>
        <v/>
      </c>
      <c r="K228" s="36" t="str">
        <f>IF(C228=1,IF(OR('KT THAN'!$D$36&lt;=0,$K$13&lt;=0,$K$15&lt;=0),0,$K$13*$K$8*$K$12/(TAN(RADIANS(I228))*$K$15)/1000),"")</f>
        <v/>
      </c>
      <c r="L228" s="36" t="str">
        <f t="shared" si="52"/>
        <v/>
      </c>
      <c r="M228" s="36">
        <f t="shared" si="53"/>
        <v>0</v>
      </c>
      <c r="N228" s="36" t="str">
        <f t="shared" si="54"/>
        <v/>
      </c>
      <c r="O228" s="36" t="str">
        <f t="shared" si="55"/>
        <v/>
      </c>
      <c r="P228" s="36" t="str">
        <f t="shared" si="56"/>
        <v/>
      </c>
      <c r="Q228" s="36" t="str">
        <f>IF(C228=1,IF('KT THAN'!$D$36&lt;=0,"KHÔNG YÊU CẦU",IF($K$15&lt;=P228,"ĐẠT","KHÔNG ĐẠT")),"")</f>
        <v/>
      </c>
      <c r="R228" s="36" t="str">
        <f t="shared" si="57"/>
        <v/>
      </c>
    </row>
    <row r="229" spans="1:18" hidden="1" outlineLevel="1" x14ac:dyDescent="0.3">
      <c r="A229" s="36" t="str">
        <f t="shared" si="46"/>
        <v/>
      </c>
      <c r="B229" s="36" t="str">
        <f>IF('TO HOP NLAN'!$A160="","",'TO HOP NLAN'!$A160)</f>
        <v/>
      </c>
      <c r="C229" s="36">
        <f t="shared" si="47"/>
        <v>0</v>
      </c>
      <c r="D229" s="36" t="str">
        <f>IF(C229=1,-'TO HOP NLAN'!$I160,"")</f>
        <v/>
      </c>
      <c r="E229" s="36" t="str">
        <f>IF(C229=1,ABS('TO HOP NLAN'!$K160),"")</f>
        <v/>
      </c>
      <c r="F229" s="36" t="str">
        <f>IF(C229=1,ABS('TO HOP NLAN'!$G160),"")</f>
        <v/>
      </c>
      <c r="G229" s="36" t="str">
        <f t="shared" si="48"/>
        <v/>
      </c>
      <c r="H229" s="36" t="str">
        <f t="shared" si="49"/>
        <v/>
      </c>
      <c r="I229" s="36" t="str">
        <f t="shared" si="50"/>
        <v/>
      </c>
      <c r="J229" s="36" t="str">
        <f t="shared" si="51"/>
        <v/>
      </c>
      <c r="K229" s="36" t="str">
        <f>IF(C229=1,IF(OR('KT THAN'!$D$36&lt;=0,$K$13&lt;=0,$K$15&lt;=0),0,$K$13*$K$8*$K$12/(TAN(RADIANS(I229))*$K$15)/1000),"")</f>
        <v/>
      </c>
      <c r="L229" s="36" t="str">
        <f t="shared" si="52"/>
        <v/>
      </c>
      <c r="M229" s="36">
        <f t="shared" si="53"/>
        <v>0</v>
      </c>
      <c r="N229" s="36" t="str">
        <f t="shared" si="54"/>
        <v/>
      </c>
      <c r="O229" s="36" t="str">
        <f t="shared" si="55"/>
        <v/>
      </c>
      <c r="P229" s="36" t="str">
        <f t="shared" si="56"/>
        <v/>
      </c>
      <c r="Q229" s="36" t="str">
        <f>IF(C229=1,IF('KT THAN'!$D$36&lt;=0,"KHÔNG YÊU CẦU",IF($K$15&lt;=P229,"ĐẠT","KHÔNG ĐẠT")),"")</f>
        <v/>
      </c>
      <c r="R229" s="36" t="str">
        <f t="shared" si="57"/>
        <v/>
      </c>
    </row>
    <row r="230" spans="1:18" hidden="1" outlineLevel="1" x14ac:dyDescent="0.3">
      <c r="A230" s="36" t="str">
        <f t="shared" si="46"/>
        <v/>
      </c>
      <c r="B230" s="36" t="str">
        <f>IF('TO HOP NLAN'!$A161="","",'TO HOP NLAN'!$A161)</f>
        <v/>
      </c>
      <c r="C230" s="36">
        <f t="shared" si="47"/>
        <v>0</v>
      </c>
      <c r="D230" s="36" t="str">
        <f>IF(C230=1,-'TO HOP NLAN'!$I161,"")</f>
        <v/>
      </c>
      <c r="E230" s="36" t="str">
        <f>IF(C230=1,ABS('TO HOP NLAN'!$K161),"")</f>
        <v/>
      </c>
      <c r="F230" s="36" t="str">
        <f>IF(C230=1,ABS('TO HOP NLAN'!$G161),"")</f>
        <v/>
      </c>
      <c r="G230" s="36" t="str">
        <f t="shared" si="48"/>
        <v/>
      </c>
      <c r="H230" s="36" t="str">
        <f t="shared" si="49"/>
        <v/>
      </c>
      <c r="I230" s="36" t="str">
        <f t="shared" si="50"/>
        <v/>
      </c>
      <c r="J230" s="36" t="str">
        <f t="shared" si="51"/>
        <v/>
      </c>
      <c r="K230" s="36" t="str">
        <f>IF(C230=1,IF(OR('KT THAN'!$D$36&lt;=0,$K$13&lt;=0,$K$15&lt;=0),0,$K$13*$K$8*$K$12/(TAN(RADIANS(I230))*$K$15)/1000),"")</f>
        <v/>
      </c>
      <c r="L230" s="36" t="str">
        <f t="shared" si="52"/>
        <v/>
      </c>
      <c r="M230" s="36">
        <f t="shared" si="53"/>
        <v>0</v>
      </c>
      <c r="N230" s="36" t="str">
        <f t="shared" si="54"/>
        <v/>
      </c>
      <c r="O230" s="36" t="str">
        <f t="shared" si="55"/>
        <v/>
      </c>
      <c r="P230" s="36" t="str">
        <f t="shared" si="56"/>
        <v/>
      </c>
      <c r="Q230" s="36" t="str">
        <f>IF(C230=1,IF('KT THAN'!$D$36&lt;=0,"KHÔNG YÊU CẦU",IF($K$15&lt;=P230,"ĐẠT","KHÔNG ĐẠT")),"")</f>
        <v/>
      </c>
      <c r="R230" s="36" t="str">
        <f t="shared" si="57"/>
        <v/>
      </c>
    </row>
    <row r="231" spans="1:18" hidden="1" outlineLevel="1" x14ac:dyDescent="0.3">
      <c r="A231" s="36" t="str">
        <f t="shared" si="46"/>
        <v/>
      </c>
      <c r="B231" s="36" t="str">
        <f>IF('TO HOP NLAN'!$A162="","",'TO HOP NLAN'!$A162)</f>
        <v/>
      </c>
      <c r="C231" s="36">
        <f t="shared" si="47"/>
        <v>0</v>
      </c>
      <c r="D231" s="36" t="str">
        <f>IF(C231=1,-'TO HOP NLAN'!$I162,"")</f>
        <v/>
      </c>
      <c r="E231" s="36" t="str">
        <f>IF(C231=1,ABS('TO HOP NLAN'!$K162),"")</f>
        <v/>
      </c>
      <c r="F231" s="36" t="str">
        <f>IF(C231=1,ABS('TO HOP NLAN'!$G162),"")</f>
        <v/>
      </c>
      <c r="G231" s="36" t="str">
        <f t="shared" si="48"/>
        <v/>
      </c>
      <c r="H231" s="36" t="str">
        <f t="shared" si="49"/>
        <v/>
      </c>
      <c r="I231" s="36" t="str">
        <f t="shared" si="50"/>
        <v/>
      </c>
      <c r="J231" s="36" t="str">
        <f t="shared" si="51"/>
        <v/>
      </c>
      <c r="K231" s="36" t="str">
        <f>IF(C231=1,IF(OR('KT THAN'!$D$36&lt;=0,$K$13&lt;=0,$K$15&lt;=0),0,$K$13*$K$8*$K$12/(TAN(RADIANS(I231))*$K$15)/1000),"")</f>
        <v/>
      </c>
      <c r="L231" s="36" t="str">
        <f t="shared" si="52"/>
        <v/>
      </c>
      <c r="M231" s="36">
        <f t="shared" si="53"/>
        <v>0</v>
      </c>
      <c r="N231" s="36" t="str">
        <f t="shared" si="54"/>
        <v/>
      </c>
      <c r="O231" s="36" t="str">
        <f t="shared" si="55"/>
        <v/>
      </c>
      <c r="P231" s="36" t="str">
        <f t="shared" si="56"/>
        <v/>
      </c>
      <c r="Q231" s="36" t="str">
        <f>IF(C231=1,IF('KT THAN'!$D$36&lt;=0,"KHÔNG YÊU CẦU",IF($K$15&lt;=P231,"ĐẠT","KHÔNG ĐẠT")),"")</f>
        <v/>
      </c>
      <c r="R231" s="36" t="str">
        <f t="shared" si="57"/>
        <v/>
      </c>
    </row>
    <row r="232" spans="1:18" hidden="1" outlineLevel="1" x14ac:dyDescent="0.3">
      <c r="A232" s="36" t="str">
        <f t="shared" si="46"/>
        <v/>
      </c>
      <c r="B232" s="36" t="str">
        <f>IF('TO HOP NLAN'!$A163="","",'TO HOP NLAN'!$A163)</f>
        <v/>
      </c>
      <c r="C232" s="36">
        <f t="shared" si="47"/>
        <v>0</v>
      </c>
      <c r="D232" s="36" t="str">
        <f>IF(C232=1,-'TO HOP NLAN'!$I163,"")</f>
        <v/>
      </c>
      <c r="E232" s="36" t="str">
        <f>IF(C232=1,ABS('TO HOP NLAN'!$K163),"")</f>
        <v/>
      </c>
      <c r="F232" s="36" t="str">
        <f>IF(C232=1,ABS('TO HOP NLAN'!$G163),"")</f>
        <v/>
      </c>
      <c r="G232" s="36" t="str">
        <f t="shared" si="48"/>
        <v/>
      </c>
      <c r="H232" s="36" t="str">
        <f t="shared" si="49"/>
        <v/>
      </c>
      <c r="I232" s="36" t="str">
        <f t="shared" si="50"/>
        <v/>
      </c>
      <c r="J232" s="36" t="str">
        <f t="shared" si="51"/>
        <v/>
      </c>
      <c r="K232" s="36" t="str">
        <f>IF(C232=1,IF(OR('KT THAN'!$D$36&lt;=0,$K$13&lt;=0,$K$15&lt;=0),0,$K$13*$K$8*$K$12/(TAN(RADIANS(I232))*$K$15)/1000),"")</f>
        <v/>
      </c>
      <c r="L232" s="36" t="str">
        <f t="shared" si="52"/>
        <v/>
      </c>
      <c r="M232" s="36">
        <f t="shared" si="53"/>
        <v>0</v>
      </c>
      <c r="N232" s="36" t="str">
        <f t="shared" si="54"/>
        <v/>
      </c>
      <c r="O232" s="36" t="str">
        <f t="shared" si="55"/>
        <v/>
      </c>
      <c r="P232" s="36" t="str">
        <f t="shared" si="56"/>
        <v/>
      </c>
      <c r="Q232" s="36" t="str">
        <f>IF(C232=1,IF('KT THAN'!$D$36&lt;=0,"KHÔNG YÊU CẦU",IF($K$15&lt;=P232,"ĐẠT","KHÔNG ĐẠT")),"")</f>
        <v/>
      </c>
      <c r="R232" s="36" t="str">
        <f t="shared" si="57"/>
        <v/>
      </c>
    </row>
    <row r="233" spans="1:18" hidden="1" outlineLevel="1" x14ac:dyDescent="0.3">
      <c r="A233" s="36" t="str">
        <f t="shared" si="46"/>
        <v/>
      </c>
      <c r="B233" s="36" t="str">
        <f>IF('TO HOP NLAN'!$A164="","",'TO HOP NLAN'!$A164)</f>
        <v/>
      </c>
      <c r="C233" s="36">
        <f t="shared" si="47"/>
        <v>0</v>
      </c>
      <c r="D233" s="36" t="str">
        <f>IF(C233=1,-'TO HOP NLAN'!$I164,"")</f>
        <v/>
      </c>
      <c r="E233" s="36" t="str">
        <f>IF(C233=1,ABS('TO HOP NLAN'!$K164),"")</f>
        <v/>
      </c>
      <c r="F233" s="36" t="str">
        <f>IF(C233=1,ABS('TO HOP NLAN'!$G164),"")</f>
        <v/>
      </c>
      <c r="G233" s="36" t="str">
        <f t="shared" si="48"/>
        <v/>
      </c>
      <c r="H233" s="36" t="str">
        <f t="shared" si="49"/>
        <v/>
      </c>
      <c r="I233" s="36" t="str">
        <f t="shared" si="50"/>
        <v/>
      </c>
      <c r="J233" s="36" t="str">
        <f t="shared" si="51"/>
        <v/>
      </c>
      <c r="K233" s="36" t="str">
        <f>IF(C233=1,IF(OR('KT THAN'!$D$36&lt;=0,$K$13&lt;=0,$K$15&lt;=0),0,$K$13*$K$8*$K$12/(TAN(RADIANS(I233))*$K$15)/1000),"")</f>
        <v/>
      </c>
      <c r="L233" s="36" t="str">
        <f t="shared" si="52"/>
        <v/>
      </c>
      <c r="M233" s="36">
        <f t="shared" si="53"/>
        <v>0</v>
      </c>
      <c r="N233" s="36" t="str">
        <f t="shared" si="54"/>
        <v/>
      </c>
      <c r="O233" s="36" t="str">
        <f t="shared" si="55"/>
        <v/>
      </c>
      <c r="P233" s="36" t="str">
        <f t="shared" si="56"/>
        <v/>
      </c>
      <c r="Q233" s="36" t="str">
        <f>IF(C233=1,IF('KT THAN'!$D$36&lt;=0,"KHÔNG YÊU CẦU",IF($K$15&lt;=P233,"ĐẠT","KHÔNG ĐẠT")),"")</f>
        <v/>
      </c>
      <c r="R233" s="36" t="str">
        <f t="shared" si="57"/>
        <v/>
      </c>
    </row>
    <row r="234" spans="1:18" hidden="1" outlineLevel="1" x14ac:dyDescent="0.3">
      <c r="A234" s="36" t="str">
        <f t="shared" si="46"/>
        <v/>
      </c>
      <c r="B234" s="36" t="str">
        <f>IF('TO HOP NLAN'!$A165="","",'TO HOP NLAN'!$A165)</f>
        <v/>
      </c>
      <c r="C234" s="36">
        <f t="shared" si="47"/>
        <v>0</v>
      </c>
      <c r="D234" s="36" t="str">
        <f>IF(C234=1,-'TO HOP NLAN'!$I165,"")</f>
        <v/>
      </c>
      <c r="E234" s="36" t="str">
        <f>IF(C234=1,ABS('TO HOP NLAN'!$K165),"")</f>
        <v/>
      </c>
      <c r="F234" s="36" t="str">
        <f>IF(C234=1,ABS('TO HOP NLAN'!$G165),"")</f>
        <v/>
      </c>
      <c r="G234" s="36" t="str">
        <f t="shared" si="48"/>
        <v/>
      </c>
      <c r="H234" s="36" t="str">
        <f t="shared" si="49"/>
        <v/>
      </c>
      <c r="I234" s="36" t="str">
        <f t="shared" si="50"/>
        <v/>
      </c>
      <c r="J234" s="36" t="str">
        <f t="shared" si="51"/>
        <v/>
      </c>
      <c r="K234" s="36" t="str">
        <f>IF(C234=1,IF(OR('KT THAN'!$D$36&lt;=0,$K$13&lt;=0,$K$15&lt;=0),0,$K$13*$K$8*$K$12/(TAN(RADIANS(I234))*$K$15)/1000),"")</f>
        <v/>
      </c>
      <c r="L234" s="36" t="str">
        <f t="shared" si="52"/>
        <v/>
      </c>
      <c r="M234" s="36">
        <f t="shared" si="53"/>
        <v>0</v>
      </c>
      <c r="N234" s="36" t="str">
        <f t="shared" si="54"/>
        <v/>
      </c>
      <c r="O234" s="36" t="str">
        <f t="shared" si="55"/>
        <v/>
      </c>
      <c r="P234" s="36" t="str">
        <f t="shared" si="56"/>
        <v/>
      </c>
      <c r="Q234" s="36" t="str">
        <f>IF(C234=1,IF('KT THAN'!$D$36&lt;=0,"KHÔNG YÊU CẦU",IF($K$15&lt;=P234,"ĐẠT","KHÔNG ĐẠT")),"")</f>
        <v/>
      </c>
      <c r="R234" s="36" t="str">
        <f t="shared" si="57"/>
        <v/>
      </c>
    </row>
    <row r="235" spans="1:18" hidden="1" outlineLevel="1" x14ac:dyDescent="0.3">
      <c r="A235" s="36" t="str">
        <f t="shared" si="46"/>
        <v/>
      </c>
      <c r="B235" s="36" t="str">
        <f>IF('TO HOP NLAN'!$A166="","",'TO HOP NLAN'!$A166)</f>
        <v/>
      </c>
      <c r="C235" s="36">
        <f t="shared" si="47"/>
        <v>0</v>
      </c>
      <c r="D235" s="36" t="str">
        <f>IF(C235=1,-'TO HOP NLAN'!$I166,"")</f>
        <v/>
      </c>
      <c r="E235" s="36" t="str">
        <f>IF(C235=1,ABS('TO HOP NLAN'!$K166),"")</f>
        <v/>
      </c>
      <c r="F235" s="36" t="str">
        <f>IF(C235=1,ABS('TO HOP NLAN'!$G166),"")</f>
        <v/>
      </c>
      <c r="G235" s="36" t="str">
        <f t="shared" si="48"/>
        <v/>
      </c>
      <c r="H235" s="36" t="str">
        <f t="shared" si="49"/>
        <v/>
      </c>
      <c r="I235" s="36" t="str">
        <f t="shared" si="50"/>
        <v/>
      </c>
      <c r="J235" s="36" t="str">
        <f t="shared" si="51"/>
        <v/>
      </c>
      <c r="K235" s="36" t="str">
        <f>IF(C235=1,IF(OR('KT THAN'!$D$36&lt;=0,$K$13&lt;=0,$K$15&lt;=0),0,$K$13*$K$8*$K$12/(TAN(RADIANS(I235))*$K$15)/1000),"")</f>
        <v/>
      </c>
      <c r="L235" s="36" t="str">
        <f t="shared" si="52"/>
        <v/>
      </c>
      <c r="M235" s="36">
        <f t="shared" si="53"/>
        <v>0</v>
      </c>
      <c r="N235" s="36" t="str">
        <f t="shared" si="54"/>
        <v/>
      </c>
      <c r="O235" s="36" t="str">
        <f t="shared" si="55"/>
        <v/>
      </c>
      <c r="P235" s="36" t="str">
        <f t="shared" si="56"/>
        <v/>
      </c>
      <c r="Q235" s="36" t="str">
        <f>IF(C235=1,IF('KT THAN'!$D$36&lt;=0,"KHÔNG YÊU CẦU",IF($K$15&lt;=P235,"ĐẠT","KHÔNG ĐẠT")),"")</f>
        <v/>
      </c>
      <c r="R235" s="36" t="str">
        <f t="shared" si="57"/>
        <v/>
      </c>
    </row>
    <row r="236" spans="1:18" hidden="1" outlineLevel="1" x14ac:dyDescent="0.3">
      <c r="A236" s="36" t="str">
        <f t="shared" si="46"/>
        <v/>
      </c>
      <c r="B236" s="36" t="str">
        <f>IF('TO HOP NLAN'!$A167="","",'TO HOP NLAN'!$A167)</f>
        <v/>
      </c>
      <c r="C236" s="36">
        <f t="shared" si="47"/>
        <v>0</v>
      </c>
      <c r="D236" s="36" t="str">
        <f>IF(C236=1,-'TO HOP NLAN'!$I167,"")</f>
        <v/>
      </c>
      <c r="E236" s="36" t="str">
        <f>IF(C236=1,ABS('TO HOP NLAN'!$K167),"")</f>
        <v/>
      </c>
      <c r="F236" s="36" t="str">
        <f>IF(C236=1,ABS('TO HOP NLAN'!$G167),"")</f>
        <v/>
      </c>
      <c r="G236" s="36" t="str">
        <f t="shared" si="48"/>
        <v/>
      </c>
      <c r="H236" s="36" t="str">
        <f t="shared" si="49"/>
        <v/>
      </c>
      <c r="I236" s="36" t="str">
        <f t="shared" si="50"/>
        <v/>
      </c>
      <c r="J236" s="36" t="str">
        <f t="shared" si="51"/>
        <v/>
      </c>
      <c r="K236" s="36" t="str">
        <f>IF(C236=1,IF(OR('KT THAN'!$D$36&lt;=0,$K$13&lt;=0,$K$15&lt;=0),0,$K$13*$K$8*$K$12/(TAN(RADIANS(I236))*$K$15)/1000),"")</f>
        <v/>
      </c>
      <c r="L236" s="36" t="str">
        <f t="shared" si="52"/>
        <v/>
      </c>
      <c r="M236" s="36">
        <f t="shared" si="53"/>
        <v>0</v>
      </c>
      <c r="N236" s="36" t="str">
        <f t="shared" si="54"/>
        <v/>
      </c>
      <c r="O236" s="36" t="str">
        <f t="shared" si="55"/>
        <v/>
      </c>
      <c r="P236" s="36" t="str">
        <f t="shared" si="56"/>
        <v/>
      </c>
      <c r="Q236" s="36" t="str">
        <f>IF(C236=1,IF('KT THAN'!$D$36&lt;=0,"KHÔNG YÊU CẦU",IF($K$15&lt;=P236,"ĐẠT","KHÔNG ĐẠT")),"")</f>
        <v/>
      </c>
      <c r="R236" s="36" t="str">
        <f t="shared" si="57"/>
        <v/>
      </c>
    </row>
    <row r="237" spans="1:18" hidden="1" outlineLevel="1" x14ac:dyDescent="0.3">
      <c r="A237" s="36" t="str">
        <f t="shared" si="46"/>
        <v/>
      </c>
      <c r="B237" s="36" t="str">
        <f>IF('TO HOP NLAN'!$A168="","",'TO HOP NLAN'!$A168)</f>
        <v/>
      </c>
      <c r="C237" s="36">
        <f t="shared" si="47"/>
        <v>0</v>
      </c>
      <c r="D237" s="36" t="str">
        <f>IF(C237=1,-'TO HOP NLAN'!$I168,"")</f>
        <v/>
      </c>
      <c r="E237" s="36" t="str">
        <f>IF(C237=1,ABS('TO HOP NLAN'!$K168),"")</f>
        <v/>
      </c>
      <c r="F237" s="36" t="str">
        <f>IF(C237=1,ABS('TO HOP NLAN'!$G168),"")</f>
        <v/>
      </c>
      <c r="G237" s="36" t="str">
        <f t="shared" si="48"/>
        <v/>
      </c>
      <c r="H237" s="36" t="str">
        <f t="shared" si="49"/>
        <v/>
      </c>
      <c r="I237" s="36" t="str">
        <f t="shared" si="50"/>
        <v/>
      </c>
      <c r="J237" s="36" t="str">
        <f t="shared" si="51"/>
        <v/>
      </c>
      <c r="K237" s="36" t="str">
        <f>IF(C237=1,IF(OR('KT THAN'!$D$36&lt;=0,$K$13&lt;=0,$K$15&lt;=0),0,$K$13*$K$8*$K$12/(TAN(RADIANS(I237))*$K$15)/1000),"")</f>
        <v/>
      </c>
      <c r="L237" s="36" t="str">
        <f t="shared" si="52"/>
        <v/>
      </c>
      <c r="M237" s="36">
        <f t="shared" si="53"/>
        <v>0</v>
      </c>
      <c r="N237" s="36" t="str">
        <f t="shared" si="54"/>
        <v/>
      </c>
      <c r="O237" s="36" t="str">
        <f t="shared" si="55"/>
        <v/>
      </c>
      <c r="P237" s="36" t="str">
        <f t="shared" si="56"/>
        <v/>
      </c>
      <c r="Q237" s="36" t="str">
        <f>IF(C237=1,IF('KT THAN'!$D$36&lt;=0,"KHÔNG YÊU CẦU",IF($K$15&lt;=P237,"ĐẠT","KHÔNG ĐẠT")),"")</f>
        <v/>
      </c>
      <c r="R237" s="36" t="str">
        <f t="shared" si="57"/>
        <v/>
      </c>
    </row>
    <row r="238" spans="1:18" hidden="1" outlineLevel="1" x14ac:dyDescent="0.3">
      <c r="A238" s="36" t="str">
        <f t="shared" si="46"/>
        <v/>
      </c>
      <c r="B238" s="36" t="str">
        <f>IF('TO HOP NLAN'!$A169="","",'TO HOP NLAN'!$A169)</f>
        <v/>
      </c>
      <c r="C238" s="36">
        <f t="shared" si="47"/>
        <v>0</v>
      </c>
      <c r="D238" s="36" t="str">
        <f>IF(C238=1,-'TO HOP NLAN'!$I169,"")</f>
        <v/>
      </c>
      <c r="E238" s="36" t="str">
        <f>IF(C238=1,ABS('TO HOP NLAN'!$K169),"")</f>
        <v/>
      </c>
      <c r="F238" s="36" t="str">
        <f>IF(C238=1,ABS('TO HOP NLAN'!$G169),"")</f>
        <v/>
      </c>
      <c r="G238" s="36" t="str">
        <f t="shared" si="48"/>
        <v/>
      </c>
      <c r="H238" s="36" t="str">
        <f t="shared" si="49"/>
        <v/>
      </c>
      <c r="I238" s="36" t="str">
        <f t="shared" si="50"/>
        <v/>
      </c>
      <c r="J238" s="36" t="str">
        <f t="shared" si="51"/>
        <v/>
      </c>
      <c r="K238" s="36" t="str">
        <f>IF(C238=1,IF(OR('KT THAN'!$D$36&lt;=0,$K$13&lt;=0,$K$15&lt;=0),0,$K$13*$K$8*$K$12/(TAN(RADIANS(I238))*$K$15)/1000),"")</f>
        <v/>
      </c>
      <c r="L238" s="36" t="str">
        <f t="shared" si="52"/>
        <v/>
      </c>
      <c r="M238" s="36">
        <f t="shared" si="53"/>
        <v>0</v>
      </c>
      <c r="N238" s="36" t="str">
        <f t="shared" si="54"/>
        <v/>
      </c>
      <c r="O238" s="36" t="str">
        <f t="shared" si="55"/>
        <v/>
      </c>
      <c r="P238" s="36" t="str">
        <f t="shared" si="56"/>
        <v/>
      </c>
      <c r="Q238" s="36" t="str">
        <f>IF(C238=1,IF('KT THAN'!$D$36&lt;=0,"KHÔNG YÊU CẦU",IF($K$15&lt;=P238,"ĐẠT","KHÔNG ĐẠT")),"")</f>
        <v/>
      </c>
      <c r="R238" s="36" t="str">
        <f t="shared" si="57"/>
        <v/>
      </c>
    </row>
    <row r="239" spans="1:18" hidden="1" outlineLevel="1" x14ac:dyDescent="0.3">
      <c r="A239" s="36" t="str">
        <f t="shared" si="46"/>
        <v/>
      </c>
      <c r="B239" s="36" t="str">
        <f>IF('TO HOP NLAN'!$A170="","",'TO HOP NLAN'!$A170)</f>
        <v/>
      </c>
      <c r="C239" s="36">
        <f t="shared" si="47"/>
        <v>0</v>
      </c>
      <c r="D239" s="36" t="str">
        <f>IF(C239=1,-'TO HOP NLAN'!$I170,"")</f>
        <v/>
      </c>
      <c r="E239" s="36" t="str">
        <f>IF(C239=1,ABS('TO HOP NLAN'!$K170),"")</f>
        <v/>
      </c>
      <c r="F239" s="36" t="str">
        <f>IF(C239=1,ABS('TO HOP NLAN'!$G170),"")</f>
        <v/>
      </c>
      <c r="G239" s="36" t="str">
        <f t="shared" si="48"/>
        <v/>
      </c>
      <c r="H239" s="36" t="str">
        <f t="shared" si="49"/>
        <v/>
      </c>
      <c r="I239" s="36" t="str">
        <f t="shared" si="50"/>
        <v/>
      </c>
      <c r="J239" s="36" t="str">
        <f t="shared" si="51"/>
        <v/>
      </c>
      <c r="K239" s="36" t="str">
        <f>IF(C239=1,IF(OR('KT THAN'!$D$36&lt;=0,$K$13&lt;=0,$K$15&lt;=0),0,$K$13*$K$8*$K$12/(TAN(RADIANS(I239))*$K$15)/1000),"")</f>
        <v/>
      </c>
      <c r="L239" s="36" t="str">
        <f t="shared" si="52"/>
        <v/>
      </c>
      <c r="M239" s="36">
        <f t="shared" si="53"/>
        <v>0</v>
      </c>
      <c r="N239" s="36" t="str">
        <f t="shared" si="54"/>
        <v/>
      </c>
      <c r="O239" s="36" t="str">
        <f t="shared" si="55"/>
        <v/>
      </c>
      <c r="P239" s="36" t="str">
        <f t="shared" si="56"/>
        <v/>
      </c>
      <c r="Q239" s="36" t="str">
        <f>IF(C239=1,IF('KT THAN'!$D$36&lt;=0,"KHÔNG YÊU CẦU",IF($K$15&lt;=P239,"ĐẠT","KHÔNG ĐẠT")),"")</f>
        <v/>
      </c>
      <c r="R239" s="36" t="str">
        <f t="shared" si="57"/>
        <v/>
      </c>
    </row>
    <row r="240" spans="1:18" hidden="1" outlineLevel="1" x14ac:dyDescent="0.3">
      <c r="A240" s="36" t="str">
        <f t="shared" si="46"/>
        <v/>
      </c>
      <c r="B240" s="36" t="str">
        <f>IF('TO HOP NLAN'!$A171="","",'TO HOP NLAN'!$A171)</f>
        <v/>
      </c>
      <c r="C240" s="36">
        <f t="shared" si="47"/>
        <v>0</v>
      </c>
      <c r="D240" s="36" t="str">
        <f>IF(C240=1,-'TO HOP NLAN'!$I171,"")</f>
        <v/>
      </c>
      <c r="E240" s="36" t="str">
        <f>IF(C240=1,ABS('TO HOP NLAN'!$K171),"")</f>
        <v/>
      </c>
      <c r="F240" s="36" t="str">
        <f>IF(C240=1,ABS('TO HOP NLAN'!$G171),"")</f>
        <v/>
      </c>
      <c r="G240" s="36" t="str">
        <f t="shared" si="48"/>
        <v/>
      </c>
      <c r="H240" s="36" t="str">
        <f t="shared" si="49"/>
        <v/>
      </c>
      <c r="I240" s="36" t="str">
        <f t="shared" si="50"/>
        <v/>
      </c>
      <c r="J240" s="36" t="str">
        <f t="shared" si="51"/>
        <v/>
      </c>
      <c r="K240" s="36" t="str">
        <f>IF(C240=1,IF(OR('KT THAN'!$D$36&lt;=0,$K$13&lt;=0,$K$15&lt;=0),0,$K$13*$K$8*$K$12/(TAN(RADIANS(I240))*$K$15)/1000),"")</f>
        <v/>
      </c>
      <c r="L240" s="36" t="str">
        <f t="shared" si="52"/>
        <v/>
      </c>
      <c r="M240" s="36">
        <f t="shared" si="53"/>
        <v>0</v>
      </c>
      <c r="N240" s="36" t="str">
        <f t="shared" si="54"/>
        <v/>
      </c>
      <c r="O240" s="36" t="str">
        <f t="shared" si="55"/>
        <v/>
      </c>
      <c r="P240" s="36" t="str">
        <f t="shared" si="56"/>
        <v/>
      </c>
      <c r="Q240" s="36" t="str">
        <f>IF(C240=1,IF('KT THAN'!$D$36&lt;=0,"KHÔNG YÊU CẦU",IF($K$15&lt;=P240,"ĐẠT","KHÔNG ĐẠT")),"")</f>
        <v/>
      </c>
      <c r="R240" s="36" t="str">
        <f t="shared" si="57"/>
        <v/>
      </c>
    </row>
    <row r="241" spans="1:18" hidden="1" outlineLevel="1" x14ac:dyDescent="0.3">
      <c r="A241" s="36" t="str">
        <f t="shared" si="46"/>
        <v/>
      </c>
      <c r="B241" s="36" t="str">
        <f>IF('TO HOP NLAN'!$A172="","",'TO HOP NLAN'!$A172)</f>
        <v/>
      </c>
      <c r="C241" s="36">
        <f t="shared" si="47"/>
        <v>0</v>
      </c>
      <c r="D241" s="36" t="str">
        <f>IF(C241=1,-'TO HOP NLAN'!$I172,"")</f>
        <v/>
      </c>
      <c r="E241" s="36" t="str">
        <f>IF(C241=1,ABS('TO HOP NLAN'!$K172),"")</f>
        <v/>
      </c>
      <c r="F241" s="36" t="str">
        <f>IF(C241=1,ABS('TO HOP NLAN'!$G172),"")</f>
        <v/>
      </c>
      <c r="G241" s="36" t="str">
        <f t="shared" si="48"/>
        <v/>
      </c>
      <c r="H241" s="36" t="str">
        <f t="shared" si="49"/>
        <v/>
      </c>
      <c r="I241" s="36" t="str">
        <f t="shared" si="50"/>
        <v/>
      </c>
      <c r="J241" s="36" t="str">
        <f t="shared" si="51"/>
        <v/>
      </c>
      <c r="K241" s="36" t="str">
        <f>IF(C241=1,IF(OR('KT THAN'!$D$36&lt;=0,$K$13&lt;=0,$K$15&lt;=0),0,$K$13*$K$8*$K$12/(TAN(RADIANS(I241))*$K$15)/1000),"")</f>
        <v/>
      </c>
      <c r="L241" s="36" t="str">
        <f t="shared" si="52"/>
        <v/>
      </c>
      <c r="M241" s="36">
        <f t="shared" si="53"/>
        <v>0</v>
      </c>
      <c r="N241" s="36" t="str">
        <f t="shared" si="54"/>
        <v/>
      </c>
      <c r="O241" s="36" t="str">
        <f t="shared" si="55"/>
        <v/>
      </c>
      <c r="P241" s="36" t="str">
        <f t="shared" si="56"/>
        <v/>
      </c>
      <c r="Q241" s="36" t="str">
        <f>IF(C241=1,IF('KT THAN'!$D$36&lt;=0,"KHÔNG YÊU CẦU",IF($K$15&lt;=P241,"ĐẠT","KHÔNG ĐẠT")),"")</f>
        <v/>
      </c>
      <c r="R241" s="36" t="str">
        <f t="shared" si="57"/>
        <v/>
      </c>
    </row>
    <row r="242" spans="1:18" hidden="1" outlineLevel="1" x14ac:dyDescent="0.3">
      <c r="A242" s="36" t="str">
        <f t="shared" si="46"/>
        <v/>
      </c>
      <c r="B242" s="36" t="str">
        <f>IF('TO HOP NLAN'!$A173="","",'TO HOP NLAN'!$A173)</f>
        <v/>
      </c>
      <c r="C242" s="36">
        <f t="shared" si="47"/>
        <v>0</v>
      </c>
      <c r="D242" s="36" t="str">
        <f>IF(C242=1,-'TO HOP NLAN'!$I173,"")</f>
        <v/>
      </c>
      <c r="E242" s="36" t="str">
        <f>IF(C242=1,ABS('TO HOP NLAN'!$K173),"")</f>
        <v/>
      </c>
      <c r="F242" s="36" t="str">
        <f>IF(C242=1,ABS('TO HOP NLAN'!$G173),"")</f>
        <v/>
      </c>
      <c r="G242" s="36" t="str">
        <f t="shared" si="48"/>
        <v/>
      </c>
      <c r="H242" s="36" t="str">
        <f t="shared" si="49"/>
        <v/>
      </c>
      <c r="I242" s="36" t="str">
        <f t="shared" si="50"/>
        <v/>
      </c>
      <c r="J242" s="36" t="str">
        <f t="shared" si="51"/>
        <v/>
      </c>
      <c r="K242" s="36" t="str">
        <f>IF(C242=1,IF(OR('KT THAN'!$D$36&lt;=0,$K$13&lt;=0,$K$15&lt;=0),0,$K$13*$K$8*$K$12/(TAN(RADIANS(I242))*$K$15)/1000),"")</f>
        <v/>
      </c>
      <c r="L242" s="36" t="str">
        <f t="shared" si="52"/>
        <v/>
      </c>
      <c r="M242" s="36">
        <f t="shared" si="53"/>
        <v>0</v>
      </c>
      <c r="N242" s="36" t="str">
        <f t="shared" si="54"/>
        <v/>
      </c>
      <c r="O242" s="36" t="str">
        <f t="shared" si="55"/>
        <v/>
      </c>
      <c r="P242" s="36" t="str">
        <f t="shared" si="56"/>
        <v/>
      </c>
      <c r="Q242" s="36" t="str">
        <f>IF(C242=1,IF('KT THAN'!$D$36&lt;=0,"KHÔNG YÊU CẦU",IF($K$15&lt;=P242,"ĐẠT","KHÔNG ĐẠT")),"")</f>
        <v/>
      </c>
      <c r="R242" s="36" t="str">
        <f t="shared" si="57"/>
        <v/>
      </c>
    </row>
    <row r="243" spans="1:18" hidden="1" outlineLevel="1" x14ac:dyDescent="0.3">
      <c r="A243" s="36" t="str">
        <f t="shared" si="46"/>
        <v/>
      </c>
      <c r="B243" s="36" t="str">
        <f>IF('TO HOP NLAN'!$A174="","",'TO HOP NLAN'!$A174)</f>
        <v/>
      </c>
      <c r="C243" s="36">
        <f t="shared" si="47"/>
        <v>0</v>
      </c>
      <c r="D243" s="36" t="str">
        <f>IF(C243=1,-'TO HOP NLAN'!$I174,"")</f>
        <v/>
      </c>
      <c r="E243" s="36" t="str">
        <f>IF(C243=1,ABS('TO HOP NLAN'!$K174),"")</f>
        <v/>
      </c>
      <c r="F243" s="36" t="str">
        <f>IF(C243=1,ABS('TO HOP NLAN'!$G174),"")</f>
        <v/>
      </c>
      <c r="G243" s="36" t="str">
        <f t="shared" si="48"/>
        <v/>
      </c>
      <c r="H243" s="36" t="str">
        <f t="shared" si="49"/>
        <v/>
      </c>
      <c r="I243" s="36" t="str">
        <f t="shared" si="50"/>
        <v/>
      </c>
      <c r="J243" s="36" t="str">
        <f t="shared" si="51"/>
        <v/>
      </c>
      <c r="K243" s="36" t="str">
        <f>IF(C243=1,IF(OR('KT THAN'!$D$36&lt;=0,$K$13&lt;=0,$K$15&lt;=0),0,$K$13*$K$8*$K$12/(TAN(RADIANS(I243))*$K$15)/1000),"")</f>
        <v/>
      </c>
      <c r="L243" s="36" t="str">
        <f t="shared" si="52"/>
        <v/>
      </c>
      <c r="M243" s="36">
        <f t="shared" si="53"/>
        <v>0</v>
      </c>
      <c r="N243" s="36" t="str">
        <f t="shared" si="54"/>
        <v/>
      </c>
      <c r="O243" s="36" t="str">
        <f t="shared" si="55"/>
        <v/>
      </c>
      <c r="P243" s="36" t="str">
        <f t="shared" si="56"/>
        <v/>
      </c>
      <c r="Q243" s="36" t="str">
        <f>IF(C243=1,IF('KT THAN'!$D$36&lt;=0,"KHÔNG YÊU CẦU",IF($K$15&lt;=P243,"ĐẠT","KHÔNG ĐẠT")),"")</f>
        <v/>
      </c>
      <c r="R243" s="36" t="str">
        <f t="shared" si="57"/>
        <v/>
      </c>
    </row>
    <row r="244" spans="1:18" hidden="1" outlineLevel="1" x14ac:dyDescent="0.3">
      <c r="A244" s="36" t="str">
        <f t="shared" si="46"/>
        <v/>
      </c>
      <c r="B244" s="36" t="str">
        <f>IF('TO HOP NLAN'!$A175="","",'TO HOP NLAN'!$A175)</f>
        <v/>
      </c>
      <c r="C244" s="36">
        <f t="shared" si="47"/>
        <v>0</v>
      </c>
      <c r="D244" s="36" t="str">
        <f>IF(C244=1,-'TO HOP NLAN'!$I175,"")</f>
        <v/>
      </c>
      <c r="E244" s="36" t="str">
        <f>IF(C244=1,ABS('TO HOP NLAN'!$K175),"")</f>
        <v/>
      </c>
      <c r="F244" s="36" t="str">
        <f>IF(C244=1,ABS('TO HOP NLAN'!$G175),"")</f>
        <v/>
      </c>
      <c r="G244" s="36" t="str">
        <f t="shared" si="48"/>
        <v/>
      </c>
      <c r="H244" s="36" t="str">
        <f t="shared" si="49"/>
        <v/>
      </c>
      <c r="I244" s="36" t="str">
        <f t="shared" si="50"/>
        <v/>
      </c>
      <c r="J244" s="36" t="str">
        <f t="shared" si="51"/>
        <v/>
      </c>
      <c r="K244" s="36" t="str">
        <f>IF(C244=1,IF(OR('KT THAN'!$D$36&lt;=0,$K$13&lt;=0,$K$15&lt;=0),0,$K$13*$K$8*$K$12/(TAN(RADIANS(I244))*$K$15)/1000),"")</f>
        <v/>
      </c>
      <c r="L244" s="36" t="str">
        <f t="shared" si="52"/>
        <v/>
      </c>
      <c r="M244" s="36">
        <f t="shared" si="53"/>
        <v>0</v>
      </c>
      <c r="N244" s="36" t="str">
        <f t="shared" si="54"/>
        <v/>
      </c>
      <c r="O244" s="36" t="str">
        <f t="shared" si="55"/>
        <v/>
      </c>
      <c r="P244" s="36" t="str">
        <f t="shared" si="56"/>
        <v/>
      </c>
      <c r="Q244" s="36" t="str">
        <f>IF(C244=1,IF('KT THAN'!$D$36&lt;=0,"KHÔNG YÊU CẦU",IF($K$15&lt;=P244,"ĐẠT","KHÔNG ĐẠT")),"")</f>
        <v/>
      </c>
      <c r="R244" s="36" t="str">
        <f t="shared" si="57"/>
        <v/>
      </c>
    </row>
    <row r="245" spans="1:18" hidden="1" outlineLevel="1" x14ac:dyDescent="0.3">
      <c r="A245" s="36" t="str">
        <f t="shared" si="46"/>
        <v/>
      </c>
      <c r="B245" s="36" t="str">
        <f>IF('TO HOP NLAN'!$A176="","",'TO HOP NLAN'!$A176)</f>
        <v/>
      </c>
      <c r="C245" s="36">
        <f t="shared" si="47"/>
        <v>0</v>
      </c>
      <c r="D245" s="36" t="str">
        <f>IF(C245=1,-'TO HOP NLAN'!$I176,"")</f>
        <v/>
      </c>
      <c r="E245" s="36" t="str">
        <f>IF(C245=1,ABS('TO HOP NLAN'!$K176),"")</f>
        <v/>
      </c>
      <c r="F245" s="36" t="str">
        <f>IF(C245=1,ABS('TO HOP NLAN'!$G176),"")</f>
        <v/>
      </c>
      <c r="G245" s="36" t="str">
        <f t="shared" si="48"/>
        <v/>
      </c>
      <c r="H245" s="36" t="str">
        <f t="shared" si="49"/>
        <v/>
      </c>
      <c r="I245" s="36" t="str">
        <f t="shared" si="50"/>
        <v/>
      </c>
      <c r="J245" s="36" t="str">
        <f t="shared" si="51"/>
        <v/>
      </c>
      <c r="K245" s="36" t="str">
        <f>IF(C245=1,IF(OR('KT THAN'!$D$36&lt;=0,$K$13&lt;=0,$K$15&lt;=0),0,$K$13*$K$8*$K$12/(TAN(RADIANS(I245))*$K$15)/1000),"")</f>
        <v/>
      </c>
      <c r="L245" s="36" t="str">
        <f t="shared" si="52"/>
        <v/>
      </c>
      <c r="M245" s="36">
        <f t="shared" si="53"/>
        <v>0</v>
      </c>
      <c r="N245" s="36" t="str">
        <f t="shared" si="54"/>
        <v/>
      </c>
      <c r="O245" s="36" t="str">
        <f t="shared" si="55"/>
        <v/>
      </c>
      <c r="P245" s="36" t="str">
        <f t="shared" si="56"/>
        <v/>
      </c>
      <c r="Q245" s="36" t="str">
        <f>IF(C245=1,IF('KT THAN'!$D$36&lt;=0,"KHÔNG YÊU CẦU",IF($K$15&lt;=P245,"ĐẠT","KHÔNG ĐẠT")),"")</f>
        <v/>
      </c>
      <c r="R245" s="36" t="str">
        <f t="shared" si="57"/>
        <v/>
      </c>
    </row>
    <row r="246" spans="1:18" hidden="1" outlineLevel="1" x14ac:dyDescent="0.3">
      <c r="A246" s="36" t="str">
        <f t="shared" si="46"/>
        <v/>
      </c>
      <c r="B246" s="36" t="str">
        <f>IF('TO HOP NLAN'!$A177="","",'TO HOP NLAN'!$A177)</f>
        <v/>
      </c>
      <c r="C246" s="36">
        <f t="shared" si="47"/>
        <v>0</v>
      </c>
      <c r="D246" s="36" t="str">
        <f>IF(C246=1,-'TO HOP NLAN'!$I177,"")</f>
        <v/>
      </c>
      <c r="E246" s="36" t="str">
        <f>IF(C246=1,ABS('TO HOP NLAN'!$K177),"")</f>
        <v/>
      </c>
      <c r="F246" s="36" t="str">
        <f>IF(C246=1,ABS('TO HOP NLAN'!$G177),"")</f>
        <v/>
      </c>
      <c r="G246" s="36" t="str">
        <f t="shared" si="48"/>
        <v/>
      </c>
      <c r="H246" s="36" t="str">
        <f t="shared" si="49"/>
        <v/>
      </c>
      <c r="I246" s="36" t="str">
        <f t="shared" si="50"/>
        <v/>
      </c>
      <c r="J246" s="36" t="str">
        <f t="shared" si="51"/>
        <v/>
      </c>
      <c r="K246" s="36" t="str">
        <f>IF(C246=1,IF(OR('KT THAN'!$D$36&lt;=0,$K$13&lt;=0,$K$15&lt;=0),0,$K$13*$K$8*$K$12/(TAN(RADIANS(I246))*$K$15)/1000),"")</f>
        <v/>
      </c>
      <c r="L246" s="36" t="str">
        <f t="shared" si="52"/>
        <v/>
      </c>
      <c r="M246" s="36">
        <f t="shared" si="53"/>
        <v>0</v>
      </c>
      <c r="N246" s="36" t="str">
        <f t="shared" si="54"/>
        <v/>
      </c>
      <c r="O246" s="36" t="str">
        <f t="shared" si="55"/>
        <v/>
      </c>
      <c r="P246" s="36" t="str">
        <f t="shared" si="56"/>
        <v/>
      </c>
      <c r="Q246" s="36" t="str">
        <f>IF(C246=1,IF('KT THAN'!$D$36&lt;=0,"KHÔNG YÊU CẦU",IF($K$15&lt;=P246,"ĐẠT","KHÔNG ĐẠT")),"")</f>
        <v/>
      </c>
      <c r="R246" s="36" t="str">
        <f t="shared" si="57"/>
        <v/>
      </c>
    </row>
    <row r="247" spans="1:18" hidden="1" outlineLevel="1" x14ac:dyDescent="0.3">
      <c r="A247" s="36" t="str">
        <f t="shared" si="46"/>
        <v/>
      </c>
      <c r="B247" s="36" t="str">
        <f>IF('TO HOP NLAN'!$A178="","",'TO HOP NLAN'!$A178)</f>
        <v/>
      </c>
      <c r="C247" s="36">
        <f t="shared" si="47"/>
        <v>0</v>
      </c>
      <c r="D247" s="36" t="str">
        <f>IF(C247=1,-'TO HOP NLAN'!$I178,"")</f>
        <v/>
      </c>
      <c r="E247" s="36" t="str">
        <f>IF(C247=1,ABS('TO HOP NLAN'!$K178),"")</f>
        <v/>
      </c>
      <c r="F247" s="36" t="str">
        <f>IF(C247=1,ABS('TO HOP NLAN'!$G178),"")</f>
        <v/>
      </c>
      <c r="G247" s="36" t="str">
        <f t="shared" si="48"/>
        <v/>
      </c>
      <c r="H247" s="36" t="str">
        <f t="shared" si="49"/>
        <v/>
      </c>
      <c r="I247" s="36" t="str">
        <f t="shared" si="50"/>
        <v/>
      </c>
      <c r="J247" s="36" t="str">
        <f t="shared" si="51"/>
        <v/>
      </c>
      <c r="K247" s="36" t="str">
        <f>IF(C247=1,IF(OR('KT THAN'!$D$36&lt;=0,$K$13&lt;=0,$K$15&lt;=0),0,$K$13*$K$8*$K$12/(TAN(RADIANS(I247))*$K$15)/1000),"")</f>
        <v/>
      </c>
      <c r="L247" s="36" t="str">
        <f t="shared" si="52"/>
        <v/>
      </c>
      <c r="M247" s="36">
        <f t="shared" si="53"/>
        <v>0</v>
      </c>
      <c r="N247" s="36" t="str">
        <f t="shared" si="54"/>
        <v/>
      </c>
      <c r="O247" s="36" t="str">
        <f t="shared" si="55"/>
        <v/>
      </c>
      <c r="P247" s="36" t="str">
        <f t="shared" si="56"/>
        <v/>
      </c>
      <c r="Q247" s="36" t="str">
        <f>IF(C247=1,IF('KT THAN'!$D$36&lt;=0,"KHÔNG YÊU CẦU",IF($K$15&lt;=P247,"ĐẠT","KHÔNG ĐẠT")),"")</f>
        <v/>
      </c>
      <c r="R247" s="36" t="str">
        <f t="shared" si="57"/>
        <v/>
      </c>
    </row>
    <row r="248" spans="1:18" hidden="1" outlineLevel="1" x14ac:dyDescent="0.3">
      <c r="A248" s="36" t="str">
        <f t="shared" si="46"/>
        <v/>
      </c>
      <c r="B248" s="36" t="str">
        <f>IF('TO HOP NLAN'!$A179="","",'TO HOP NLAN'!$A179)</f>
        <v/>
      </c>
      <c r="C248" s="36">
        <f t="shared" si="47"/>
        <v>0</v>
      </c>
      <c r="D248" s="36" t="str">
        <f>IF(C248=1,-'TO HOP NLAN'!$I179,"")</f>
        <v/>
      </c>
      <c r="E248" s="36" t="str">
        <f>IF(C248=1,ABS('TO HOP NLAN'!$K179),"")</f>
        <v/>
      </c>
      <c r="F248" s="36" t="str">
        <f>IF(C248=1,ABS('TO HOP NLAN'!$G179),"")</f>
        <v/>
      </c>
      <c r="G248" s="36" t="str">
        <f t="shared" si="48"/>
        <v/>
      </c>
      <c r="H248" s="36" t="str">
        <f t="shared" si="49"/>
        <v/>
      </c>
      <c r="I248" s="36" t="str">
        <f t="shared" si="50"/>
        <v/>
      </c>
      <c r="J248" s="36" t="str">
        <f t="shared" si="51"/>
        <v/>
      </c>
      <c r="K248" s="36" t="str">
        <f>IF(C248=1,IF(OR('KT THAN'!$D$36&lt;=0,$K$13&lt;=0,$K$15&lt;=0),0,$K$13*$K$8*$K$12/(TAN(RADIANS(I248))*$K$15)/1000),"")</f>
        <v/>
      </c>
      <c r="L248" s="36" t="str">
        <f t="shared" si="52"/>
        <v/>
      </c>
      <c r="M248" s="36">
        <f t="shared" si="53"/>
        <v>0</v>
      </c>
      <c r="N248" s="36" t="str">
        <f t="shared" si="54"/>
        <v/>
      </c>
      <c r="O248" s="36" t="str">
        <f t="shared" si="55"/>
        <v/>
      </c>
      <c r="P248" s="36" t="str">
        <f t="shared" si="56"/>
        <v/>
      </c>
      <c r="Q248" s="36" t="str">
        <f>IF(C248=1,IF('KT THAN'!$D$36&lt;=0,"KHÔNG YÊU CẦU",IF($K$15&lt;=P248,"ĐẠT","KHÔNG ĐẠT")),"")</f>
        <v/>
      </c>
      <c r="R248" s="36" t="str">
        <f t="shared" si="57"/>
        <v/>
      </c>
    </row>
    <row r="249" spans="1:18" hidden="1" outlineLevel="1" x14ac:dyDescent="0.3">
      <c r="A249" s="36" t="str">
        <f t="shared" si="46"/>
        <v/>
      </c>
      <c r="B249" s="36" t="str">
        <f>IF('TO HOP NLAN'!$A180="","",'TO HOP NLAN'!$A180)</f>
        <v/>
      </c>
      <c r="C249" s="36">
        <f t="shared" si="47"/>
        <v>0</v>
      </c>
      <c r="D249" s="36" t="str">
        <f>IF(C249=1,-'TO HOP NLAN'!$I180,"")</f>
        <v/>
      </c>
      <c r="E249" s="36" t="str">
        <f>IF(C249=1,ABS('TO HOP NLAN'!$K180),"")</f>
        <v/>
      </c>
      <c r="F249" s="36" t="str">
        <f>IF(C249=1,ABS('TO HOP NLAN'!$G180),"")</f>
        <v/>
      </c>
      <c r="G249" s="36" t="str">
        <f t="shared" si="48"/>
        <v/>
      </c>
      <c r="H249" s="36" t="str">
        <f t="shared" si="49"/>
        <v/>
      </c>
      <c r="I249" s="36" t="str">
        <f t="shared" si="50"/>
        <v/>
      </c>
      <c r="J249" s="36" t="str">
        <f t="shared" si="51"/>
        <v/>
      </c>
      <c r="K249" s="36" t="str">
        <f>IF(C249=1,IF(OR('KT THAN'!$D$36&lt;=0,$K$13&lt;=0,$K$15&lt;=0),0,$K$13*$K$8*$K$12/(TAN(RADIANS(I249))*$K$15)/1000),"")</f>
        <v/>
      </c>
      <c r="L249" s="36" t="str">
        <f t="shared" si="52"/>
        <v/>
      </c>
      <c r="M249" s="36">
        <f t="shared" si="53"/>
        <v>0</v>
      </c>
      <c r="N249" s="36" t="str">
        <f t="shared" si="54"/>
        <v/>
      </c>
      <c r="O249" s="36" t="str">
        <f t="shared" si="55"/>
        <v/>
      </c>
      <c r="P249" s="36" t="str">
        <f t="shared" si="56"/>
        <v/>
      </c>
      <c r="Q249" s="36" t="str">
        <f>IF(C249=1,IF('KT THAN'!$D$36&lt;=0,"KHÔNG YÊU CẦU",IF($K$15&lt;=P249,"ĐẠT","KHÔNG ĐẠT")),"")</f>
        <v/>
      </c>
      <c r="R249" s="36" t="str">
        <f t="shared" si="57"/>
        <v/>
      </c>
    </row>
    <row r="250" spans="1:18" hidden="1" outlineLevel="1" x14ac:dyDescent="0.3">
      <c r="A250" s="36" t="str">
        <f t="shared" si="46"/>
        <v/>
      </c>
      <c r="B250" s="36" t="str">
        <f>IF('TO HOP NLAN'!$A181="","",'TO HOP NLAN'!$A181)</f>
        <v/>
      </c>
      <c r="C250" s="36">
        <f t="shared" si="47"/>
        <v>0</v>
      </c>
      <c r="D250" s="36" t="str">
        <f>IF(C250=1,-'TO HOP NLAN'!$I181,"")</f>
        <v/>
      </c>
      <c r="E250" s="36" t="str">
        <f>IF(C250=1,ABS('TO HOP NLAN'!$K181),"")</f>
        <v/>
      </c>
      <c r="F250" s="36" t="str">
        <f>IF(C250=1,ABS('TO HOP NLAN'!$G181),"")</f>
        <v/>
      </c>
      <c r="G250" s="36" t="str">
        <f t="shared" si="48"/>
        <v/>
      </c>
      <c r="H250" s="36" t="str">
        <f t="shared" si="49"/>
        <v/>
      </c>
      <c r="I250" s="36" t="str">
        <f t="shared" si="50"/>
        <v/>
      </c>
      <c r="J250" s="36" t="str">
        <f t="shared" si="51"/>
        <v/>
      </c>
      <c r="K250" s="36" t="str">
        <f>IF(C250=1,IF(OR('KT THAN'!$D$36&lt;=0,$K$13&lt;=0,$K$15&lt;=0),0,$K$13*$K$8*$K$12/(TAN(RADIANS(I250))*$K$15)/1000),"")</f>
        <v/>
      </c>
      <c r="L250" s="36" t="str">
        <f t="shared" si="52"/>
        <v/>
      </c>
      <c r="M250" s="36">
        <f t="shared" si="53"/>
        <v>0</v>
      </c>
      <c r="N250" s="36" t="str">
        <f t="shared" si="54"/>
        <v/>
      </c>
      <c r="O250" s="36" t="str">
        <f t="shared" si="55"/>
        <v/>
      </c>
      <c r="P250" s="36" t="str">
        <f t="shared" si="56"/>
        <v/>
      </c>
      <c r="Q250" s="36" t="str">
        <f>IF(C250=1,IF('KT THAN'!$D$36&lt;=0,"KHÔNG YÊU CẦU",IF($K$15&lt;=P250,"ĐẠT","KHÔNG ĐẠT")),"")</f>
        <v/>
      </c>
      <c r="R250" s="36" t="str">
        <f t="shared" si="57"/>
        <v/>
      </c>
    </row>
    <row r="251" spans="1:18" hidden="1" outlineLevel="1" x14ac:dyDescent="0.3">
      <c r="A251" s="36" t="str">
        <f t="shared" si="46"/>
        <v/>
      </c>
      <c r="B251" s="36" t="str">
        <f>IF('TO HOP NLAN'!$A182="","",'TO HOP NLAN'!$A182)</f>
        <v/>
      </c>
      <c r="C251" s="36">
        <f t="shared" si="47"/>
        <v>0</v>
      </c>
      <c r="D251" s="36" t="str">
        <f>IF(C251=1,-'TO HOP NLAN'!$I182,"")</f>
        <v/>
      </c>
      <c r="E251" s="36" t="str">
        <f>IF(C251=1,ABS('TO HOP NLAN'!$K182),"")</f>
        <v/>
      </c>
      <c r="F251" s="36" t="str">
        <f>IF(C251=1,ABS('TO HOP NLAN'!$G182),"")</f>
        <v/>
      </c>
      <c r="G251" s="36" t="str">
        <f t="shared" si="48"/>
        <v/>
      </c>
      <c r="H251" s="36" t="str">
        <f t="shared" si="49"/>
        <v/>
      </c>
      <c r="I251" s="36" t="str">
        <f t="shared" si="50"/>
        <v/>
      </c>
      <c r="J251" s="36" t="str">
        <f t="shared" si="51"/>
        <v/>
      </c>
      <c r="K251" s="36" t="str">
        <f>IF(C251=1,IF(OR('KT THAN'!$D$36&lt;=0,$K$13&lt;=0,$K$15&lt;=0),0,$K$13*$K$8*$K$12/(TAN(RADIANS(I251))*$K$15)/1000),"")</f>
        <v/>
      </c>
      <c r="L251" s="36" t="str">
        <f t="shared" si="52"/>
        <v/>
      </c>
      <c r="M251" s="36">
        <f t="shared" si="53"/>
        <v>0</v>
      </c>
      <c r="N251" s="36" t="str">
        <f t="shared" si="54"/>
        <v/>
      </c>
      <c r="O251" s="36" t="str">
        <f t="shared" si="55"/>
        <v/>
      </c>
      <c r="P251" s="36" t="str">
        <f t="shared" si="56"/>
        <v/>
      </c>
      <c r="Q251" s="36" t="str">
        <f>IF(C251=1,IF('KT THAN'!$D$36&lt;=0,"KHÔNG YÊU CẦU",IF($K$15&lt;=P251,"ĐẠT","KHÔNG ĐẠT")),"")</f>
        <v/>
      </c>
      <c r="R251" s="36" t="str">
        <f t="shared" si="57"/>
        <v/>
      </c>
    </row>
    <row r="252" spans="1:18" hidden="1" outlineLevel="1" x14ac:dyDescent="0.3">
      <c r="A252" s="36" t="str">
        <f t="shared" si="46"/>
        <v/>
      </c>
      <c r="B252" s="36" t="str">
        <f>IF('TO HOP NLAN'!$A183="","",'TO HOP NLAN'!$A183)</f>
        <v/>
      </c>
      <c r="C252" s="36">
        <f t="shared" si="47"/>
        <v>0</v>
      </c>
      <c r="D252" s="36" t="str">
        <f>IF(C252=1,-'TO HOP NLAN'!$I183,"")</f>
        <v/>
      </c>
      <c r="E252" s="36" t="str">
        <f>IF(C252=1,ABS('TO HOP NLAN'!$K183),"")</f>
        <v/>
      </c>
      <c r="F252" s="36" t="str">
        <f>IF(C252=1,ABS('TO HOP NLAN'!$G183),"")</f>
        <v/>
      </c>
      <c r="G252" s="36" t="str">
        <f t="shared" si="48"/>
        <v/>
      </c>
      <c r="H252" s="36" t="str">
        <f t="shared" si="49"/>
        <v/>
      </c>
      <c r="I252" s="36" t="str">
        <f t="shared" si="50"/>
        <v/>
      </c>
      <c r="J252" s="36" t="str">
        <f t="shared" si="51"/>
        <v/>
      </c>
      <c r="K252" s="36" t="str">
        <f>IF(C252=1,IF(OR('KT THAN'!$D$36&lt;=0,$K$13&lt;=0,$K$15&lt;=0),0,$K$13*$K$8*$K$12/(TAN(RADIANS(I252))*$K$15)/1000),"")</f>
        <v/>
      </c>
      <c r="L252" s="36" t="str">
        <f t="shared" si="52"/>
        <v/>
      </c>
      <c r="M252" s="36">
        <f t="shared" si="53"/>
        <v>0</v>
      </c>
      <c r="N252" s="36" t="str">
        <f t="shared" si="54"/>
        <v/>
      </c>
      <c r="O252" s="36" t="str">
        <f t="shared" si="55"/>
        <v/>
      </c>
      <c r="P252" s="36" t="str">
        <f t="shared" si="56"/>
        <v/>
      </c>
      <c r="Q252" s="36" t="str">
        <f>IF(C252=1,IF('KT THAN'!$D$36&lt;=0,"KHÔNG YÊU CẦU",IF($K$15&lt;=P252,"ĐẠT","KHÔNG ĐẠT")),"")</f>
        <v/>
      </c>
      <c r="R252" s="36" t="str">
        <f t="shared" si="57"/>
        <v/>
      </c>
    </row>
    <row r="253" spans="1:18" hidden="1" outlineLevel="1" x14ac:dyDescent="0.3">
      <c r="A253" s="36" t="str">
        <f t="shared" si="46"/>
        <v/>
      </c>
      <c r="B253" s="36" t="str">
        <f>IF('TO HOP NLAN'!$A184="","",'TO HOP NLAN'!$A184)</f>
        <v/>
      </c>
      <c r="C253" s="36">
        <f t="shared" si="47"/>
        <v>0</v>
      </c>
      <c r="D253" s="36" t="str">
        <f>IF(C253=1,-'TO HOP NLAN'!$I184,"")</f>
        <v/>
      </c>
      <c r="E253" s="36" t="str">
        <f>IF(C253=1,ABS('TO HOP NLAN'!$K184),"")</f>
        <v/>
      </c>
      <c r="F253" s="36" t="str">
        <f>IF(C253=1,ABS('TO HOP NLAN'!$G184),"")</f>
        <v/>
      </c>
      <c r="G253" s="36" t="str">
        <f t="shared" si="48"/>
        <v/>
      </c>
      <c r="H253" s="36" t="str">
        <f t="shared" si="49"/>
        <v/>
      </c>
      <c r="I253" s="36" t="str">
        <f t="shared" si="50"/>
        <v/>
      </c>
      <c r="J253" s="36" t="str">
        <f t="shared" si="51"/>
        <v/>
      </c>
      <c r="K253" s="36" t="str">
        <f>IF(C253=1,IF(OR('KT THAN'!$D$36&lt;=0,$K$13&lt;=0,$K$15&lt;=0),0,$K$13*$K$8*$K$12/(TAN(RADIANS(I253))*$K$15)/1000),"")</f>
        <v/>
      </c>
      <c r="L253" s="36" t="str">
        <f t="shared" si="52"/>
        <v/>
      </c>
      <c r="M253" s="36">
        <f t="shared" si="53"/>
        <v>0</v>
      </c>
      <c r="N253" s="36" t="str">
        <f t="shared" si="54"/>
        <v/>
      </c>
      <c r="O253" s="36" t="str">
        <f t="shared" si="55"/>
        <v/>
      </c>
      <c r="P253" s="36" t="str">
        <f t="shared" si="56"/>
        <v/>
      </c>
      <c r="Q253" s="36" t="str">
        <f>IF(C253=1,IF('KT THAN'!$D$36&lt;=0,"KHÔNG YÊU CẦU",IF($K$15&lt;=P253,"ĐẠT","KHÔNG ĐẠT")),"")</f>
        <v/>
      </c>
      <c r="R253" s="36" t="str">
        <f t="shared" si="57"/>
        <v/>
      </c>
    </row>
    <row r="254" spans="1:18" hidden="1" outlineLevel="1" x14ac:dyDescent="0.3">
      <c r="A254" s="36" t="str">
        <f t="shared" si="46"/>
        <v/>
      </c>
      <c r="B254" s="36" t="str">
        <f>IF('TO HOP NLAN'!$A185="","",'TO HOP NLAN'!$A185)</f>
        <v/>
      </c>
      <c r="C254" s="36">
        <f t="shared" si="47"/>
        <v>0</v>
      </c>
      <c r="D254" s="36" t="str">
        <f>IF(C254=1,-'TO HOP NLAN'!$I185,"")</f>
        <v/>
      </c>
      <c r="E254" s="36" t="str">
        <f>IF(C254=1,ABS('TO HOP NLAN'!$K185),"")</f>
        <v/>
      </c>
      <c r="F254" s="36" t="str">
        <f>IF(C254=1,ABS('TO HOP NLAN'!$G185),"")</f>
        <v/>
      </c>
      <c r="G254" s="36" t="str">
        <f t="shared" si="48"/>
        <v/>
      </c>
      <c r="H254" s="36" t="str">
        <f t="shared" si="49"/>
        <v/>
      </c>
      <c r="I254" s="36" t="str">
        <f t="shared" si="50"/>
        <v/>
      </c>
      <c r="J254" s="36" t="str">
        <f t="shared" si="51"/>
        <v/>
      </c>
      <c r="K254" s="36" t="str">
        <f>IF(C254=1,IF(OR('KT THAN'!$D$36&lt;=0,$K$13&lt;=0,$K$15&lt;=0),0,$K$13*$K$8*$K$12/(TAN(RADIANS(I254))*$K$15)/1000),"")</f>
        <v/>
      </c>
      <c r="L254" s="36" t="str">
        <f t="shared" si="52"/>
        <v/>
      </c>
      <c r="M254" s="36">
        <f t="shared" si="53"/>
        <v>0</v>
      </c>
      <c r="N254" s="36" t="str">
        <f t="shared" si="54"/>
        <v/>
      </c>
      <c r="O254" s="36" t="str">
        <f t="shared" si="55"/>
        <v/>
      </c>
      <c r="P254" s="36" t="str">
        <f t="shared" si="56"/>
        <v/>
      </c>
      <c r="Q254" s="36" t="str">
        <f>IF(C254=1,IF('KT THAN'!$D$36&lt;=0,"KHÔNG YÊU CẦU",IF($K$15&lt;=P254,"ĐẠT","KHÔNG ĐẠT")),"")</f>
        <v/>
      </c>
      <c r="R254" s="36" t="str">
        <f t="shared" si="57"/>
        <v/>
      </c>
    </row>
    <row r="255" spans="1:18" hidden="1" outlineLevel="1" x14ac:dyDescent="0.3">
      <c r="A255" s="36" t="str">
        <f t="shared" si="46"/>
        <v/>
      </c>
      <c r="B255" s="36" t="str">
        <f>IF('TO HOP NLAN'!$A186="","",'TO HOP NLAN'!$A186)</f>
        <v/>
      </c>
      <c r="C255" s="36">
        <f t="shared" si="47"/>
        <v>0</v>
      </c>
      <c r="D255" s="36" t="str">
        <f>IF(C255=1,-'TO HOP NLAN'!$I186,"")</f>
        <v/>
      </c>
      <c r="E255" s="36" t="str">
        <f>IF(C255=1,ABS('TO HOP NLAN'!$K186),"")</f>
        <v/>
      </c>
      <c r="F255" s="36" t="str">
        <f>IF(C255=1,ABS('TO HOP NLAN'!$G186),"")</f>
        <v/>
      </c>
      <c r="G255" s="36" t="str">
        <f t="shared" si="48"/>
        <v/>
      </c>
      <c r="H255" s="36" t="str">
        <f t="shared" si="49"/>
        <v/>
      </c>
      <c r="I255" s="36" t="str">
        <f t="shared" si="50"/>
        <v/>
      </c>
      <c r="J255" s="36" t="str">
        <f t="shared" si="51"/>
        <v/>
      </c>
      <c r="K255" s="36" t="str">
        <f>IF(C255=1,IF(OR('KT THAN'!$D$36&lt;=0,$K$13&lt;=0,$K$15&lt;=0),0,$K$13*$K$8*$K$12/(TAN(RADIANS(I255))*$K$15)/1000),"")</f>
        <v/>
      </c>
      <c r="L255" s="36" t="str">
        <f t="shared" si="52"/>
        <v/>
      </c>
      <c r="M255" s="36">
        <f t="shared" si="53"/>
        <v>0</v>
      </c>
      <c r="N255" s="36" t="str">
        <f t="shared" si="54"/>
        <v/>
      </c>
      <c r="O255" s="36" t="str">
        <f t="shared" si="55"/>
        <v/>
      </c>
      <c r="P255" s="36" t="str">
        <f t="shared" si="56"/>
        <v/>
      </c>
      <c r="Q255" s="36" t="str">
        <f>IF(C255=1,IF('KT THAN'!$D$36&lt;=0,"KHÔNG YÊU CẦU",IF($K$15&lt;=P255,"ĐẠT","KHÔNG ĐẠT")),"")</f>
        <v/>
      </c>
      <c r="R255" s="36" t="str">
        <f t="shared" si="57"/>
        <v/>
      </c>
    </row>
    <row r="256" spans="1:18" hidden="1" outlineLevel="1" x14ac:dyDescent="0.3">
      <c r="A256" s="36" t="str">
        <f t="shared" si="46"/>
        <v/>
      </c>
      <c r="B256" s="36" t="str">
        <f>IF('TO HOP NLAN'!$A187="","",'TO HOP NLAN'!$A187)</f>
        <v/>
      </c>
      <c r="C256" s="36">
        <f t="shared" si="47"/>
        <v>0</v>
      </c>
      <c r="D256" s="36" t="str">
        <f>IF(C256=1,-'TO HOP NLAN'!$I187,"")</f>
        <v/>
      </c>
      <c r="E256" s="36" t="str">
        <f>IF(C256=1,ABS('TO HOP NLAN'!$K187),"")</f>
        <v/>
      </c>
      <c r="F256" s="36" t="str">
        <f>IF(C256=1,ABS('TO HOP NLAN'!$G187),"")</f>
        <v/>
      </c>
      <c r="G256" s="36" t="str">
        <f t="shared" si="48"/>
        <v/>
      </c>
      <c r="H256" s="36" t="str">
        <f t="shared" si="49"/>
        <v/>
      </c>
      <c r="I256" s="36" t="str">
        <f t="shared" si="50"/>
        <v/>
      </c>
      <c r="J256" s="36" t="str">
        <f t="shared" si="51"/>
        <v/>
      </c>
      <c r="K256" s="36" t="str">
        <f>IF(C256=1,IF(OR('KT THAN'!$D$36&lt;=0,$K$13&lt;=0,$K$15&lt;=0),0,$K$13*$K$8*$K$12/(TAN(RADIANS(I256))*$K$15)/1000),"")</f>
        <v/>
      </c>
      <c r="L256" s="36" t="str">
        <f t="shared" si="52"/>
        <v/>
      </c>
      <c r="M256" s="36">
        <f t="shared" si="53"/>
        <v>0</v>
      </c>
      <c r="N256" s="36" t="str">
        <f t="shared" si="54"/>
        <v/>
      </c>
      <c r="O256" s="36" t="str">
        <f t="shared" si="55"/>
        <v/>
      </c>
      <c r="P256" s="36" t="str">
        <f t="shared" si="56"/>
        <v/>
      </c>
      <c r="Q256" s="36" t="str">
        <f>IF(C256=1,IF('KT THAN'!$D$36&lt;=0,"KHÔNG YÊU CẦU",IF($K$15&lt;=P256,"ĐẠT","KHÔNG ĐẠT")),"")</f>
        <v/>
      </c>
      <c r="R256" s="36" t="str">
        <f t="shared" si="57"/>
        <v/>
      </c>
    </row>
    <row r="257" spans="1:18" hidden="1" outlineLevel="1" x14ac:dyDescent="0.3">
      <c r="A257" s="36" t="str">
        <f t="shared" si="46"/>
        <v/>
      </c>
      <c r="B257" s="36" t="str">
        <f>IF('TO HOP NLAN'!$A188="","",'TO HOP NLAN'!$A188)</f>
        <v/>
      </c>
      <c r="C257" s="36">
        <f t="shared" si="47"/>
        <v>0</v>
      </c>
      <c r="D257" s="36" t="str">
        <f>IF(C257=1,-'TO HOP NLAN'!$I188,"")</f>
        <v/>
      </c>
      <c r="E257" s="36" t="str">
        <f>IF(C257=1,ABS('TO HOP NLAN'!$K188),"")</f>
        <v/>
      </c>
      <c r="F257" s="36" t="str">
        <f>IF(C257=1,ABS('TO HOP NLAN'!$G188),"")</f>
        <v/>
      </c>
      <c r="G257" s="36" t="str">
        <f t="shared" si="48"/>
        <v/>
      </c>
      <c r="H257" s="36" t="str">
        <f t="shared" si="49"/>
        <v/>
      </c>
      <c r="I257" s="36" t="str">
        <f t="shared" si="50"/>
        <v/>
      </c>
      <c r="J257" s="36" t="str">
        <f t="shared" si="51"/>
        <v/>
      </c>
      <c r="K257" s="36" t="str">
        <f>IF(C257=1,IF(OR('KT THAN'!$D$36&lt;=0,$K$13&lt;=0,$K$15&lt;=0),0,$K$13*$K$8*$K$12/(TAN(RADIANS(I257))*$K$15)/1000),"")</f>
        <v/>
      </c>
      <c r="L257" s="36" t="str">
        <f t="shared" si="52"/>
        <v/>
      </c>
      <c r="M257" s="36">
        <f t="shared" si="53"/>
        <v>0</v>
      </c>
      <c r="N257" s="36" t="str">
        <f t="shared" si="54"/>
        <v/>
      </c>
      <c r="O257" s="36" t="str">
        <f t="shared" si="55"/>
        <v/>
      </c>
      <c r="P257" s="36" t="str">
        <f t="shared" si="56"/>
        <v/>
      </c>
      <c r="Q257" s="36" t="str">
        <f>IF(C257=1,IF('KT THAN'!$D$36&lt;=0,"KHÔNG YÊU CẦU",IF($K$15&lt;=P257,"ĐẠT","KHÔNG ĐẠT")),"")</f>
        <v/>
      </c>
      <c r="R257" s="36" t="str">
        <f t="shared" si="57"/>
        <v/>
      </c>
    </row>
    <row r="258" spans="1:18" hidden="1" outlineLevel="1" x14ac:dyDescent="0.3">
      <c r="A258" s="36" t="str">
        <f t="shared" si="46"/>
        <v/>
      </c>
      <c r="B258" s="36" t="str">
        <f>IF('TO HOP NLAN'!$A189="","",'TO HOP NLAN'!$A189)</f>
        <v/>
      </c>
      <c r="C258" s="36">
        <f t="shared" si="47"/>
        <v>0</v>
      </c>
      <c r="D258" s="36" t="str">
        <f>IF(C258=1,-'TO HOP NLAN'!$I189,"")</f>
        <v/>
      </c>
      <c r="E258" s="36" t="str">
        <f>IF(C258=1,ABS('TO HOP NLAN'!$K189),"")</f>
        <v/>
      </c>
      <c r="F258" s="36" t="str">
        <f>IF(C258=1,ABS('TO HOP NLAN'!$G189),"")</f>
        <v/>
      </c>
      <c r="G258" s="36" t="str">
        <f t="shared" si="48"/>
        <v/>
      </c>
      <c r="H258" s="36" t="str">
        <f t="shared" si="49"/>
        <v/>
      </c>
      <c r="I258" s="36" t="str">
        <f t="shared" si="50"/>
        <v/>
      </c>
      <c r="J258" s="36" t="str">
        <f t="shared" si="51"/>
        <v/>
      </c>
      <c r="K258" s="36" t="str">
        <f>IF(C258=1,IF(OR('KT THAN'!$D$36&lt;=0,$K$13&lt;=0,$K$15&lt;=0),0,$K$13*$K$8*$K$12/(TAN(RADIANS(I258))*$K$15)/1000),"")</f>
        <v/>
      </c>
      <c r="L258" s="36" t="str">
        <f t="shared" si="52"/>
        <v/>
      </c>
      <c r="M258" s="36">
        <f t="shared" si="53"/>
        <v>0</v>
      </c>
      <c r="N258" s="36" t="str">
        <f t="shared" si="54"/>
        <v/>
      </c>
      <c r="O258" s="36" t="str">
        <f t="shared" si="55"/>
        <v/>
      </c>
      <c r="P258" s="36" t="str">
        <f t="shared" si="56"/>
        <v/>
      </c>
      <c r="Q258" s="36" t="str">
        <f>IF(C258=1,IF('KT THAN'!$D$36&lt;=0,"KHÔNG YÊU CẦU",IF($K$15&lt;=P258,"ĐẠT","KHÔNG ĐẠT")),"")</f>
        <v/>
      </c>
      <c r="R258" s="36" t="str">
        <f t="shared" si="57"/>
        <v/>
      </c>
    </row>
    <row r="259" spans="1:18" hidden="1" outlineLevel="1" x14ac:dyDescent="0.3">
      <c r="A259" s="36" t="str">
        <f t="shared" si="46"/>
        <v/>
      </c>
      <c r="B259" s="36" t="str">
        <f>IF('TO HOP NLAN'!$A190="","",'TO HOP NLAN'!$A190)</f>
        <v/>
      </c>
      <c r="C259" s="36">
        <f t="shared" si="47"/>
        <v>0</v>
      </c>
      <c r="D259" s="36" t="str">
        <f>IF(C259=1,-'TO HOP NLAN'!$I190,"")</f>
        <v/>
      </c>
      <c r="E259" s="36" t="str">
        <f>IF(C259=1,ABS('TO HOP NLAN'!$K190),"")</f>
        <v/>
      </c>
      <c r="F259" s="36" t="str">
        <f>IF(C259=1,ABS('TO HOP NLAN'!$G190),"")</f>
        <v/>
      </c>
      <c r="G259" s="36" t="str">
        <f t="shared" si="48"/>
        <v/>
      </c>
      <c r="H259" s="36" t="str">
        <f t="shared" si="49"/>
        <v/>
      </c>
      <c r="I259" s="36" t="str">
        <f t="shared" si="50"/>
        <v/>
      </c>
      <c r="J259" s="36" t="str">
        <f t="shared" si="51"/>
        <v/>
      </c>
      <c r="K259" s="36" t="str">
        <f>IF(C259=1,IF(OR('KT THAN'!$D$36&lt;=0,$K$13&lt;=0,$K$15&lt;=0),0,$K$13*$K$8*$K$12/(TAN(RADIANS(I259))*$K$15)/1000),"")</f>
        <v/>
      </c>
      <c r="L259" s="36" t="str">
        <f t="shared" si="52"/>
        <v/>
      </c>
      <c r="M259" s="36">
        <f t="shared" si="53"/>
        <v>0</v>
      </c>
      <c r="N259" s="36" t="str">
        <f t="shared" si="54"/>
        <v/>
      </c>
      <c r="O259" s="36" t="str">
        <f t="shared" si="55"/>
        <v/>
      </c>
      <c r="P259" s="36" t="str">
        <f t="shared" si="56"/>
        <v/>
      </c>
      <c r="Q259" s="36" t="str">
        <f>IF(C259=1,IF('KT THAN'!$D$36&lt;=0,"KHÔNG YÊU CẦU",IF($K$15&lt;=P259,"ĐẠT","KHÔNG ĐẠT")),"")</f>
        <v/>
      </c>
      <c r="R259" s="36" t="str">
        <f t="shared" si="57"/>
        <v/>
      </c>
    </row>
    <row r="260" spans="1:18" hidden="1" outlineLevel="1" x14ac:dyDescent="0.3">
      <c r="A260" s="36" t="str">
        <f t="shared" si="46"/>
        <v/>
      </c>
      <c r="B260" s="36" t="str">
        <f>IF('TO HOP NLAN'!$A191="","",'TO HOP NLAN'!$A191)</f>
        <v/>
      </c>
      <c r="C260" s="36">
        <f t="shared" si="47"/>
        <v>0</v>
      </c>
      <c r="D260" s="36" t="str">
        <f>IF(C260=1,-'TO HOP NLAN'!$I191,"")</f>
        <v/>
      </c>
      <c r="E260" s="36" t="str">
        <f>IF(C260=1,ABS('TO HOP NLAN'!$K191),"")</f>
        <v/>
      </c>
      <c r="F260" s="36" t="str">
        <f>IF(C260=1,ABS('TO HOP NLAN'!$G191),"")</f>
        <v/>
      </c>
      <c r="G260" s="36" t="str">
        <f t="shared" si="48"/>
        <v/>
      </c>
      <c r="H260" s="36" t="str">
        <f t="shared" si="49"/>
        <v/>
      </c>
      <c r="I260" s="36" t="str">
        <f t="shared" si="50"/>
        <v/>
      </c>
      <c r="J260" s="36" t="str">
        <f t="shared" si="51"/>
        <v/>
      </c>
      <c r="K260" s="36" t="str">
        <f>IF(C260=1,IF(OR('KT THAN'!$D$36&lt;=0,$K$13&lt;=0,$K$15&lt;=0),0,$K$13*$K$8*$K$12/(TAN(RADIANS(I260))*$K$15)/1000),"")</f>
        <v/>
      </c>
      <c r="L260" s="36" t="str">
        <f t="shared" si="52"/>
        <v/>
      </c>
      <c r="M260" s="36">
        <f t="shared" si="53"/>
        <v>0</v>
      </c>
      <c r="N260" s="36" t="str">
        <f t="shared" si="54"/>
        <v/>
      </c>
      <c r="O260" s="36" t="str">
        <f t="shared" si="55"/>
        <v/>
      </c>
      <c r="P260" s="36" t="str">
        <f t="shared" si="56"/>
        <v/>
      </c>
      <c r="Q260" s="36" t="str">
        <f>IF(C260=1,IF('KT THAN'!$D$36&lt;=0,"KHÔNG YÊU CẦU",IF($K$15&lt;=P260,"ĐẠT","KHÔNG ĐẠT")),"")</f>
        <v/>
      </c>
      <c r="R260" s="36" t="str">
        <f t="shared" si="57"/>
        <v/>
      </c>
    </row>
    <row r="261" spans="1:18" hidden="1" outlineLevel="1" x14ac:dyDescent="0.3">
      <c r="A261" s="36" t="str">
        <f t="shared" si="46"/>
        <v/>
      </c>
      <c r="B261" s="36" t="str">
        <f>IF('TO HOP NLAN'!$A192="","",'TO HOP NLAN'!$A192)</f>
        <v/>
      </c>
      <c r="C261" s="36">
        <f t="shared" si="47"/>
        <v>0</v>
      </c>
      <c r="D261" s="36" t="str">
        <f>IF(C261=1,-'TO HOP NLAN'!$I192,"")</f>
        <v/>
      </c>
      <c r="E261" s="36" t="str">
        <f>IF(C261=1,ABS('TO HOP NLAN'!$K192),"")</f>
        <v/>
      </c>
      <c r="F261" s="36" t="str">
        <f>IF(C261=1,ABS('TO HOP NLAN'!$G192),"")</f>
        <v/>
      </c>
      <c r="G261" s="36" t="str">
        <f t="shared" si="48"/>
        <v/>
      </c>
      <c r="H261" s="36" t="str">
        <f t="shared" si="49"/>
        <v/>
      </c>
      <c r="I261" s="36" t="str">
        <f t="shared" si="50"/>
        <v/>
      </c>
      <c r="J261" s="36" t="str">
        <f t="shared" si="51"/>
        <v/>
      </c>
      <c r="K261" s="36" t="str">
        <f>IF(C261=1,IF(OR('KT THAN'!$D$36&lt;=0,$K$13&lt;=0,$K$15&lt;=0),0,$K$13*$K$8*$K$12/(TAN(RADIANS(I261))*$K$15)/1000),"")</f>
        <v/>
      </c>
      <c r="L261" s="36" t="str">
        <f t="shared" si="52"/>
        <v/>
      </c>
      <c r="M261" s="36">
        <f t="shared" si="53"/>
        <v>0</v>
      </c>
      <c r="N261" s="36" t="str">
        <f t="shared" si="54"/>
        <v/>
      </c>
      <c r="O261" s="36" t="str">
        <f t="shared" si="55"/>
        <v/>
      </c>
      <c r="P261" s="36" t="str">
        <f t="shared" si="56"/>
        <v/>
      </c>
      <c r="Q261" s="36" t="str">
        <f>IF(C261=1,IF('KT THAN'!$D$36&lt;=0,"KHÔNG YÊU CẦU",IF($K$15&lt;=P261,"ĐẠT","KHÔNG ĐẠT")),"")</f>
        <v/>
      </c>
      <c r="R261" s="36" t="str">
        <f t="shared" si="57"/>
        <v/>
      </c>
    </row>
    <row r="262" spans="1:18" hidden="1" outlineLevel="1" x14ac:dyDescent="0.3">
      <c r="A262" s="36" t="str">
        <f t="shared" si="46"/>
        <v/>
      </c>
      <c r="B262" s="36" t="str">
        <f>IF('TO HOP NLAN'!$A193="","",'TO HOP NLAN'!$A193)</f>
        <v/>
      </c>
      <c r="C262" s="36">
        <f t="shared" si="47"/>
        <v>0</v>
      </c>
      <c r="D262" s="36" t="str">
        <f>IF(C262=1,-'TO HOP NLAN'!$I193,"")</f>
        <v/>
      </c>
      <c r="E262" s="36" t="str">
        <f>IF(C262=1,ABS('TO HOP NLAN'!$K193),"")</f>
        <v/>
      </c>
      <c r="F262" s="36" t="str">
        <f>IF(C262=1,ABS('TO HOP NLAN'!$G193),"")</f>
        <v/>
      </c>
      <c r="G262" s="36" t="str">
        <f t="shared" si="48"/>
        <v/>
      </c>
      <c r="H262" s="36" t="str">
        <f t="shared" si="49"/>
        <v/>
      </c>
      <c r="I262" s="36" t="str">
        <f t="shared" si="50"/>
        <v/>
      </c>
      <c r="J262" s="36" t="str">
        <f t="shared" si="51"/>
        <v/>
      </c>
      <c r="K262" s="36" t="str">
        <f>IF(C262=1,IF(OR('KT THAN'!$D$36&lt;=0,$K$13&lt;=0,$K$15&lt;=0),0,$K$13*$K$8*$K$12/(TAN(RADIANS(I262))*$K$15)/1000),"")</f>
        <v/>
      </c>
      <c r="L262" s="36" t="str">
        <f t="shared" si="52"/>
        <v/>
      </c>
      <c r="M262" s="36">
        <f t="shared" si="53"/>
        <v>0</v>
      </c>
      <c r="N262" s="36" t="str">
        <f t="shared" si="54"/>
        <v/>
      </c>
      <c r="O262" s="36" t="str">
        <f t="shared" si="55"/>
        <v/>
      </c>
      <c r="P262" s="36" t="str">
        <f t="shared" si="56"/>
        <v/>
      </c>
      <c r="Q262" s="36" t="str">
        <f>IF(C262=1,IF('KT THAN'!$D$36&lt;=0,"KHÔNG YÊU CẦU",IF($K$15&lt;=P262,"ĐẠT","KHÔNG ĐẠT")),"")</f>
        <v/>
      </c>
      <c r="R262" s="36" t="str">
        <f t="shared" si="57"/>
        <v/>
      </c>
    </row>
    <row r="263" spans="1:18" hidden="1" outlineLevel="1" x14ac:dyDescent="0.3">
      <c r="A263" s="36" t="str">
        <f t="shared" si="46"/>
        <v/>
      </c>
      <c r="B263" s="36" t="str">
        <f>IF('TO HOP NLAN'!$A194="","",'TO HOP NLAN'!$A194)</f>
        <v/>
      </c>
      <c r="C263" s="36">
        <f t="shared" si="47"/>
        <v>0</v>
      </c>
      <c r="D263" s="36" t="str">
        <f>IF(C263=1,-'TO HOP NLAN'!$I194,"")</f>
        <v/>
      </c>
      <c r="E263" s="36" t="str">
        <f>IF(C263=1,ABS('TO HOP NLAN'!$K194),"")</f>
        <v/>
      </c>
      <c r="F263" s="36" t="str">
        <f>IF(C263=1,ABS('TO HOP NLAN'!$G194),"")</f>
        <v/>
      </c>
      <c r="G263" s="36" t="str">
        <f t="shared" si="48"/>
        <v/>
      </c>
      <c r="H263" s="36" t="str">
        <f t="shared" si="49"/>
        <v/>
      </c>
      <c r="I263" s="36" t="str">
        <f t="shared" si="50"/>
        <v/>
      </c>
      <c r="J263" s="36" t="str">
        <f t="shared" si="51"/>
        <v/>
      </c>
      <c r="K263" s="36" t="str">
        <f>IF(C263=1,IF(OR('KT THAN'!$D$36&lt;=0,$K$13&lt;=0,$K$15&lt;=0),0,$K$13*$K$8*$K$12/(TAN(RADIANS(I263))*$K$15)/1000),"")</f>
        <v/>
      </c>
      <c r="L263" s="36" t="str">
        <f t="shared" si="52"/>
        <v/>
      </c>
      <c r="M263" s="36">
        <f t="shared" si="53"/>
        <v>0</v>
      </c>
      <c r="N263" s="36" t="str">
        <f t="shared" si="54"/>
        <v/>
      </c>
      <c r="O263" s="36" t="str">
        <f t="shared" si="55"/>
        <v/>
      </c>
      <c r="P263" s="36" t="str">
        <f t="shared" si="56"/>
        <v/>
      </c>
      <c r="Q263" s="36" t="str">
        <f>IF(C263=1,IF('KT THAN'!$D$36&lt;=0,"KHÔNG YÊU CẦU",IF($K$15&lt;=P263,"ĐẠT","KHÔNG ĐẠT")),"")</f>
        <v/>
      </c>
      <c r="R263" s="36" t="str">
        <f t="shared" si="57"/>
        <v/>
      </c>
    </row>
    <row r="264" spans="1:18" hidden="1" outlineLevel="1" x14ac:dyDescent="0.3">
      <c r="A264" s="36" t="str">
        <f t="shared" si="46"/>
        <v/>
      </c>
      <c r="B264" s="36" t="str">
        <f>IF('TO HOP NLAN'!$A195="","",'TO HOP NLAN'!$A195)</f>
        <v/>
      </c>
      <c r="C264" s="36">
        <f t="shared" si="47"/>
        <v>0</v>
      </c>
      <c r="D264" s="36" t="str">
        <f>IF(C264=1,-'TO HOP NLAN'!$I195,"")</f>
        <v/>
      </c>
      <c r="E264" s="36" t="str">
        <f>IF(C264=1,ABS('TO HOP NLAN'!$K195),"")</f>
        <v/>
      </c>
      <c r="F264" s="36" t="str">
        <f>IF(C264=1,ABS('TO HOP NLAN'!$G195),"")</f>
        <v/>
      </c>
      <c r="G264" s="36" t="str">
        <f t="shared" si="48"/>
        <v/>
      </c>
      <c r="H264" s="36" t="str">
        <f t="shared" si="49"/>
        <v/>
      </c>
      <c r="I264" s="36" t="str">
        <f t="shared" si="50"/>
        <v/>
      </c>
      <c r="J264" s="36" t="str">
        <f t="shared" si="51"/>
        <v/>
      </c>
      <c r="K264" s="36" t="str">
        <f>IF(C264=1,IF(OR('KT THAN'!$D$36&lt;=0,$K$13&lt;=0,$K$15&lt;=0),0,$K$13*$K$8*$K$12/(TAN(RADIANS(I264))*$K$15)/1000),"")</f>
        <v/>
      </c>
      <c r="L264" s="36" t="str">
        <f t="shared" si="52"/>
        <v/>
      </c>
      <c r="M264" s="36">
        <f t="shared" si="53"/>
        <v>0</v>
      </c>
      <c r="N264" s="36" t="str">
        <f t="shared" si="54"/>
        <v/>
      </c>
      <c r="O264" s="36" t="str">
        <f t="shared" si="55"/>
        <v/>
      </c>
      <c r="P264" s="36" t="str">
        <f t="shared" si="56"/>
        <v/>
      </c>
      <c r="Q264" s="36" t="str">
        <f>IF(C264=1,IF('KT THAN'!$D$36&lt;=0,"KHÔNG YÊU CẦU",IF($K$15&lt;=P264,"ĐẠT","KHÔNG ĐẠT")),"")</f>
        <v/>
      </c>
      <c r="R264" s="36" t="str">
        <f t="shared" si="57"/>
        <v/>
      </c>
    </row>
    <row r="265" spans="1:18" hidden="1" outlineLevel="1" x14ac:dyDescent="0.3">
      <c r="A265" s="36" t="str">
        <f t="shared" si="46"/>
        <v/>
      </c>
      <c r="B265" s="36" t="str">
        <f>IF('TO HOP NLAN'!$A196="","",'TO HOP NLAN'!$A196)</f>
        <v/>
      </c>
      <c r="C265" s="36">
        <f t="shared" si="47"/>
        <v>0</v>
      </c>
      <c r="D265" s="36" t="str">
        <f>IF(C265=1,-'TO HOP NLAN'!$I196,"")</f>
        <v/>
      </c>
      <c r="E265" s="36" t="str">
        <f>IF(C265=1,ABS('TO HOP NLAN'!$K196),"")</f>
        <v/>
      </c>
      <c r="F265" s="36" t="str">
        <f>IF(C265=1,ABS('TO HOP NLAN'!$G196),"")</f>
        <v/>
      </c>
      <c r="G265" s="36" t="str">
        <f t="shared" si="48"/>
        <v/>
      </c>
      <c r="H265" s="36" t="str">
        <f t="shared" si="49"/>
        <v/>
      </c>
      <c r="I265" s="36" t="str">
        <f t="shared" si="50"/>
        <v/>
      </c>
      <c r="J265" s="36" t="str">
        <f t="shared" si="51"/>
        <v/>
      </c>
      <c r="K265" s="36" t="str">
        <f>IF(C265=1,IF(OR('KT THAN'!$D$36&lt;=0,$K$13&lt;=0,$K$15&lt;=0),0,$K$13*$K$8*$K$12/(TAN(RADIANS(I265))*$K$15)/1000),"")</f>
        <v/>
      </c>
      <c r="L265" s="36" t="str">
        <f t="shared" si="52"/>
        <v/>
      </c>
      <c r="M265" s="36">
        <f t="shared" si="53"/>
        <v>0</v>
      </c>
      <c r="N265" s="36" t="str">
        <f t="shared" si="54"/>
        <v/>
      </c>
      <c r="O265" s="36" t="str">
        <f t="shared" si="55"/>
        <v/>
      </c>
      <c r="P265" s="36" t="str">
        <f t="shared" si="56"/>
        <v/>
      </c>
      <c r="Q265" s="36" t="str">
        <f>IF(C265=1,IF('KT THAN'!$D$36&lt;=0,"KHÔNG YÊU CẦU",IF($K$15&lt;=P265,"ĐẠT","KHÔNG ĐẠT")),"")</f>
        <v/>
      </c>
      <c r="R265" s="36" t="str">
        <f t="shared" si="57"/>
        <v/>
      </c>
    </row>
    <row r="266" spans="1:18" hidden="1" outlineLevel="1" x14ac:dyDescent="0.3">
      <c r="A266" s="36" t="str">
        <f t="shared" si="46"/>
        <v/>
      </c>
      <c r="B266" s="36" t="str">
        <f>IF('TO HOP NLAN'!$A197="","",'TO HOP NLAN'!$A197)</f>
        <v/>
      </c>
      <c r="C266" s="36">
        <f t="shared" si="47"/>
        <v>0</v>
      </c>
      <c r="D266" s="36" t="str">
        <f>IF(C266=1,-'TO HOP NLAN'!$I197,"")</f>
        <v/>
      </c>
      <c r="E266" s="36" t="str">
        <f>IF(C266=1,ABS('TO HOP NLAN'!$K197),"")</f>
        <v/>
      </c>
      <c r="F266" s="36" t="str">
        <f>IF(C266=1,ABS('TO HOP NLAN'!$G197),"")</f>
        <v/>
      </c>
      <c r="G266" s="36" t="str">
        <f t="shared" si="48"/>
        <v/>
      </c>
      <c r="H266" s="36" t="str">
        <f t="shared" si="49"/>
        <v/>
      </c>
      <c r="I266" s="36" t="str">
        <f t="shared" si="50"/>
        <v/>
      </c>
      <c r="J266" s="36" t="str">
        <f t="shared" si="51"/>
        <v/>
      </c>
      <c r="K266" s="36" t="str">
        <f>IF(C266=1,IF(OR('KT THAN'!$D$36&lt;=0,$K$13&lt;=0,$K$15&lt;=0),0,$K$13*$K$8*$K$12/(TAN(RADIANS(I266))*$K$15)/1000),"")</f>
        <v/>
      </c>
      <c r="L266" s="36" t="str">
        <f t="shared" si="52"/>
        <v/>
      </c>
      <c r="M266" s="36">
        <f t="shared" si="53"/>
        <v>0</v>
      </c>
      <c r="N266" s="36" t="str">
        <f t="shared" si="54"/>
        <v/>
      </c>
      <c r="O266" s="36" t="str">
        <f t="shared" si="55"/>
        <v/>
      </c>
      <c r="P266" s="36" t="str">
        <f t="shared" si="56"/>
        <v/>
      </c>
      <c r="Q266" s="36" t="str">
        <f>IF(C266=1,IF('KT THAN'!$D$36&lt;=0,"KHÔNG YÊU CẦU",IF($K$15&lt;=P266,"ĐẠT","KHÔNG ĐẠT")),"")</f>
        <v/>
      </c>
      <c r="R266" s="36" t="str">
        <f t="shared" si="57"/>
        <v/>
      </c>
    </row>
    <row r="267" spans="1:18" hidden="1" outlineLevel="1" x14ac:dyDescent="0.3">
      <c r="A267" s="36" t="str">
        <f t="shared" si="46"/>
        <v/>
      </c>
      <c r="B267" s="36" t="str">
        <f>IF('TO HOP NLAN'!$A198="","",'TO HOP NLAN'!$A198)</f>
        <v/>
      </c>
      <c r="C267" s="36">
        <f t="shared" si="47"/>
        <v>0</v>
      </c>
      <c r="D267" s="36" t="str">
        <f>IF(C267=1,-'TO HOP NLAN'!$I198,"")</f>
        <v/>
      </c>
      <c r="E267" s="36" t="str">
        <f>IF(C267=1,ABS('TO HOP NLAN'!$K198),"")</f>
        <v/>
      </c>
      <c r="F267" s="36" t="str">
        <f>IF(C267=1,ABS('TO HOP NLAN'!$G198),"")</f>
        <v/>
      </c>
      <c r="G267" s="36" t="str">
        <f t="shared" si="48"/>
        <v/>
      </c>
      <c r="H267" s="36" t="str">
        <f t="shared" si="49"/>
        <v/>
      </c>
      <c r="I267" s="36" t="str">
        <f t="shared" si="50"/>
        <v/>
      </c>
      <c r="J267" s="36" t="str">
        <f t="shared" si="51"/>
        <v/>
      </c>
      <c r="K267" s="36" t="str">
        <f>IF(C267=1,IF(OR('KT THAN'!$D$36&lt;=0,$K$13&lt;=0,$K$15&lt;=0),0,$K$13*$K$8*$K$12/(TAN(RADIANS(I267))*$K$15)/1000),"")</f>
        <v/>
      </c>
      <c r="L267" s="36" t="str">
        <f t="shared" si="52"/>
        <v/>
      </c>
      <c r="M267" s="36">
        <f t="shared" si="53"/>
        <v>0</v>
      </c>
      <c r="N267" s="36" t="str">
        <f t="shared" si="54"/>
        <v/>
      </c>
      <c r="O267" s="36" t="str">
        <f t="shared" si="55"/>
        <v/>
      </c>
      <c r="P267" s="36" t="str">
        <f t="shared" si="56"/>
        <v/>
      </c>
      <c r="Q267" s="36" t="str">
        <f>IF(C267=1,IF('KT THAN'!$D$36&lt;=0,"KHÔNG YÊU CẦU",IF($K$15&lt;=P267,"ĐẠT","KHÔNG ĐẠT")),"")</f>
        <v/>
      </c>
      <c r="R267" s="36" t="str">
        <f t="shared" si="57"/>
        <v/>
      </c>
    </row>
    <row r="268" spans="1:18" hidden="1" outlineLevel="1" x14ac:dyDescent="0.3">
      <c r="A268" s="36" t="str">
        <f t="shared" ref="A268:A312" si="58">IF($B268="","",ROW()-28)</f>
        <v/>
      </c>
      <c r="B268" s="36" t="str">
        <f>IF('TO HOP NLAN'!$A199="","",'TO HOP NLAN'!$A199)</f>
        <v/>
      </c>
      <c r="C268" s="36">
        <f t="shared" ref="C268:C312" si="59">IF(LEFT(B268,2)="CĐ",1,0)</f>
        <v>0</v>
      </c>
      <c r="D268" s="36" t="str">
        <f>IF(C268=1,-'TO HOP NLAN'!$I199,"")</f>
        <v/>
      </c>
      <c r="E268" s="36" t="str">
        <f>IF(C268=1,ABS('TO HOP NLAN'!$K199),"")</f>
        <v/>
      </c>
      <c r="F268" s="36" t="str">
        <f>IF(C268=1,ABS('TO HOP NLAN'!$G199),"")</f>
        <v/>
      </c>
      <c r="G268" s="36" t="str">
        <f t="shared" ref="G268:G312" si="60">IF(C268=1,MAX(0,(MAX(E268*1000000,F268*1000*$K$12)/$K$12+0.5*D268*1000+0.5*F268*1000)/($K$7*$K$11)),"")</f>
        <v/>
      </c>
      <c r="H268" s="36" t="str">
        <f t="shared" ref="H268:H312" si="61">IF(C268=1,IF($K$13&gt;=$K$14,4.8/(1+750*G268),4.8/(1+750*G268)*1300/(1000+MIN(2000,MAX(294,$K$12*35/(16+$K$6))))),"")</f>
        <v/>
      </c>
      <c r="I268" s="36" t="str">
        <f t="shared" ref="I268:I312" si="62">IF(C268=1,29+3500*G268,"")</f>
        <v/>
      </c>
      <c r="J268" s="36" t="str">
        <f t="shared" ref="J268:J312" si="63">IF(C268=1,0.083*H268*SQRT($K$9)*$K$10*$K$12/1000,"")</f>
        <v/>
      </c>
      <c r="K268" s="36" t="str">
        <f>IF(C268=1,IF(OR('KT THAN'!$D$36&lt;=0,$K$13&lt;=0,$K$15&lt;=0),0,$K$13*$K$8*$K$12/(TAN(RADIANS(I268))*$K$15)/1000),"")</f>
        <v/>
      </c>
      <c r="L268" s="36" t="str">
        <f t="shared" ref="L268:L312" si="64">IF(C268=1,$K$4*MIN(J268+K268,0.25*$K$9*$K$10*$K$12/1000),"")</f>
        <v/>
      </c>
      <c r="M268" s="36">
        <f t="shared" ref="M268:M312" si="65">IF(C268=1,IF(L268=0,999,F268/L268),0)</f>
        <v>0</v>
      </c>
      <c r="N268" s="36" t="str">
        <f t="shared" ref="N268:N312" si="66">IF(C268=1,IF(F268&gt;0.5*$K$4*J268,"CÓ","KHÔNG"),"")</f>
        <v/>
      </c>
      <c r="O268" s="36" t="str">
        <f t="shared" ref="O268:O312" si="67">IF(C268=1,IF(N268="KHÔNG","KHÔNG YÊU CẦU",IF($K$13&gt;=$K$14,"ĐẠT","KHÔNG ĐẠT")),"")</f>
        <v/>
      </c>
      <c r="P268" s="36" t="str">
        <f t="shared" ref="P268:P312" si="68">IF(C268=1,IF(F268*1000/($K$4*$K$10*$K$12)&lt;0.125*$K$9,MIN(0.8*$K$12,600),MIN(0.4*$K$12,300)),"")</f>
        <v/>
      </c>
      <c r="Q268" s="36" t="str">
        <f>IF(C268=1,IF('KT THAN'!$D$36&lt;=0,"KHÔNG YÊU CẦU",IF($K$15&lt;=P268,"ĐẠT","KHÔNG ĐẠT")),"")</f>
        <v/>
      </c>
      <c r="R268" s="36" t="str">
        <f t="shared" ref="R268:R312" si="69">IF(C268=1,IF(AND(L268&gt;=F268,O268&lt;&gt;"KHÔNG ĐẠT",Q268&lt;&gt;"KHÔNG ĐẠT"),"ĐẠT","KHÔNG ĐẠT"),"")</f>
        <v/>
      </c>
    </row>
    <row r="269" spans="1:18" hidden="1" outlineLevel="1" x14ac:dyDescent="0.3">
      <c r="A269" s="36" t="str">
        <f t="shared" si="58"/>
        <v/>
      </c>
      <c r="B269" s="36" t="str">
        <f>IF('TO HOP NLAN'!$A200="","",'TO HOP NLAN'!$A200)</f>
        <v/>
      </c>
      <c r="C269" s="36">
        <f t="shared" si="59"/>
        <v>0</v>
      </c>
      <c r="D269" s="36" t="str">
        <f>IF(C269=1,-'TO HOP NLAN'!$I200,"")</f>
        <v/>
      </c>
      <c r="E269" s="36" t="str">
        <f>IF(C269=1,ABS('TO HOP NLAN'!$K200),"")</f>
        <v/>
      </c>
      <c r="F269" s="36" t="str">
        <f>IF(C269=1,ABS('TO HOP NLAN'!$G200),"")</f>
        <v/>
      </c>
      <c r="G269" s="36" t="str">
        <f t="shared" si="60"/>
        <v/>
      </c>
      <c r="H269" s="36" t="str">
        <f t="shared" si="61"/>
        <v/>
      </c>
      <c r="I269" s="36" t="str">
        <f t="shared" si="62"/>
        <v/>
      </c>
      <c r="J269" s="36" t="str">
        <f t="shared" si="63"/>
        <v/>
      </c>
      <c r="K269" s="36" t="str">
        <f>IF(C269=1,IF(OR('KT THAN'!$D$36&lt;=0,$K$13&lt;=0,$K$15&lt;=0),0,$K$13*$K$8*$K$12/(TAN(RADIANS(I269))*$K$15)/1000),"")</f>
        <v/>
      </c>
      <c r="L269" s="36" t="str">
        <f t="shared" si="64"/>
        <v/>
      </c>
      <c r="M269" s="36">
        <f t="shared" si="65"/>
        <v>0</v>
      </c>
      <c r="N269" s="36" t="str">
        <f t="shared" si="66"/>
        <v/>
      </c>
      <c r="O269" s="36" t="str">
        <f t="shared" si="67"/>
        <v/>
      </c>
      <c r="P269" s="36" t="str">
        <f t="shared" si="68"/>
        <v/>
      </c>
      <c r="Q269" s="36" t="str">
        <f>IF(C269=1,IF('KT THAN'!$D$36&lt;=0,"KHÔNG YÊU CẦU",IF($K$15&lt;=P269,"ĐẠT","KHÔNG ĐẠT")),"")</f>
        <v/>
      </c>
      <c r="R269" s="36" t="str">
        <f t="shared" si="69"/>
        <v/>
      </c>
    </row>
    <row r="270" spans="1:18" hidden="1" outlineLevel="1" x14ac:dyDescent="0.3">
      <c r="A270" s="36" t="str">
        <f t="shared" si="58"/>
        <v/>
      </c>
      <c r="B270" s="36" t="str">
        <f>IF('TO HOP NLAN'!$A201="","",'TO HOP NLAN'!$A201)</f>
        <v/>
      </c>
      <c r="C270" s="36">
        <f t="shared" si="59"/>
        <v>0</v>
      </c>
      <c r="D270" s="36" t="str">
        <f>IF(C270=1,-'TO HOP NLAN'!$I201,"")</f>
        <v/>
      </c>
      <c r="E270" s="36" t="str">
        <f>IF(C270=1,ABS('TO HOP NLAN'!$K201),"")</f>
        <v/>
      </c>
      <c r="F270" s="36" t="str">
        <f>IF(C270=1,ABS('TO HOP NLAN'!$G201),"")</f>
        <v/>
      </c>
      <c r="G270" s="36" t="str">
        <f t="shared" si="60"/>
        <v/>
      </c>
      <c r="H270" s="36" t="str">
        <f t="shared" si="61"/>
        <v/>
      </c>
      <c r="I270" s="36" t="str">
        <f t="shared" si="62"/>
        <v/>
      </c>
      <c r="J270" s="36" t="str">
        <f t="shared" si="63"/>
        <v/>
      </c>
      <c r="K270" s="36" t="str">
        <f>IF(C270=1,IF(OR('KT THAN'!$D$36&lt;=0,$K$13&lt;=0,$K$15&lt;=0),0,$K$13*$K$8*$K$12/(TAN(RADIANS(I270))*$K$15)/1000),"")</f>
        <v/>
      </c>
      <c r="L270" s="36" t="str">
        <f t="shared" si="64"/>
        <v/>
      </c>
      <c r="M270" s="36">
        <f t="shared" si="65"/>
        <v>0</v>
      </c>
      <c r="N270" s="36" t="str">
        <f t="shared" si="66"/>
        <v/>
      </c>
      <c r="O270" s="36" t="str">
        <f t="shared" si="67"/>
        <v/>
      </c>
      <c r="P270" s="36" t="str">
        <f t="shared" si="68"/>
        <v/>
      </c>
      <c r="Q270" s="36" t="str">
        <f>IF(C270=1,IF('KT THAN'!$D$36&lt;=0,"KHÔNG YÊU CẦU",IF($K$15&lt;=P270,"ĐẠT","KHÔNG ĐẠT")),"")</f>
        <v/>
      </c>
      <c r="R270" s="36" t="str">
        <f t="shared" si="69"/>
        <v/>
      </c>
    </row>
    <row r="271" spans="1:18" hidden="1" outlineLevel="1" x14ac:dyDescent="0.3">
      <c r="A271" s="36" t="str">
        <f t="shared" si="58"/>
        <v/>
      </c>
      <c r="B271" s="36" t="str">
        <f>IF('TO HOP NLAN'!$A202="","",'TO HOP NLAN'!$A202)</f>
        <v/>
      </c>
      <c r="C271" s="36">
        <f t="shared" si="59"/>
        <v>0</v>
      </c>
      <c r="D271" s="36" t="str">
        <f>IF(C271=1,-'TO HOP NLAN'!$I202,"")</f>
        <v/>
      </c>
      <c r="E271" s="36" t="str">
        <f>IF(C271=1,ABS('TO HOP NLAN'!$K202),"")</f>
        <v/>
      </c>
      <c r="F271" s="36" t="str">
        <f>IF(C271=1,ABS('TO HOP NLAN'!$G202),"")</f>
        <v/>
      </c>
      <c r="G271" s="36" t="str">
        <f t="shared" si="60"/>
        <v/>
      </c>
      <c r="H271" s="36" t="str">
        <f t="shared" si="61"/>
        <v/>
      </c>
      <c r="I271" s="36" t="str">
        <f t="shared" si="62"/>
        <v/>
      </c>
      <c r="J271" s="36" t="str">
        <f t="shared" si="63"/>
        <v/>
      </c>
      <c r="K271" s="36" t="str">
        <f>IF(C271=1,IF(OR('KT THAN'!$D$36&lt;=0,$K$13&lt;=0,$K$15&lt;=0),0,$K$13*$K$8*$K$12/(TAN(RADIANS(I271))*$K$15)/1000),"")</f>
        <v/>
      </c>
      <c r="L271" s="36" t="str">
        <f t="shared" si="64"/>
        <v/>
      </c>
      <c r="M271" s="36">
        <f t="shared" si="65"/>
        <v>0</v>
      </c>
      <c r="N271" s="36" t="str">
        <f t="shared" si="66"/>
        <v/>
      </c>
      <c r="O271" s="36" t="str">
        <f t="shared" si="67"/>
        <v/>
      </c>
      <c r="P271" s="36" t="str">
        <f t="shared" si="68"/>
        <v/>
      </c>
      <c r="Q271" s="36" t="str">
        <f>IF(C271=1,IF('KT THAN'!$D$36&lt;=0,"KHÔNG YÊU CẦU",IF($K$15&lt;=P271,"ĐẠT","KHÔNG ĐẠT")),"")</f>
        <v/>
      </c>
      <c r="R271" s="36" t="str">
        <f t="shared" si="69"/>
        <v/>
      </c>
    </row>
    <row r="272" spans="1:18" hidden="1" outlineLevel="1" x14ac:dyDescent="0.3">
      <c r="A272" s="36" t="str">
        <f t="shared" si="58"/>
        <v/>
      </c>
      <c r="B272" s="36" t="str">
        <f>IF('TO HOP NLAN'!$A203="","",'TO HOP NLAN'!$A203)</f>
        <v/>
      </c>
      <c r="C272" s="36">
        <f t="shared" si="59"/>
        <v>0</v>
      </c>
      <c r="D272" s="36" t="str">
        <f>IF(C272=1,-'TO HOP NLAN'!$I203,"")</f>
        <v/>
      </c>
      <c r="E272" s="36" t="str">
        <f>IF(C272=1,ABS('TO HOP NLAN'!$K203),"")</f>
        <v/>
      </c>
      <c r="F272" s="36" t="str">
        <f>IF(C272=1,ABS('TO HOP NLAN'!$G203),"")</f>
        <v/>
      </c>
      <c r="G272" s="36" t="str">
        <f t="shared" si="60"/>
        <v/>
      </c>
      <c r="H272" s="36" t="str">
        <f t="shared" si="61"/>
        <v/>
      </c>
      <c r="I272" s="36" t="str">
        <f t="shared" si="62"/>
        <v/>
      </c>
      <c r="J272" s="36" t="str">
        <f t="shared" si="63"/>
        <v/>
      </c>
      <c r="K272" s="36" t="str">
        <f>IF(C272=1,IF(OR('KT THAN'!$D$36&lt;=0,$K$13&lt;=0,$K$15&lt;=0),0,$K$13*$K$8*$K$12/(TAN(RADIANS(I272))*$K$15)/1000),"")</f>
        <v/>
      </c>
      <c r="L272" s="36" t="str">
        <f t="shared" si="64"/>
        <v/>
      </c>
      <c r="M272" s="36">
        <f t="shared" si="65"/>
        <v>0</v>
      </c>
      <c r="N272" s="36" t="str">
        <f t="shared" si="66"/>
        <v/>
      </c>
      <c r="O272" s="36" t="str">
        <f t="shared" si="67"/>
        <v/>
      </c>
      <c r="P272" s="36" t="str">
        <f t="shared" si="68"/>
        <v/>
      </c>
      <c r="Q272" s="36" t="str">
        <f>IF(C272=1,IF('KT THAN'!$D$36&lt;=0,"KHÔNG YÊU CẦU",IF($K$15&lt;=P272,"ĐẠT","KHÔNG ĐẠT")),"")</f>
        <v/>
      </c>
      <c r="R272" s="36" t="str">
        <f t="shared" si="69"/>
        <v/>
      </c>
    </row>
    <row r="273" spans="1:18" hidden="1" outlineLevel="1" x14ac:dyDescent="0.3">
      <c r="A273" s="36" t="str">
        <f t="shared" si="58"/>
        <v/>
      </c>
      <c r="B273" s="36" t="str">
        <f>IF('TO HOP NLAN'!$A204="","",'TO HOP NLAN'!$A204)</f>
        <v/>
      </c>
      <c r="C273" s="36">
        <f t="shared" si="59"/>
        <v>0</v>
      </c>
      <c r="D273" s="36" t="str">
        <f>IF(C273=1,-'TO HOP NLAN'!$I204,"")</f>
        <v/>
      </c>
      <c r="E273" s="36" t="str">
        <f>IF(C273=1,ABS('TO HOP NLAN'!$K204),"")</f>
        <v/>
      </c>
      <c r="F273" s="36" t="str">
        <f>IF(C273=1,ABS('TO HOP NLAN'!$G204),"")</f>
        <v/>
      </c>
      <c r="G273" s="36" t="str">
        <f t="shared" si="60"/>
        <v/>
      </c>
      <c r="H273" s="36" t="str">
        <f t="shared" si="61"/>
        <v/>
      </c>
      <c r="I273" s="36" t="str">
        <f t="shared" si="62"/>
        <v/>
      </c>
      <c r="J273" s="36" t="str">
        <f t="shared" si="63"/>
        <v/>
      </c>
      <c r="K273" s="36" t="str">
        <f>IF(C273=1,IF(OR('KT THAN'!$D$36&lt;=0,$K$13&lt;=0,$K$15&lt;=0),0,$K$13*$K$8*$K$12/(TAN(RADIANS(I273))*$K$15)/1000),"")</f>
        <v/>
      </c>
      <c r="L273" s="36" t="str">
        <f t="shared" si="64"/>
        <v/>
      </c>
      <c r="M273" s="36">
        <f t="shared" si="65"/>
        <v>0</v>
      </c>
      <c r="N273" s="36" t="str">
        <f t="shared" si="66"/>
        <v/>
      </c>
      <c r="O273" s="36" t="str">
        <f t="shared" si="67"/>
        <v/>
      </c>
      <c r="P273" s="36" t="str">
        <f t="shared" si="68"/>
        <v/>
      </c>
      <c r="Q273" s="36" t="str">
        <f>IF(C273=1,IF('KT THAN'!$D$36&lt;=0,"KHÔNG YÊU CẦU",IF($K$15&lt;=P273,"ĐẠT","KHÔNG ĐẠT")),"")</f>
        <v/>
      </c>
      <c r="R273" s="36" t="str">
        <f t="shared" si="69"/>
        <v/>
      </c>
    </row>
    <row r="274" spans="1:18" hidden="1" outlineLevel="1" x14ac:dyDescent="0.3">
      <c r="A274" s="36" t="str">
        <f t="shared" si="58"/>
        <v/>
      </c>
      <c r="B274" s="36" t="str">
        <f>IF('TO HOP NLAN'!$A205="","",'TO HOP NLAN'!$A205)</f>
        <v/>
      </c>
      <c r="C274" s="36">
        <f t="shared" si="59"/>
        <v>0</v>
      </c>
      <c r="D274" s="36" t="str">
        <f>IF(C274=1,-'TO HOP NLAN'!$I205,"")</f>
        <v/>
      </c>
      <c r="E274" s="36" t="str">
        <f>IF(C274=1,ABS('TO HOP NLAN'!$K205),"")</f>
        <v/>
      </c>
      <c r="F274" s="36" t="str">
        <f>IF(C274=1,ABS('TO HOP NLAN'!$G205),"")</f>
        <v/>
      </c>
      <c r="G274" s="36" t="str">
        <f t="shared" si="60"/>
        <v/>
      </c>
      <c r="H274" s="36" t="str">
        <f t="shared" si="61"/>
        <v/>
      </c>
      <c r="I274" s="36" t="str">
        <f t="shared" si="62"/>
        <v/>
      </c>
      <c r="J274" s="36" t="str">
        <f t="shared" si="63"/>
        <v/>
      </c>
      <c r="K274" s="36" t="str">
        <f>IF(C274=1,IF(OR('KT THAN'!$D$36&lt;=0,$K$13&lt;=0,$K$15&lt;=0),0,$K$13*$K$8*$K$12/(TAN(RADIANS(I274))*$K$15)/1000),"")</f>
        <v/>
      </c>
      <c r="L274" s="36" t="str">
        <f t="shared" si="64"/>
        <v/>
      </c>
      <c r="M274" s="36">
        <f t="shared" si="65"/>
        <v>0</v>
      </c>
      <c r="N274" s="36" t="str">
        <f t="shared" si="66"/>
        <v/>
      </c>
      <c r="O274" s="36" t="str">
        <f t="shared" si="67"/>
        <v/>
      </c>
      <c r="P274" s="36" t="str">
        <f t="shared" si="68"/>
        <v/>
      </c>
      <c r="Q274" s="36" t="str">
        <f>IF(C274=1,IF('KT THAN'!$D$36&lt;=0,"KHÔNG YÊU CẦU",IF($K$15&lt;=P274,"ĐẠT","KHÔNG ĐẠT")),"")</f>
        <v/>
      </c>
      <c r="R274" s="36" t="str">
        <f t="shared" si="69"/>
        <v/>
      </c>
    </row>
    <row r="275" spans="1:18" hidden="1" outlineLevel="1" x14ac:dyDescent="0.3">
      <c r="A275" s="36" t="str">
        <f t="shared" si="58"/>
        <v/>
      </c>
      <c r="B275" s="36" t="str">
        <f>IF('TO HOP NLAN'!$A206="","",'TO HOP NLAN'!$A206)</f>
        <v/>
      </c>
      <c r="C275" s="36">
        <f t="shared" si="59"/>
        <v>0</v>
      </c>
      <c r="D275" s="36" t="str">
        <f>IF(C275=1,-'TO HOP NLAN'!$I206,"")</f>
        <v/>
      </c>
      <c r="E275" s="36" t="str">
        <f>IF(C275=1,ABS('TO HOP NLAN'!$K206),"")</f>
        <v/>
      </c>
      <c r="F275" s="36" t="str">
        <f>IF(C275=1,ABS('TO HOP NLAN'!$G206),"")</f>
        <v/>
      </c>
      <c r="G275" s="36" t="str">
        <f t="shared" si="60"/>
        <v/>
      </c>
      <c r="H275" s="36" t="str">
        <f t="shared" si="61"/>
        <v/>
      </c>
      <c r="I275" s="36" t="str">
        <f t="shared" si="62"/>
        <v/>
      </c>
      <c r="J275" s="36" t="str">
        <f t="shared" si="63"/>
        <v/>
      </c>
      <c r="K275" s="36" t="str">
        <f>IF(C275=1,IF(OR('KT THAN'!$D$36&lt;=0,$K$13&lt;=0,$K$15&lt;=0),0,$K$13*$K$8*$K$12/(TAN(RADIANS(I275))*$K$15)/1000),"")</f>
        <v/>
      </c>
      <c r="L275" s="36" t="str">
        <f t="shared" si="64"/>
        <v/>
      </c>
      <c r="M275" s="36">
        <f t="shared" si="65"/>
        <v>0</v>
      </c>
      <c r="N275" s="36" t="str">
        <f t="shared" si="66"/>
        <v/>
      </c>
      <c r="O275" s="36" t="str">
        <f t="shared" si="67"/>
        <v/>
      </c>
      <c r="P275" s="36" t="str">
        <f t="shared" si="68"/>
        <v/>
      </c>
      <c r="Q275" s="36" t="str">
        <f>IF(C275=1,IF('KT THAN'!$D$36&lt;=0,"KHÔNG YÊU CẦU",IF($K$15&lt;=P275,"ĐẠT","KHÔNG ĐẠT")),"")</f>
        <v/>
      </c>
      <c r="R275" s="36" t="str">
        <f t="shared" si="69"/>
        <v/>
      </c>
    </row>
    <row r="276" spans="1:18" hidden="1" outlineLevel="1" x14ac:dyDescent="0.3">
      <c r="A276" s="36" t="str">
        <f t="shared" si="58"/>
        <v/>
      </c>
      <c r="B276" s="36" t="str">
        <f>IF('TO HOP NLAN'!$A207="","",'TO HOP NLAN'!$A207)</f>
        <v/>
      </c>
      <c r="C276" s="36">
        <f t="shared" si="59"/>
        <v>0</v>
      </c>
      <c r="D276" s="36" t="str">
        <f>IF(C276=1,-'TO HOP NLAN'!$I207,"")</f>
        <v/>
      </c>
      <c r="E276" s="36" t="str">
        <f>IF(C276=1,ABS('TO HOP NLAN'!$K207),"")</f>
        <v/>
      </c>
      <c r="F276" s="36" t="str">
        <f>IF(C276=1,ABS('TO HOP NLAN'!$G207),"")</f>
        <v/>
      </c>
      <c r="G276" s="36" t="str">
        <f t="shared" si="60"/>
        <v/>
      </c>
      <c r="H276" s="36" t="str">
        <f t="shared" si="61"/>
        <v/>
      </c>
      <c r="I276" s="36" t="str">
        <f t="shared" si="62"/>
        <v/>
      </c>
      <c r="J276" s="36" t="str">
        <f t="shared" si="63"/>
        <v/>
      </c>
      <c r="K276" s="36" t="str">
        <f>IF(C276=1,IF(OR('KT THAN'!$D$36&lt;=0,$K$13&lt;=0,$K$15&lt;=0),0,$K$13*$K$8*$K$12/(TAN(RADIANS(I276))*$K$15)/1000),"")</f>
        <v/>
      </c>
      <c r="L276" s="36" t="str">
        <f t="shared" si="64"/>
        <v/>
      </c>
      <c r="M276" s="36">
        <f t="shared" si="65"/>
        <v>0</v>
      </c>
      <c r="N276" s="36" t="str">
        <f t="shared" si="66"/>
        <v/>
      </c>
      <c r="O276" s="36" t="str">
        <f t="shared" si="67"/>
        <v/>
      </c>
      <c r="P276" s="36" t="str">
        <f t="shared" si="68"/>
        <v/>
      </c>
      <c r="Q276" s="36" t="str">
        <f>IF(C276=1,IF('KT THAN'!$D$36&lt;=0,"KHÔNG YÊU CẦU",IF($K$15&lt;=P276,"ĐẠT","KHÔNG ĐẠT")),"")</f>
        <v/>
      </c>
      <c r="R276" s="36" t="str">
        <f t="shared" si="69"/>
        <v/>
      </c>
    </row>
    <row r="277" spans="1:18" hidden="1" outlineLevel="1" x14ac:dyDescent="0.3">
      <c r="A277" s="36" t="str">
        <f t="shared" si="58"/>
        <v/>
      </c>
      <c r="B277" s="36" t="str">
        <f>IF('TO HOP NLAN'!$A208="","",'TO HOP NLAN'!$A208)</f>
        <v/>
      </c>
      <c r="C277" s="36">
        <f t="shared" si="59"/>
        <v>0</v>
      </c>
      <c r="D277" s="36" t="str">
        <f>IF(C277=1,-'TO HOP NLAN'!$I208,"")</f>
        <v/>
      </c>
      <c r="E277" s="36" t="str">
        <f>IF(C277=1,ABS('TO HOP NLAN'!$K208),"")</f>
        <v/>
      </c>
      <c r="F277" s="36" t="str">
        <f>IF(C277=1,ABS('TO HOP NLAN'!$G208),"")</f>
        <v/>
      </c>
      <c r="G277" s="36" t="str">
        <f t="shared" si="60"/>
        <v/>
      </c>
      <c r="H277" s="36" t="str">
        <f t="shared" si="61"/>
        <v/>
      </c>
      <c r="I277" s="36" t="str">
        <f t="shared" si="62"/>
        <v/>
      </c>
      <c r="J277" s="36" t="str">
        <f t="shared" si="63"/>
        <v/>
      </c>
      <c r="K277" s="36" t="str">
        <f>IF(C277=1,IF(OR('KT THAN'!$D$36&lt;=0,$K$13&lt;=0,$K$15&lt;=0),0,$K$13*$K$8*$K$12/(TAN(RADIANS(I277))*$K$15)/1000),"")</f>
        <v/>
      </c>
      <c r="L277" s="36" t="str">
        <f t="shared" si="64"/>
        <v/>
      </c>
      <c r="M277" s="36">
        <f t="shared" si="65"/>
        <v>0</v>
      </c>
      <c r="N277" s="36" t="str">
        <f t="shared" si="66"/>
        <v/>
      </c>
      <c r="O277" s="36" t="str">
        <f t="shared" si="67"/>
        <v/>
      </c>
      <c r="P277" s="36" t="str">
        <f t="shared" si="68"/>
        <v/>
      </c>
      <c r="Q277" s="36" t="str">
        <f>IF(C277=1,IF('KT THAN'!$D$36&lt;=0,"KHÔNG YÊU CẦU",IF($K$15&lt;=P277,"ĐẠT","KHÔNG ĐẠT")),"")</f>
        <v/>
      </c>
      <c r="R277" s="36" t="str">
        <f t="shared" si="69"/>
        <v/>
      </c>
    </row>
    <row r="278" spans="1:18" hidden="1" outlineLevel="1" x14ac:dyDescent="0.3">
      <c r="A278" s="36" t="str">
        <f t="shared" si="58"/>
        <v/>
      </c>
      <c r="B278" s="36" t="str">
        <f>IF('TO HOP NLAN'!$A209="","",'TO HOP NLAN'!$A209)</f>
        <v/>
      </c>
      <c r="C278" s="36">
        <f t="shared" si="59"/>
        <v>0</v>
      </c>
      <c r="D278" s="36" t="str">
        <f>IF(C278=1,-'TO HOP NLAN'!$I209,"")</f>
        <v/>
      </c>
      <c r="E278" s="36" t="str">
        <f>IF(C278=1,ABS('TO HOP NLAN'!$K209),"")</f>
        <v/>
      </c>
      <c r="F278" s="36" t="str">
        <f>IF(C278=1,ABS('TO HOP NLAN'!$G209),"")</f>
        <v/>
      </c>
      <c r="G278" s="36" t="str">
        <f t="shared" si="60"/>
        <v/>
      </c>
      <c r="H278" s="36" t="str">
        <f t="shared" si="61"/>
        <v/>
      </c>
      <c r="I278" s="36" t="str">
        <f t="shared" si="62"/>
        <v/>
      </c>
      <c r="J278" s="36" t="str">
        <f t="shared" si="63"/>
        <v/>
      </c>
      <c r="K278" s="36" t="str">
        <f>IF(C278=1,IF(OR('KT THAN'!$D$36&lt;=0,$K$13&lt;=0,$K$15&lt;=0),0,$K$13*$K$8*$K$12/(TAN(RADIANS(I278))*$K$15)/1000),"")</f>
        <v/>
      </c>
      <c r="L278" s="36" t="str">
        <f t="shared" si="64"/>
        <v/>
      </c>
      <c r="M278" s="36">
        <f t="shared" si="65"/>
        <v>0</v>
      </c>
      <c r="N278" s="36" t="str">
        <f t="shared" si="66"/>
        <v/>
      </c>
      <c r="O278" s="36" t="str">
        <f t="shared" si="67"/>
        <v/>
      </c>
      <c r="P278" s="36" t="str">
        <f t="shared" si="68"/>
        <v/>
      </c>
      <c r="Q278" s="36" t="str">
        <f>IF(C278=1,IF('KT THAN'!$D$36&lt;=0,"KHÔNG YÊU CẦU",IF($K$15&lt;=P278,"ĐẠT","KHÔNG ĐẠT")),"")</f>
        <v/>
      </c>
      <c r="R278" s="36" t="str">
        <f t="shared" si="69"/>
        <v/>
      </c>
    </row>
    <row r="279" spans="1:18" hidden="1" outlineLevel="1" x14ac:dyDescent="0.3">
      <c r="A279" s="36" t="str">
        <f t="shared" si="58"/>
        <v/>
      </c>
      <c r="B279" s="36" t="str">
        <f>IF('TO HOP NLAN'!$A210="","",'TO HOP NLAN'!$A210)</f>
        <v/>
      </c>
      <c r="C279" s="36">
        <f t="shared" si="59"/>
        <v>0</v>
      </c>
      <c r="D279" s="36" t="str">
        <f>IF(C279=1,-'TO HOP NLAN'!$I210,"")</f>
        <v/>
      </c>
      <c r="E279" s="36" t="str">
        <f>IF(C279=1,ABS('TO HOP NLAN'!$K210),"")</f>
        <v/>
      </c>
      <c r="F279" s="36" t="str">
        <f>IF(C279=1,ABS('TO HOP NLAN'!$G210),"")</f>
        <v/>
      </c>
      <c r="G279" s="36" t="str">
        <f t="shared" si="60"/>
        <v/>
      </c>
      <c r="H279" s="36" t="str">
        <f t="shared" si="61"/>
        <v/>
      </c>
      <c r="I279" s="36" t="str">
        <f t="shared" si="62"/>
        <v/>
      </c>
      <c r="J279" s="36" t="str">
        <f t="shared" si="63"/>
        <v/>
      </c>
      <c r="K279" s="36" t="str">
        <f>IF(C279=1,IF(OR('KT THAN'!$D$36&lt;=0,$K$13&lt;=0,$K$15&lt;=0),0,$K$13*$K$8*$K$12/(TAN(RADIANS(I279))*$K$15)/1000),"")</f>
        <v/>
      </c>
      <c r="L279" s="36" t="str">
        <f t="shared" si="64"/>
        <v/>
      </c>
      <c r="M279" s="36">
        <f t="shared" si="65"/>
        <v>0</v>
      </c>
      <c r="N279" s="36" t="str">
        <f t="shared" si="66"/>
        <v/>
      </c>
      <c r="O279" s="36" t="str">
        <f t="shared" si="67"/>
        <v/>
      </c>
      <c r="P279" s="36" t="str">
        <f t="shared" si="68"/>
        <v/>
      </c>
      <c r="Q279" s="36" t="str">
        <f>IF(C279=1,IF('KT THAN'!$D$36&lt;=0,"KHÔNG YÊU CẦU",IF($K$15&lt;=P279,"ĐẠT","KHÔNG ĐẠT")),"")</f>
        <v/>
      </c>
      <c r="R279" s="36" t="str">
        <f t="shared" si="69"/>
        <v/>
      </c>
    </row>
    <row r="280" spans="1:18" hidden="1" outlineLevel="1" x14ac:dyDescent="0.3">
      <c r="A280" s="36" t="str">
        <f t="shared" si="58"/>
        <v/>
      </c>
      <c r="B280" s="36" t="str">
        <f>IF('TO HOP NLAN'!$A211="","",'TO HOP NLAN'!$A211)</f>
        <v/>
      </c>
      <c r="C280" s="36">
        <f t="shared" si="59"/>
        <v>0</v>
      </c>
      <c r="D280" s="36" t="str">
        <f>IF(C280=1,-'TO HOP NLAN'!$I211,"")</f>
        <v/>
      </c>
      <c r="E280" s="36" t="str">
        <f>IF(C280=1,ABS('TO HOP NLAN'!$K211),"")</f>
        <v/>
      </c>
      <c r="F280" s="36" t="str">
        <f>IF(C280=1,ABS('TO HOP NLAN'!$G211),"")</f>
        <v/>
      </c>
      <c r="G280" s="36" t="str">
        <f t="shared" si="60"/>
        <v/>
      </c>
      <c r="H280" s="36" t="str">
        <f t="shared" si="61"/>
        <v/>
      </c>
      <c r="I280" s="36" t="str">
        <f t="shared" si="62"/>
        <v/>
      </c>
      <c r="J280" s="36" t="str">
        <f t="shared" si="63"/>
        <v/>
      </c>
      <c r="K280" s="36" t="str">
        <f>IF(C280=1,IF(OR('KT THAN'!$D$36&lt;=0,$K$13&lt;=0,$K$15&lt;=0),0,$K$13*$K$8*$K$12/(TAN(RADIANS(I280))*$K$15)/1000),"")</f>
        <v/>
      </c>
      <c r="L280" s="36" t="str">
        <f t="shared" si="64"/>
        <v/>
      </c>
      <c r="M280" s="36">
        <f t="shared" si="65"/>
        <v>0</v>
      </c>
      <c r="N280" s="36" t="str">
        <f t="shared" si="66"/>
        <v/>
      </c>
      <c r="O280" s="36" t="str">
        <f t="shared" si="67"/>
        <v/>
      </c>
      <c r="P280" s="36" t="str">
        <f t="shared" si="68"/>
        <v/>
      </c>
      <c r="Q280" s="36" t="str">
        <f>IF(C280=1,IF('KT THAN'!$D$36&lt;=0,"KHÔNG YÊU CẦU",IF($K$15&lt;=P280,"ĐẠT","KHÔNG ĐẠT")),"")</f>
        <v/>
      </c>
      <c r="R280" s="36" t="str">
        <f t="shared" si="69"/>
        <v/>
      </c>
    </row>
    <row r="281" spans="1:18" hidden="1" outlineLevel="1" x14ac:dyDescent="0.3">
      <c r="A281" s="36" t="str">
        <f t="shared" si="58"/>
        <v/>
      </c>
      <c r="B281" s="36" t="str">
        <f>IF('TO HOP NLAN'!$A212="","",'TO HOP NLAN'!$A212)</f>
        <v/>
      </c>
      <c r="C281" s="36">
        <f t="shared" si="59"/>
        <v>0</v>
      </c>
      <c r="D281" s="36" t="str">
        <f>IF(C281=1,-'TO HOP NLAN'!$I212,"")</f>
        <v/>
      </c>
      <c r="E281" s="36" t="str">
        <f>IF(C281=1,ABS('TO HOP NLAN'!$K212),"")</f>
        <v/>
      </c>
      <c r="F281" s="36" t="str">
        <f>IF(C281=1,ABS('TO HOP NLAN'!$G212),"")</f>
        <v/>
      </c>
      <c r="G281" s="36" t="str">
        <f t="shared" si="60"/>
        <v/>
      </c>
      <c r="H281" s="36" t="str">
        <f t="shared" si="61"/>
        <v/>
      </c>
      <c r="I281" s="36" t="str">
        <f t="shared" si="62"/>
        <v/>
      </c>
      <c r="J281" s="36" t="str">
        <f t="shared" si="63"/>
        <v/>
      </c>
      <c r="K281" s="36" t="str">
        <f>IF(C281=1,IF(OR('KT THAN'!$D$36&lt;=0,$K$13&lt;=0,$K$15&lt;=0),0,$K$13*$K$8*$K$12/(TAN(RADIANS(I281))*$K$15)/1000),"")</f>
        <v/>
      </c>
      <c r="L281" s="36" t="str">
        <f t="shared" si="64"/>
        <v/>
      </c>
      <c r="M281" s="36">
        <f t="shared" si="65"/>
        <v>0</v>
      </c>
      <c r="N281" s="36" t="str">
        <f t="shared" si="66"/>
        <v/>
      </c>
      <c r="O281" s="36" t="str">
        <f t="shared" si="67"/>
        <v/>
      </c>
      <c r="P281" s="36" t="str">
        <f t="shared" si="68"/>
        <v/>
      </c>
      <c r="Q281" s="36" t="str">
        <f>IF(C281=1,IF('KT THAN'!$D$36&lt;=0,"KHÔNG YÊU CẦU",IF($K$15&lt;=P281,"ĐẠT","KHÔNG ĐẠT")),"")</f>
        <v/>
      </c>
      <c r="R281" s="36" t="str">
        <f t="shared" si="69"/>
        <v/>
      </c>
    </row>
    <row r="282" spans="1:18" hidden="1" outlineLevel="1" x14ac:dyDescent="0.3">
      <c r="A282" s="36" t="str">
        <f t="shared" si="58"/>
        <v/>
      </c>
      <c r="B282" s="36" t="str">
        <f>IF('TO HOP NLAN'!$A213="","",'TO HOP NLAN'!$A213)</f>
        <v/>
      </c>
      <c r="C282" s="36">
        <f t="shared" si="59"/>
        <v>0</v>
      </c>
      <c r="D282" s="36" t="str">
        <f>IF(C282=1,-'TO HOP NLAN'!$I213,"")</f>
        <v/>
      </c>
      <c r="E282" s="36" t="str">
        <f>IF(C282=1,ABS('TO HOP NLAN'!$K213),"")</f>
        <v/>
      </c>
      <c r="F282" s="36" t="str">
        <f>IF(C282=1,ABS('TO HOP NLAN'!$G213),"")</f>
        <v/>
      </c>
      <c r="G282" s="36" t="str">
        <f t="shared" si="60"/>
        <v/>
      </c>
      <c r="H282" s="36" t="str">
        <f t="shared" si="61"/>
        <v/>
      </c>
      <c r="I282" s="36" t="str">
        <f t="shared" si="62"/>
        <v/>
      </c>
      <c r="J282" s="36" t="str">
        <f t="shared" si="63"/>
        <v/>
      </c>
      <c r="K282" s="36" t="str">
        <f>IF(C282=1,IF(OR('KT THAN'!$D$36&lt;=0,$K$13&lt;=0,$K$15&lt;=0),0,$K$13*$K$8*$K$12/(TAN(RADIANS(I282))*$K$15)/1000),"")</f>
        <v/>
      </c>
      <c r="L282" s="36" t="str">
        <f t="shared" si="64"/>
        <v/>
      </c>
      <c r="M282" s="36">
        <f t="shared" si="65"/>
        <v>0</v>
      </c>
      <c r="N282" s="36" t="str">
        <f t="shared" si="66"/>
        <v/>
      </c>
      <c r="O282" s="36" t="str">
        <f t="shared" si="67"/>
        <v/>
      </c>
      <c r="P282" s="36" t="str">
        <f t="shared" si="68"/>
        <v/>
      </c>
      <c r="Q282" s="36" t="str">
        <f>IF(C282=1,IF('KT THAN'!$D$36&lt;=0,"KHÔNG YÊU CẦU",IF($K$15&lt;=P282,"ĐẠT","KHÔNG ĐẠT")),"")</f>
        <v/>
      </c>
      <c r="R282" s="36" t="str">
        <f t="shared" si="69"/>
        <v/>
      </c>
    </row>
    <row r="283" spans="1:18" hidden="1" outlineLevel="1" x14ac:dyDescent="0.3">
      <c r="A283" s="36" t="str">
        <f t="shared" si="58"/>
        <v/>
      </c>
      <c r="B283" s="36" t="str">
        <f>IF('TO HOP NLAN'!$A214="","",'TO HOP NLAN'!$A214)</f>
        <v/>
      </c>
      <c r="C283" s="36">
        <f t="shared" si="59"/>
        <v>0</v>
      </c>
      <c r="D283" s="36" t="str">
        <f>IF(C283=1,-'TO HOP NLAN'!$I214,"")</f>
        <v/>
      </c>
      <c r="E283" s="36" t="str">
        <f>IF(C283=1,ABS('TO HOP NLAN'!$K214),"")</f>
        <v/>
      </c>
      <c r="F283" s="36" t="str">
        <f>IF(C283=1,ABS('TO HOP NLAN'!$G214),"")</f>
        <v/>
      </c>
      <c r="G283" s="36" t="str">
        <f t="shared" si="60"/>
        <v/>
      </c>
      <c r="H283" s="36" t="str">
        <f t="shared" si="61"/>
        <v/>
      </c>
      <c r="I283" s="36" t="str">
        <f t="shared" si="62"/>
        <v/>
      </c>
      <c r="J283" s="36" t="str">
        <f t="shared" si="63"/>
        <v/>
      </c>
      <c r="K283" s="36" t="str">
        <f>IF(C283=1,IF(OR('KT THAN'!$D$36&lt;=0,$K$13&lt;=0,$K$15&lt;=0),0,$K$13*$K$8*$K$12/(TAN(RADIANS(I283))*$K$15)/1000),"")</f>
        <v/>
      </c>
      <c r="L283" s="36" t="str">
        <f t="shared" si="64"/>
        <v/>
      </c>
      <c r="M283" s="36">
        <f t="shared" si="65"/>
        <v>0</v>
      </c>
      <c r="N283" s="36" t="str">
        <f t="shared" si="66"/>
        <v/>
      </c>
      <c r="O283" s="36" t="str">
        <f t="shared" si="67"/>
        <v/>
      </c>
      <c r="P283" s="36" t="str">
        <f t="shared" si="68"/>
        <v/>
      </c>
      <c r="Q283" s="36" t="str">
        <f>IF(C283=1,IF('KT THAN'!$D$36&lt;=0,"KHÔNG YÊU CẦU",IF($K$15&lt;=P283,"ĐẠT","KHÔNG ĐẠT")),"")</f>
        <v/>
      </c>
      <c r="R283" s="36" t="str">
        <f t="shared" si="69"/>
        <v/>
      </c>
    </row>
    <row r="284" spans="1:18" hidden="1" outlineLevel="1" x14ac:dyDescent="0.3">
      <c r="A284" s="36" t="str">
        <f t="shared" si="58"/>
        <v/>
      </c>
      <c r="B284" s="36" t="str">
        <f>IF('TO HOP NLAN'!$A215="","",'TO HOP NLAN'!$A215)</f>
        <v/>
      </c>
      <c r="C284" s="36">
        <f t="shared" si="59"/>
        <v>0</v>
      </c>
      <c r="D284" s="36" t="str">
        <f>IF(C284=1,-'TO HOP NLAN'!$I215,"")</f>
        <v/>
      </c>
      <c r="E284" s="36" t="str">
        <f>IF(C284=1,ABS('TO HOP NLAN'!$K215),"")</f>
        <v/>
      </c>
      <c r="F284" s="36" t="str">
        <f>IF(C284=1,ABS('TO HOP NLAN'!$G215),"")</f>
        <v/>
      </c>
      <c r="G284" s="36" t="str">
        <f t="shared" si="60"/>
        <v/>
      </c>
      <c r="H284" s="36" t="str">
        <f t="shared" si="61"/>
        <v/>
      </c>
      <c r="I284" s="36" t="str">
        <f t="shared" si="62"/>
        <v/>
      </c>
      <c r="J284" s="36" t="str">
        <f t="shared" si="63"/>
        <v/>
      </c>
      <c r="K284" s="36" t="str">
        <f>IF(C284=1,IF(OR('KT THAN'!$D$36&lt;=0,$K$13&lt;=0,$K$15&lt;=0),0,$K$13*$K$8*$K$12/(TAN(RADIANS(I284))*$K$15)/1000),"")</f>
        <v/>
      </c>
      <c r="L284" s="36" t="str">
        <f t="shared" si="64"/>
        <v/>
      </c>
      <c r="M284" s="36">
        <f t="shared" si="65"/>
        <v>0</v>
      </c>
      <c r="N284" s="36" t="str">
        <f t="shared" si="66"/>
        <v/>
      </c>
      <c r="O284" s="36" t="str">
        <f t="shared" si="67"/>
        <v/>
      </c>
      <c r="P284" s="36" t="str">
        <f t="shared" si="68"/>
        <v/>
      </c>
      <c r="Q284" s="36" t="str">
        <f>IF(C284=1,IF('KT THAN'!$D$36&lt;=0,"KHÔNG YÊU CẦU",IF($K$15&lt;=P284,"ĐẠT","KHÔNG ĐẠT")),"")</f>
        <v/>
      </c>
      <c r="R284" s="36" t="str">
        <f t="shared" si="69"/>
        <v/>
      </c>
    </row>
    <row r="285" spans="1:18" hidden="1" outlineLevel="1" x14ac:dyDescent="0.3">
      <c r="A285" s="36" t="str">
        <f t="shared" si="58"/>
        <v/>
      </c>
      <c r="B285" s="36" t="str">
        <f>IF('TO HOP NLAN'!$A216="","",'TO HOP NLAN'!$A216)</f>
        <v/>
      </c>
      <c r="C285" s="36">
        <f t="shared" si="59"/>
        <v>0</v>
      </c>
      <c r="D285" s="36" t="str">
        <f>IF(C285=1,-'TO HOP NLAN'!$I216,"")</f>
        <v/>
      </c>
      <c r="E285" s="36" t="str">
        <f>IF(C285=1,ABS('TO HOP NLAN'!$K216),"")</f>
        <v/>
      </c>
      <c r="F285" s="36" t="str">
        <f>IF(C285=1,ABS('TO HOP NLAN'!$G216),"")</f>
        <v/>
      </c>
      <c r="G285" s="36" t="str">
        <f t="shared" si="60"/>
        <v/>
      </c>
      <c r="H285" s="36" t="str">
        <f t="shared" si="61"/>
        <v/>
      </c>
      <c r="I285" s="36" t="str">
        <f t="shared" si="62"/>
        <v/>
      </c>
      <c r="J285" s="36" t="str">
        <f t="shared" si="63"/>
        <v/>
      </c>
      <c r="K285" s="36" t="str">
        <f>IF(C285=1,IF(OR('KT THAN'!$D$36&lt;=0,$K$13&lt;=0,$K$15&lt;=0),0,$K$13*$K$8*$K$12/(TAN(RADIANS(I285))*$K$15)/1000),"")</f>
        <v/>
      </c>
      <c r="L285" s="36" t="str">
        <f t="shared" si="64"/>
        <v/>
      </c>
      <c r="M285" s="36">
        <f t="shared" si="65"/>
        <v>0</v>
      </c>
      <c r="N285" s="36" t="str">
        <f t="shared" si="66"/>
        <v/>
      </c>
      <c r="O285" s="36" t="str">
        <f t="shared" si="67"/>
        <v/>
      </c>
      <c r="P285" s="36" t="str">
        <f t="shared" si="68"/>
        <v/>
      </c>
      <c r="Q285" s="36" t="str">
        <f>IF(C285=1,IF('KT THAN'!$D$36&lt;=0,"KHÔNG YÊU CẦU",IF($K$15&lt;=P285,"ĐẠT","KHÔNG ĐẠT")),"")</f>
        <v/>
      </c>
      <c r="R285" s="36" t="str">
        <f t="shared" si="69"/>
        <v/>
      </c>
    </row>
    <row r="286" spans="1:18" hidden="1" outlineLevel="1" x14ac:dyDescent="0.3">
      <c r="A286" s="36" t="str">
        <f t="shared" si="58"/>
        <v/>
      </c>
      <c r="B286" s="36" t="str">
        <f>IF('TO HOP NLAN'!$A217="","",'TO HOP NLAN'!$A217)</f>
        <v/>
      </c>
      <c r="C286" s="36">
        <f t="shared" si="59"/>
        <v>0</v>
      </c>
      <c r="D286" s="36" t="str">
        <f>IF(C286=1,-'TO HOP NLAN'!$I217,"")</f>
        <v/>
      </c>
      <c r="E286" s="36" t="str">
        <f>IF(C286=1,ABS('TO HOP NLAN'!$K217),"")</f>
        <v/>
      </c>
      <c r="F286" s="36" t="str">
        <f>IF(C286=1,ABS('TO HOP NLAN'!$G217),"")</f>
        <v/>
      </c>
      <c r="G286" s="36" t="str">
        <f t="shared" si="60"/>
        <v/>
      </c>
      <c r="H286" s="36" t="str">
        <f t="shared" si="61"/>
        <v/>
      </c>
      <c r="I286" s="36" t="str">
        <f t="shared" si="62"/>
        <v/>
      </c>
      <c r="J286" s="36" t="str">
        <f t="shared" si="63"/>
        <v/>
      </c>
      <c r="K286" s="36" t="str">
        <f>IF(C286=1,IF(OR('KT THAN'!$D$36&lt;=0,$K$13&lt;=0,$K$15&lt;=0),0,$K$13*$K$8*$K$12/(TAN(RADIANS(I286))*$K$15)/1000),"")</f>
        <v/>
      </c>
      <c r="L286" s="36" t="str">
        <f t="shared" si="64"/>
        <v/>
      </c>
      <c r="M286" s="36">
        <f t="shared" si="65"/>
        <v>0</v>
      </c>
      <c r="N286" s="36" t="str">
        <f t="shared" si="66"/>
        <v/>
      </c>
      <c r="O286" s="36" t="str">
        <f t="shared" si="67"/>
        <v/>
      </c>
      <c r="P286" s="36" t="str">
        <f t="shared" si="68"/>
        <v/>
      </c>
      <c r="Q286" s="36" t="str">
        <f>IF(C286=1,IF('KT THAN'!$D$36&lt;=0,"KHÔNG YÊU CẦU",IF($K$15&lt;=P286,"ĐẠT","KHÔNG ĐẠT")),"")</f>
        <v/>
      </c>
      <c r="R286" s="36" t="str">
        <f t="shared" si="69"/>
        <v/>
      </c>
    </row>
    <row r="287" spans="1:18" hidden="1" outlineLevel="1" x14ac:dyDescent="0.3">
      <c r="A287" s="36" t="str">
        <f t="shared" si="58"/>
        <v/>
      </c>
      <c r="B287" s="36" t="str">
        <f>IF('TO HOP NLAN'!$A218="","",'TO HOP NLAN'!$A218)</f>
        <v/>
      </c>
      <c r="C287" s="36">
        <f t="shared" si="59"/>
        <v>0</v>
      </c>
      <c r="D287" s="36" t="str">
        <f>IF(C287=1,-'TO HOP NLAN'!$I218,"")</f>
        <v/>
      </c>
      <c r="E287" s="36" t="str">
        <f>IF(C287=1,ABS('TO HOP NLAN'!$K218),"")</f>
        <v/>
      </c>
      <c r="F287" s="36" t="str">
        <f>IF(C287=1,ABS('TO HOP NLAN'!$G218),"")</f>
        <v/>
      </c>
      <c r="G287" s="36" t="str">
        <f t="shared" si="60"/>
        <v/>
      </c>
      <c r="H287" s="36" t="str">
        <f t="shared" si="61"/>
        <v/>
      </c>
      <c r="I287" s="36" t="str">
        <f t="shared" si="62"/>
        <v/>
      </c>
      <c r="J287" s="36" t="str">
        <f t="shared" si="63"/>
        <v/>
      </c>
      <c r="K287" s="36" t="str">
        <f>IF(C287=1,IF(OR('KT THAN'!$D$36&lt;=0,$K$13&lt;=0,$K$15&lt;=0),0,$K$13*$K$8*$K$12/(TAN(RADIANS(I287))*$K$15)/1000),"")</f>
        <v/>
      </c>
      <c r="L287" s="36" t="str">
        <f t="shared" si="64"/>
        <v/>
      </c>
      <c r="M287" s="36">
        <f t="shared" si="65"/>
        <v>0</v>
      </c>
      <c r="N287" s="36" t="str">
        <f t="shared" si="66"/>
        <v/>
      </c>
      <c r="O287" s="36" t="str">
        <f t="shared" si="67"/>
        <v/>
      </c>
      <c r="P287" s="36" t="str">
        <f t="shared" si="68"/>
        <v/>
      </c>
      <c r="Q287" s="36" t="str">
        <f>IF(C287=1,IF('KT THAN'!$D$36&lt;=0,"KHÔNG YÊU CẦU",IF($K$15&lt;=P287,"ĐẠT","KHÔNG ĐẠT")),"")</f>
        <v/>
      </c>
      <c r="R287" s="36" t="str">
        <f t="shared" si="69"/>
        <v/>
      </c>
    </row>
    <row r="288" spans="1:18" hidden="1" outlineLevel="1" x14ac:dyDescent="0.3">
      <c r="A288" s="36" t="str">
        <f t="shared" si="58"/>
        <v/>
      </c>
      <c r="B288" s="36" t="str">
        <f>IF('TO HOP NLAN'!$A219="","",'TO HOP NLAN'!$A219)</f>
        <v/>
      </c>
      <c r="C288" s="36">
        <f t="shared" si="59"/>
        <v>0</v>
      </c>
      <c r="D288" s="36" t="str">
        <f>IF(C288=1,-'TO HOP NLAN'!$I219,"")</f>
        <v/>
      </c>
      <c r="E288" s="36" t="str">
        <f>IF(C288=1,ABS('TO HOP NLAN'!$K219),"")</f>
        <v/>
      </c>
      <c r="F288" s="36" t="str">
        <f>IF(C288=1,ABS('TO HOP NLAN'!$G219),"")</f>
        <v/>
      </c>
      <c r="G288" s="36" t="str">
        <f t="shared" si="60"/>
        <v/>
      </c>
      <c r="H288" s="36" t="str">
        <f t="shared" si="61"/>
        <v/>
      </c>
      <c r="I288" s="36" t="str">
        <f t="shared" si="62"/>
        <v/>
      </c>
      <c r="J288" s="36" t="str">
        <f t="shared" si="63"/>
        <v/>
      </c>
      <c r="K288" s="36" t="str">
        <f>IF(C288=1,IF(OR('KT THAN'!$D$36&lt;=0,$K$13&lt;=0,$K$15&lt;=0),0,$K$13*$K$8*$K$12/(TAN(RADIANS(I288))*$K$15)/1000),"")</f>
        <v/>
      </c>
      <c r="L288" s="36" t="str">
        <f t="shared" si="64"/>
        <v/>
      </c>
      <c r="M288" s="36">
        <f t="shared" si="65"/>
        <v>0</v>
      </c>
      <c r="N288" s="36" t="str">
        <f t="shared" si="66"/>
        <v/>
      </c>
      <c r="O288" s="36" t="str">
        <f t="shared" si="67"/>
        <v/>
      </c>
      <c r="P288" s="36" t="str">
        <f t="shared" si="68"/>
        <v/>
      </c>
      <c r="Q288" s="36" t="str">
        <f>IF(C288=1,IF('KT THAN'!$D$36&lt;=0,"KHÔNG YÊU CẦU",IF($K$15&lt;=P288,"ĐẠT","KHÔNG ĐẠT")),"")</f>
        <v/>
      </c>
      <c r="R288" s="36" t="str">
        <f t="shared" si="69"/>
        <v/>
      </c>
    </row>
    <row r="289" spans="1:18" hidden="1" outlineLevel="1" x14ac:dyDescent="0.3">
      <c r="A289" s="36" t="str">
        <f t="shared" si="58"/>
        <v/>
      </c>
      <c r="B289" s="36" t="str">
        <f>IF('TO HOP NLAN'!$A220="","",'TO HOP NLAN'!$A220)</f>
        <v/>
      </c>
      <c r="C289" s="36">
        <f t="shared" si="59"/>
        <v>0</v>
      </c>
      <c r="D289" s="36" t="str">
        <f>IF(C289=1,-'TO HOP NLAN'!$I220,"")</f>
        <v/>
      </c>
      <c r="E289" s="36" t="str">
        <f>IF(C289=1,ABS('TO HOP NLAN'!$K220),"")</f>
        <v/>
      </c>
      <c r="F289" s="36" t="str">
        <f>IF(C289=1,ABS('TO HOP NLAN'!$G220),"")</f>
        <v/>
      </c>
      <c r="G289" s="36" t="str">
        <f t="shared" si="60"/>
        <v/>
      </c>
      <c r="H289" s="36" t="str">
        <f t="shared" si="61"/>
        <v/>
      </c>
      <c r="I289" s="36" t="str">
        <f t="shared" si="62"/>
        <v/>
      </c>
      <c r="J289" s="36" t="str">
        <f t="shared" si="63"/>
        <v/>
      </c>
      <c r="K289" s="36" t="str">
        <f>IF(C289=1,IF(OR('KT THAN'!$D$36&lt;=0,$K$13&lt;=0,$K$15&lt;=0),0,$K$13*$K$8*$K$12/(TAN(RADIANS(I289))*$K$15)/1000),"")</f>
        <v/>
      </c>
      <c r="L289" s="36" t="str">
        <f t="shared" si="64"/>
        <v/>
      </c>
      <c r="M289" s="36">
        <f t="shared" si="65"/>
        <v>0</v>
      </c>
      <c r="N289" s="36" t="str">
        <f t="shared" si="66"/>
        <v/>
      </c>
      <c r="O289" s="36" t="str">
        <f t="shared" si="67"/>
        <v/>
      </c>
      <c r="P289" s="36" t="str">
        <f t="shared" si="68"/>
        <v/>
      </c>
      <c r="Q289" s="36" t="str">
        <f>IF(C289=1,IF('KT THAN'!$D$36&lt;=0,"KHÔNG YÊU CẦU",IF($K$15&lt;=P289,"ĐẠT","KHÔNG ĐẠT")),"")</f>
        <v/>
      </c>
      <c r="R289" s="36" t="str">
        <f t="shared" si="69"/>
        <v/>
      </c>
    </row>
    <row r="290" spans="1:18" hidden="1" outlineLevel="1" x14ac:dyDescent="0.3">
      <c r="A290" s="36" t="str">
        <f t="shared" si="58"/>
        <v/>
      </c>
      <c r="B290" s="36" t="str">
        <f>IF('TO HOP NLAN'!$A221="","",'TO HOP NLAN'!$A221)</f>
        <v/>
      </c>
      <c r="C290" s="36">
        <f t="shared" si="59"/>
        <v>0</v>
      </c>
      <c r="D290" s="36" t="str">
        <f>IF(C290=1,-'TO HOP NLAN'!$I221,"")</f>
        <v/>
      </c>
      <c r="E290" s="36" t="str">
        <f>IF(C290=1,ABS('TO HOP NLAN'!$K221),"")</f>
        <v/>
      </c>
      <c r="F290" s="36" t="str">
        <f>IF(C290=1,ABS('TO HOP NLAN'!$G221),"")</f>
        <v/>
      </c>
      <c r="G290" s="36" t="str">
        <f t="shared" si="60"/>
        <v/>
      </c>
      <c r="H290" s="36" t="str">
        <f t="shared" si="61"/>
        <v/>
      </c>
      <c r="I290" s="36" t="str">
        <f t="shared" si="62"/>
        <v/>
      </c>
      <c r="J290" s="36" t="str">
        <f t="shared" si="63"/>
        <v/>
      </c>
      <c r="K290" s="36" t="str">
        <f>IF(C290=1,IF(OR('KT THAN'!$D$36&lt;=0,$K$13&lt;=0,$K$15&lt;=0),0,$K$13*$K$8*$K$12/(TAN(RADIANS(I290))*$K$15)/1000),"")</f>
        <v/>
      </c>
      <c r="L290" s="36" t="str">
        <f t="shared" si="64"/>
        <v/>
      </c>
      <c r="M290" s="36">
        <f t="shared" si="65"/>
        <v>0</v>
      </c>
      <c r="N290" s="36" t="str">
        <f t="shared" si="66"/>
        <v/>
      </c>
      <c r="O290" s="36" t="str">
        <f t="shared" si="67"/>
        <v/>
      </c>
      <c r="P290" s="36" t="str">
        <f t="shared" si="68"/>
        <v/>
      </c>
      <c r="Q290" s="36" t="str">
        <f>IF(C290=1,IF('KT THAN'!$D$36&lt;=0,"KHÔNG YÊU CẦU",IF($K$15&lt;=P290,"ĐẠT","KHÔNG ĐẠT")),"")</f>
        <v/>
      </c>
      <c r="R290" s="36" t="str">
        <f t="shared" si="69"/>
        <v/>
      </c>
    </row>
    <row r="291" spans="1:18" hidden="1" outlineLevel="1" x14ac:dyDescent="0.3">
      <c r="A291" s="36" t="str">
        <f t="shared" si="58"/>
        <v/>
      </c>
      <c r="B291" s="36" t="str">
        <f>IF('TO HOP NLAN'!$A222="","",'TO HOP NLAN'!$A222)</f>
        <v/>
      </c>
      <c r="C291" s="36">
        <f t="shared" si="59"/>
        <v>0</v>
      </c>
      <c r="D291" s="36" t="str">
        <f>IF(C291=1,-'TO HOP NLAN'!$I222,"")</f>
        <v/>
      </c>
      <c r="E291" s="36" t="str">
        <f>IF(C291=1,ABS('TO HOP NLAN'!$K222),"")</f>
        <v/>
      </c>
      <c r="F291" s="36" t="str">
        <f>IF(C291=1,ABS('TO HOP NLAN'!$G222),"")</f>
        <v/>
      </c>
      <c r="G291" s="36" t="str">
        <f t="shared" si="60"/>
        <v/>
      </c>
      <c r="H291" s="36" t="str">
        <f t="shared" si="61"/>
        <v/>
      </c>
      <c r="I291" s="36" t="str">
        <f t="shared" si="62"/>
        <v/>
      </c>
      <c r="J291" s="36" t="str">
        <f t="shared" si="63"/>
        <v/>
      </c>
      <c r="K291" s="36" t="str">
        <f>IF(C291=1,IF(OR('KT THAN'!$D$36&lt;=0,$K$13&lt;=0,$K$15&lt;=0),0,$K$13*$K$8*$K$12/(TAN(RADIANS(I291))*$K$15)/1000),"")</f>
        <v/>
      </c>
      <c r="L291" s="36" t="str">
        <f t="shared" si="64"/>
        <v/>
      </c>
      <c r="M291" s="36">
        <f t="shared" si="65"/>
        <v>0</v>
      </c>
      <c r="N291" s="36" t="str">
        <f t="shared" si="66"/>
        <v/>
      </c>
      <c r="O291" s="36" t="str">
        <f t="shared" si="67"/>
        <v/>
      </c>
      <c r="P291" s="36" t="str">
        <f t="shared" si="68"/>
        <v/>
      </c>
      <c r="Q291" s="36" t="str">
        <f>IF(C291=1,IF('KT THAN'!$D$36&lt;=0,"KHÔNG YÊU CẦU",IF($K$15&lt;=P291,"ĐẠT","KHÔNG ĐẠT")),"")</f>
        <v/>
      </c>
      <c r="R291" s="36" t="str">
        <f t="shared" si="69"/>
        <v/>
      </c>
    </row>
    <row r="292" spans="1:18" hidden="1" outlineLevel="1" x14ac:dyDescent="0.3">
      <c r="A292" s="36" t="str">
        <f t="shared" si="58"/>
        <v/>
      </c>
      <c r="B292" s="36" t="str">
        <f>IF('TO HOP NLAN'!$A223="","",'TO HOP NLAN'!$A223)</f>
        <v/>
      </c>
      <c r="C292" s="36">
        <f t="shared" si="59"/>
        <v>0</v>
      </c>
      <c r="D292" s="36" t="str">
        <f>IF(C292=1,-'TO HOP NLAN'!$I223,"")</f>
        <v/>
      </c>
      <c r="E292" s="36" t="str">
        <f>IF(C292=1,ABS('TO HOP NLAN'!$K223),"")</f>
        <v/>
      </c>
      <c r="F292" s="36" t="str">
        <f>IF(C292=1,ABS('TO HOP NLAN'!$G223),"")</f>
        <v/>
      </c>
      <c r="G292" s="36" t="str">
        <f t="shared" si="60"/>
        <v/>
      </c>
      <c r="H292" s="36" t="str">
        <f t="shared" si="61"/>
        <v/>
      </c>
      <c r="I292" s="36" t="str">
        <f t="shared" si="62"/>
        <v/>
      </c>
      <c r="J292" s="36" t="str">
        <f t="shared" si="63"/>
        <v/>
      </c>
      <c r="K292" s="36" t="str">
        <f>IF(C292=1,IF(OR('KT THAN'!$D$36&lt;=0,$K$13&lt;=0,$K$15&lt;=0),0,$K$13*$K$8*$K$12/(TAN(RADIANS(I292))*$K$15)/1000),"")</f>
        <v/>
      </c>
      <c r="L292" s="36" t="str">
        <f t="shared" si="64"/>
        <v/>
      </c>
      <c r="M292" s="36">
        <f t="shared" si="65"/>
        <v>0</v>
      </c>
      <c r="N292" s="36" t="str">
        <f t="shared" si="66"/>
        <v/>
      </c>
      <c r="O292" s="36" t="str">
        <f t="shared" si="67"/>
        <v/>
      </c>
      <c r="P292" s="36" t="str">
        <f t="shared" si="68"/>
        <v/>
      </c>
      <c r="Q292" s="36" t="str">
        <f>IF(C292=1,IF('KT THAN'!$D$36&lt;=0,"KHÔNG YÊU CẦU",IF($K$15&lt;=P292,"ĐẠT","KHÔNG ĐẠT")),"")</f>
        <v/>
      </c>
      <c r="R292" s="36" t="str">
        <f t="shared" si="69"/>
        <v/>
      </c>
    </row>
    <row r="293" spans="1:18" hidden="1" outlineLevel="1" x14ac:dyDescent="0.3">
      <c r="A293" s="36" t="str">
        <f t="shared" si="58"/>
        <v/>
      </c>
      <c r="B293" s="36" t="str">
        <f>IF('TO HOP NLAN'!$A224="","",'TO HOP NLAN'!$A224)</f>
        <v/>
      </c>
      <c r="C293" s="36">
        <f t="shared" si="59"/>
        <v>0</v>
      </c>
      <c r="D293" s="36" t="str">
        <f>IF(C293=1,-'TO HOP NLAN'!$I224,"")</f>
        <v/>
      </c>
      <c r="E293" s="36" t="str">
        <f>IF(C293=1,ABS('TO HOP NLAN'!$K224),"")</f>
        <v/>
      </c>
      <c r="F293" s="36" t="str">
        <f>IF(C293=1,ABS('TO HOP NLAN'!$G224),"")</f>
        <v/>
      </c>
      <c r="G293" s="36" t="str">
        <f t="shared" si="60"/>
        <v/>
      </c>
      <c r="H293" s="36" t="str">
        <f t="shared" si="61"/>
        <v/>
      </c>
      <c r="I293" s="36" t="str">
        <f t="shared" si="62"/>
        <v/>
      </c>
      <c r="J293" s="36" t="str">
        <f t="shared" si="63"/>
        <v/>
      </c>
      <c r="K293" s="36" t="str">
        <f>IF(C293=1,IF(OR('KT THAN'!$D$36&lt;=0,$K$13&lt;=0,$K$15&lt;=0),0,$K$13*$K$8*$K$12/(TAN(RADIANS(I293))*$K$15)/1000),"")</f>
        <v/>
      </c>
      <c r="L293" s="36" t="str">
        <f t="shared" si="64"/>
        <v/>
      </c>
      <c r="M293" s="36">
        <f t="shared" si="65"/>
        <v>0</v>
      </c>
      <c r="N293" s="36" t="str">
        <f t="shared" si="66"/>
        <v/>
      </c>
      <c r="O293" s="36" t="str">
        <f t="shared" si="67"/>
        <v/>
      </c>
      <c r="P293" s="36" t="str">
        <f t="shared" si="68"/>
        <v/>
      </c>
      <c r="Q293" s="36" t="str">
        <f>IF(C293=1,IF('KT THAN'!$D$36&lt;=0,"KHÔNG YÊU CẦU",IF($K$15&lt;=P293,"ĐẠT","KHÔNG ĐẠT")),"")</f>
        <v/>
      </c>
      <c r="R293" s="36" t="str">
        <f t="shared" si="69"/>
        <v/>
      </c>
    </row>
    <row r="294" spans="1:18" hidden="1" outlineLevel="1" x14ac:dyDescent="0.3">
      <c r="A294" s="36" t="str">
        <f t="shared" si="58"/>
        <v/>
      </c>
      <c r="B294" s="36" t="str">
        <f>IF('TO HOP NLAN'!$A225="","",'TO HOP NLAN'!$A225)</f>
        <v/>
      </c>
      <c r="C294" s="36">
        <f t="shared" si="59"/>
        <v>0</v>
      </c>
      <c r="D294" s="36" t="str">
        <f>IF(C294=1,-'TO HOP NLAN'!$I225,"")</f>
        <v/>
      </c>
      <c r="E294" s="36" t="str">
        <f>IF(C294=1,ABS('TO HOP NLAN'!$K225),"")</f>
        <v/>
      </c>
      <c r="F294" s="36" t="str">
        <f>IF(C294=1,ABS('TO HOP NLAN'!$G225),"")</f>
        <v/>
      </c>
      <c r="G294" s="36" t="str">
        <f t="shared" si="60"/>
        <v/>
      </c>
      <c r="H294" s="36" t="str">
        <f t="shared" si="61"/>
        <v/>
      </c>
      <c r="I294" s="36" t="str">
        <f t="shared" si="62"/>
        <v/>
      </c>
      <c r="J294" s="36" t="str">
        <f t="shared" si="63"/>
        <v/>
      </c>
      <c r="K294" s="36" t="str">
        <f>IF(C294=1,IF(OR('KT THAN'!$D$36&lt;=0,$K$13&lt;=0,$K$15&lt;=0),0,$K$13*$K$8*$K$12/(TAN(RADIANS(I294))*$K$15)/1000),"")</f>
        <v/>
      </c>
      <c r="L294" s="36" t="str">
        <f t="shared" si="64"/>
        <v/>
      </c>
      <c r="M294" s="36">
        <f t="shared" si="65"/>
        <v>0</v>
      </c>
      <c r="N294" s="36" t="str">
        <f t="shared" si="66"/>
        <v/>
      </c>
      <c r="O294" s="36" t="str">
        <f t="shared" si="67"/>
        <v/>
      </c>
      <c r="P294" s="36" t="str">
        <f t="shared" si="68"/>
        <v/>
      </c>
      <c r="Q294" s="36" t="str">
        <f>IF(C294=1,IF('KT THAN'!$D$36&lt;=0,"KHÔNG YÊU CẦU",IF($K$15&lt;=P294,"ĐẠT","KHÔNG ĐẠT")),"")</f>
        <v/>
      </c>
      <c r="R294" s="36" t="str">
        <f t="shared" si="69"/>
        <v/>
      </c>
    </row>
    <row r="295" spans="1:18" hidden="1" outlineLevel="1" x14ac:dyDescent="0.3">
      <c r="A295" s="36" t="str">
        <f t="shared" si="58"/>
        <v/>
      </c>
      <c r="B295" s="36" t="str">
        <f>IF('TO HOP NLAN'!$A226="","",'TO HOP NLAN'!$A226)</f>
        <v/>
      </c>
      <c r="C295" s="36">
        <f t="shared" si="59"/>
        <v>0</v>
      </c>
      <c r="D295" s="36" t="str">
        <f>IF(C295=1,-'TO HOP NLAN'!$I226,"")</f>
        <v/>
      </c>
      <c r="E295" s="36" t="str">
        <f>IF(C295=1,ABS('TO HOP NLAN'!$K226),"")</f>
        <v/>
      </c>
      <c r="F295" s="36" t="str">
        <f>IF(C295=1,ABS('TO HOP NLAN'!$G226),"")</f>
        <v/>
      </c>
      <c r="G295" s="36" t="str">
        <f t="shared" si="60"/>
        <v/>
      </c>
      <c r="H295" s="36" t="str">
        <f t="shared" si="61"/>
        <v/>
      </c>
      <c r="I295" s="36" t="str">
        <f t="shared" si="62"/>
        <v/>
      </c>
      <c r="J295" s="36" t="str">
        <f t="shared" si="63"/>
        <v/>
      </c>
      <c r="K295" s="36" t="str">
        <f>IF(C295=1,IF(OR('KT THAN'!$D$36&lt;=0,$K$13&lt;=0,$K$15&lt;=0),0,$K$13*$K$8*$K$12/(TAN(RADIANS(I295))*$K$15)/1000),"")</f>
        <v/>
      </c>
      <c r="L295" s="36" t="str">
        <f t="shared" si="64"/>
        <v/>
      </c>
      <c r="M295" s="36">
        <f t="shared" si="65"/>
        <v>0</v>
      </c>
      <c r="N295" s="36" t="str">
        <f t="shared" si="66"/>
        <v/>
      </c>
      <c r="O295" s="36" t="str">
        <f t="shared" si="67"/>
        <v/>
      </c>
      <c r="P295" s="36" t="str">
        <f t="shared" si="68"/>
        <v/>
      </c>
      <c r="Q295" s="36" t="str">
        <f>IF(C295=1,IF('KT THAN'!$D$36&lt;=0,"KHÔNG YÊU CẦU",IF($K$15&lt;=P295,"ĐẠT","KHÔNG ĐẠT")),"")</f>
        <v/>
      </c>
      <c r="R295" s="36" t="str">
        <f t="shared" si="69"/>
        <v/>
      </c>
    </row>
    <row r="296" spans="1:18" hidden="1" outlineLevel="1" x14ac:dyDescent="0.3">
      <c r="A296" s="36" t="str">
        <f t="shared" si="58"/>
        <v/>
      </c>
      <c r="B296" s="36" t="str">
        <f>IF('TO HOP NLAN'!$A227="","",'TO HOP NLAN'!$A227)</f>
        <v/>
      </c>
      <c r="C296" s="36">
        <f t="shared" si="59"/>
        <v>0</v>
      </c>
      <c r="D296" s="36" t="str">
        <f>IF(C296=1,-'TO HOP NLAN'!$I227,"")</f>
        <v/>
      </c>
      <c r="E296" s="36" t="str">
        <f>IF(C296=1,ABS('TO HOP NLAN'!$K227),"")</f>
        <v/>
      </c>
      <c r="F296" s="36" t="str">
        <f>IF(C296=1,ABS('TO HOP NLAN'!$G227),"")</f>
        <v/>
      </c>
      <c r="G296" s="36" t="str">
        <f t="shared" si="60"/>
        <v/>
      </c>
      <c r="H296" s="36" t="str">
        <f t="shared" si="61"/>
        <v/>
      </c>
      <c r="I296" s="36" t="str">
        <f t="shared" si="62"/>
        <v/>
      </c>
      <c r="J296" s="36" t="str">
        <f t="shared" si="63"/>
        <v/>
      </c>
      <c r="K296" s="36" t="str">
        <f>IF(C296=1,IF(OR('KT THAN'!$D$36&lt;=0,$K$13&lt;=0,$K$15&lt;=0),0,$K$13*$K$8*$K$12/(TAN(RADIANS(I296))*$K$15)/1000),"")</f>
        <v/>
      </c>
      <c r="L296" s="36" t="str">
        <f t="shared" si="64"/>
        <v/>
      </c>
      <c r="M296" s="36">
        <f t="shared" si="65"/>
        <v>0</v>
      </c>
      <c r="N296" s="36" t="str">
        <f t="shared" si="66"/>
        <v/>
      </c>
      <c r="O296" s="36" t="str">
        <f t="shared" si="67"/>
        <v/>
      </c>
      <c r="P296" s="36" t="str">
        <f t="shared" si="68"/>
        <v/>
      </c>
      <c r="Q296" s="36" t="str">
        <f>IF(C296=1,IF('KT THAN'!$D$36&lt;=0,"KHÔNG YÊU CẦU",IF($K$15&lt;=P296,"ĐẠT","KHÔNG ĐẠT")),"")</f>
        <v/>
      </c>
      <c r="R296" s="36" t="str">
        <f t="shared" si="69"/>
        <v/>
      </c>
    </row>
    <row r="297" spans="1:18" hidden="1" outlineLevel="1" x14ac:dyDescent="0.3">
      <c r="A297" s="36" t="str">
        <f t="shared" si="58"/>
        <v/>
      </c>
      <c r="B297" s="36" t="str">
        <f>IF('TO HOP NLAN'!$A228="","",'TO HOP NLAN'!$A228)</f>
        <v/>
      </c>
      <c r="C297" s="36">
        <f t="shared" si="59"/>
        <v>0</v>
      </c>
      <c r="D297" s="36" t="str">
        <f>IF(C297=1,-'TO HOP NLAN'!$I228,"")</f>
        <v/>
      </c>
      <c r="E297" s="36" t="str">
        <f>IF(C297=1,ABS('TO HOP NLAN'!$K228),"")</f>
        <v/>
      </c>
      <c r="F297" s="36" t="str">
        <f>IF(C297=1,ABS('TO HOP NLAN'!$G228),"")</f>
        <v/>
      </c>
      <c r="G297" s="36" t="str">
        <f t="shared" si="60"/>
        <v/>
      </c>
      <c r="H297" s="36" t="str">
        <f t="shared" si="61"/>
        <v/>
      </c>
      <c r="I297" s="36" t="str">
        <f t="shared" si="62"/>
        <v/>
      </c>
      <c r="J297" s="36" t="str">
        <f t="shared" si="63"/>
        <v/>
      </c>
      <c r="K297" s="36" t="str">
        <f>IF(C297=1,IF(OR('KT THAN'!$D$36&lt;=0,$K$13&lt;=0,$K$15&lt;=0),0,$K$13*$K$8*$K$12/(TAN(RADIANS(I297))*$K$15)/1000),"")</f>
        <v/>
      </c>
      <c r="L297" s="36" t="str">
        <f t="shared" si="64"/>
        <v/>
      </c>
      <c r="M297" s="36">
        <f t="shared" si="65"/>
        <v>0</v>
      </c>
      <c r="N297" s="36" t="str">
        <f t="shared" si="66"/>
        <v/>
      </c>
      <c r="O297" s="36" t="str">
        <f t="shared" si="67"/>
        <v/>
      </c>
      <c r="P297" s="36" t="str">
        <f t="shared" si="68"/>
        <v/>
      </c>
      <c r="Q297" s="36" t="str">
        <f>IF(C297=1,IF('KT THAN'!$D$36&lt;=0,"KHÔNG YÊU CẦU",IF($K$15&lt;=P297,"ĐẠT","KHÔNG ĐẠT")),"")</f>
        <v/>
      </c>
      <c r="R297" s="36" t="str">
        <f t="shared" si="69"/>
        <v/>
      </c>
    </row>
    <row r="298" spans="1:18" hidden="1" outlineLevel="1" x14ac:dyDescent="0.3">
      <c r="A298" s="36" t="str">
        <f t="shared" si="58"/>
        <v/>
      </c>
      <c r="B298" s="36" t="str">
        <f>IF('TO HOP NLAN'!$A229="","",'TO HOP NLAN'!$A229)</f>
        <v/>
      </c>
      <c r="C298" s="36">
        <f t="shared" si="59"/>
        <v>0</v>
      </c>
      <c r="D298" s="36" t="str">
        <f>IF(C298=1,-'TO HOP NLAN'!$I229,"")</f>
        <v/>
      </c>
      <c r="E298" s="36" t="str">
        <f>IF(C298=1,ABS('TO HOP NLAN'!$K229),"")</f>
        <v/>
      </c>
      <c r="F298" s="36" t="str">
        <f>IF(C298=1,ABS('TO HOP NLAN'!$G229),"")</f>
        <v/>
      </c>
      <c r="G298" s="36" t="str">
        <f t="shared" si="60"/>
        <v/>
      </c>
      <c r="H298" s="36" t="str">
        <f t="shared" si="61"/>
        <v/>
      </c>
      <c r="I298" s="36" t="str">
        <f t="shared" si="62"/>
        <v/>
      </c>
      <c r="J298" s="36" t="str">
        <f t="shared" si="63"/>
        <v/>
      </c>
      <c r="K298" s="36" t="str">
        <f>IF(C298=1,IF(OR('KT THAN'!$D$36&lt;=0,$K$13&lt;=0,$K$15&lt;=0),0,$K$13*$K$8*$K$12/(TAN(RADIANS(I298))*$K$15)/1000),"")</f>
        <v/>
      </c>
      <c r="L298" s="36" t="str">
        <f t="shared" si="64"/>
        <v/>
      </c>
      <c r="M298" s="36">
        <f t="shared" si="65"/>
        <v>0</v>
      </c>
      <c r="N298" s="36" t="str">
        <f t="shared" si="66"/>
        <v/>
      </c>
      <c r="O298" s="36" t="str">
        <f t="shared" si="67"/>
        <v/>
      </c>
      <c r="P298" s="36" t="str">
        <f t="shared" si="68"/>
        <v/>
      </c>
      <c r="Q298" s="36" t="str">
        <f>IF(C298=1,IF('KT THAN'!$D$36&lt;=0,"KHÔNG YÊU CẦU",IF($K$15&lt;=P298,"ĐẠT","KHÔNG ĐẠT")),"")</f>
        <v/>
      </c>
      <c r="R298" s="36" t="str">
        <f t="shared" si="69"/>
        <v/>
      </c>
    </row>
    <row r="299" spans="1:18" hidden="1" outlineLevel="1" x14ac:dyDescent="0.3">
      <c r="A299" s="36" t="str">
        <f t="shared" si="58"/>
        <v/>
      </c>
      <c r="B299" s="36" t="str">
        <f>IF('TO HOP NLAN'!$A230="","",'TO HOP NLAN'!$A230)</f>
        <v/>
      </c>
      <c r="C299" s="36">
        <f t="shared" si="59"/>
        <v>0</v>
      </c>
      <c r="D299" s="36" t="str">
        <f>IF(C299=1,-'TO HOP NLAN'!$I230,"")</f>
        <v/>
      </c>
      <c r="E299" s="36" t="str">
        <f>IF(C299=1,ABS('TO HOP NLAN'!$K230),"")</f>
        <v/>
      </c>
      <c r="F299" s="36" t="str">
        <f>IF(C299=1,ABS('TO HOP NLAN'!$G230),"")</f>
        <v/>
      </c>
      <c r="G299" s="36" t="str">
        <f t="shared" si="60"/>
        <v/>
      </c>
      <c r="H299" s="36" t="str">
        <f t="shared" si="61"/>
        <v/>
      </c>
      <c r="I299" s="36" t="str">
        <f t="shared" si="62"/>
        <v/>
      </c>
      <c r="J299" s="36" t="str">
        <f t="shared" si="63"/>
        <v/>
      </c>
      <c r="K299" s="36" t="str">
        <f>IF(C299=1,IF(OR('KT THAN'!$D$36&lt;=0,$K$13&lt;=0,$K$15&lt;=0),0,$K$13*$K$8*$K$12/(TAN(RADIANS(I299))*$K$15)/1000),"")</f>
        <v/>
      </c>
      <c r="L299" s="36" t="str">
        <f t="shared" si="64"/>
        <v/>
      </c>
      <c r="M299" s="36">
        <f t="shared" si="65"/>
        <v>0</v>
      </c>
      <c r="N299" s="36" t="str">
        <f t="shared" si="66"/>
        <v/>
      </c>
      <c r="O299" s="36" t="str">
        <f t="shared" si="67"/>
        <v/>
      </c>
      <c r="P299" s="36" t="str">
        <f t="shared" si="68"/>
        <v/>
      </c>
      <c r="Q299" s="36" t="str">
        <f>IF(C299=1,IF('KT THAN'!$D$36&lt;=0,"KHÔNG YÊU CẦU",IF($K$15&lt;=P299,"ĐẠT","KHÔNG ĐẠT")),"")</f>
        <v/>
      </c>
      <c r="R299" s="36" t="str">
        <f t="shared" si="69"/>
        <v/>
      </c>
    </row>
    <row r="300" spans="1:18" hidden="1" outlineLevel="1" x14ac:dyDescent="0.3">
      <c r="A300" s="36" t="str">
        <f t="shared" si="58"/>
        <v/>
      </c>
      <c r="B300" s="36" t="str">
        <f>IF('TO HOP NLAN'!$A231="","",'TO HOP NLAN'!$A231)</f>
        <v/>
      </c>
      <c r="C300" s="36">
        <f t="shared" si="59"/>
        <v>0</v>
      </c>
      <c r="D300" s="36" t="str">
        <f>IF(C300=1,-'TO HOP NLAN'!$I231,"")</f>
        <v/>
      </c>
      <c r="E300" s="36" t="str">
        <f>IF(C300=1,ABS('TO HOP NLAN'!$K231),"")</f>
        <v/>
      </c>
      <c r="F300" s="36" t="str">
        <f>IF(C300=1,ABS('TO HOP NLAN'!$G231),"")</f>
        <v/>
      </c>
      <c r="G300" s="36" t="str">
        <f t="shared" si="60"/>
        <v/>
      </c>
      <c r="H300" s="36" t="str">
        <f t="shared" si="61"/>
        <v/>
      </c>
      <c r="I300" s="36" t="str">
        <f t="shared" si="62"/>
        <v/>
      </c>
      <c r="J300" s="36" t="str">
        <f t="shared" si="63"/>
        <v/>
      </c>
      <c r="K300" s="36" t="str">
        <f>IF(C300=1,IF(OR('KT THAN'!$D$36&lt;=0,$K$13&lt;=0,$K$15&lt;=0),0,$K$13*$K$8*$K$12/(TAN(RADIANS(I300))*$K$15)/1000),"")</f>
        <v/>
      </c>
      <c r="L300" s="36" t="str">
        <f t="shared" si="64"/>
        <v/>
      </c>
      <c r="M300" s="36">
        <f t="shared" si="65"/>
        <v>0</v>
      </c>
      <c r="N300" s="36" t="str">
        <f t="shared" si="66"/>
        <v/>
      </c>
      <c r="O300" s="36" t="str">
        <f t="shared" si="67"/>
        <v/>
      </c>
      <c r="P300" s="36" t="str">
        <f t="shared" si="68"/>
        <v/>
      </c>
      <c r="Q300" s="36" t="str">
        <f>IF(C300=1,IF('KT THAN'!$D$36&lt;=0,"KHÔNG YÊU CẦU",IF($K$15&lt;=P300,"ĐẠT","KHÔNG ĐẠT")),"")</f>
        <v/>
      </c>
      <c r="R300" s="36" t="str">
        <f t="shared" si="69"/>
        <v/>
      </c>
    </row>
    <row r="301" spans="1:18" hidden="1" outlineLevel="1" x14ac:dyDescent="0.3">
      <c r="A301" s="36" t="str">
        <f t="shared" si="58"/>
        <v/>
      </c>
      <c r="B301" s="36" t="str">
        <f>IF('TO HOP NLAN'!$A232="","",'TO HOP NLAN'!$A232)</f>
        <v/>
      </c>
      <c r="C301" s="36">
        <f t="shared" si="59"/>
        <v>0</v>
      </c>
      <c r="D301" s="36" t="str">
        <f>IF(C301=1,-'TO HOP NLAN'!$I232,"")</f>
        <v/>
      </c>
      <c r="E301" s="36" t="str">
        <f>IF(C301=1,ABS('TO HOP NLAN'!$K232),"")</f>
        <v/>
      </c>
      <c r="F301" s="36" t="str">
        <f>IF(C301=1,ABS('TO HOP NLAN'!$G232),"")</f>
        <v/>
      </c>
      <c r="G301" s="36" t="str">
        <f t="shared" si="60"/>
        <v/>
      </c>
      <c r="H301" s="36" t="str">
        <f t="shared" si="61"/>
        <v/>
      </c>
      <c r="I301" s="36" t="str">
        <f t="shared" si="62"/>
        <v/>
      </c>
      <c r="J301" s="36" t="str">
        <f t="shared" si="63"/>
        <v/>
      </c>
      <c r="K301" s="36" t="str">
        <f>IF(C301=1,IF(OR('KT THAN'!$D$36&lt;=0,$K$13&lt;=0,$K$15&lt;=0),0,$K$13*$K$8*$K$12/(TAN(RADIANS(I301))*$K$15)/1000),"")</f>
        <v/>
      </c>
      <c r="L301" s="36" t="str">
        <f t="shared" si="64"/>
        <v/>
      </c>
      <c r="M301" s="36">
        <f t="shared" si="65"/>
        <v>0</v>
      </c>
      <c r="N301" s="36" t="str">
        <f t="shared" si="66"/>
        <v/>
      </c>
      <c r="O301" s="36" t="str">
        <f t="shared" si="67"/>
        <v/>
      </c>
      <c r="P301" s="36" t="str">
        <f t="shared" si="68"/>
        <v/>
      </c>
      <c r="Q301" s="36" t="str">
        <f>IF(C301=1,IF('KT THAN'!$D$36&lt;=0,"KHÔNG YÊU CẦU",IF($K$15&lt;=P301,"ĐẠT","KHÔNG ĐẠT")),"")</f>
        <v/>
      </c>
      <c r="R301" s="36" t="str">
        <f t="shared" si="69"/>
        <v/>
      </c>
    </row>
    <row r="302" spans="1:18" hidden="1" outlineLevel="1" x14ac:dyDescent="0.3">
      <c r="A302" s="36" t="str">
        <f t="shared" si="58"/>
        <v/>
      </c>
      <c r="B302" s="36" t="str">
        <f>IF('TO HOP NLAN'!$A233="","",'TO HOP NLAN'!$A233)</f>
        <v/>
      </c>
      <c r="C302" s="36">
        <f t="shared" si="59"/>
        <v>0</v>
      </c>
      <c r="D302" s="36" t="str">
        <f>IF(C302=1,-'TO HOP NLAN'!$I233,"")</f>
        <v/>
      </c>
      <c r="E302" s="36" t="str">
        <f>IF(C302=1,ABS('TO HOP NLAN'!$K233),"")</f>
        <v/>
      </c>
      <c r="F302" s="36" t="str">
        <f>IF(C302=1,ABS('TO HOP NLAN'!$G233),"")</f>
        <v/>
      </c>
      <c r="G302" s="36" t="str">
        <f t="shared" si="60"/>
        <v/>
      </c>
      <c r="H302" s="36" t="str">
        <f t="shared" si="61"/>
        <v/>
      </c>
      <c r="I302" s="36" t="str">
        <f t="shared" si="62"/>
        <v/>
      </c>
      <c r="J302" s="36" t="str">
        <f t="shared" si="63"/>
        <v/>
      </c>
      <c r="K302" s="36" t="str">
        <f>IF(C302=1,IF(OR('KT THAN'!$D$36&lt;=0,$K$13&lt;=0,$K$15&lt;=0),0,$K$13*$K$8*$K$12/(TAN(RADIANS(I302))*$K$15)/1000),"")</f>
        <v/>
      </c>
      <c r="L302" s="36" t="str">
        <f t="shared" si="64"/>
        <v/>
      </c>
      <c r="M302" s="36">
        <f t="shared" si="65"/>
        <v>0</v>
      </c>
      <c r="N302" s="36" t="str">
        <f t="shared" si="66"/>
        <v/>
      </c>
      <c r="O302" s="36" t="str">
        <f t="shared" si="67"/>
        <v/>
      </c>
      <c r="P302" s="36" t="str">
        <f t="shared" si="68"/>
        <v/>
      </c>
      <c r="Q302" s="36" t="str">
        <f>IF(C302=1,IF('KT THAN'!$D$36&lt;=0,"KHÔNG YÊU CẦU",IF($K$15&lt;=P302,"ĐẠT","KHÔNG ĐẠT")),"")</f>
        <v/>
      </c>
      <c r="R302" s="36" t="str">
        <f t="shared" si="69"/>
        <v/>
      </c>
    </row>
    <row r="303" spans="1:18" hidden="1" outlineLevel="1" x14ac:dyDescent="0.3">
      <c r="A303" s="36" t="str">
        <f t="shared" si="58"/>
        <v/>
      </c>
      <c r="B303" s="36" t="str">
        <f>IF('TO HOP NLAN'!$A234="","",'TO HOP NLAN'!$A234)</f>
        <v/>
      </c>
      <c r="C303" s="36">
        <f t="shared" si="59"/>
        <v>0</v>
      </c>
      <c r="D303" s="36" t="str">
        <f>IF(C303=1,-'TO HOP NLAN'!$I234,"")</f>
        <v/>
      </c>
      <c r="E303" s="36" t="str">
        <f>IF(C303=1,ABS('TO HOP NLAN'!$K234),"")</f>
        <v/>
      </c>
      <c r="F303" s="36" t="str">
        <f>IF(C303=1,ABS('TO HOP NLAN'!$G234),"")</f>
        <v/>
      </c>
      <c r="G303" s="36" t="str">
        <f t="shared" si="60"/>
        <v/>
      </c>
      <c r="H303" s="36" t="str">
        <f t="shared" si="61"/>
        <v/>
      </c>
      <c r="I303" s="36" t="str">
        <f t="shared" si="62"/>
        <v/>
      </c>
      <c r="J303" s="36" t="str">
        <f t="shared" si="63"/>
        <v/>
      </c>
      <c r="K303" s="36" t="str">
        <f>IF(C303=1,IF(OR('KT THAN'!$D$36&lt;=0,$K$13&lt;=0,$K$15&lt;=0),0,$K$13*$K$8*$K$12/(TAN(RADIANS(I303))*$K$15)/1000),"")</f>
        <v/>
      </c>
      <c r="L303" s="36" t="str">
        <f t="shared" si="64"/>
        <v/>
      </c>
      <c r="M303" s="36">
        <f t="shared" si="65"/>
        <v>0</v>
      </c>
      <c r="N303" s="36" t="str">
        <f t="shared" si="66"/>
        <v/>
      </c>
      <c r="O303" s="36" t="str">
        <f t="shared" si="67"/>
        <v/>
      </c>
      <c r="P303" s="36" t="str">
        <f t="shared" si="68"/>
        <v/>
      </c>
      <c r="Q303" s="36" t="str">
        <f>IF(C303=1,IF('KT THAN'!$D$36&lt;=0,"KHÔNG YÊU CẦU",IF($K$15&lt;=P303,"ĐẠT","KHÔNG ĐẠT")),"")</f>
        <v/>
      </c>
      <c r="R303" s="36" t="str">
        <f t="shared" si="69"/>
        <v/>
      </c>
    </row>
    <row r="304" spans="1:18" hidden="1" outlineLevel="1" x14ac:dyDescent="0.3">
      <c r="A304" s="36" t="str">
        <f t="shared" si="58"/>
        <v/>
      </c>
      <c r="B304" s="36" t="str">
        <f>IF('TO HOP NLAN'!$A235="","",'TO HOP NLAN'!$A235)</f>
        <v/>
      </c>
      <c r="C304" s="36">
        <f t="shared" si="59"/>
        <v>0</v>
      </c>
      <c r="D304" s="36" t="str">
        <f>IF(C304=1,-'TO HOP NLAN'!$I235,"")</f>
        <v/>
      </c>
      <c r="E304" s="36" t="str">
        <f>IF(C304=1,ABS('TO HOP NLAN'!$K235),"")</f>
        <v/>
      </c>
      <c r="F304" s="36" t="str">
        <f>IF(C304=1,ABS('TO HOP NLAN'!$G235),"")</f>
        <v/>
      </c>
      <c r="G304" s="36" t="str">
        <f t="shared" si="60"/>
        <v/>
      </c>
      <c r="H304" s="36" t="str">
        <f t="shared" si="61"/>
        <v/>
      </c>
      <c r="I304" s="36" t="str">
        <f t="shared" si="62"/>
        <v/>
      </c>
      <c r="J304" s="36" t="str">
        <f t="shared" si="63"/>
        <v/>
      </c>
      <c r="K304" s="36" t="str">
        <f>IF(C304=1,IF(OR('KT THAN'!$D$36&lt;=0,$K$13&lt;=0,$K$15&lt;=0),0,$K$13*$K$8*$K$12/(TAN(RADIANS(I304))*$K$15)/1000),"")</f>
        <v/>
      </c>
      <c r="L304" s="36" t="str">
        <f t="shared" si="64"/>
        <v/>
      </c>
      <c r="M304" s="36">
        <f t="shared" si="65"/>
        <v>0</v>
      </c>
      <c r="N304" s="36" t="str">
        <f t="shared" si="66"/>
        <v/>
      </c>
      <c r="O304" s="36" t="str">
        <f t="shared" si="67"/>
        <v/>
      </c>
      <c r="P304" s="36" t="str">
        <f t="shared" si="68"/>
        <v/>
      </c>
      <c r="Q304" s="36" t="str">
        <f>IF(C304=1,IF('KT THAN'!$D$36&lt;=0,"KHÔNG YÊU CẦU",IF($K$15&lt;=P304,"ĐẠT","KHÔNG ĐẠT")),"")</f>
        <v/>
      </c>
      <c r="R304" s="36" t="str">
        <f t="shared" si="69"/>
        <v/>
      </c>
    </row>
    <row r="305" spans="1:18" hidden="1" outlineLevel="1" x14ac:dyDescent="0.3">
      <c r="A305" s="36" t="str">
        <f t="shared" si="58"/>
        <v/>
      </c>
      <c r="B305" s="36" t="str">
        <f>IF('TO HOP NLAN'!$A236="","",'TO HOP NLAN'!$A236)</f>
        <v/>
      </c>
      <c r="C305" s="36">
        <f t="shared" si="59"/>
        <v>0</v>
      </c>
      <c r="D305" s="36" t="str">
        <f>IF(C305=1,-'TO HOP NLAN'!$I236,"")</f>
        <v/>
      </c>
      <c r="E305" s="36" t="str">
        <f>IF(C305=1,ABS('TO HOP NLAN'!$K236),"")</f>
        <v/>
      </c>
      <c r="F305" s="36" t="str">
        <f>IF(C305=1,ABS('TO HOP NLAN'!$G236),"")</f>
        <v/>
      </c>
      <c r="G305" s="36" t="str">
        <f t="shared" si="60"/>
        <v/>
      </c>
      <c r="H305" s="36" t="str">
        <f t="shared" si="61"/>
        <v/>
      </c>
      <c r="I305" s="36" t="str">
        <f t="shared" si="62"/>
        <v/>
      </c>
      <c r="J305" s="36" t="str">
        <f t="shared" si="63"/>
        <v/>
      </c>
      <c r="K305" s="36" t="str">
        <f>IF(C305=1,IF(OR('KT THAN'!$D$36&lt;=0,$K$13&lt;=0,$K$15&lt;=0),0,$K$13*$K$8*$K$12/(TAN(RADIANS(I305))*$K$15)/1000),"")</f>
        <v/>
      </c>
      <c r="L305" s="36" t="str">
        <f t="shared" si="64"/>
        <v/>
      </c>
      <c r="M305" s="36">
        <f t="shared" si="65"/>
        <v>0</v>
      </c>
      <c r="N305" s="36" t="str">
        <f t="shared" si="66"/>
        <v/>
      </c>
      <c r="O305" s="36" t="str">
        <f t="shared" si="67"/>
        <v/>
      </c>
      <c r="P305" s="36" t="str">
        <f t="shared" si="68"/>
        <v/>
      </c>
      <c r="Q305" s="36" t="str">
        <f>IF(C305=1,IF('KT THAN'!$D$36&lt;=0,"KHÔNG YÊU CẦU",IF($K$15&lt;=P305,"ĐẠT","KHÔNG ĐẠT")),"")</f>
        <v/>
      </c>
      <c r="R305" s="36" t="str">
        <f t="shared" si="69"/>
        <v/>
      </c>
    </row>
    <row r="306" spans="1:18" hidden="1" outlineLevel="1" x14ac:dyDescent="0.3">
      <c r="A306" s="36" t="str">
        <f t="shared" si="58"/>
        <v/>
      </c>
      <c r="B306" s="36" t="str">
        <f>IF('TO HOP NLAN'!$A237="","",'TO HOP NLAN'!$A237)</f>
        <v/>
      </c>
      <c r="C306" s="36">
        <f t="shared" si="59"/>
        <v>0</v>
      </c>
      <c r="D306" s="36" t="str">
        <f>IF(C306=1,-'TO HOP NLAN'!$I237,"")</f>
        <v/>
      </c>
      <c r="E306" s="36" t="str">
        <f>IF(C306=1,ABS('TO HOP NLAN'!$K237),"")</f>
        <v/>
      </c>
      <c r="F306" s="36" t="str">
        <f>IF(C306=1,ABS('TO HOP NLAN'!$G237),"")</f>
        <v/>
      </c>
      <c r="G306" s="36" t="str">
        <f t="shared" si="60"/>
        <v/>
      </c>
      <c r="H306" s="36" t="str">
        <f t="shared" si="61"/>
        <v/>
      </c>
      <c r="I306" s="36" t="str">
        <f t="shared" si="62"/>
        <v/>
      </c>
      <c r="J306" s="36" t="str">
        <f t="shared" si="63"/>
        <v/>
      </c>
      <c r="K306" s="36" t="str">
        <f>IF(C306=1,IF(OR('KT THAN'!$D$36&lt;=0,$K$13&lt;=0,$K$15&lt;=0),0,$K$13*$K$8*$K$12/(TAN(RADIANS(I306))*$K$15)/1000),"")</f>
        <v/>
      </c>
      <c r="L306" s="36" t="str">
        <f t="shared" si="64"/>
        <v/>
      </c>
      <c r="M306" s="36">
        <f t="shared" si="65"/>
        <v>0</v>
      </c>
      <c r="N306" s="36" t="str">
        <f t="shared" si="66"/>
        <v/>
      </c>
      <c r="O306" s="36" t="str">
        <f t="shared" si="67"/>
        <v/>
      </c>
      <c r="P306" s="36" t="str">
        <f t="shared" si="68"/>
        <v/>
      </c>
      <c r="Q306" s="36" t="str">
        <f>IF(C306=1,IF('KT THAN'!$D$36&lt;=0,"KHÔNG YÊU CẦU",IF($K$15&lt;=P306,"ĐẠT","KHÔNG ĐẠT")),"")</f>
        <v/>
      </c>
      <c r="R306" s="36" t="str">
        <f t="shared" si="69"/>
        <v/>
      </c>
    </row>
    <row r="307" spans="1:18" hidden="1" outlineLevel="1" x14ac:dyDescent="0.3">
      <c r="A307" s="36" t="str">
        <f t="shared" si="58"/>
        <v/>
      </c>
      <c r="B307" s="36" t="str">
        <f>IF('TO HOP NLAN'!$A238="","",'TO HOP NLAN'!$A238)</f>
        <v/>
      </c>
      <c r="C307" s="36">
        <f t="shared" si="59"/>
        <v>0</v>
      </c>
      <c r="D307" s="36" t="str">
        <f>IF(C307=1,-'TO HOP NLAN'!$I238,"")</f>
        <v/>
      </c>
      <c r="E307" s="36" t="str">
        <f>IF(C307=1,ABS('TO HOP NLAN'!$K238),"")</f>
        <v/>
      </c>
      <c r="F307" s="36" t="str">
        <f>IF(C307=1,ABS('TO HOP NLAN'!$G238),"")</f>
        <v/>
      </c>
      <c r="G307" s="36" t="str">
        <f t="shared" si="60"/>
        <v/>
      </c>
      <c r="H307" s="36" t="str">
        <f t="shared" si="61"/>
        <v/>
      </c>
      <c r="I307" s="36" t="str">
        <f t="shared" si="62"/>
        <v/>
      </c>
      <c r="J307" s="36" t="str">
        <f t="shared" si="63"/>
        <v/>
      </c>
      <c r="K307" s="36" t="str">
        <f>IF(C307=1,IF(OR('KT THAN'!$D$36&lt;=0,$K$13&lt;=0,$K$15&lt;=0),0,$K$13*$K$8*$K$12/(TAN(RADIANS(I307))*$K$15)/1000),"")</f>
        <v/>
      </c>
      <c r="L307" s="36" t="str">
        <f t="shared" si="64"/>
        <v/>
      </c>
      <c r="M307" s="36">
        <f t="shared" si="65"/>
        <v>0</v>
      </c>
      <c r="N307" s="36" t="str">
        <f t="shared" si="66"/>
        <v/>
      </c>
      <c r="O307" s="36" t="str">
        <f t="shared" si="67"/>
        <v/>
      </c>
      <c r="P307" s="36" t="str">
        <f t="shared" si="68"/>
        <v/>
      </c>
      <c r="Q307" s="36" t="str">
        <f>IF(C307=1,IF('KT THAN'!$D$36&lt;=0,"KHÔNG YÊU CẦU",IF($K$15&lt;=P307,"ĐẠT","KHÔNG ĐẠT")),"")</f>
        <v/>
      </c>
      <c r="R307" s="36" t="str">
        <f t="shared" si="69"/>
        <v/>
      </c>
    </row>
    <row r="308" spans="1:18" hidden="1" outlineLevel="1" x14ac:dyDescent="0.3">
      <c r="A308" s="36" t="str">
        <f t="shared" si="58"/>
        <v/>
      </c>
      <c r="B308" s="36" t="str">
        <f>IF('TO HOP NLAN'!$A239="","",'TO HOP NLAN'!$A239)</f>
        <v/>
      </c>
      <c r="C308" s="36">
        <f t="shared" si="59"/>
        <v>0</v>
      </c>
      <c r="D308" s="36" t="str">
        <f>IF(C308=1,-'TO HOP NLAN'!$I239,"")</f>
        <v/>
      </c>
      <c r="E308" s="36" t="str">
        <f>IF(C308=1,ABS('TO HOP NLAN'!$K239),"")</f>
        <v/>
      </c>
      <c r="F308" s="36" t="str">
        <f>IF(C308=1,ABS('TO HOP NLAN'!$G239),"")</f>
        <v/>
      </c>
      <c r="G308" s="36" t="str">
        <f t="shared" si="60"/>
        <v/>
      </c>
      <c r="H308" s="36" t="str">
        <f t="shared" si="61"/>
        <v/>
      </c>
      <c r="I308" s="36" t="str">
        <f t="shared" si="62"/>
        <v/>
      </c>
      <c r="J308" s="36" t="str">
        <f t="shared" si="63"/>
        <v/>
      </c>
      <c r="K308" s="36" t="str">
        <f>IF(C308=1,IF(OR('KT THAN'!$D$36&lt;=0,$K$13&lt;=0,$K$15&lt;=0),0,$K$13*$K$8*$K$12/(TAN(RADIANS(I308))*$K$15)/1000),"")</f>
        <v/>
      </c>
      <c r="L308" s="36" t="str">
        <f t="shared" si="64"/>
        <v/>
      </c>
      <c r="M308" s="36">
        <f t="shared" si="65"/>
        <v>0</v>
      </c>
      <c r="N308" s="36" t="str">
        <f t="shared" si="66"/>
        <v/>
      </c>
      <c r="O308" s="36" t="str">
        <f t="shared" si="67"/>
        <v/>
      </c>
      <c r="P308" s="36" t="str">
        <f t="shared" si="68"/>
        <v/>
      </c>
      <c r="Q308" s="36" t="str">
        <f>IF(C308=1,IF('KT THAN'!$D$36&lt;=0,"KHÔNG YÊU CẦU",IF($K$15&lt;=P308,"ĐẠT","KHÔNG ĐẠT")),"")</f>
        <v/>
      </c>
      <c r="R308" s="36" t="str">
        <f t="shared" si="69"/>
        <v/>
      </c>
    </row>
    <row r="309" spans="1:18" hidden="1" outlineLevel="1" x14ac:dyDescent="0.3">
      <c r="A309" s="36" t="str">
        <f t="shared" si="58"/>
        <v/>
      </c>
      <c r="B309" s="36" t="str">
        <f>IF('TO HOP NLAN'!$A240="","",'TO HOP NLAN'!$A240)</f>
        <v/>
      </c>
      <c r="C309" s="36">
        <f t="shared" si="59"/>
        <v>0</v>
      </c>
      <c r="D309" s="36" t="str">
        <f>IF(C309=1,-'TO HOP NLAN'!$I240,"")</f>
        <v/>
      </c>
      <c r="E309" s="36" t="str">
        <f>IF(C309=1,ABS('TO HOP NLAN'!$K240),"")</f>
        <v/>
      </c>
      <c r="F309" s="36" t="str">
        <f>IF(C309=1,ABS('TO HOP NLAN'!$G240),"")</f>
        <v/>
      </c>
      <c r="G309" s="36" t="str">
        <f t="shared" si="60"/>
        <v/>
      </c>
      <c r="H309" s="36" t="str">
        <f t="shared" si="61"/>
        <v/>
      </c>
      <c r="I309" s="36" t="str">
        <f t="shared" si="62"/>
        <v/>
      </c>
      <c r="J309" s="36" t="str">
        <f t="shared" si="63"/>
        <v/>
      </c>
      <c r="K309" s="36" t="str">
        <f>IF(C309=1,IF(OR('KT THAN'!$D$36&lt;=0,$K$13&lt;=0,$K$15&lt;=0),0,$K$13*$K$8*$K$12/(TAN(RADIANS(I309))*$K$15)/1000),"")</f>
        <v/>
      </c>
      <c r="L309" s="36" t="str">
        <f t="shared" si="64"/>
        <v/>
      </c>
      <c r="M309" s="36">
        <f t="shared" si="65"/>
        <v>0</v>
      </c>
      <c r="N309" s="36" t="str">
        <f t="shared" si="66"/>
        <v/>
      </c>
      <c r="O309" s="36" t="str">
        <f t="shared" si="67"/>
        <v/>
      </c>
      <c r="P309" s="36" t="str">
        <f t="shared" si="68"/>
        <v/>
      </c>
      <c r="Q309" s="36" t="str">
        <f>IF(C309=1,IF('KT THAN'!$D$36&lt;=0,"KHÔNG YÊU CẦU",IF($K$15&lt;=P309,"ĐẠT","KHÔNG ĐẠT")),"")</f>
        <v/>
      </c>
      <c r="R309" s="36" t="str">
        <f t="shared" si="69"/>
        <v/>
      </c>
    </row>
    <row r="310" spans="1:18" hidden="1" outlineLevel="1" x14ac:dyDescent="0.3">
      <c r="A310" s="36" t="str">
        <f t="shared" si="58"/>
        <v/>
      </c>
      <c r="B310" s="36" t="str">
        <f>IF('TO HOP NLAN'!$A241="","",'TO HOP NLAN'!$A241)</f>
        <v/>
      </c>
      <c r="C310" s="36">
        <f t="shared" si="59"/>
        <v>0</v>
      </c>
      <c r="D310" s="36" t="str">
        <f>IF(C310=1,-'TO HOP NLAN'!$I241,"")</f>
        <v/>
      </c>
      <c r="E310" s="36" t="str">
        <f>IF(C310=1,ABS('TO HOP NLAN'!$K241),"")</f>
        <v/>
      </c>
      <c r="F310" s="36" t="str">
        <f>IF(C310=1,ABS('TO HOP NLAN'!$G241),"")</f>
        <v/>
      </c>
      <c r="G310" s="36" t="str">
        <f t="shared" si="60"/>
        <v/>
      </c>
      <c r="H310" s="36" t="str">
        <f t="shared" si="61"/>
        <v/>
      </c>
      <c r="I310" s="36" t="str">
        <f t="shared" si="62"/>
        <v/>
      </c>
      <c r="J310" s="36" t="str">
        <f t="shared" si="63"/>
        <v/>
      </c>
      <c r="K310" s="36" t="str">
        <f>IF(C310=1,IF(OR('KT THAN'!$D$36&lt;=0,$K$13&lt;=0,$K$15&lt;=0),0,$K$13*$K$8*$K$12/(TAN(RADIANS(I310))*$K$15)/1000),"")</f>
        <v/>
      </c>
      <c r="L310" s="36" t="str">
        <f t="shared" si="64"/>
        <v/>
      </c>
      <c r="M310" s="36">
        <f t="shared" si="65"/>
        <v>0</v>
      </c>
      <c r="N310" s="36" t="str">
        <f t="shared" si="66"/>
        <v/>
      </c>
      <c r="O310" s="36" t="str">
        <f t="shared" si="67"/>
        <v/>
      </c>
      <c r="P310" s="36" t="str">
        <f t="shared" si="68"/>
        <v/>
      </c>
      <c r="Q310" s="36" t="str">
        <f>IF(C310=1,IF('KT THAN'!$D$36&lt;=0,"KHÔNG YÊU CẦU",IF($K$15&lt;=P310,"ĐẠT","KHÔNG ĐẠT")),"")</f>
        <v/>
      </c>
      <c r="R310" s="36" t="str">
        <f t="shared" si="69"/>
        <v/>
      </c>
    </row>
    <row r="311" spans="1:18" hidden="1" outlineLevel="1" x14ac:dyDescent="0.3">
      <c r="A311" s="36" t="str">
        <f t="shared" si="58"/>
        <v/>
      </c>
      <c r="B311" s="36" t="str">
        <f>IF('TO HOP NLAN'!$A242="","",'TO HOP NLAN'!$A242)</f>
        <v/>
      </c>
      <c r="C311" s="36">
        <f t="shared" si="59"/>
        <v>0</v>
      </c>
      <c r="D311" s="36" t="str">
        <f>IF(C311=1,-'TO HOP NLAN'!$I242,"")</f>
        <v/>
      </c>
      <c r="E311" s="36" t="str">
        <f>IF(C311=1,ABS('TO HOP NLAN'!$K242),"")</f>
        <v/>
      </c>
      <c r="F311" s="36" t="str">
        <f>IF(C311=1,ABS('TO HOP NLAN'!$G242),"")</f>
        <v/>
      </c>
      <c r="G311" s="36" t="str">
        <f t="shared" si="60"/>
        <v/>
      </c>
      <c r="H311" s="36" t="str">
        <f t="shared" si="61"/>
        <v/>
      </c>
      <c r="I311" s="36" t="str">
        <f t="shared" si="62"/>
        <v/>
      </c>
      <c r="J311" s="36" t="str">
        <f t="shared" si="63"/>
        <v/>
      </c>
      <c r="K311" s="36" t="str">
        <f>IF(C311=1,IF(OR('KT THAN'!$D$36&lt;=0,$K$13&lt;=0,$K$15&lt;=0),0,$K$13*$K$8*$K$12/(TAN(RADIANS(I311))*$K$15)/1000),"")</f>
        <v/>
      </c>
      <c r="L311" s="36" t="str">
        <f t="shared" si="64"/>
        <v/>
      </c>
      <c r="M311" s="36">
        <f t="shared" si="65"/>
        <v>0</v>
      </c>
      <c r="N311" s="36" t="str">
        <f t="shared" si="66"/>
        <v/>
      </c>
      <c r="O311" s="36" t="str">
        <f t="shared" si="67"/>
        <v/>
      </c>
      <c r="P311" s="36" t="str">
        <f t="shared" si="68"/>
        <v/>
      </c>
      <c r="Q311" s="36" t="str">
        <f>IF(C311=1,IF('KT THAN'!$D$36&lt;=0,"KHÔNG YÊU CẦU",IF($K$15&lt;=P311,"ĐẠT","KHÔNG ĐẠT")),"")</f>
        <v/>
      </c>
      <c r="R311" s="36" t="str">
        <f t="shared" si="69"/>
        <v/>
      </c>
    </row>
    <row r="312" spans="1:18" hidden="1" outlineLevel="1" x14ac:dyDescent="0.3">
      <c r="A312" s="36" t="str">
        <f t="shared" si="58"/>
        <v/>
      </c>
      <c r="B312" s="36" t="str">
        <f>IF('TO HOP NLAN'!$A243="","",'TO HOP NLAN'!$A243)</f>
        <v/>
      </c>
      <c r="C312" s="36">
        <f t="shared" si="59"/>
        <v>0</v>
      </c>
      <c r="D312" s="36" t="str">
        <f>IF(C312=1,-'TO HOP NLAN'!$I243,"")</f>
        <v/>
      </c>
      <c r="E312" s="36" t="str">
        <f>IF(C312=1,ABS('TO HOP NLAN'!$K243),"")</f>
        <v/>
      </c>
      <c r="F312" s="36" t="str">
        <f>IF(C312=1,ABS('TO HOP NLAN'!$G243),"")</f>
        <v/>
      </c>
      <c r="G312" s="36" t="str">
        <f t="shared" si="60"/>
        <v/>
      </c>
      <c r="H312" s="36" t="str">
        <f t="shared" si="61"/>
        <v/>
      </c>
      <c r="I312" s="36" t="str">
        <f t="shared" si="62"/>
        <v/>
      </c>
      <c r="J312" s="36" t="str">
        <f t="shared" si="63"/>
        <v/>
      </c>
      <c r="K312" s="36" t="str">
        <f>IF(C312=1,IF(OR('KT THAN'!$D$36&lt;=0,$K$13&lt;=0,$K$15&lt;=0),0,$K$13*$K$8*$K$12/(TAN(RADIANS(I312))*$K$15)/1000),"")</f>
        <v/>
      </c>
      <c r="L312" s="36" t="str">
        <f t="shared" si="64"/>
        <v/>
      </c>
      <c r="M312" s="36">
        <f t="shared" si="65"/>
        <v>0</v>
      </c>
      <c r="N312" s="36" t="str">
        <f t="shared" si="66"/>
        <v/>
      </c>
      <c r="O312" s="36" t="str">
        <f t="shared" si="67"/>
        <v/>
      </c>
      <c r="P312" s="36" t="str">
        <f t="shared" si="68"/>
        <v/>
      </c>
      <c r="Q312" s="36" t="str">
        <f>IF(C312=1,IF('KT THAN'!$D$36&lt;=0,"KHÔNG YÊU CẦU",IF($K$15&lt;=P312,"ĐẠT","KHÔNG ĐẠT")),"")</f>
        <v/>
      </c>
      <c r="R312" s="36" t="str">
        <f t="shared" si="69"/>
        <v/>
      </c>
    </row>
    <row r="313" spans="1:18" collapsed="1" x14ac:dyDescent="0.3"/>
  </sheetData>
  <mergeCells count="28">
    <mergeCell ref="D7:E7"/>
    <mergeCell ref="A1:S1"/>
    <mergeCell ref="A2:S2"/>
    <mergeCell ref="A3:H3"/>
    <mergeCell ref="A4:B4"/>
    <mergeCell ref="D4:E4"/>
    <mergeCell ref="A11:B11"/>
    <mergeCell ref="D11:E11"/>
    <mergeCell ref="A12:B12"/>
    <mergeCell ref="D12:E12"/>
    <mergeCell ref="J3:K3"/>
    <mergeCell ref="A8:B8"/>
    <mergeCell ref="D8:E8"/>
    <mergeCell ref="A9:B9"/>
    <mergeCell ref="D9:E9"/>
    <mergeCell ref="A10:B10"/>
    <mergeCell ref="D10:E10"/>
    <mergeCell ref="A5:B5"/>
    <mergeCell ref="D5:E5"/>
    <mergeCell ref="A6:B6"/>
    <mergeCell ref="D6:E6"/>
    <mergeCell ref="A7:B7"/>
    <mergeCell ref="B67:S67"/>
    <mergeCell ref="A14:S14"/>
    <mergeCell ref="A63:S63"/>
    <mergeCell ref="B64:S64"/>
    <mergeCell ref="B65:S65"/>
    <mergeCell ref="B66:S66"/>
  </mergeCells>
  <conditionalFormatting sqref="F9:F12">
    <cfRule type="containsText" dxfId="8" priority="4" operator="containsText" text="KHÔNG ĐẠT"/>
    <cfRule type="beginsWith" dxfId="7" priority="5" operator="beginsWith" text="ĐẠT"/>
    <cfRule type="containsText" dxfId="6" priority="6" operator="containsText" text="KHÔNG YÊU CẦU"/>
  </conditionalFormatting>
  <conditionalFormatting sqref="O16:R61">
    <cfRule type="containsText" dxfId="5" priority="7" operator="containsText" text="KHÔNG ĐẠT"/>
    <cfRule type="beginsWith" dxfId="4" priority="8" operator="beginsWith" text="ĐẠT"/>
    <cfRule type="containsText" dxfId="3" priority="9" operator="containsText" text="KHÔNG YÊU CẦU"/>
  </conditionalFormatting>
  <conditionalFormatting sqref="O75:R312">
    <cfRule type="containsText" dxfId="2" priority="1" operator="containsText" text="KHÔNG ĐẠT"/>
    <cfRule type="beginsWith" dxfId="1" priority="2" operator="beginsWith" text="ĐẠT"/>
    <cfRule type="containsText" dxfId="0" priority="3" operator="containsText" text="KHÔNG YÊU CẦU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J100"/>
  <sheetViews>
    <sheetView showGridLines="0" workbookViewId="0"/>
  </sheetViews>
  <sheetFormatPr defaultRowHeight="14.4" x14ac:dyDescent="0.3"/>
  <cols>
    <col min="1" max="8" width="14" customWidth="1"/>
    <col min="9" max="9" width="38" customWidth="1"/>
  </cols>
  <sheetData>
    <row r="1" spans="1:10" ht="28.05" customHeight="1" x14ac:dyDescent="0.3">
      <c r="A1" s="90" t="s">
        <v>871</v>
      </c>
      <c r="B1" s="90"/>
      <c r="C1" s="90"/>
      <c r="D1" s="90"/>
      <c r="E1" s="90"/>
      <c r="F1" s="90"/>
      <c r="G1" s="90"/>
      <c r="H1" s="90"/>
      <c r="I1" s="90"/>
    </row>
    <row r="2" spans="1:10" ht="34.049999999999997" customHeight="1" x14ac:dyDescent="0.3">
      <c r="A2" s="91" t="s">
        <v>872</v>
      </c>
      <c r="B2" s="91"/>
      <c r="C2" s="91"/>
      <c r="D2" s="91"/>
      <c r="E2" s="91"/>
      <c r="F2" s="91"/>
      <c r="G2" s="91"/>
      <c r="H2" s="91"/>
      <c r="I2" s="91"/>
    </row>
    <row r="4" spans="1:10" ht="22.05" customHeight="1" x14ac:dyDescent="0.3">
      <c r="A4" s="81" t="s">
        <v>873</v>
      </c>
      <c r="B4" s="81"/>
      <c r="C4" s="81"/>
      <c r="D4" s="81"/>
      <c r="E4" s="81"/>
      <c r="F4" s="81"/>
      <c r="G4" s="81"/>
      <c r="H4" s="81"/>
      <c r="I4" s="81"/>
    </row>
    <row r="5" spans="1:10" x14ac:dyDescent="0.3">
      <c r="A5" s="43" t="s">
        <v>874</v>
      </c>
      <c r="B5" s="43" t="s">
        <v>21</v>
      </c>
      <c r="C5" s="43" t="s">
        <v>306</v>
      </c>
      <c r="D5" s="43" t="s">
        <v>875</v>
      </c>
      <c r="E5" s="43" t="s">
        <v>876</v>
      </c>
      <c r="F5" s="43" t="s">
        <v>406</v>
      </c>
      <c r="G5" s="43" t="s">
        <v>411</v>
      </c>
      <c r="H5" s="43" t="s">
        <v>877</v>
      </c>
      <c r="I5" s="43" t="s">
        <v>861</v>
      </c>
    </row>
    <row r="6" spans="1:10" x14ac:dyDescent="0.3">
      <c r="A6" s="44">
        <f>IF(1&lt;=nLan,1,"")</f>
        <v>1</v>
      </c>
      <c r="B6" s="44">
        <f t="shared" ref="B6:B45" si="0">IF(A6="",0,IF(A6=1,1.2,IF(A6=2,1,IF(A6=3,0.85,0.65))))</f>
        <v>1.2</v>
      </c>
      <c r="C6" s="44">
        <f t="shared" ref="C6:C45" si="1">IF(A6="",0,MAX(0,Wcau/2-blc_-bPL-1.5*A6))</f>
        <v>9.875</v>
      </c>
      <c r="D6" s="44">
        <f>IF(A6="",0,('HOAT TAI'!$E$12+'HOAT TAI'!$C$13*(1+IM_))*A6*B6+pPL*bPL*0.5*Lsp)</f>
        <v>688.60328000000004</v>
      </c>
      <c r="E6" s="44">
        <f t="shared" ref="E6:E45" si="2">D6*C6</f>
        <v>6799.9573900000005</v>
      </c>
      <c r="F6" s="44">
        <f t="shared" ref="F6:F45" si="3">D6*e_db</f>
        <v>452.41235496000007</v>
      </c>
      <c r="G6" s="44">
        <f t="shared" ref="G6:G45" si="4">D6*e_tb</f>
        <v>211.40120696</v>
      </c>
      <c r="H6" s="44">
        <f t="shared" ref="H6:H45" si="5">IF(A6="",0,MAX(0.25*325*A6*B6,0.05*(325+qlan*Lsp)*A6*B6))</f>
        <v>97.5</v>
      </c>
      <c r="I6" s="44" t="s">
        <v>878</v>
      </c>
      <c r="J6" s="45"/>
    </row>
    <row r="7" spans="1:10" x14ac:dyDescent="0.3">
      <c r="A7" s="44">
        <f>IF(2&lt;=nLan,2,"")</f>
        <v>2</v>
      </c>
      <c r="B7" s="44">
        <f t="shared" si="0"/>
        <v>1</v>
      </c>
      <c r="C7" s="44">
        <f t="shared" si="1"/>
        <v>8.375</v>
      </c>
      <c r="D7" s="44">
        <f>IF(A7="",0,('HOAT TAI'!$E$12+'HOAT TAI'!$C$13*(1+IM_))*A7*B7+pPL*bPL*0.5*Lsp)</f>
        <v>1147.6721333333335</v>
      </c>
      <c r="E7" s="44">
        <f t="shared" si="2"/>
        <v>9611.754116666667</v>
      </c>
      <c r="F7" s="44">
        <f t="shared" si="3"/>
        <v>754.0205916000001</v>
      </c>
      <c r="G7" s="44">
        <f t="shared" si="4"/>
        <v>352.33534493333337</v>
      </c>
      <c r="H7" s="44">
        <f t="shared" si="5"/>
        <v>162.5</v>
      </c>
      <c r="I7" s="44"/>
      <c r="J7" s="45"/>
    </row>
    <row r="8" spans="1:10" x14ac:dyDescent="0.3">
      <c r="A8" s="44">
        <f>IF(3&lt;=nLan,3,"")</f>
        <v>3</v>
      </c>
      <c r="B8" s="44">
        <f t="shared" si="0"/>
        <v>0.85</v>
      </c>
      <c r="C8" s="44">
        <f t="shared" si="1"/>
        <v>6.875</v>
      </c>
      <c r="D8" s="44">
        <f>IF(A8="",0,('HOAT TAI'!$E$12+'HOAT TAI'!$C$13*(1+IM_))*A8*B8+pPL*bPL*0.5*Lsp)</f>
        <v>1463.2819700000002</v>
      </c>
      <c r="E8" s="44">
        <f t="shared" si="2"/>
        <v>10060.063543750002</v>
      </c>
      <c r="F8" s="44">
        <f t="shared" si="3"/>
        <v>961.37625429000025</v>
      </c>
      <c r="G8" s="44">
        <f t="shared" si="4"/>
        <v>449.22756479000009</v>
      </c>
      <c r="H8" s="44">
        <f t="shared" si="5"/>
        <v>207.1875</v>
      </c>
      <c r="I8" s="44"/>
      <c r="J8" s="45"/>
    </row>
    <row r="9" spans="1:10" x14ac:dyDescent="0.3">
      <c r="A9" s="44">
        <f>IF(4&lt;=nLan,4,"")</f>
        <v>4</v>
      </c>
      <c r="B9" s="44">
        <f t="shared" si="0"/>
        <v>0.65</v>
      </c>
      <c r="C9" s="44">
        <f t="shared" si="1"/>
        <v>5.375</v>
      </c>
      <c r="D9" s="44">
        <f>IF(A9="",0,('HOAT TAI'!$E$12+'HOAT TAI'!$C$13*(1+IM_))*A9*B9+pPL*bPL*0.5*Lsp)</f>
        <v>1491.9737733333336</v>
      </c>
      <c r="E9" s="44">
        <f t="shared" si="2"/>
        <v>8019.3590316666678</v>
      </c>
      <c r="F9" s="44">
        <f t="shared" si="3"/>
        <v>980.22676908000028</v>
      </c>
      <c r="G9" s="44">
        <f t="shared" si="4"/>
        <v>458.03594841333341</v>
      </c>
      <c r="H9" s="44">
        <f t="shared" si="5"/>
        <v>211.25</v>
      </c>
      <c r="I9" s="44"/>
      <c r="J9" s="45"/>
    </row>
    <row r="10" spans="1:10" x14ac:dyDescent="0.3">
      <c r="A10" s="44">
        <f>IF(5&lt;=nLan,5,"")</f>
        <v>5</v>
      </c>
      <c r="B10" s="44">
        <f t="shared" si="0"/>
        <v>0.65</v>
      </c>
      <c r="C10" s="44">
        <f t="shared" si="1"/>
        <v>3.875</v>
      </c>
      <c r="D10" s="44">
        <f>IF(A10="",0,('HOAT TAI'!$E$12+'HOAT TAI'!$C$13*(1+IM_))*A10*B10+pPL*bPL*0.5*Lsp)</f>
        <v>1864.9672166666669</v>
      </c>
      <c r="E10" s="44">
        <f t="shared" si="2"/>
        <v>7226.7479645833346</v>
      </c>
      <c r="F10" s="44">
        <f t="shared" si="3"/>
        <v>1225.2834613500002</v>
      </c>
      <c r="G10" s="44">
        <f t="shared" si="4"/>
        <v>572.54493551666678</v>
      </c>
      <c r="H10" s="44">
        <f t="shared" si="5"/>
        <v>264.0625</v>
      </c>
      <c r="I10" s="44"/>
      <c r="J10" s="45"/>
    </row>
    <row r="11" spans="1:10" x14ac:dyDescent="0.3">
      <c r="A11" s="44">
        <f>IF(6&lt;=nLan,6,"")</f>
        <v>6</v>
      </c>
      <c r="B11" s="44">
        <f t="shared" si="0"/>
        <v>0.65</v>
      </c>
      <c r="C11" s="44">
        <f t="shared" si="1"/>
        <v>2.375</v>
      </c>
      <c r="D11" s="44">
        <f>IF(A11="",0,('HOAT TAI'!$E$12+'HOAT TAI'!$C$13*(1+IM_))*A11*B11+pPL*bPL*0.5*Lsp)</f>
        <v>2237.9606600000002</v>
      </c>
      <c r="E11" s="44">
        <f t="shared" si="2"/>
        <v>5315.1565675000002</v>
      </c>
      <c r="F11" s="44">
        <f t="shared" si="3"/>
        <v>1470.3401536200001</v>
      </c>
      <c r="G11" s="44">
        <f t="shared" si="4"/>
        <v>687.05392262000009</v>
      </c>
      <c r="H11" s="44">
        <f t="shared" si="5"/>
        <v>316.875</v>
      </c>
      <c r="I11" s="44"/>
      <c r="J11" s="45"/>
    </row>
    <row r="12" spans="1:10" x14ac:dyDescent="0.3">
      <c r="A12" s="44" t="str">
        <f>IF(7&lt;=nLan,7,"")</f>
        <v/>
      </c>
      <c r="B12" s="44">
        <f t="shared" si="0"/>
        <v>0</v>
      </c>
      <c r="C12" s="44">
        <f t="shared" si="1"/>
        <v>0</v>
      </c>
      <c r="D12" s="44">
        <f>IF(A12="",0,('HOAT TAI'!$E$12+'HOAT TAI'!$C$13*(1+IM_))*A12*B12+pPL*bPL*0.5*Lsp)</f>
        <v>0</v>
      </c>
      <c r="E12" s="44">
        <f t="shared" si="2"/>
        <v>0</v>
      </c>
      <c r="F12" s="44">
        <f t="shared" si="3"/>
        <v>0</v>
      </c>
      <c r="G12" s="44">
        <f t="shared" si="4"/>
        <v>0</v>
      </c>
      <c r="H12" s="44">
        <f t="shared" si="5"/>
        <v>0</v>
      </c>
      <c r="I12" s="44"/>
      <c r="J12" s="45"/>
    </row>
    <row r="13" spans="1:10" x14ac:dyDescent="0.3">
      <c r="A13" s="44" t="str">
        <f>IF(8&lt;=nLan,8,"")</f>
        <v/>
      </c>
      <c r="B13" s="44">
        <f t="shared" si="0"/>
        <v>0</v>
      </c>
      <c r="C13" s="44">
        <f t="shared" si="1"/>
        <v>0</v>
      </c>
      <c r="D13" s="44">
        <f>IF(A13="",0,('HOAT TAI'!$E$12+'HOAT TAI'!$C$13*(1+IM_))*A13*B13+pPL*bPL*0.5*Lsp)</f>
        <v>0</v>
      </c>
      <c r="E13" s="44">
        <f t="shared" si="2"/>
        <v>0</v>
      </c>
      <c r="F13" s="44">
        <f t="shared" si="3"/>
        <v>0</v>
      </c>
      <c r="G13" s="44">
        <f t="shared" si="4"/>
        <v>0</v>
      </c>
      <c r="H13" s="44">
        <f t="shared" si="5"/>
        <v>0</v>
      </c>
      <c r="I13" s="44"/>
      <c r="J13" s="45"/>
    </row>
    <row r="14" spans="1:10" x14ac:dyDescent="0.3">
      <c r="A14" s="44" t="str">
        <f>IF(9&lt;=nLan,9,"")</f>
        <v/>
      </c>
      <c r="B14" s="44">
        <f t="shared" si="0"/>
        <v>0</v>
      </c>
      <c r="C14" s="44">
        <f t="shared" si="1"/>
        <v>0</v>
      </c>
      <c r="D14" s="44">
        <f>IF(A14="",0,('HOAT TAI'!$E$12+'HOAT TAI'!$C$13*(1+IM_))*A14*B14+pPL*bPL*0.5*Lsp)</f>
        <v>0</v>
      </c>
      <c r="E14" s="44">
        <f t="shared" si="2"/>
        <v>0</v>
      </c>
      <c r="F14" s="44">
        <f t="shared" si="3"/>
        <v>0</v>
      </c>
      <c r="G14" s="44">
        <f t="shared" si="4"/>
        <v>0</v>
      </c>
      <c r="H14" s="44">
        <f t="shared" si="5"/>
        <v>0</v>
      </c>
      <c r="I14" s="44"/>
      <c r="J14" s="45"/>
    </row>
    <row r="15" spans="1:10" x14ac:dyDescent="0.3">
      <c r="A15" s="44" t="str">
        <f>IF(10&lt;=nLan,10,"")</f>
        <v/>
      </c>
      <c r="B15" s="44">
        <f t="shared" si="0"/>
        <v>0</v>
      </c>
      <c r="C15" s="44">
        <f t="shared" si="1"/>
        <v>0</v>
      </c>
      <c r="D15" s="44">
        <f>IF(A15="",0,('HOAT TAI'!$E$12+'HOAT TAI'!$C$13*(1+IM_))*A15*B15+pPL*bPL*0.5*Lsp)</f>
        <v>0</v>
      </c>
      <c r="E15" s="44">
        <f t="shared" si="2"/>
        <v>0</v>
      </c>
      <c r="F15" s="44">
        <f t="shared" si="3"/>
        <v>0</v>
      </c>
      <c r="G15" s="44">
        <f t="shared" si="4"/>
        <v>0</v>
      </c>
      <c r="H15" s="44">
        <f t="shared" si="5"/>
        <v>0</v>
      </c>
      <c r="I15" s="44"/>
      <c r="J15" s="45"/>
    </row>
    <row r="16" spans="1:10" x14ac:dyDescent="0.3">
      <c r="A16" s="44" t="str">
        <f>IF(11&lt;=nLan,11,"")</f>
        <v/>
      </c>
      <c r="B16" s="44">
        <f t="shared" si="0"/>
        <v>0</v>
      </c>
      <c r="C16" s="44">
        <f t="shared" si="1"/>
        <v>0</v>
      </c>
      <c r="D16" s="44">
        <f>IF(A16="",0,('HOAT TAI'!$E$12+'HOAT TAI'!$C$13*(1+IM_))*A16*B16+pPL*bPL*0.5*Lsp)</f>
        <v>0</v>
      </c>
      <c r="E16" s="44">
        <f t="shared" si="2"/>
        <v>0</v>
      </c>
      <c r="F16" s="44">
        <f t="shared" si="3"/>
        <v>0</v>
      </c>
      <c r="G16" s="44">
        <f t="shared" si="4"/>
        <v>0</v>
      </c>
      <c r="H16" s="44">
        <f t="shared" si="5"/>
        <v>0</v>
      </c>
      <c r="I16" s="44"/>
      <c r="J16" s="45"/>
    </row>
    <row r="17" spans="1:10" x14ac:dyDescent="0.3">
      <c r="A17" s="44" t="str">
        <f>IF(12&lt;=nLan,12,"")</f>
        <v/>
      </c>
      <c r="B17" s="44">
        <f t="shared" si="0"/>
        <v>0</v>
      </c>
      <c r="C17" s="44">
        <f t="shared" si="1"/>
        <v>0</v>
      </c>
      <c r="D17" s="44">
        <f>IF(A17="",0,('HOAT TAI'!$E$12+'HOAT TAI'!$C$13*(1+IM_))*A17*B17+pPL*bPL*0.5*Lsp)</f>
        <v>0</v>
      </c>
      <c r="E17" s="44">
        <f t="shared" si="2"/>
        <v>0</v>
      </c>
      <c r="F17" s="44">
        <f t="shared" si="3"/>
        <v>0</v>
      </c>
      <c r="G17" s="44">
        <f t="shared" si="4"/>
        <v>0</v>
      </c>
      <c r="H17" s="44">
        <f t="shared" si="5"/>
        <v>0</v>
      </c>
      <c r="I17" s="44"/>
      <c r="J17" s="45"/>
    </row>
    <row r="18" spans="1:10" x14ac:dyDescent="0.3">
      <c r="A18" s="44" t="str">
        <f>IF(13&lt;=nLan,13,"")</f>
        <v/>
      </c>
      <c r="B18" s="44">
        <f t="shared" si="0"/>
        <v>0</v>
      </c>
      <c r="C18" s="44">
        <f t="shared" si="1"/>
        <v>0</v>
      </c>
      <c r="D18" s="44">
        <f>IF(A18="",0,('HOAT TAI'!$E$12+'HOAT TAI'!$C$13*(1+IM_))*A18*B18+pPL*bPL*0.5*Lsp)</f>
        <v>0</v>
      </c>
      <c r="E18" s="44">
        <f t="shared" si="2"/>
        <v>0</v>
      </c>
      <c r="F18" s="44">
        <f t="shared" si="3"/>
        <v>0</v>
      </c>
      <c r="G18" s="44">
        <f t="shared" si="4"/>
        <v>0</v>
      </c>
      <c r="H18" s="44">
        <f t="shared" si="5"/>
        <v>0</v>
      </c>
      <c r="I18" s="44"/>
      <c r="J18" s="45"/>
    </row>
    <row r="19" spans="1:10" x14ac:dyDescent="0.3">
      <c r="A19" s="44" t="str">
        <f>IF(14&lt;=nLan,14,"")</f>
        <v/>
      </c>
      <c r="B19" s="44">
        <f t="shared" si="0"/>
        <v>0</v>
      </c>
      <c r="C19" s="44">
        <f t="shared" si="1"/>
        <v>0</v>
      </c>
      <c r="D19" s="44">
        <f>IF(A19="",0,('HOAT TAI'!$E$12+'HOAT TAI'!$C$13*(1+IM_))*A19*B19+pPL*bPL*0.5*Lsp)</f>
        <v>0</v>
      </c>
      <c r="E19" s="44">
        <f t="shared" si="2"/>
        <v>0</v>
      </c>
      <c r="F19" s="44">
        <f t="shared" si="3"/>
        <v>0</v>
      </c>
      <c r="G19" s="44">
        <f t="shared" si="4"/>
        <v>0</v>
      </c>
      <c r="H19" s="44">
        <f t="shared" si="5"/>
        <v>0</v>
      </c>
      <c r="I19" s="44"/>
      <c r="J19" s="45"/>
    </row>
    <row r="20" spans="1:10" x14ac:dyDescent="0.3">
      <c r="A20" s="44" t="str">
        <f>IF(15&lt;=nLan,15,"")</f>
        <v/>
      </c>
      <c r="B20" s="44">
        <f t="shared" si="0"/>
        <v>0</v>
      </c>
      <c r="C20" s="44">
        <f t="shared" si="1"/>
        <v>0</v>
      </c>
      <c r="D20" s="44">
        <f>IF(A20="",0,('HOAT TAI'!$E$12+'HOAT TAI'!$C$13*(1+IM_))*A20*B20+pPL*bPL*0.5*Lsp)</f>
        <v>0</v>
      </c>
      <c r="E20" s="44">
        <f t="shared" si="2"/>
        <v>0</v>
      </c>
      <c r="F20" s="44">
        <f t="shared" si="3"/>
        <v>0</v>
      </c>
      <c r="G20" s="44">
        <f t="shared" si="4"/>
        <v>0</v>
      </c>
      <c r="H20" s="44">
        <f t="shared" si="5"/>
        <v>0</v>
      </c>
      <c r="I20" s="44"/>
      <c r="J20" s="45"/>
    </row>
    <row r="21" spans="1:10" x14ac:dyDescent="0.3">
      <c r="A21" s="44" t="str">
        <f>IF(16&lt;=nLan,16,"")</f>
        <v/>
      </c>
      <c r="B21" s="44">
        <f t="shared" si="0"/>
        <v>0</v>
      </c>
      <c r="C21" s="44">
        <f t="shared" si="1"/>
        <v>0</v>
      </c>
      <c r="D21" s="44">
        <f>IF(A21="",0,('HOAT TAI'!$E$12+'HOAT TAI'!$C$13*(1+IM_))*A21*B21+pPL*bPL*0.5*Lsp)</f>
        <v>0</v>
      </c>
      <c r="E21" s="44">
        <f t="shared" si="2"/>
        <v>0</v>
      </c>
      <c r="F21" s="44">
        <f t="shared" si="3"/>
        <v>0</v>
      </c>
      <c r="G21" s="44">
        <f t="shared" si="4"/>
        <v>0</v>
      </c>
      <c r="H21" s="44">
        <f t="shared" si="5"/>
        <v>0</v>
      </c>
      <c r="I21" s="44"/>
      <c r="J21" s="45"/>
    </row>
    <row r="22" spans="1:10" x14ac:dyDescent="0.3">
      <c r="A22" s="44" t="str">
        <f>IF(17&lt;=nLan,17,"")</f>
        <v/>
      </c>
      <c r="B22" s="44">
        <f t="shared" si="0"/>
        <v>0</v>
      </c>
      <c r="C22" s="44">
        <f t="shared" si="1"/>
        <v>0</v>
      </c>
      <c r="D22" s="44">
        <f>IF(A22="",0,('HOAT TAI'!$E$12+'HOAT TAI'!$C$13*(1+IM_))*A22*B22+pPL*bPL*0.5*Lsp)</f>
        <v>0</v>
      </c>
      <c r="E22" s="44">
        <f t="shared" si="2"/>
        <v>0</v>
      </c>
      <c r="F22" s="44">
        <f t="shared" si="3"/>
        <v>0</v>
      </c>
      <c r="G22" s="44">
        <f t="shared" si="4"/>
        <v>0</v>
      </c>
      <c r="H22" s="44">
        <f t="shared" si="5"/>
        <v>0</v>
      </c>
      <c r="I22" s="44"/>
      <c r="J22" s="45"/>
    </row>
    <row r="23" spans="1:10" x14ac:dyDescent="0.3">
      <c r="A23" s="44" t="str">
        <f>IF(18&lt;=nLan,18,"")</f>
        <v/>
      </c>
      <c r="B23" s="44">
        <f t="shared" si="0"/>
        <v>0</v>
      </c>
      <c r="C23" s="44">
        <f t="shared" si="1"/>
        <v>0</v>
      </c>
      <c r="D23" s="44">
        <f>IF(A23="",0,('HOAT TAI'!$E$12+'HOAT TAI'!$C$13*(1+IM_))*A23*B23+pPL*bPL*0.5*Lsp)</f>
        <v>0</v>
      </c>
      <c r="E23" s="44">
        <f t="shared" si="2"/>
        <v>0</v>
      </c>
      <c r="F23" s="44">
        <f t="shared" si="3"/>
        <v>0</v>
      </c>
      <c r="G23" s="44">
        <f t="shared" si="4"/>
        <v>0</v>
      </c>
      <c r="H23" s="44">
        <f t="shared" si="5"/>
        <v>0</v>
      </c>
      <c r="I23" s="44"/>
      <c r="J23" s="45"/>
    </row>
    <row r="24" spans="1:10" x14ac:dyDescent="0.3">
      <c r="A24" s="44" t="str">
        <f>IF(19&lt;=nLan,19,"")</f>
        <v/>
      </c>
      <c r="B24" s="44">
        <f t="shared" si="0"/>
        <v>0</v>
      </c>
      <c r="C24" s="44">
        <f t="shared" si="1"/>
        <v>0</v>
      </c>
      <c r="D24" s="44">
        <f>IF(A24="",0,('HOAT TAI'!$E$12+'HOAT TAI'!$C$13*(1+IM_))*A24*B24+pPL*bPL*0.5*Lsp)</f>
        <v>0</v>
      </c>
      <c r="E24" s="44">
        <f t="shared" si="2"/>
        <v>0</v>
      </c>
      <c r="F24" s="44">
        <f t="shared" si="3"/>
        <v>0</v>
      </c>
      <c r="G24" s="44">
        <f t="shared" si="4"/>
        <v>0</v>
      </c>
      <c r="H24" s="44">
        <f t="shared" si="5"/>
        <v>0</v>
      </c>
      <c r="I24" s="44"/>
      <c r="J24" s="45"/>
    </row>
    <row r="25" spans="1:10" x14ac:dyDescent="0.3">
      <c r="A25" s="44" t="str">
        <f>IF(20&lt;=nLan,20,"")</f>
        <v/>
      </c>
      <c r="B25" s="44">
        <f t="shared" si="0"/>
        <v>0</v>
      </c>
      <c r="C25" s="44">
        <f t="shared" si="1"/>
        <v>0</v>
      </c>
      <c r="D25" s="44">
        <f>IF(A25="",0,('HOAT TAI'!$E$12+'HOAT TAI'!$C$13*(1+IM_))*A25*B25+pPL*bPL*0.5*Lsp)</f>
        <v>0</v>
      </c>
      <c r="E25" s="44">
        <f t="shared" si="2"/>
        <v>0</v>
      </c>
      <c r="F25" s="44">
        <f t="shared" si="3"/>
        <v>0</v>
      </c>
      <c r="G25" s="44">
        <f t="shared" si="4"/>
        <v>0</v>
      </c>
      <c r="H25" s="44">
        <f t="shared" si="5"/>
        <v>0</v>
      </c>
      <c r="I25" s="44"/>
      <c r="J25" s="45"/>
    </row>
    <row r="26" spans="1:10" x14ac:dyDescent="0.3">
      <c r="A26" s="44" t="str">
        <f>IF(21&lt;=nLan,21,"")</f>
        <v/>
      </c>
      <c r="B26" s="44">
        <f t="shared" si="0"/>
        <v>0</v>
      </c>
      <c r="C26" s="44">
        <f t="shared" si="1"/>
        <v>0</v>
      </c>
      <c r="D26" s="44">
        <f>IF(A26="",0,('HOAT TAI'!$E$12+'HOAT TAI'!$C$13*(1+IM_))*A26*B26+pPL*bPL*0.5*Lsp)</f>
        <v>0</v>
      </c>
      <c r="E26" s="44">
        <f t="shared" si="2"/>
        <v>0</v>
      </c>
      <c r="F26" s="44">
        <f t="shared" si="3"/>
        <v>0</v>
      </c>
      <c r="G26" s="44">
        <f t="shared" si="4"/>
        <v>0</v>
      </c>
      <c r="H26" s="44">
        <f t="shared" si="5"/>
        <v>0</v>
      </c>
      <c r="I26" s="44"/>
      <c r="J26" s="45"/>
    </row>
    <row r="27" spans="1:10" x14ac:dyDescent="0.3">
      <c r="A27" s="44" t="str">
        <f>IF(22&lt;=nLan,22,"")</f>
        <v/>
      </c>
      <c r="B27" s="44">
        <f t="shared" si="0"/>
        <v>0</v>
      </c>
      <c r="C27" s="44">
        <f t="shared" si="1"/>
        <v>0</v>
      </c>
      <c r="D27" s="44">
        <f>IF(A27="",0,('HOAT TAI'!$E$12+'HOAT TAI'!$C$13*(1+IM_))*A27*B27+pPL*bPL*0.5*Lsp)</f>
        <v>0</v>
      </c>
      <c r="E27" s="44">
        <f t="shared" si="2"/>
        <v>0</v>
      </c>
      <c r="F27" s="44">
        <f t="shared" si="3"/>
        <v>0</v>
      </c>
      <c r="G27" s="44">
        <f t="shared" si="4"/>
        <v>0</v>
      </c>
      <c r="H27" s="44">
        <f t="shared" si="5"/>
        <v>0</v>
      </c>
      <c r="I27" s="44"/>
      <c r="J27" s="45"/>
    </row>
    <row r="28" spans="1:10" x14ac:dyDescent="0.3">
      <c r="A28" s="44" t="str">
        <f>IF(23&lt;=nLan,23,"")</f>
        <v/>
      </c>
      <c r="B28" s="44">
        <f t="shared" si="0"/>
        <v>0</v>
      </c>
      <c r="C28" s="44">
        <f t="shared" si="1"/>
        <v>0</v>
      </c>
      <c r="D28" s="44">
        <f>IF(A28="",0,('HOAT TAI'!$E$12+'HOAT TAI'!$C$13*(1+IM_))*A28*B28+pPL*bPL*0.5*Lsp)</f>
        <v>0</v>
      </c>
      <c r="E28" s="44">
        <f t="shared" si="2"/>
        <v>0</v>
      </c>
      <c r="F28" s="44">
        <f t="shared" si="3"/>
        <v>0</v>
      </c>
      <c r="G28" s="44">
        <f t="shared" si="4"/>
        <v>0</v>
      </c>
      <c r="H28" s="44">
        <f t="shared" si="5"/>
        <v>0</v>
      </c>
      <c r="I28" s="44"/>
      <c r="J28" s="45"/>
    </row>
    <row r="29" spans="1:10" x14ac:dyDescent="0.3">
      <c r="A29" s="44" t="str">
        <f>IF(24&lt;=nLan,24,"")</f>
        <v/>
      </c>
      <c r="B29" s="44">
        <f t="shared" si="0"/>
        <v>0</v>
      </c>
      <c r="C29" s="44">
        <f t="shared" si="1"/>
        <v>0</v>
      </c>
      <c r="D29" s="44">
        <f>IF(A29="",0,('HOAT TAI'!$E$12+'HOAT TAI'!$C$13*(1+IM_))*A29*B29+pPL*bPL*0.5*Lsp)</f>
        <v>0</v>
      </c>
      <c r="E29" s="44">
        <f t="shared" si="2"/>
        <v>0</v>
      </c>
      <c r="F29" s="44">
        <f t="shared" si="3"/>
        <v>0</v>
      </c>
      <c r="G29" s="44">
        <f t="shared" si="4"/>
        <v>0</v>
      </c>
      <c r="H29" s="44">
        <f t="shared" si="5"/>
        <v>0</v>
      </c>
      <c r="I29" s="44"/>
      <c r="J29" s="45"/>
    </row>
    <row r="30" spans="1:10" x14ac:dyDescent="0.3">
      <c r="A30" s="44" t="str">
        <f>IF(25&lt;=nLan,25,"")</f>
        <v/>
      </c>
      <c r="B30" s="44">
        <f t="shared" si="0"/>
        <v>0</v>
      </c>
      <c r="C30" s="44">
        <f t="shared" si="1"/>
        <v>0</v>
      </c>
      <c r="D30" s="44">
        <f>IF(A30="",0,('HOAT TAI'!$E$12+'HOAT TAI'!$C$13*(1+IM_))*A30*B30+pPL*bPL*0.5*Lsp)</f>
        <v>0</v>
      </c>
      <c r="E30" s="44">
        <f t="shared" si="2"/>
        <v>0</v>
      </c>
      <c r="F30" s="44">
        <f t="shared" si="3"/>
        <v>0</v>
      </c>
      <c r="G30" s="44">
        <f t="shared" si="4"/>
        <v>0</v>
      </c>
      <c r="H30" s="44">
        <f t="shared" si="5"/>
        <v>0</v>
      </c>
      <c r="I30" s="44"/>
      <c r="J30" s="45"/>
    </row>
    <row r="31" spans="1:10" x14ac:dyDescent="0.3">
      <c r="A31" s="44" t="str">
        <f>IF(26&lt;=nLan,26,"")</f>
        <v/>
      </c>
      <c r="B31" s="44">
        <f t="shared" si="0"/>
        <v>0</v>
      </c>
      <c r="C31" s="44">
        <f t="shared" si="1"/>
        <v>0</v>
      </c>
      <c r="D31" s="44">
        <f>IF(A31="",0,('HOAT TAI'!$E$12+'HOAT TAI'!$C$13*(1+IM_))*A31*B31+pPL*bPL*0.5*Lsp)</f>
        <v>0</v>
      </c>
      <c r="E31" s="44">
        <f t="shared" si="2"/>
        <v>0</v>
      </c>
      <c r="F31" s="44">
        <f t="shared" si="3"/>
        <v>0</v>
      </c>
      <c r="G31" s="44">
        <f t="shared" si="4"/>
        <v>0</v>
      </c>
      <c r="H31" s="44">
        <f t="shared" si="5"/>
        <v>0</v>
      </c>
      <c r="I31" s="44"/>
      <c r="J31" s="45"/>
    </row>
    <row r="32" spans="1:10" x14ac:dyDescent="0.3">
      <c r="A32" s="44" t="str">
        <f>IF(27&lt;=nLan,27,"")</f>
        <v/>
      </c>
      <c r="B32" s="44">
        <f t="shared" si="0"/>
        <v>0</v>
      </c>
      <c r="C32" s="44">
        <f t="shared" si="1"/>
        <v>0</v>
      </c>
      <c r="D32" s="44">
        <f>IF(A32="",0,('HOAT TAI'!$E$12+'HOAT TAI'!$C$13*(1+IM_))*A32*B32+pPL*bPL*0.5*Lsp)</f>
        <v>0</v>
      </c>
      <c r="E32" s="44">
        <f t="shared" si="2"/>
        <v>0</v>
      </c>
      <c r="F32" s="44">
        <f t="shared" si="3"/>
        <v>0</v>
      </c>
      <c r="G32" s="44">
        <f t="shared" si="4"/>
        <v>0</v>
      </c>
      <c r="H32" s="44">
        <f t="shared" si="5"/>
        <v>0</v>
      </c>
      <c r="I32" s="44"/>
      <c r="J32" s="45"/>
    </row>
    <row r="33" spans="1:10" x14ac:dyDescent="0.3">
      <c r="A33" s="44" t="str">
        <f>IF(28&lt;=nLan,28,"")</f>
        <v/>
      </c>
      <c r="B33" s="44">
        <f t="shared" si="0"/>
        <v>0</v>
      </c>
      <c r="C33" s="44">
        <f t="shared" si="1"/>
        <v>0</v>
      </c>
      <c r="D33" s="44">
        <f>IF(A33="",0,('HOAT TAI'!$E$12+'HOAT TAI'!$C$13*(1+IM_))*A33*B33+pPL*bPL*0.5*Lsp)</f>
        <v>0</v>
      </c>
      <c r="E33" s="44">
        <f t="shared" si="2"/>
        <v>0</v>
      </c>
      <c r="F33" s="44">
        <f t="shared" si="3"/>
        <v>0</v>
      </c>
      <c r="G33" s="44">
        <f t="shared" si="4"/>
        <v>0</v>
      </c>
      <c r="H33" s="44">
        <f t="shared" si="5"/>
        <v>0</v>
      </c>
      <c r="I33" s="44"/>
      <c r="J33" s="45"/>
    </row>
    <row r="34" spans="1:10" x14ac:dyDescent="0.3">
      <c r="A34" s="44" t="str">
        <f>IF(29&lt;=nLan,29,"")</f>
        <v/>
      </c>
      <c r="B34" s="44">
        <f t="shared" si="0"/>
        <v>0</v>
      </c>
      <c r="C34" s="44">
        <f t="shared" si="1"/>
        <v>0</v>
      </c>
      <c r="D34" s="44">
        <f>IF(A34="",0,('HOAT TAI'!$E$12+'HOAT TAI'!$C$13*(1+IM_))*A34*B34+pPL*bPL*0.5*Lsp)</f>
        <v>0</v>
      </c>
      <c r="E34" s="44">
        <f t="shared" si="2"/>
        <v>0</v>
      </c>
      <c r="F34" s="44">
        <f t="shared" si="3"/>
        <v>0</v>
      </c>
      <c r="G34" s="44">
        <f t="shared" si="4"/>
        <v>0</v>
      </c>
      <c r="H34" s="44">
        <f t="shared" si="5"/>
        <v>0</v>
      </c>
      <c r="I34" s="44"/>
      <c r="J34" s="45"/>
    </row>
    <row r="35" spans="1:10" x14ac:dyDescent="0.3">
      <c r="A35" s="44" t="str">
        <f>IF(30&lt;=nLan,30,"")</f>
        <v/>
      </c>
      <c r="B35" s="44">
        <f t="shared" si="0"/>
        <v>0</v>
      </c>
      <c r="C35" s="44">
        <f t="shared" si="1"/>
        <v>0</v>
      </c>
      <c r="D35" s="44">
        <f>IF(A35="",0,('HOAT TAI'!$E$12+'HOAT TAI'!$C$13*(1+IM_))*A35*B35+pPL*bPL*0.5*Lsp)</f>
        <v>0</v>
      </c>
      <c r="E35" s="44">
        <f t="shared" si="2"/>
        <v>0</v>
      </c>
      <c r="F35" s="44">
        <f t="shared" si="3"/>
        <v>0</v>
      </c>
      <c r="G35" s="44">
        <f t="shared" si="4"/>
        <v>0</v>
      </c>
      <c r="H35" s="44">
        <f t="shared" si="5"/>
        <v>0</v>
      </c>
      <c r="I35" s="44"/>
      <c r="J35" s="45"/>
    </row>
    <row r="36" spans="1:10" x14ac:dyDescent="0.3">
      <c r="A36" s="44" t="str">
        <f>IF(31&lt;=nLan,31,"")</f>
        <v/>
      </c>
      <c r="B36" s="44">
        <f t="shared" si="0"/>
        <v>0</v>
      </c>
      <c r="C36" s="44">
        <f t="shared" si="1"/>
        <v>0</v>
      </c>
      <c r="D36" s="44">
        <f>IF(A36="",0,('HOAT TAI'!$E$12+'HOAT TAI'!$C$13*(1+IM_))*A36*B36+pPL*bPL*0.5*Lsp)</f>
        <v>0</v>
      </c>
      <c r="E36" s="44">
        <f t="shared" si="2"/>
        <v>0</v>
      </c>
      <c r="F36" s="44">
        <f t="shared" si="3"/>
        <v>0</v>
      </c>
      <c r="G36" s="44">
        <f t="shared" si="4"/>
        <v>0</v>
      </c>
      <c r="H36" s="44">
        <f t="shared" si="5"/>
        <v>0</v>
      </c>
      <c r="I36" s="44"/>
      <c r="J36" s="45"/>
    </row>
    <row r="37" spans="1:10" x14ac:dyDescent="0.3">
      <c r="A37" s="44" t="str">
        <f>IF(32&lt;=nLan,32,"")</f>
        <v/>
      </c>
      <c r="B37" s="44">
        <f t="shared" si="0"/>
        <v>0</v>
      </c>
      <c r="C37" s="44">
        <f t="shared" si="1"/>
        <v>0</v>
      </c>
      <c r="D37" s="44">
        <f>IF(A37="",0,('HOAT TAI'!$E$12+'HOAT TAI'!$C$13*(1+IM_))*A37*B37+pPL*bPL*0.5*Lsp)</f>
        <v>0</v>
      </c>
      <c r="E37" s="44">
        <f t="shared" si="2"/>
        <v>0</v>
      </c>
      <c r="F37" s="44">
        <f t="shared" si="3"/>
        <v>0</v>
      </c>
      <c r="G37" s="44">
        <f t="shared" si="4"/>
        <v>0</v>
      </c>
      <c r="H37" s="44">
        <f t="shared" si="5"/>
        <v>0</v>
      </c>
      <c r="I37" s="44"/>
      <c r="J37" s="45"/>
    </row>
    <row r="38" spans="1:10" x14ac:dyDescent="0.3">
      <c r="A38" s="44" t="str">
        <f>IF(33&lt;=nLan,33,"")</f>
        <v/>
      </c>
      <c r="B38" s="44">
        <f t="shared" si="0"/>
        <v>0</v>
      </c>
      <c r="C38" s="44">
        <f t="shared" si="1"/>
        <v>0</v>
      </c>
      <c r="D38" s="44">
        <f>IF(A38="",0,('HOAT TAI'!$E$12+'HOAT TAI'!$C$13*(1+IM_))*A38*B38+pPL*bPL*0.5*Lsp)</f>
        <v>0</v>
      </c>
      <c r="E38" s="44">
        <f t="shared" si="2"/>
        <v>0</v>
      </c>
      <c r="F38" s="44">
        <f t="shared" si="3"/>
        <v>0</v>
      </c>
      <c r="G38" s="44">
        <f t="shared" si="4"/>
        <v>0</v>
      </c>
      <c r="H38" s="44">
        <f t="shared" si="5"/>
        <v>0</v>
      </c>
      <c r="I38" s="44"/>
      <c r="J38" s="45"/>
    </row>
    <row r="39" spans="1:10" x14ac:dyDescent="0.3">
      <c r="A39" s="44" t="str">
        <f>IF(34&lt;=nLan,34,"")</f>
        <v/>
      </c>
      <c r="B39" s="44">
        <f t="shared" si="0"/>
        <v>0</v>
      </c>
      <c r="C39" s="44">
        <f t="shared" si="1"/>
        <v>0</v>
      </c>
      <c r="D39" s="44">
        <f>IF(A39="",0,('HOAT TAI'!$E$12+'HOAT TAI'!$C$13*(1+IM_))*A39*B39+pPL*bPL*0.5*Lsp)</f>
        <v>0</v>
      </c>
      <c r="E39" s="44">
        <f t="shared" si="2"/>
        <v>0</v>
      </c>
      <c r="F39" s="44">
        <f t="shared" si="3"/>
        <v>0</v>
      </c>
      <c r="G39" s="44">
        <f t="shared" si="4"/>
        <v>0</v>
      </c>
      <c r="H39" s="44">
        <f t="shared" si="5"/>
        <v>0</v>
      </c>
      <c r="I39" s="44"/>
      <c r="J39" s="45"/>
    </row>
    <row r="40" spans="1:10" x14ac:dyDescent="0.3">
      <c r="A40" s="44" t="str">
        <f>IF(35&lt;=nLan,35,"")</f>
        <v/>
      </c>
      <c r="B40" s="44">
        <f t="shared" si="0"/>
        <v>0</v>
      </c>
      <c r="C40" s="44">
        <f t="shared" si="1"/>
        <v>0</v>
      </c>
      <c r="D40" s="44">
        <f>IF(A40="",0,('HOAT TAI'!$E$12+'HOAT TAI'!$C$13*(1+IM_))*A40*B40+pPL*bPL*0.5*Lsp)</f>
        <v>0</v>
      </c>
      <c r="E40" s="44">
        <f t="shared" si="2"/>
        <v>0</v>
      </c>
      <c r="F40" s="44">
        <f t="shared" si="3"/>
        <v>0</v>
      </c>
      <c r="G40" s="44">
        <f t="shared" si="4"/>
        <v>0</v>
      </c>
      <c r="H40" s="44">
        <f t="shared" si="5"/>
        <v>0</v>
      </c>
      <c r="I40" s="44"/>
      <c r="J40" s="45"/>
    </row>
    <row r="41" spans="1:10" x14ac:dyDescent="0.3">
      <c r="A41" s="44" t="str">
        <f>IF(36&lt;=nLan,36,"")</f>
        <v/>
      </c>
      <c r="B41" s="44">
        <f t="shared" si="0"/>
        <v>0</v>
      </c>
      <c r="C41" s="44">
        <f t="shared" si="1"/>
        <v>0</v>
      </c>
      <c r="D41" s="44">
        <f>IF(A41="",0,('HOAT TAI'!$E$12+'HOAT TAI'!$C$13*(1+IM_))*A41*B41+pPL*bPL*0.5*Lsp)</f>
        <v>0</v>
      </c>
      <c r="E41" s="44">
        <f t="shared" si="2"/>
        <v>0</v>
      </c>
      <c r="F41" s="44">
        <f t="shared" si="3"/>
        <v>0</v>
      </c>
      <c r="G41" s="44">
        <f t="shared" si="4"/>
        <v>0</v>
      </c>
      <c r="H41" s="44">
        <f t="shared" si="5"/>
        <v>0</v>
      </c>
      <c r="I41" s="44"/>
      <c r="J41" s="45"/>
    </row>
    <row r="42" spans="1:10" x14ac:dyDescent="0.3">
      <c r="A42" s="44" t="str">
        <f>IF(37&lt;=nLan,37,"")</f>
        <v/>
      </c>
      <c r="B42" s="44">
        <f t="shared" si="0"/>
        <v>0</v>
      </c>
      <c r="C42" s="44">
        <f t="shared" si="1"/>
        <v>0</v>
      </c>
      <c r="D42" s="44">
        <f>IF(A42="",0,('HOAT TAI'!$E$12+'HOAT TAI'!$C$13*(1+IM_))*A42*B42+pPL*bPL*0.5*Lsp)</f>
        <v>0</v>
      </c>
      <c r="E42" s="44">
        <f t="shared" si="2"/>
        <v>0</v>
      </c>
      <c r="F42" s="44">
        <f t="shared" si="3"/>
        <v>0</v>
      </c>
      <c r="G42" s="44">
        <f t="shared" si="4"/>
        <v>0</v>
      </c>
      <c r="H42" s="44">
        <f t="shared" si="5"/>
        <v>0</v>
      </c>
      <c r="I42" s="44"/>
      <c r="J42" s="45"/>
    </row>
    <row r="43" spans="1:10" x14ac:dyDescent="0.3">
      <c r="A43" s="44" t="str">
        <f>IF(38&lt;=nLan,38,"")</f>
        <v/>
      </c>
      <c r="B43" s="44">
        <f t="shared" si="0"/>
        <v>0</v>
      </c>
      <c r="C43" s="44">
        <f t="shared" si="1"/>
        <v>0</v>
      </c>
      <c r="D43" s="44">
        <f>IF(A43="",0,('HOAT TAI'!$E$12+'HOAT TAI'!$C$13*(1+IM_))*A43*B43+pPL*bPL*0.5*Lsp)</f>
        <v>0</v>
      </c>
      <c r="E43" s="44">
        <f t="shared" si="2"/>
        <v>0</v>
      </c>
      <c r="F43" s="44">
        <f t="shared" si="3"/>
        <v>0</v>
      </c>
      <c r="G43" s="44">
        <f t="shared" si="4"/>
        <v>0</v>
      </c>
      <c r="H43" s="44">
        <f t="shared" si="5"/>
        <v>0</v>
      </c>
      <c r="I43" s="44"/>
      <c r="J43" s="45"/>
    </row>
    <row r="44" spans="1:10" x14ac:dyDescent="0.3">
      <c r="A44" s="44" t="str">
        <f>IF(39&lt;=nLan,39,"")</f>
        <v/>
      </c>
      <c r="B44" s="44">
        <f t="shared" si="0"/>
        <v>0</v>
      </c>
      <c r="C44" s="44">
        <f t="shared" si="1"/>
        <v>0</v>
      </c>
      <c r="D44" s="44">
        <f>IF(A44="",0,('HOAT TAI'!$E$12+'HOAT TAI'!$C$13*(1+IM_))*A44*B44+pPL*bPL*0.5*Lsp)</f>
        <v>0</v>
      </c>
      <c r="E44" s="44">
        <f t="shared" si="2"/>
        <v>0</v>
      </c>
      <c r="F44" s="44">
        <f t="shared" si="3"/>
        <v>0</v>
      </c>
      <c r="G44" s="44">
        <f t="shared" si="4"/>
        <v>0</v>
      </c>
      <c r="H44" s="44">
        <f t="shared" si="5"/>
        <v>0</v>
      </c>
      <c r="I44" s="44"/>
      <c r="J44" s="45"/>
    </row>
    <row r="45" spans="1:10" x14ac:dyDescent="0.3">
      <c r="A45" s="44" t="str">
        <f>IF(40&lt;=nLan,40,"")</f>
        <v/>
      </c>
      <c r="B45" s="44">
        <f t="shared" si="0"/>
        <v>0</v>
      </c>
      <c r="C45" s="44">
        <f t="shared" si="1"/>
        <v>0</v>
      </c>
      <c r="D45" s="44">
        <f>IF(A45="",0,('HOAT TAI'!$E$12+'HOAT TAI'!$C$13*(1+IM_))*A45*B45+pPL*bPL*0.5*Lsp)</f>
        <v>0</v>
      </c>
      <c r="E45" s="44">
        <f t="shared" si="2"/>
        <v>0</v>
      </c>
      <c r="F45" s="44">
        <f t="shared" si="3"/>
        <v>0</v>
      </c>
      <c r="G45" s="44">
        <f t="shared" si="4"/>
        <v>0</v>
      </c>
      <c r="H45" s="44">
        <f t="shared" si="5"/>
        <v>0</v>
      </c>
      <c r="I45" s="44"/>
      <c r="J45" s="45"/>
    </row>
    <row r="46" spans="1:10" x14ac:dyDescent="0.3">
      <c r="A46" s="45"/>
      <c r="B46" s="45"/>
      <c r="C46" s="45"/>
      <c r="D46" s="45"/>
      <c r="E46" s="45"/>
      <c r="F46" s="45"/>
      <c r="G46" s="45"/>
      <c r="H46" s="45"/>
      <c r="I46" s="45"/>
      <c r="J46" s="45"/>
    </row>
    <row r="47" spans="1:10" x14ac:dyDescent="0.3">
      <c r="A47" s="45"/>
      <c r="B47" s="45"/>
      <c r="C47" s="45"/>
      <c r="D47" s="45"/>
      <c r="E47" s="45"/>
      <c r="F47" s="45"/>
      <c r="G47" s="45"/>
      <c r="H47" s="45"/>
      <c r="I47" s="45"/>
      <c r="J47" s="45"/>
    </row>
    <row r="48" spans="1:10" x14ac:dyDescent="0.3">
      <c r="A48" s="45"/>
      <c r="B48" s="45"/>
      <c r="C48" s="45"/>
      <c r="D48" s="45"/>
      <c r="E48" s="45"/>
      <c r="F48" s="45"/>
      <c r="G48" s="45"/>
      <c r="H48" s="45"/>
      <c r="I48" s="45"/>
      <c r="J48" s="45"/>
    </row>
    <row r="49" spans="1:10" x14ac:dyDescent="0.3">
      <c r="A49" s="45"/>
      <c r="B49" s="45"/>
      <c r="C49" s="45"/>
      <c r="D49" s="45"/>
      <c r="E49" s="45"/>
      <c r="F49" s="45"/>
      <c r="G49" s="45"/>
      <c r="H49" s="45"/>
      <c r="I49" s="45"/>
      <c r="J49" s="45"/>
    </row>
    <row r="50" spans="1:10" x14ac:dyDescent="0.3">
      <c r="A50" s="45"/>
      <c r="B50" s="45"/>
      <c r="C50" s="45"/>
      <c r="D50" s="45"/>
      <c r="E50" s="45"/>
      <c r="F50" s="45"/>
      <c r="G50" s="45"/>
      <c r="H50" s="45"/>
      <c r="I50" s="45"/>
      <c r="J50" s="45"/>
    </row>
    <row r="51" spans="1:10" x14ac:dyDescent="0.3">
      <c r="A51" s="45"/>
      <c r="B51" s="45"/>
      <c r="C51" s="45"/>
      <c r="D51" s="45"/>
      <c r="E51" s="45"/>
      <c r="F51" s="45"/>
      <c r="G51" s="45"/>
      <c r="H51" s="45"/>
      <c r="I51" s="45"/>
      <c r="J51" s="45"/>
    </row>
    <row r="52" spans="1:10" x14ac:dyDescent="0.3">
      <c r="A52" s="45"/>
      <c r="B52" s="45"/>
      <c r="C52" s="45"/>
      <c r="D52" s="45"/>
      <c r="E52" s="45"/>
      <c r="F52" s="45"/>
      <c r="G52" s="45"/>
      <c r="H52" s="45"/>
      <c r="I52" s="45"/>
      <c r="J52" s="45"/>
    </row>
    <row r="53" spans="1:10" x14ac:dyDescent="0.3">
      <c r="A53" s="45"/>
      <c r="B53" s="45"/>
      <c r="C53" s="45"/>
      <c r="D53" s="45"/>
      <c r="E53" s="45"/>
      <c r="F53" s="45"/>
      <c r="G53" s="45"/>
      <c r="H53" s="45"/>
      <c r="I53" s="45"/>
      <c r="J53" s="45"/>
    </row>
    <row r="54" spans="1:10" x14ac:dyDescent="0.3">
      <c r="A54" s="45"/>
      <c r="B54" s="45"/>
      <c r="C54" s="45"/>
      <c r="D54" s="45"/>
      <c r="E54" s="45"/>
      <c r="F54" s="45"/>
      <c r="G54" s="45"/>
      <c r="H54" s="45"/>
      <c r="I54" s="45"/>
      <c r="J54" s="45"/>
    </row>
    <row r="55" spans="1:10" x14ac:dyDescent="0.3">
      <c r="A55" s="45"/>
      <c r="B55" s="45"/>
      <c r="C55" s="45"/>
      <c r="D55" s="45"/>
      <c r="E55" s="45"/>
      <c r="F55" s="45"/>
      <c r="G55" s="45"/>
      <c r="H55" s="45"/>
      <c r="I55" s="45"/>
      <c r="J55" s="45"/>
    </row>
    <row r="56" spans="1:10" x14ac:dyDescent="0.3">
      <c r="A56" s="45"/>
      <c r="B56" s="45"/>
      <c r="C56" s="45"/>
      <c r="D56" s="45"/>
      <c r="E56" s="45"/>
      <c r="F56" s="45"/>
      <c r="G56" s="45"/>
      <c r="H56" s="45"/>
      <c r="I56" s="45"/>
      <c r="J56" s="45"/>
    </row>
    <row r="57" spans="1:10" x14ac:dyDescent="0.3">
      <c r="A57" s="45"/>
      <c r="B57" s="45"/>
      <c r="C57" s="45"/>
      <c r="D57" s="45"/>
      <c r="E57" s="45"/>
      <c r="F57" s="45"/>
      <c r="G57" s="45"/>
      <c r="H57" s="45"/>
      <c r="I57" s="45"/>
      <c r="J57" s="45"/>
    </row>
    <row r="58" spans="1:10" x14ac:dyDescent="0.3">
      <c r="A58" s="45"/>
      <c r="B58" s="45"/>
      <c r="C58" s="45"/>
      <c r="D58" s="45"/>
      <c r="E58" s="45"/>
      <c r="F58" s="45"/>
      <c r="G58" s="45"/>
      <c r="H58" s="45"/>
      <c r="I58" s="45"/>
      <c r="J58" s="45"/>
    </row>
    <row r="59" spans="1:10" x14ac:dyDescent="0.3">
      <c r="A59" s="45"/>
      <c r="B59" s="45"/>
      <c r="C59" s="45"/>
      <c r="D59" s="45"/>
      <c r="E59" s="45"/>
      <c r="F59" s="45"/>
      <c r="G59" s="45"/>
      <c r="H59" s="45"/>
      <c r="I59" s="45"/>
      <c r="J59" s="45"/>
    </row>
    <row r="60" spans="1:10" x14ac:dyDescent="0.3">
      <c r="A60" s="45"/>
      <c r="B60" s="45"/>
      <c r="C60" s="45"/>
      <c r="D60" s="45"/>
      <c r="E60" s="45"/>
      <c r="F60" s="45"/>
      <c r="G60" s="45"/>
      <c r="H60" s="45"/>
      <c r="I60" s="45"/>
      <c r="J60" s="45"/>
    </row>
    <row r="61" spans="1:10" x14ac:dyDescent="0.3">
      <c r="A61" s="45"/>
      <c r="B61" s="45"/>
      <c r="C61" s="45"/>
      <c r="D61" s="45"/>
      <c r="E61" s="45"/>
      <c r="F61" s="45"/>
      <c r="G61" s="45"/>
      <c r="H61" s="45"/>
      <c r="I61" s="45"/>
      <c r="J61" s="45"/>
    </row>
    <row r="62" spans="1:10" x14ac:dyDescent="0.3">
      <c r="A62" s="45"/>
      <c r="B62" s="45"/>
      <c r="C62" s="45"/>
      <c r="D62" s="45"/>
      <c r="E62" s="45"/>
      <c r="F62" s="45"/>
      <c r="G62" s="45"/>
      <c r="H62" s="45"/>
      <c r="I62" s="45"/>
      <c r="J62" s="45"/>
    </row>
    <row r="63" spans="1:10" x14ac:dyDescent="0.3">
      <c r="A63" s="45"/>
      <c r="B63" s="45"/>
      <c r="C63" s="45"/>
      <c r="D63" s="45"/>
      <c r="E63" s="45"/>
      <c r="F63" s="45"/>
      <c r="G63" s="45"/>
      <c r="H63" s="45"/>
      <c r="I63" s="45"/>
      <c r="J63" s="45"/>
    </row>
    <row r="64" spans="1:10" x14ac:dyDescent="0.3">
      <c r="A64" s="45"/>
      <c r="B64" s="45"/>
      <c r="C64" s="45"/>
      <c r="D64" s="45"/>
      <c r="E64" s="45"/>
      <c r="F64" s="45"/>
      <c r="G64" s="45"/>
      <c r="H64" s="45"/>
      <c r="I64" s="45"/>
      <c r="J64" s="45"/>
    </row>
    <row r="65" spans="1:10" x14ac:dyDescent="0.3">
      <c r="A65" s="45"/>
      <c r="B65" s="45"/>
      <c r="C65" s="45"/>
      <c r="D65" s="45"/>
      <c r="E65" s="45"/>
      <c r="F65" s="45"/>
      <c r="G65" s="45"/>
      <c r="H65" s="45"/>
      <c r="I65" s="45"/>
      <c r="J65" s="45"/>
    </row>
    <row r="66" spans="1:10" x14ac:dyDescent="0.3">
      <c r="A66" s="45"/>
      <c r="B66" s="45"/>
      <c r="C66" s="45"/>
      <c r="D66" s="45"/>
      <c r="E66" s="45"/>
      <c r="F66" s="45"/>
      <c r="G66" s="45"/>
      <c r="H66" s="45"/>
      <c r="I66" s="45"/>
      <c r="J66" s="45"/>
    </row>
    <row r="67" spans="1:10" x14ac:dyDescent="0.3">
      <c r="A67" s="45"/>
      <c r="B67" s="45"/>
      <c r="C67" s="45"/>
      <c r="D67" s="45"/>
      <c r="E67" s="45"/>
      <c r="F67" s="45"/>
      <c r="G67" s="45"/>
      <c r="H67" s="45"/>
      <c r="I67" s="45"/>
      <c r="J67" s="45"/>
    </row>
    <row r="68" spans="1:10" x14ac:dyDescent="0.3">
      <c r="A68" s="45"/>
      <c r="B68" s="45"/>
      <c r="C68" s="45"/>
      <c r="D68" s="45"/>
      <c r="E68" s="45"/>
      <c r="F68" s="45"/>
      <c r="G68" s="45"/>
      <c r="H68" s="45"/>
      <c r="I68" s="45"/>
      <c r="J68" s="45"/>
    </row>
    <row r="69" spans="1:10" x14ac:dyDescent="0.3">
      <c r="A69" s="45"/>
      <c r="B69" s="45"/>
      <c r="C69" s="45"/>
      <c r="D69" s="45"/>
      <c r="E69" s="45"/>
      <c r="F69" s="45"/>
      <c r="G69" s="45"/>
      <c r="H69" s="45"/>
      <c r="I69" s="45"/>
      <c r="J69" s="45"/>
    </row>
    <row r="70" spans="1:10" x14ac:dyDescent="0.3">
      <c r="A70" s="45"/>
      <c r="B70" s="45"/>
      <c r="C70" s="45"/>
      <c r="D70" s="45"/>
      <c r="E70" s="45"/>
      <c r="F70" s="45"/>
      <c r="G70" s="45"/>
      <c r="H70" s="45"/>
      <c r="I70" s="45"/>
      <c r="J70" s="45"/>
    </row>
    <row r="71" spans="1:10" x14ac:dyDescent="0.3">
      <c r="A71" s="45"/>
      <c r="B71" s="45"/>
      <c r="C71" s="45"/>
      <c r="D71" s="45"/>
      <c r="E71" s="45"/>
      <c r="F71" s="45"/>
      <c r="G71" s="45"/>
      <c r="H71" s="45"/>
      <c r="I71" s="45"/>
      <c r="J71" s="45"/>
    </row>
    <row r="72" spans="1:10" x14ac:dyDescent="0.3">
      <c r="A72" s="45"/>
      <c r="B72" s="45"/>
      <c r="C72" s="45"/>
      <c r="D72" s="45"/>
      <c r="E72" s="45"/>
      <c r="F72" s="45"/>
      <c r="G72" s="45"/>
      <c r="H72" s="45"/>
      <c r="I72" s="45"/>
      <c r="J72" s="45"/>
    </row>
    <row r="73" spans="1:10" x14ac:dyDescent="0.3">
      <c r="A73" s="45"/>
      <c r="B73" s="45"/>
      <c r="C73" s="45"/>
      <c r="D73" s="45"/>
      <c r="E73" s="45"/>
      <c r="F73" s="45"/>
      <c r="G73" s="45"/>
      <c r="H73" s="45"/>
      <c r="I73" s="45"/>
      <c r="J73" s="45"/>
    </row>
    <row r="74" spans="1:10" x14ac:dyDescent="0.3">
      <c r="A74" s="45"/>
      <c r="B74" s="45"/>
      <c r="C74" s="45"/>
      <c r="D74" s="45"/>
      <c r="E74" s="45"/>
      <c r="F74" s="45"/>
      <c r="G74" s="45"/>
      <c r="H74" s="45"/>
      <c r="I74" s="45"/>
      <c r="J74" s="45"/>
    </row>
    <row r="75" spans="1:10" x14ac:dyDescent="0.3">
      <c r="A75" s="45"/>
      <c r="B75" s="45"/>
      <c r="C75" s="45"/>
      <c r="D75" s="45"/>
      <c r="E75" s="45"/>
      <c r="F75" s="45"/>
      <c r="G75" s="45"/>
      <c r="H75" s="45"/>
      <c r="I75" s="45"/>
      <c r="J75" s="45"/>
    </row>
    <row r="76" spans="1:10" x14ac:dyDescent="0.3">
      <c r="A76" s="45"/>
      <c r="B76" s="45"/>
      <c r="C76" s="45"/>
      <c r="D76" s="45"/>
      <c r="E76" s="45"/>
      <c r="F76" s="45"/>
      <c r="G76" s="45"/>
      <c r="H76" s="45"/>
      <c r="I76" s="45"/>
      <c r="J76" s="45"/>
    </row>
    <row r="77" spans="1:10" x14ac:dyDescent="0.3">
      <c r="A77" s="45"/>
      <c r="B77" s="45"/>
      <c r="C77" s="45"/>
      <c r="D77" s="45"/>
      <c r="E77" s="45"/>
      <c r="F77" s="45"/>
      <c r="G77" s="45"/>
      <c r="H77" s="45"/>
      <c r="I77" s="45"/>
      <c r="J77" s="45"/>
    </row>
    <row r="78" spans="1:10" x14ac:dyDescent="0.3">
      <c r="A78" s="45"/>
      <c r="B78" s="45"/>
      <c r="C78" s="45"/>
      <c r="D78" s="45"/>
      <c r="E78" s="45"/>
      <c r="F78" s="45"/>
      <c r="G78" s="45"/>
      <c r="H78" s="45"/>
      <c r="I78" s="45"/>
      <c r="J78" s="45"/>
    </row>
    <row r="79" spans="1:10" x14ac:dyDescent="0.3">
      <c r="A79" s="45"/>
      <c r="B79" s="45"/>
      <c r="C79" s="45"/>
      <c r="D79" s="45"/>
      <c r="E79" s="45"/>
      <c r="F79" s="45"/>
      <c r="G79" s="45"/>
      <c r="H79" s="45"/>
      <c r="I79" s="45"/>
      <c r="J79" s="45"/>
    </row>
    <row r="80" spans="1:10" x14ac:dyDescent="0.3">
      <c r="A80" s="45"/>
      <c r="B80" s="45"/>
      <c r="C80" s="45"/>
      <c r="D80" s="45"/>
      <c r="E80" s="45"/>
      <c r="F80" s="45"/>
      <c r="G80" s="45"/>
      <c r="H80" s="45"/>
      <c r="I80" s="45"/>
      <c r="J80" s="45"/>
    </row>
    <row r="81" spans="1:10" x14ac:dyDescent="0.3">
      <c r="A81" s="45"/>
      <c r="B81" s="45"/>
      <c r="C81" s="45"/>
      <c r="D81" s="45"/>
      <c r="E81" s="45"/>
      <c r="F81" s="45"/>
      <c r="G81" s="45"/>
      <c r="H81" s="45"/>
      <c r="I81" s="45"/>
      <c r="J81" s="45"/>
    </row>
    <row r="82" spans="1:10" x14ac:dyDescent="0.3">
      <c r="A82" s="45"/>
      <c r="B82" s="45"/>
      <c r="C82" s="45"/>
      <c r="D82" s="45"/>
      <c r="E82" s="45"/>
      <c r="F82" s="45"/>
      <c r="G82" s="45"/>
      <c r="H82" s="45"/>
      <c r="I82" s="45"/>
      <c r="J82" s="45"/>
    </row>
    <row r="83" spans="1:10" x14ac:dyDescent="0.3">
      <c r="A83" s="45"/>
      <c r="B83" s="45"/>
      <c r="C83" s="45"/>
      <c r="D83" s="45"/>
      <c r="E83" s="45"/>
      <c r="F83" s="45"/>
      <c r="G83" s="45"/>
      <c r="H83" s="45"/>
      <c r="I83" s="45"/>
      <c r="J83" s="45"/>
    </row>
    <row r="84" spans="1:10" x14ac:dyDescent="0.3">
      <c r="A84" s="45"/>
      <c r="B84" s="45"/>
      <c r="C84" s="45"/>
      <c r="D84" s="45"/>
      <c r="E84" s="45"/>
      <c r="F84" s="45"/>
      <c r="G84" s="45"/>
      <c r="H84" s="45"/>
      <c r="I84" s="45"/>
      <c r="J84" s="45"/>
    </row>
    <row r="85" spans="1:10" x14ac:dyDescent="0.3">
      <c r="A85" s="45"/>
      <c r="B85" s="45"/>
      <c r="C85" s="45"/>
      <c r="D85" s="45"/>
      <c r="E85" s="45"/>
      <c r="F85" s="45"/>
      <c r="G85" s="45"/>
      <c r="H85" s="45"/>
      <c r="I85" s="45"/>
      <c r="J85" s="45"/>
    </row>
    <row r="86" spans="1:10" x14ac:dyDescent="0.3">
      <c r="A86" s="45"/>
      <c r="B86" s="45"/>
      <c r="C86" s="45"/>
      <c r="D86" s="45"/>
      <c r="E86" s="45"/>
      <c r="F86" s="45"/>
      <c r="G86" s="45"/>
      <c r="H86" s="45"/>
      <c r="I86" s="45"/>
      <c r="J86" s="45"/>
    </row>
    <row r="87" spans="1:10" x14ac:dyDescent="0.3">
      <c r="A87" s="45"/>
      <c r="B87" s="45"/>
      <c r="C87" s="45"/>
      <c r="D87" s="45"/>
      <c r="E87" s="45"/>
      <c r="F87" s="45"/>
      <c r="G87" s="45"/>
      <c r="H87" s="45"/>
      <c r="I87" s="45"/>
      <c r="J87" s="45"/>
    </row>
    <row r="88" spans="1:10" x14ac:dyDescent="0.3">
      <c r="A88" s="45"/>
      <c r="B88" s="45"/>
      <c r="C88" s="45"/>
      <c r="D88" s="45"/>
      <c r="E88" s="45"/>
      <c r="F88" s="45"/>
      <c r="G88" s="45"/>
      <c r="H88" s="45"/>
      <c r="I88" s="45"/>
      <c r="J88" s="45"/>
    </row>
    <row r="89" spans="1:10" x14ac:dyDescent="0.3">
      <c r="A89" s="45"/>
      <c r="B89" s="45"/>
      <c r="C89" s="45"/>
      <c r="D89" s="45"/>
      <c r="E89" s="45"/>
      <c r="F89" s="45"/>
      <c r="G89" s="45"/>
      <c r="H89" s="45"/>
      <c r="I89" s="45"/>
      <c r="J89" s="45"/>
    </row>
    <row r="90" spans="1:10" x14ac:dyDescent="0.3">
      <c r="A90" s="45"/>
      <c r="B90" s="45"/>
      <c r="C90" s="45"/>
      <c r="D90" s="45"/>
      <c r="E90" s="45"/>
      <c r="F90" s="45"/>
      <c r="G90" s="45"/>
      <c r="H90" s="45"/>
      <c r="I90" s="45"/>
      <c r="J90" s="45"/>
    </row>
    <row r="91" spans="1:10" x14ac:dyDescent="0.3">
      <c r="A91" s="45"/>
      <c r="B91" s="45"/>
      <c r="C91" s="45"/>
      <c r="D91" s="45"/>
      <c r="E91" s="45"/>
      <c r="F91" s="45"/>
      <c r="G91" s="45"/>
      <c r="H91" s="45"/>
      <c r="I91" s="45"/>
      <c r="J91" s="45"/>
    </row>
    <row r="92" spans="1:10" x14ac:dyDescent="0.3">
      <c r="A92" s="45"/>
      <c r="B92" s="45"/>
      <c r="C92" s="45"/>
      <c r="D92" s="45"/>
      <c r="E92" s="45"/>
      <c r="F92" s="45"/>
      <c r="G92" s="45"/>
      <c r="H92" s="45"/>
      <c r="I92" s="45"/>
      <c r="J92" s="45"/>
    </row>
    <row r="93" spans="1:10" x14ac:dyDescent="0.3">
      <c r="A93" s="45"/>
      <c r="B93" s="45"/>
      <c r="C93" s="45"/>
      <c r="D93" s="45"/>
      <c r="E93" s="45"/>
      <c r="F93" s="45"/>
      <c r="G93" s="45"/>
      <c r="H93" s="45"/>
      <c r="I93" s="45"/>
      <c r="J93" s="45"/>
    </row>
    <row r="94" spans="1:10" x14ac:dyDescent="0.3">
      <c r="A94" s="45"/>
      <c r="B94" s="45"/>
      <c r="C94" s="45"/>
      <c r="D94" s="45"/>
      <c r="E94" s="45"/>
      <c r="F94" s="45"/>
      <c r="G94" s="45"/>
      <c r="H94" s="45"/>
      <c r="I94" s="45"/>
      <c r="J94" s="45"/>
    </row>
    <row r="95" spans="1:10" x14ac:dyDescent="0.3">
      <c r="A95" s="45"/>
      <c r="B95" s="45"/>
      <c r="C95" s="45"/>
      <c r="D95" s="45"/>
      <c r="E95" s="45"/>
      <c r="F95" s="45"/>
      <c r="G95" s="45"/>
      <c r="H95" s="45"/>
      <c r="I95" s="45"/>
      <c r="J95" s="45"/>
    </row>
    <row r="96" spans="1:10" x14ac:dyDescent="0.3">
      <c r="A96" s="45"/>
      <c r="B96" s="45"/>
      <c r="C96" s="45"/>
      <c r="D96" s="45"/>
      <c r="E96" s="45"/>
      <c r="F96" s="45"/>
      <c r="G96" s="45"/>
      <c r="H96" s="45"/>
      <c r="I96" s="45"/>
      <c r="J96" s="45"/>
    </row>
    <row r="97" spans="1:10" x14ac:dyDescent="0.3">
      <c r="A97" s="45"/>
      <c r="B97" s="45"/>
      <c r="C97" s="45"/>
      <c r="D97" s="45"/>
      <c r="E97" s="45"/>
      <c r="F97" s="45"/>
      <c r="G97" s="45"/>
      <c r="H97" s="45"/>
      <c r="I97" s="45"/>
      <c r="J97" s="45"/>
    </row>
    <row r="98" spans="1:10" x14ac:dyDescent="0.3">
      <c r="A98" s="45"/>
      <c r="B98" s="45"/>
      <c r="C98" s="45"/>
      <c r="D98" s="45"/>
      <c r="E98" s="45"/>
      <c r="F98" s="45"/>
      <c r="G98" s="45"/>
      <c r="H98" s="45"/>
      <c r="I98" s="45"/>
      <c r="J98" s="45"/>
    </row>
    <row r="99" spans="1:10" x14ac:dyDescent="0.3">
      <c r="A99" s="45"/>
      <c r="B99" s="45"/>
      <c r="C99" s="45"/>
      <c r="D99" s="45"/>
      <c r="E99" s="45"/>
      <c r="F99" s="45"/>
      <c r="G99" s="45"/>
      <c r="H99" s="45"/>
      <c r="I99" s="45"/>
      <c r="J99" s="45"/>
    </row>
    <row r="100" spans="1:10" x14ac:dyDescent="0.3">
      <c r="A100" s="45"/>
      <c r="B100" s="45"/>
      <c r="C100" s="45"/>
      <c r="D100" s="45"/>
      <c r="E100" s="45"/>
      <c r="F100" s="45"/>
      <c r="G100" s="45"/>
      <c r="H100" s="45"/>
      <c r="I100" s="45"/>
      <c r="J100" s="45"/>
    </row>
  </sheetData>
  <mergeCells count="3">
    <mergeCell ref="A1:I1"/>
    <mergeCell ref="A2:I2"/>
    <mergeCell ref="A4:I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M243"/>
  <sheetViews>
    <sheetView showGridLines="0" workbookViewId="0"/>
  </sheetViews>
  <sheetFormatPr defaultRowHeight="14.4" x14ac:dyDescent="0.3"/>
  <cols>
    <col min="1" max="1" width="46" customWidth="1"/>
    <col min="2" max="11" width="15" customWidth="1"/>
    <col min="12" max="13" width="12" customWidth="1"/>
  </cols>
  <sheetData>
    <row r="1" spans="1:13" ht="28.05" customHeight="1" x14ac:dyDescent="0.3">
      <c r="A1" s="90" t="s">
        <v>879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</row>
    <row r="2" spans="1:13" ht="34.049999999999997" customHeight="1" x14ac:dyDescent="0.3">
      <c r="A2" s="91" t="s">
        <v>880</v>
      </c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</row>
    <row r="3" spans="1:13" x14ac:dyDescent="0.3">
      <c r="A3" t="s">
        <v>881</v>
      </c>
    </row>
    <row r="4" spans="1:13" ht="22.05" customHeight="1" x14ac:dyDescent="0.3">
      <c r="A4" s="81" t="s">
        <v>882</v>
      </c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</row>
    <row r="5" spans="1:13" x14ac:dyDescent="0.3">
      <c r="A5" s="43" t="s">
        <v>445</v>
      </c>
      <c r="B5" s="43" t="s">
        <v>402</v>
      </c>
      <c r="C5" s="43" t="s">
        <v>403</v>
      </c>
      <c r="D5" s="43" t="s">
        <v>404</v>
      </c>
      <c r="E5" s="43" t="s">
        <v>405</v>
      </c>
      <c r="F5" s="43" t="s">
        <v>406</v>
      </c>
      <c r="G5" s="43" t="s">
        <v>407</v>
      </c>
      <c r="H5" s="43" t="s">
        <v>408</v>
      </c>
      <c r="I5" s="43" t="s">
        <v>409</v>
      </c>
      <c r="J5" s="43" t="s">
        <v>410</v>
      </c>
      <c r="K5" s="43" t="s">
        <v>411</v>
      </c>
      <c r="L5" s="43" t="s">
        <v>883</v>
      </c>
      <c r="M5" s="43" t="s">
        <v>874</v>
      </c>
    </row>
    <row r="6" spans="1:13" x14ac:dyDescent="0.3">
      <c r="A6" s="40" t="str">
        <f>IF(7&lt;=nLan,"SD I -  lệch tâm"&amp;7&amp;" làn","")</f>
        <v/>
      </c>
      <c r="B6" s="46" t="str">
        <f>IF($A6="","",'TO HOP'!$C$110+1*(0-'TO HOP'!$M$42))</f>
        <v/>
      </c>
      <c r="C6" s="46" t="str">
        <f>IF($A6="","",'TO HOP'!$D$110+1*(0-'TO HOP'!$M$43))</f>
        <v/>
      </c>
      <c r="D6" s="46" t="str">
        <f>IF($A6="","",'TO HOP'!$E$110+1*(INDEX('LANE ENGINE'!$D$6:$D$45,7)-'TO HOP'!$M$44))</f>
        <v/>
      </c>
      <c r="E6" s="46" t="str">
        <f>IF($A6="","",'TO HOP'!$F$110+1*(INDEX('LANE ENGINE'!$E$6:$E$45,7)-'TO HOP'!$M$45))</f>
        <v/>
      </c>
      <c r="F6" s="46" t="str">
        <f>IF($A6="","",'TO HOP'!$G$110+1*(INDEX('LANE ENGINE'!$F$6:$F$45,7)-'TO HOP'!$M$46))</f>
        <v/>
      </c>
      <c r="G6" s="46" t="str">
        <f>IF($A6="","",'TO HOP'!$H$110+1*(0-'TO HOP'!$M$47))</f>
        <v/>
      </c>
      <c r="H6" s="46" t="str">
        <f>IF($A6="","",'TO HOP'!$I$110+1*(0-'TO HOP'!$M$48))</f>
        <v/>
      </c>
      <c r="I6" s="46" t="str">
        <f>IF($A6="","",'TO HOP'!$J$110+1*(INDEX('LANE ENGINE'!$D$6:$D$45,7)-'TO HOP'!$M$49))</f>
        <v/>
      </c>
      <c r="J6" s="46" t="str">
        <f>IF($A6="","",'TO HOP'!$K$110+1*(INDEX('LANE ENGINE'!$E$6:$E$45,7)-'TO HOP'!$M$50))</f>
        <v/>
      </c>
      <c r="K6" s="46" t="str">
        <f>IF($A6="","",'TO HOP'!$L$110+1*(INDEX('LANE ENGINE'!$G$6:$G$45,7)-'TO HOP'!$M$51))</f>
        <v/>
      </c>
      <c r="L6" s="40" t="s">
        <v>884</v>
      </c>
      <c r="M6" s="40">
        <v>7</v>
      </c>
    </row>
    <row r="7" spans="1:13" x14ac:dyDescent="0.3">
      <c r="A7" s="40" t="str">
        <f>IF(8&lt;=nLan,"SD I -  lệch tâm"&amp;8&amp;" làn","")</f>
        <v/>
      </c>
      <c r="B7" s="46" t="str">
        <f>IF($A7="","",'TO HOP'!$C$110+1*(0-'TO HOP'!$M$42))</f>
        <v/>
      </c>
      <c r="C7" s="46" t="str">
        <f>IF($A7="","",'TO HOP'!$D$110+1*(0-'TO HOP'!$M$43))</f>
        <v/>
      </c>
      <c r="D7" s="46" t="str">
        <f>IF($A7="","",'TO HOP'!$E$110+1*(INDEX('LANE ENGINE'!$D$6:$D$45,8)-'TO HOP'!$M$44))</f>
        <v/>
      </c>
      <c r="E7" s="46" t="str">
        <f>IF($A7="","",'TO HOP'!$F$110+1*(INDEX('LANE ENGINE'!$E$6:$E$45,8)-'TO HOP'!$M$45))</f>
        <v/>
      </c>
      <c r="F7" s="46" t="str">
        <f>IF($A7="","",'TO HOP'!$G$110+1*(INDEX('LANE ENGINE'!$F$6:$F$45,8)-'TO HOP'!$M$46))</f>
        <v/>
      </c>
      <c r="G7" s="46" t="str">
        <f>IF($A7="","",'TO HOP'!$H$110+1*(0-'TO HOP'!$M$47))</f>
        <v/>
      </c>
      <c r="H7" s="46" t="str">
        <f>IF($A7="","",'TO HOP'!$I$110+1*(0-'TO HOP'!$M$48))</f>
        <v/>
      </c>
      <c r="I7" s="46" t="str">
        <f>IF($A7="","",'TO HOP'!$J$110+1*(INDEX('LANE ENGINE'!$D$6:$D$45,8)-'TO HOP'!$M$49))</f>
        <v/>
      </c>
      <c r="J7" s="46" t="str">
        <f>IF($A7="","",'TO HOP'!$K$110+1*(INDEX('LANE ENGINE'!$E$6:$E$45,8)-'TO HOP'!$M$50))</f>
        <v/>
      </c>
      <c r="K7" s="46" t="str">
        <f>IF($A7="","",'TO HOP'!$L$110+1*(INDEX('LANE ENGINE'!$G$6:$G$45,8)-'TO HOP'!$M$51))</f>
        <v/>
      </c>
      <c r="L7" s="40" t="s">
        <v>884</v>
      </c>
      <c r="M7" s="40">
        <v>8</v>
      </c>
    </row>
    <row r="8" spans="1:13" x14ac:dyDescent="0.3">
      <c r="A8" s="40" t="str">
        <f>IF(9&lt;=nLan,"SD I -  lệch tâm"&amp;9&amp;" làn","")</f>
        <v/>
      </c>
      <c r="B8" s="46" t="str">
        <f>IF($A8="","",'TO HOP'!$C$110+1*(0-'TO HOP'!$M$42))</f>
        <v/>
      </c>
      <c r="C8" s="46" t="str">
        <f>IF($A8="","",'TO HOP'!$D$110+1*(0-'TO HOP'!$M$43))</f>
        <v/>
      </c>
      <c r="D8" s="46" t="str">
        <f>IF($A8="","",'TO HOP'!$E$110+1*(INDEX('LANE ENGINE'!$D$6:$D$45,9)-'TO HOP'!$M$44))</f>
        <v/>
      </c>
      <c r="E8" s="46" t="str">
        <f>IF($A8="","",'TO HOP'!$F$110+1*(INDEX('LANE ENGINE'!$E$6:$E$45,9)-'TO HOP'!$M$45))</f>
        <v/>
      </c>
      <c r="F8" s="46" t="str">
        <f>IF($A8="","",'TO HOP'!$G$110+1*(INDEX('LANE ENGINE'!$F$6:$F$45,9)-'TO HOP'!$M$46))</f>
        <v/>
      </c>
      <c r="G8" s="46" t="str">
        <f>IF($A8="","",'TO HOP'!$H$110+1*(0-'TO HOP'!$M$47))</f>
        <v/>
      </c>
      <c r="H8" s="46" t="str">
        <f>IF($A8="","",'TO HOP'!$I$110+1*(0-'TO HOP'!$M$48))</f>
        <v/>
      </c>
      <c r="I8" s="46" t="str">
        <f>IF($A8="","",'TO HOP'!$J$110+1*(INDEX('LANE ENGINE'!$D$6:$D$45,9)-'TO HOP'!$M$49))</f>
        <v/>
      </c>
      <c r="J8" s="46" t="str">
        <f>IF($A8="","",'TO HOP'!$K$110+1*(INDEX('LANE ENGINE'!$E$6:$E$45,9)-'TO HOP'!$M$50))</f>
        <v/>
      </c>
      <c r="K8" s="46" t="str">
        <f>IF($A8="","",'TO HOP'!$L$110+1*(INDEX('LANE ENGINE'!$G$6:$G$45,9)-'TO HOP'!$M$51))</f>
        <v/>
      </c>
      <c r="L8" s="40" t="s">
        <v>884</v>
      </c>
      <c r="M8" s="40">
        <v>9</v>
      </c>
    </row>
    <row r="9" spans="1:13" x14ac:dyDescent="0.3">
      <c r="A9" s="40" t="str">
        <f>IF(10&lt;=nLan,"SD I -  lệch tâm"&amp;10&amp;" làn","")</f>
        <v/>
      </c>
      <c r="B9" s="46" t="str">
        <f>IF($A9="","",'TO HOP'!$C$110+1*(0-'TO HOP'!$M$42))</f>
        <v/>
      </c>
      <c r="C9" s="46" t="str">
        <f>IF($A9="","",'TO HOP'!$D$110+1*(0-'TO HOP'!$M$43))</f>
        <v/>
      </c>
      <c r="D9" s="46" t="str">
        <f>IF($A9="","",'TO HOP'!$E$110+1*(INDEX('LANE ENGINE'!$D$6:$D$45,10)-'TO HOP'!$M$44))</f>
        <v/>
      </c>
      <c r="E9" s="46" t="str">
        <f>IF($A9="","",'TO HOP'!$F$110+1*(INDEX('LANE ENGINE'!$E$6:$E$45,10)-'TO HOP'!$M$45))</f>
        <v/>
      </c>
      <c r="F9" s="46" t="str">
        <f>IF($A9="","",'TO HOP'!$G$110+1*(INDEX('LANE ENGINE'!$F$6:$F$45,10)-'TO HOP'!$M$46))</f>
        <v/>
      </c>
      <c r="G9" s="46" t="str">
        <f>IF($A9="","",'TO HOP'!$H$110+1*(0-'TO HOP'!$M$47))</f>
        <v/>
      </c>
      <c r="H9" s="46" t="str">
        <f>IF($A9="","",'TO HOP'!$I$110+1*(0-'TO HOP'!$M$48))</f>
        <v/>
      </c>
      <c r="I9" s="46" t="str">
        <f>IF($A9="","",'TO HOP'!$J$110+1*(INDEX('LANE ENGINE'!$D$6:$D$45,10)-'TO HOP'!$M$49))</f>
        <v/>
      </c>
      <c r="J9" s="46" t="str">
        <f>IF($A9="","",'TO HOP'!$K$110+1*(INDEX('LANE ENGINE'!$E$6:$E$45,10)-'TO HOP'!$M$50))</f>
        <v/>
      </c>
      <c r="K9" s="46" t="str">
        <f>IF($A9="","",'TO HOP'!$L$110+1*(INDEX('LANE ENGINE'!$G$6:$G$45,10)-'TO HOP'!$M$51))</f>
        <v/>
      </c>
      <c r="L9" s="40" t="s">
        <v>884</v>
      </c>
      <c r="M9" s="40">
        <v>10</v>
      </c>
    </row>
    <row r="10" spans="1:13" x14ac:dyDescent="0.3">
      <c r="A10" s="40" t="str">
        <f>IF(11&lt;=nLan,"SD I -  lệch tâm"&amp;11&amp;" làn","")</f>
        <v/>
      </c>
      <c r="B10" s="46" t="str">
        <f>IF($A10="","",'TO HOP'!$C$110+1*(0-'TO HOP'!$M$42))</f>
        <v/>
      </c>
      <c r="C10" s="46" t="str">
        <f>IF($A10="","",'TO HOP'!$D$110+1*(0-'TO HOP'!$M$43))</f>
        <v/>
      </c>
      <c r="D10" s="46" t="str">
        <f>IF($A10="","",'TO HOP'!$E$110+1*(INDEX('LANE ENGINE'!$D$6:$D$45,11)-'TO HOP'!$M$44))</f>
        <v/>
      </c>
      <c r="E10" s="46" t="str">
        <f>IF($A10="","",'TO HOP'!$F$110+1*(INDEX('LANE ENGINE'!$E$6:$E$45,11)-'TO HOP'!$M$45))</f>
        <v/>
      </c>
      <c r="F10" s="46" t="str">
        <f>IF($A10="","",'TO HOP'!$G$110+1*(INDEX('LANE ENGINE'!$F$6:$F$45,11)-'TO HOP'!$M$46))</f>
        <v/>
      </c>
      <c r="G10" s="46" t="str">
        <f>IF($A10="","",'TO HOP'!$H$110+1*(0-'TO HOP'!$M$47))</f>
        <v/>
      </c>
      <c r="H10" s="46" t="str">
        <f>IF($A10="","",'TO HOP'!$I$110+1*(0-'TO HOP'!$M$48))</f>
        <v/>
      </c>
      <c r="I10" s="46" t="str">
        <f>IF($A10="","",'TO HOP'!$J$110+1*(INDEX('LANE ENGINE'!$D$6:$D$45,11)-'TO HOP'!$M$49))</f>
        <v/>
      </c>
      <c r="J10" s="46" t="str">
        <f>IF($A10="","",'TO HOP'!$K$110+1*(INDEX('LANE ENGINE'!$E$6:$E$45,11)-'TO HOP'!$M$50))</f>
        <v/>
      </c>
      <c r="K10" s="46" t="str">
        <f>IF($A10="","",'TO HOP'!$L$110+1*(INDEX('LANE ENGINE'!$G$6:$G$45,11)-'TO HOP'!$M$51))</f>
        <v/>
      </c>
      <c r="L10" s="40" t="s">
        <v>884</v>
      </c>
      <c r="M10" s="40">
        <v>11</v>
      </c>
    </row>
    <row r="11" spans="1:13" x14ac:dyDescent="0.3">
      <c r="A11" s="40" t="str">
        <f>IF(12&lt;=nLan,"SD I -  lệch tâm"&amp;12&amp;" làn","")</f>
        <v/>
      </c>
      <c r="B11" s="46" t="str">
        <f>IF($A11="","",'TO HOP'!$C$110+1*(0-'TO HOP'!$M$42))</f>
        <v/>
      </c>
      <c r="C11" s="46" t="str">
        <f>IF($A11="","",'TO HOP'!$D$110+1*(0-'TO HOP'!$M$43))</f>
        <v/>
      </c>
      <c r="D11" s="46" t="str">
        <f>IF($A11="","",'TO HOP'!$E$110+1*(INDEX('LANE ENGINE'!$D$6:$D$45,12)-'TO HOP'!$M$44))</f>
        <v/>
      </c>
      <c r="E11" s="46" t="str">
        <f>IF($A11="","",'TO HOP'!$F$110+1*(INDEX('LANE ENGINE'!$E$6:$E$45,12)-'TO HOP'!$M$45))</f>
        <v/>
      </c>
      <c r="F11" s="46" t="str">
        <f>IF($A11="","",'TO HOP'!$G$110+1*(INDEX('LANE ENGINE'!$F$6:$F$45,12)-'TO HOP'!$M$46))</f>
        <v/>
      </c>
      <c r="G11" s="46" t="str">
        <f>IF($A11="","",'TO HOP'!$H$110+1*(0-'TO HOP'!$M$47))</f>
        <v/>
      </c>
      <c r="H11" s="46" t="str">
        <f>IF($A11="","",'TO HOP'!$I$110+1*(0-'TO HOP'!$M$48))</f>
        <v/>
      </c>
      <c r="I11" s="46" t="str">
        <f>IF($A11="","",'TO HOP'!$J$110+1*(INDEX('LANE ENGINE'!$D$6:$D$45,12)-'TO HOP'!$M$49))</f>
        <v/>
      </c>
      <c r="J11" s="46" t="str">
        <f>IF($A11="","",'TO HOP'!$K$110+1*(INDEX('LANE ENGINE'!$E$6:$E$45,12)-'TO HOP'!$M$50))</f>
        <v/>
      </c>
      <c r="K11" s="46" t="str">
        <f>IF($A11="","",'TO HOP'!$L$110+1*(INDEX('LANE ENGINE'!$G$6:$G$45,12)-'TO HOP'!$M$51))</f>
        <v/>
      </c>
      <c r="L11" s="40" t="s">
        <v>884</v>
      </c>
      <c r="M11" s="40">
        <v>12</v>
      </c>
    </row>
    <row r="12" spans="1:13" x14ac:dyDescent="0.3">
      <c r="A12" s="40" t="str">
        <f>IF(13&lt;=nLan,"SD I -  lệch tâm"&amp;13&amp;" làn","")</f>
        <v/>
      </c>
      <c r="B12" s="46" t="str">
        <f>IF($A12="","",'TO HOP'!$C$110+1*(0-'TO HOP'!$M$42))</f>
        <v/>
      </c>
      <c r="C12" s="46" t="str">
        <f>IF($A12="","",'TO HOP'!$D$110+1*(0-'TO HOP'!$M$43))</f>
        <v/>
      </c>
      <c r="D12" s="46" t="str">
        <f>IF($A12="","",'TO HOP'!$E$110+1*(INDEX('LANE ENGINE'!$D$6:$D$45,13)-'TO HOP'!$M$44))</f>
        <v/>
      </c>
      <c r="E12" s="46" t="str">
        <f>IF($A12="","",'TO HOP'!$F$110+1*(INDEX('LANE ENGINE'!$E$6:$E$45,13)-'TO HOP'!$M$45))</f>
        <v/>
      </c>
      <c r="F12" s="46" t="str">
        <f>IF($A12="","",'TO HOP'!$G$110+1*(INDEX('LANE ENGINE'!$F$6:$F$45,13)-'TO HOP'!$M$46))</f>
        <v/>
      </c>
      <c r="G12" s="46" t="str">
        <f>IF($A12="","",'TO HOP'!$H$110+1*(0-'TO HOP'!$M$47))</f>
        <v/>
      </c>
      <c r="H12" s="46" t="str">
        <f>IF($A12="","",'TO HOP'!$I$110+1*(0-'TO HOP'!$M$48))</f>
        <v/>
      </c>
      <c r="I12" s="46" t="str">
        <f>IF($A12="","",'TO HOP'!$J$110+1*(INDEX('LANE ENGINE'!$D$6:$D$45,13)-'TO HOP'!$M$49))</f>
        <v/>
      </c>
      <c r="J12" s="46" t="str">
        <f>IF($A12="","",'TO HOP'!$K$110+1*(INDEX('LANE ENGINE'!$E$6:$E$45,13)-'TO HOP'!$M$50))</f>
        <v/>
      </c>
      <c r="K12" s="46" t="str">
        <f>IF($A12="","",'TO HOP'!$L$110+1*(INDEX('LANE ENGINE'!$G$6:$G$45,13)-'TO HOP'!$M$51))</f>
        <v/>
      </c>
      <c r="L12" s="40" t="s">
        <v>884</v>
      </c>
      <c r="M12" s="40">
        <v>13</v>
      </c>
    </row>
    <row r="13" spans="1:13" x14ac:dyDescent="0.3">
      <c r="A13" s="40" t="str">
        <f>IF(14&lt;=nLan,"SD I -  lệch tâm"&amp;14&amp;" làn","")</f>
        <v/>
      </c>
      <c r="B13" s="46" t="str">
        <f>IF($A13="","",'TO HOP'!$C$110+1*(0-'TO HOP'!$M$42))</f>
        <v/>
      </c>
      <c r="C13" s="46" t="str">
        <f>IF($A13="","",'TO HOP'!$D$110+1*(0-'TO HOP'!$M$43))</f>
        <v/>
      </c>
      <c r="D13" s="46" t="str">
        <f>IF($A13="","",'TO HOP'!$E$110+1*(INDEX('LANE ENGINE'!$D$6:$D$45,14)-'TO HOP'!$M$44))</f>
        <v/>
      </c>
      <c r="E13" s="46" t="str">
        <f>IF($A13="","",'TO HOP'!$F$110+1*(INDEX('LANE ENGINE'!$E$6:$E$45,14)-'TO HOP'!$M$45))</f>
        <v/>
      </c>
      <c r="F13" s="46" t="str">
        <f>IF($A13="","",'TO HOP'!$G$110+1*(INDEX('LANE ENGINE'!$F$6:$F$45,14)-'TO HOP'!$M$46))</f>
        <v/>
      </c>
      <c r="G13" s="46" t="str">
        <f>IF($A13="","",'TO HOP'!$H$110+1*(0-'TO HOP'!$M$47))</f>
        <v/>
      </c>
      <c r="H13" s="46" t="str">
        <f>IF($A13="","",'TO HOP'!$I$110+1*(0-'TO HOP'!$M$48))</f>
        <v/>
      </c>
      <c r="I13" s="46" t="str">
        <f>IF($A13="","",'TO HOP'!$J$110+1*(INDEX('LANE ENGINE'!$D$6:$D$45,14)-'TO HOP'!$M$49))</f>
        <v/>
      </c>
      <c r="J13" s="46" t="str">
        <f>IF($A13="","",'TO HOP'!$K$110+1*(INDEX('LANE ENGINE'!$E$6:$E$45,14)-'TO HOP'!$M$50))</f>
        <v/>
      </c>
      <c r="K13" s="46" t="str">
        <f>IF($A13="","",'TO HOP'!$L$110+1*(INDEX('LANE ENGINE'!$G$6:$G$45,14)-'TO HOP'!$M$51))</f>
        <v/>
      </c>
      <c r="L13" s="40" t="s">
        <v>884</v>
      </c>
      <c r="M13" s="40">
        <v>14</v>
      </c>
    </row>
    <row r="14" spans="1:13" x14ac:dyDescent="0.3">
      <c r="A14" s="40" t="str">
        <f>IF(15&lt;=nLan,"SD I -  lệch tâm"&amp;15&amp;" làn","")</f>
        <v/>
      </c>
      <c r="B14" s="46" t="str">
        <f>IF($A14="","",'TO HOP'!$C$110+1*(0-'TO HOP'!$M$42))</f>
        <v/>
      </c>
      <c r="C14" s="46" t="str">
        <f>IF($A14="","",'TO HOP'!$D$110+1*(0-'TO HOP'!$M$43))</f>
        <v/>
      </c>
      <c r="D14" s="46" t="str">
        <f>IF($A14="","",'TO HOP'!$E$110+1*(INDEX('LANE ENGINE'!$D$6:$D$45,15)-'TO HOP'!$M$44))</f>
        <v/>
      </c>
      <c r="E14" s="46" t="str">
        <f>IF($A14="","",'TO HOP'!$F$110+1*(INDEX('LANE ENGINE'!$E$6:$E$45,15)-'TO HOP'!$M$45))</f>
        <v/>
      </c>
      <c r="F14" s="46" t="str">
        <f>IF($A14="","",'TO HOP'!$G$110+1*(INDEX('LANE ENGINE'!$F$6:$F$45,15)-'TO HOP'!$M$46))</f>
        <v/>
      </c>
      <c r="G14" s="46" t="str">
        <f>IF($A14="","",'TO HOP'!$H$110+1*(0-'TO HOP'!$M$47))</f>
        <v/>
      </c>
      <c r="H14" s="46" t="str">
        <f>IF($A14="","",'TO HOP'!$I$110+1*(0-'TO HOP'!$M$48))</f>
        <v/>
      </c>
      <c r="I14" s="46" t="str">
        <f>IF($A14="","",'TO HOP'!$J$110+1*(INDEX('LANE ENGINE'!$D$6:$D$45,15)-'TO HOP'!$M$49))</f>
        <v/>
      </c>
      <c r="J14" s="46" t="str">
        <f>IF($A14="","",'TO HOP'!$K$110+1*(INDEX('LANE ENGINE'!$E$6:$E$45,15)-'TO HOP'!$M$50))</f>
        <v/>
      </c>
      <c r="K14" s="46" t="str">
        <f>IF($A14="","",'TO HOP'!$L$110+1*(INDEX('LANE ENGINE'!$G$6:$G$45,15)-'TO HOP'!$M$51))</f>
        <v/>
      </c>
      <c r="L14" s="40" t="s">
        <v>884</v>
      </c>
      <c r="M14" s="40">
        <v>15</v>
      </c>
    </row>
    <row r="15" spans="1:13" x14ac:dyDescent="0.3">
      <c r="A15" s="40" t="str">
        <f>IF(16&lt;=nLan,"SD I -  lệch tâm"&amp;16&amp;" làn","")</f>
        <v/>
      </c>
      <c r="B15" s="46" t="str">
        <f>IF($A15="","",'TO HOP'!$C$110+1*(0-'TO HOP'!$M$42))</f>
        <v/>
      </c>
      <c r="C15" s="46" t="str">
        <f>IF($A15="","",'TO HOP'!$D$110+1*(0-'TO HOP'!$M$43))</f>
        <v/>
      </c>
      <c r="D15" s="46" t="str">
        <f>IF($A15="","",'TO HOP'!$E$110+1*(INDEX('LANE ENGINE'!$D$6:$D$45,16)-'TO HOP'!$M$44))</f>
        <v/>
      </c>
      <c r="E15" s="46" t="str">
        <f>IF($A15="","",'TO HOP'!$F$110+1*(INDEX('LANE ENGINE'!$E$6:$E$45,16)-'TO HOP'!$M$45))</f>
        <v/>
      </c>
      <c r="F15" s="46" t="str">
        <f>IF($A15="","",'TO HOP'!$G$110+1*(INDEX('LANE ENGINE'!$F$6:$F$45,16)-'TO HOP'!$M$46))</f>
        <v/>
      </c>
      <c r="G15" s="46" t="str">
        <f>IF($A15="","",'TO HOP'!$H$110+1*(0-'TO HOP'!$M$47))</f>
        <v/>
      </c>
      <c r="H15" s="46" t="str">
        <f>IF($A15="","",'TO HOP'!$I$110+1*(0-'TO HOP'!$M$48))</f>
        <v/>
      </c>
      <c r="I15" s="46" t="str">
        <f>IF($A15="","",'TO HOP'!$J$110+1*(INDEX('LANE ENGINE'!$D$6:$D$45,16)-'TO HOP'!$M$49))</f>
        <v/>
      </c>
      <c r="J15" s="46" t="str">
        <f>IF($A15="","",'TO HOP'!$K$110+1*(INDEX('LANE ENGINE'!$E$6:$E$45,16)-'TO HOP'!$M$50))</f>
        <v/>
      </c>
      <c r="K15" s="46" t="str">
        <f>IF($A15="","",'TO HOP'!$L$110+1*(INDEX('LANE ENGINE'!$G$6:$G$45,16)-'TO HOP'!$M$51))</f>
        <v/>
      </c>
      <c r="L15" s="40" t="s">
        <v>884</v>
      </c>
      <c r="M15" s="40">
        <v>16</v>
      </c>
    </row>
    <row r="16" spans="1:13" x14ac:dyDescent="0.3">
      <c r="A16" s="40" t="str">
        <f>IF(17&lt;=nLan,"SD I -  lệch tâm"&amp;17&amp;" làn","")</f>
        <v/>
      </c>
      <c r="B16" s="46" t="str">
        <f>IF($A16="","",'TO HOP'!$C$110+1*(0-'TO HOP'!$M$42))</f>
        <v/>
      </c>
      <c r="C16" s="46" t="str">
        <f>IF($A16="","",'TO HOP'!$D$110+1*(0-'TO HOP'!$M$43))</f>
        <v/>
      </c>
      <c r="D16" s="46" t="str">
        <f>IF($A16="","",'TO HOP'!$E$110+1*(INDEX('LANE ENGINE'!$D$6:$D$45,17)-'TO HOP'!$M$44))</f>
        <v/>
      </c>
      <c r="E16" s="46" t="str">
        <f>IF($A16="","",'TO HOP'!$F$110+1*(INDEX('LANE ENGINE'!$E$6:$E$45,17)-'TO HOP'!$M$45))</f>
        <v/>
      </c>
      <c r="F16" s="46" t="str">
        <f>IF($A16="","",'TO HOP'!$G$110+1*(INDEX('LANE ENGINE'!$F$6:$F$45,17)-'TO HOP'!$M$46))</f>
        <v/>
      </c>
      <c r="G16" s="46" t="str">
        <f>IF($A16="","",'TO HOP'!$H$110+1*(0-'TO HOP'!$M$47))</f>
        <v/>
      </c>
      <c r="H16" s="46" t="str">
        <f>IF($A16="","",'TO HOP'!$I$110+1*(0-'TO HOP'!$M$48))</f>
        <v/>
      </c>
      <c r="I16" s="46" t="str">
        <f>IF($A16="","",'TO HOP'!$J$110+1*(INDEX('LANE ENGINE'!$D$6:$D$45,17)-'TO HOP'!$M$49))</f>
        <v/>
      </c>
      <c r="J16" s="46" t="str">
        <f>IF($A16="","",'TO HOP'!$K$110+1*(INDEX('LANE ENGINE'!$E$6:$E$45,17)-'TO HOP'!$M$50))</f>
        <v/>
      </c>
      <c r="K16" s="46" t="str">
        <f>IF($A16="","",'TO HOP'!$L$110+1*(INDEX('LANE ENGINE'!$G$6:$G$45,17)-'TO HOP'!$M$51))</f>
        <v/>
      </c>
      <c r="L16" s="40" t="s">
        <v>884</v>
      </c>
      <c r="M16" s="40">
        <v>17</v>
      </c>
    </row>
    <row r="17" spans="1:13" x14ac:dyDescent="0.3">
      <c r="A17" s="40" t="str">
        <f>IF(18&lt;=nLan,"SD I -  lệch tâm"&amp;18&amp;" làn","")</f>
        <v/>
      </c>
      <c r="B17" s="46" t="str">
        <f>IF($A17="","",'TO HOP'!$C$110+1*(0-'TO HOP'!$M$42))</f>
        <v/>
      </c>
      <c r="C17" s="46" t="str">
        <f>IF($A17="","",'TO HOP'!$D$110+1*(0-'TO HOP'!$M$43))</f>
        <v/>
      </c>
      <c r="D17" s="46" t="str">
        <f>IF($A17="","",'TO HOP'!$E$110+1*(INDEX('LANE ENGINE'!$D$6:$D$45,18)-'TO HOP'!$M$44))</f>
        <v/>
      </c>
      <c r="E17" s="46" t="str">
        <f>IF($A17="","",'TO HOP'!$F$110+1*(INDEX('LANE ENGINE'!$E$6:$E$45,18)-'TO HOP'!$M$45))</f>
        <v/>
      </c>
      <c r="F17" s="46" t="str">
        <f>IF($A17="","",'TO HOP'!$G$110+1*(INDEX('LANE ENGINE'!$F$6:$F$45,18)-'TO HOP'!$M$46))</f>
        <v/>
      </c>
      <c r="G17" s="46" t="str">
        <f>IF($A17="","",'TO HOP'!$H$110+1*(0-'TO HOP'!$M$47))</f>
        <v/>
      </c>
      <c r="H17" s="46" t="str">
        <f>IF($A17="","",'TO HOP'!$I$110+1*(0-'TO HOP'!$M$48))</f>
        <v/>
      </c>
      <c r="I17" s="46" t="str">
        <f>IF($A17="","",'TO HOP'!$J$110+1*(INDEX('LANE ENGINE'!$D$6:$D$45,18)-'TO HOP'!$M$49))</f>
        <v/>
      </c>
      <c r="J17" s="46" t="str">
        <f>IF($A17="","",'TO HOP'!$K$110+1*(INDEX('LANE ENGINE'!$E$6:$E$45,18)-'TO HOP'!$M$50))</f>
        <v/>
      </c>
      <c r="K17" s="46" t="str">
        <f>IF($A17="","",'TO HOP'!$L$110+1*(INDEX('LANE ENGINE'!$G$6:$G$45,18)-'TO HOP'!$M$51))</f>
        <v/>
      </c>
      <c r="L17" s="40" t="s">
        <v>884</v>
      </c>
      <c r="M17" s="40">
        <v>18</v>
      </c>
    </row>
    <row r="18" spans="1:13" x14ac:dyDescent="0.3">
      <c r="A18" s="40" t="str">
        <f>IF(19&lt;=nLan,"SD I -  lệch tâm"&amp;19&amp;" làn","")</f>
        <v/>
      </c>
      <c r="B18" s="46" t="str">
        <f>IF($A18="","",'TO HOP'!$C$110+1*(0-'TO HOP'!$M$42))</f>
        <v/>
      </c>
      <c r="C18" s="46" t="str">
        <f>IF($A18="","",'TO HOP'!$D$110+1*(0-'TO HOP'!$M$43))</f>
        <v/>
      </c>
      <c r="D18" s="46" t="str">
        <f>IF($A18="","",'TO HOP'!$E$110+1*(INDEX('LANE ENGINE'!$D$6:$D$45,19)-'TO HOP'!$M$44))</f>
        <v/>
      </c>
      <c r="E18" s="46" t="str">
        <f>IF($A18="","",'TO HOP'!$F$110+1*(INDEX('LANE ENGINE'!$E$6:$E$45,19)-'TO HOP'!$M$45))</f>
        <v/>
      </c>
      <c r="F18" s="46" t="str">
        <f>IF($A18="","",'TO HOP'!$G$110+1*(INDEX('LANE ENGINE'!$F$6:$F$45,19)-'TO HOP'!$M$46))</f>
        <v/>
      </c>
      <c r="G18" s="46" t="str">
        <f>IF($A18="","",'TO HOP'!$H$110+1*(0-'TO HOP'!$M$47))</f>
        <v/>
      </c>
      <c r="H18" s="46" t="str">
        <f>IF($A18="","",'TO HOP'!$I$110+1*(0-'TO HOP'!$M$48))</f>
        <v/>
      </c>
      <c r="I18" s="46" t="str">
        <f>IF($A18="","",'TO HOP'!$J$110+1*(INDEX('LANE ENGINE'!$D$6:$D$45,19)-'TO HOP'!$M$49))</f>
        <v/>
      </c>
      <c r="J18" s="46" t="str">
        <f>IF($A18="","",'TO HOP'!$K$110+1*(INDEX('LANE ENGINE'!$E$6:$E$45,19)-'TO HOP'!$M$50))</f>
        <v/>
      </c>
      <c r="K18" s="46" t="str">
        <f>IF($A18="","",'TO HOP'!$L$110+1*(INDEX('LANE ENGINE'!$G$6:$G$45,19)-'TO HOP'!$M$51))</f>
        <v/>
      </c>
      <c r="L18" s="40" t="s">
        <v>884</v>
      </c>
      <c r="M18" s="40">
        <v>19</v>
      </c>
    </row>
    <row r="19" spans="1:13" x14ac:dyDescent="0.3">
      <c r="A19" s="40" t="str">
        <f>IF(20&lt;=nLan,"SD I -  lệch tâm"&amp;20&amp;" làn","")</f>
        <v/>
      </c>
      <c r="B19" s="46" t="str">
        <f>IF($A19="","",'TO HOP'!$C$110+1*(0-'TO HOP'!$M$42))</f>
        <v/>
      </c>
      <c r="C19" s="46" t="str">
        <f>IF($A19="","",'TO HOP'!$D$110+1*(0-'TO HOP'!$M$43))</f>
        <v/>
      </c>
      <c r="D19" s="46" t="str">
        <f>IF($A19="","",'TO HOP'!$E$110+1*(INDEX('LANE ENGINE'!$D$6:$D$45,20)-'TO HOP'!$M$44))</f>
        <v/>
      </c>
      <c r="E19" s="46" t="str">
        <f>IF($A19="","",'TO HOP'!$F$110+1*(INDEX('LANE ENGINE'!$E$6:$E$45,20)-'TO HOP'!$M$45))</f>
        <v/>
      </c>
      <c r="F19" s="46" t="str">
        <f>IF($A19="","",'TO HOP'!$G$110+1*(INDEX('LANE ENGINE'!$F$6:$F$45,20)-'TO HOP'!$M$46))</f>
        <v/>
      </c>
      <c r="G19" s="46" t="str">
        <f>IF($A19="","",'TO HOP'!$H$110+1*(0-'TO HOP'!$M$47))</f>
        <v/>
      </c>
      <c r="H19" s="46" t="str">
        <f>IF($A19="","",'TO HOP'!$I$110+1*(0-'TO HOP'!$M$48))</f>
        <v/>
      </c>
      <c r="I19" s="46" t="str">
        <f>IF($A19="","",'TO HOP'!$J$110+1*(INDEX('LANE ENGINE'!$D$6:$D$45,20)-'TO HOP'!$M$49))</f>
        <v/>
      </c>
      <c r="J19" s="46" t="str">
        <f>IF($A19="","",'TO HOP'!$K$110+1*(INDEX('LANE ENGINE'!$E$6:$E$45,20)-'TO HOP'!$M$50))</f>
        <v/>
      </c>
      <c r="K19" s="46" t="str">
        <f>IF($A19="","",'TO HOP'!$L$110+1*(INDEX('LANE ENGINE'!$G$6:$G$45,20)-'TO HOP'!$M$51))</f>
        <v/>
      </c>
      <c r="L19" s="40" t="s">
        <v>884</v>
      </c>
      <c r="M19" s="40">
        <v>20</v>
      </c>
    </row>
    <row r="20" spans="1:13" x14ac:dyDescent="0.3">
      <c r="A20" s="40" t="str">
        <f>IF(21&lt;=nLan,"SD I -  lệch tâm"&amp;21&amp;" làn","")</f>
        <v/>
      </c>
      <c r="B20" s="46" t="str">
        <f>IF($A20="","",'TO HOP'!$C$110+1*(0-'TO HOP'!$M$42))</f>
        <v/>
      </c>
      <c r="C20" s="46" t="str">
        <f>IF($A20="","",'TO HOP'!$D$110+1*(0-'TO HOP'!$M$43))</f>
        <v/>
      </c>
      <c r="D20" s="46" t="str">
        <f>IF($A20="","",'TO HOP'!$E$110+1*(INDEX('LANE ENGINE'!$D$6:$D$45,21)-'TO HOP'!$M$44))</f>
        <v/>
      </c>
      <c r="E20" s="46" t="str">
        <f>IF($A20="","",'TO HOP'!$F$110+1*(INDEX('LANE ENGINE'!$E$6:$E$45,21)-'TO HOP'!$M$45))</f>
        <v/>
      </c>
      <c r="F20" s="46" t="str">
        <f>IF($A20="","",'TO HOP'!$G$110+1*(INDEX('LANE ENGINE'!$F$6:$F$45,21)-'TO HOP'!$M$46))</f>
        <v/>
      </c>
      <c r="G20" s="46" t="str">
        <f>IF($A20="","",'TO HOP'!$H$110+1*(0-'TO HOP'!$M$47))</f>
        <v/>
      </c>
      <c r="H20" s="46" t="str">
        <f>IF($A20="","",'TO HOP'!$I$110+1*(0-'TO HOP'!$M$48))</f>
        <v/>
      </c>
      <c r="I20" s="46" t="str">
        <f>IF($A20="","",'TO HOP'!$J$110+1*(INDEX('LANE ENGINE'!$D$6:$D$45,21)-'TO HOP'!$M$49))</f>
        <v/>
      </c>
      <c r="J20" s="46" t="str">
        <f>IF($A20="","",'TO HOP'!$K$110+1*(INDEX('LANE ENGINE'!$E$6:$E$45,21)-'TO HOP'!$M$50))</f>
        <v/>
      </c>
      <c r="K20" s="46" t="str">
        <f>IF($A20="","",'TO HOP'!$L$110+1*(INDEX('LANE ENGINE'!$G$6:$G$45,21)-'TO HOP'!$M$51))</f>
        <v/>
      </c>
      <c r="L20" s="40" t="s">
        <v>884</v>
      </c>
      <c r="M20" s="40">
        <v>21</v>
      </c>
    </row>
    <row r="21" spans="1:13" x14ac:dyDescent="0.3">
      <c r="A21" s="40" t="str">
        <f>IF(22&lt;=nLan,"SD I -  lệch tâm"&amp;22&amp;" làn","")</f>
        <v/>
      </c>
      <c r="B21" s="46" t="str">
        <f>IF($A21="","",'TO HOP'!$C$110+1*(0-'TO HOP'!$M$42))</f>
        <v/>
      </c>
      <c r="C21" s="46" t="str">
        <f>IF($A21="","",'TO HOP'!$D$110+1*(0-'TO HOP'!$M$43))</f>
        <v/>
      </c>
      <c r="D21" s="46" t="str">
        <f>IF($A21="","",'TO HOP'!$E$110+1*(INDEX('LANE ENGINE'!$D$6:$D$45,22)-'TO HOP'!$M$44))</f>
        <v/>
      </c>
      <c r="E21" s="46" t="str">
        <f>IF($A21="","",'TO HOP'!$F$110+1*(INDEX('LANE ENGINE'!$E$6:$E$45,22)-'TO HOP'!$M$45))</f>
        <v/>
      </c>
      <c r="F21" s="46" t="str">
        <f>IF($A21="","",'TO HOP'!$G$110+1*(INDEX('LANE ENGINE'!$F$6:$F$45,22)-'TO HOP'!$M$46))</f>
        <v/>
      </c>
      <c r="G21" s="46" t="str">
        <f>IF($A21="","",'TO HOP'!$H$110+1*(0-'TO HOP'!$M$47))</f>
        <v/>
      </c>
      <c r="H21" s="46" t="str">
        <f>IF($A21="","",'TO HOP'!$I$110+1*(0-'TO HOP'!$M$48))</f>
        <v/>
      </c>
      <c r="I21" s="46" t="str">
        <f>IF($A21="","",'TO HOP'!$J$110+1*(INDEX('LANE ENGINE'!$D$6:$D$45,22)-'TO HOP'!$M$49))</f>
        <v/>
      </c>
      <c r="J21" s="46" t="str">
        <f>IF($A21="","",'TO HOP'!$K$110+1*(INDEX('LANE ENGINE'!$E$6:$E$45,22)-'TO HOP'!$M$50))</f>
        <v/>
      </c>
      <c r="K21" s="46" t="str">
        <f>IF($A21="","",'TO HOP'!$L$110+1*(INDEX('LANE ENGINE'!$G$6:$G$45,22)-'TO HOP'!$M$51))</f>
        <v/>
      </c>
      <c r="L21" s="40" t="s">
        <v>884</v>
      </c>
      <c r="M21" s="40">
        <v>22</v>
      </c>
    </row>
    <row r="22" spans="1:13" x14ac:dyDescent="0.3">
      <c r="A22" s="40" t="str">
        <f>IF(23&lt;=nLan,"SD I -  lệch tâm"&amp;23&amp;" làn","")</f>
        <v/>
      </c>
      <c r="B22" s="46" t="str">
        <f>IF($A22="","",'TO HOP'!$C$110+1*(0-'TO HOP'!$M$42))</f>
        <v/>
      </c>
      <c r="C22" s="46" t="str">
        <f>IF($A22="","",'TO HOP'!$D$110+1*(0-'TO HOP'!$M$43))</f>
        <v/>
      </c>
      <c r="D22" s="46" t="str">
        <f>IF($A22="","",'TO HOP'!$E$110+1*(INDEX('LANE ENGINE'!$D$6:$D$45,23)-'TO HOP'!$M$44))</f>
        <v/>
      </c>
      <c r="E22" s="46" t="str">
        <f>IF($A22="","",'TO HOP'!$F$110+1*(INDEX('LANE ENGINE'!$E$6:$E$45,23)-'TO HOP'!$M$45))</f>
        <v/>
      </c>
      <c r="F22" s="46" t="str">
        <f>IF($A22="","",'TO HOP'!$G$110+1*(INDEX('LANE ENGINE'!$F$6:$F$45,23)-'TO HOP'!$M$46))</f>
        <v/>
      </c>
      <c r="G22" s="46" t="str">
        <f>IF($A22="","",'TO HOP'!$H$110+1*(0-'TO HOP'!$M$47))</f>
        <v/>
      </c>
      <c r="H22" s="46" t="str">
        <f>IF($A22="","",'TO HOP'!$I$110+1*(0-'TO HOP'!$M$48))</f>
        <v/>
      </c>
      <c r="I22" s="46" t="str">
        <f>IF($A22="","",'TO HOP'!$J$110+1*(INDEX('LANE ENGINE'!$D$6:$D$45,23)-'TO HOP'!$M$49))</f>
        <v/>
      </c>
      <c r="J22" s="46" t="str">
        <f>IF($A22="","",'TO HOP'!$K$110+1*(INDEX('LANE ENGINE'!$E$6:$E$45,23)-'TO HOP'!$M$50))</f>
        <v/>
      </c>
      <c r="K22" s="46" t="str">
        <f>IF($A22="","",'TO HOP'!$L$110+1*(INDEX('LANE ENGINE'!$G$6:$G$45,23)-'TO HOP'!$M$51))</f>
        <v/>
      </c>
      <c r="L22" s="40" t="s">
        <v>884</v>
      </c>
      <c r="M22" s="40">
        <v>23</v>
      </c>
    </row>
    <row r="23" spans="1:13" x14ac:dyDescent="0.3">
      <c r="A23" s="40" t="str">
        <f>IF(24&lt;=nLan,"SD I -  lệch tâm"&amp;24&amp;" làn","")</f>
        <v/>
      </c>
      <c r="B23" s="46" t="str">
        <f>IF($A23="","",'TO HOP'!$C$110+1*(0-'TO HOP'!$M$42))</f>
        <v/>
      </c>
      <c r="C23" s="46" t="str">
        <f>IF($A23="","",'TO HOP'!$D$110+1*(0-'TO HOP'!$M$43))</f>
        <v/>
      </c>
      <c r="D23" s="46" t="str">
        <f>IF($A23="","",'TO HOP'!$E$110+1*(INDEX('LANE ENGINE'!$D$6:$D$45,24)-'TO HOP'!$M$44))</f>
        <v/>
      </c>
      <c r="E23" s="46" t="str">
        <f>IF($A23="","",'TO HOP'!$F$110+1*(INDEX('LANE ENGINE'!$E$6:$E$45,24)-'TO HOP'!$M$45))</f>
        <v/>
      </c>
      <c r="F23" s="46" t="str">
        <f>IF($A23="","",'TO HOP'!$G$110+1*(INDEX('LANE ENGINE'!$F$6:$F$45,24)-'TO HOP'!$M$46))</f>
        <v/>
      </c>
      <c r="G23" s="46" t="str">
        <f>IF($A23="","",'TO HOP'!$H$110+1*(0-'TO HOP'!$M$47))</f>
        <v/>
      </c>
      <c r="H23" s="46" t="str">
        <f>IF($A23="","",'TO HOP'!$I$110+1*(0-'TO HOP'!$M$48))</f>
        <v/>
      </c>
      <c r="I23" s="46" t="str">
        <f>IF($A23="","",'TO HOP'!$J$110+1*(INDEX('LANE ENGINE'!$D$6:$D$45,24)-'TO HOP'!$M$49))</f>
        <v/>
      </c>
      <c r="J23" s="46" t="str">
        <f>IF($A23="","",'TO HOP'!$K$110+1*(INDEX('LANE ENGINE'!$E$6:$E$45,24)-'TO HOP'!$M$50))</f>
        <v/>
      </c>
      <c r="K23" s="46" t="str">
        <f>IF($A23="","",'TO HOP'!$L$110+1*(INDEX('LANE ENGINE'!$G$6:$G$45,24)-'TO HOP'!$M$51))</f>
        <v/>
      </c>
      <c r="L23" s="40" t="s">
        <v>884</v>
      </c>
      <c r="M23" s="40">
        <v>24</v>
      </c>
    </row>
    <row r="24" spans="1:13" x14ac:dyDescent="0.3">
      <c r="A24" s="40" t="str">
        <f>IF(25&lt;=nLan,"SD I -  lệch tâm"&amp;25&amp;" làn","")</f>
        <v/>
      </c>
      <c r="B24" s="46" t="str">
        <f>IF($A24="","",'TO HOP'!$C$110+1*(0-'TO HOP'!$M$42))</f>
        <v/>
      </c>
      <c r="C24" s="46" t="str">
        <f>IF($A24="","",'TO HOP'!$D$110+1*(0-'TO HOP'!$M$43))</f>
        <v/>
      </c>
      <c r="D24" s="46" t="str">
        <f>IF($A24="","",'TO HOP'!$E$110+1*(INDEX('LANE ENGINE'!$D$6:$D$45,25)-'TO HOP'!$M$44))</f>
        <v/>
      </c>
      <c r="E24" s="46" t="str">
        <f>IF($A24="","",'TO HOP'!$F$110+1*(INDEX('LANE ENGINE'!$E$6:$E$45,25)-'TO HOP'!$M$45))</f>
        <v/>
      </c>
      <c r="F24" s="46" t="str">
        <f>IF($A24="","",'TO HOP'!$G$110+1*(INDEX('LANE ENGINE'!$F$6:$F$45,25)-'TO HOP'!$M$46))</f>
        <v/>
      </c>
      <c r="G24" s="46" t="str">
        <f>IF($A24="","",'TO HOP'!$H$110+1*(0-'TO HOP'!$M$47))</f>
        <v/>
      </c>
      <c r="H24" s="46" t="str">
        <f>IF($A24="","",'TO HOP'!$I$110+1*(0-'TO HOP'!$M$48))</f>
        <v/>
      </c>
      <c r="I24" s="46" t="str">
        <f>IF($A24="","",'TO HOP'!$J$110+1*(INDEX('LANE ENGINE'!$D$6:$D$45,25)-'TO HOP'!$M$49))</f>
        <v/>
      </c>
      <c r="J24" s="46" t="str">
        <f>IF($A24="","",'TO HOP'!$K$110+1*(INDEX('LANE ENGINE'!$E$6:$E$45,25)-'TO HOP'!$M$50))</f>
        <v/>
      </c>
      <c r="K24" s="46" t="str">
        <f>IF($A24="","",'TO HOP'!$L$110+1*(INDEX('LANE ENGINE'!$G$6:$G$45,25)-'TO HOP'!$M$51))</f>
        <v/>
      </c>
      <c r="L24" s="40" t="s">
        <v>884</v>
      </c>
      <c r="M24" s="40">
        <v>25</v>
      </c>
    </row>
    <row r="25" spans="1:13" x14ac:dyDescent="0.3">
      <c r="A25" s="40" t="str">
        <f>IF(26&lt;=nLan,"SD I -  lệch tâm"&amp;26&amp;" làn","")</f>
        <v/>
      </c>
      <c r="B25" s="46" t="str">
        <f>IF($A25="","",'TO HOP'!$C$110+1*(0-'TO HOP'!$M$42))</f>
        <v/>
      </c>
      <c r="C25" s="46" t="str">
        <f>IF($A25="","",'TO HOP'!$D$110+1*(0-'TO HOP'!$M$43))</f>
        <v/>
      </c>
      <c r="D25" s="46" t="str">
        <f>IF($A25="","",'TO HOP'!$E$110+1*(INDEX('LANE ENGINE'!$D$6:$D$45,26)-'TO HOP'!$M$44))</f>
        <v/>
      </c>
      <c r="E25" s="46" t="str">
        <f>IF($A25="","",'TO HOP'!$F$110+1*(INDEX('LANE ENGINE'!$E$6:$E$45,26)-'TO HOP'!$M$45))</f>
        <v/>
      </c>
      <c r="F25" s="46" t="str">
        <f>IF($A25="","",'TO HOP'!$G$110+1*(INDEX('LANE ENGINE'!$F$6:$F$45,26)-'TO HOP'!$M$46))</f>
        <v/>
      </c>
      <c r="G25" s="46" t="str">
        <f>IF($A25="","",'TO HOP'!$H$110+1*(0-'TO HOP'!$M$47))</f>
        <v/>
      </c>
      <c r="H25" s="46" t="str">
        <f>IF($A25="","",'TO HOP'!$I$110+1*(0-'TO HOP'!$M$48))</f>
        <v/>
      </c>
      <c r="I25" s="46" t="str">
        <f>IF($A25="","",'TO HOP'!$J$110+1*(INDEX('LANE ENGINE'!$D$6:$D$45,26)-'TO HOP'!$M$49))</f>
        <v/>
      </c>
      <c r="J25" s="46" t="str">
        <f>IF($A25="","",'TO HOP'!$K$110+1*(INDEX('LANE ENGINE'!$E$6:$E$45,26)-'TO HOP'!$M$50))</f>
        <v/>
      </c>
      <c r="K25" s="46" t="str">
        <f>IF($A25="","",'TO HOP'!$L$110+1*(INDEX('LANE ENGINE'!$G$6:$G$45,26)-'TO HOP'!$M$51))</f>
        <v/>
      </c>
      <c r="L25" s="40" t="s">
        <v>884</v>
      </c>
      <c r="M25" s="40">
        <v>26</v>
      </c>
    </row>
    <row r="26" spans="1:13" x14ac:dyDescent="0.3">
      <c r="A26" s="40" t="str">
        <f>IF(27&lt;=nLan,"SD I -  lệch tâm"&amp;27&amp;" làn","")</f>
        <v/>
      </c>
      <c r="B26" s="46" t="str">
        <f>IF($A26="","",'TO HOP'!$C$110+1*(0-'TO HOP'!$M$42))</f>
        <v/>
      </c>
      <c r="C26" s="46" t="str">
        <f>IF($A26="","",'TO HOP'!$D$110+1*(0-'TO HOP'!$M$43))</f>
        <v/>
      </c>
      <c r="D26" s="46" t="str">
        <f>IF($A26="","",'TO HOP'!$E$110+1*(INDEX('LANE ENGINE'!$D$6:$D$45,27)-'TO HOP'!$M$44))</f>
        <v/>
      </c>
      <c r="E26" s="46" t="str">
        <f>IF($A26="","",'TO HOP'!$F$110+1*(INDEX('LANE ENGINE'!$E$6:$E$45,27)-'TO HOP'!$M$45))</f>
        <v/>
      </c>
      <c r="F26" s="46" t="str">
        <f>IF($A26="","",'TO HOP'!$G$110+1*(INDEX('LANE ENGINE'!$F$6:$F$45,27)-'TO HOP'!$M$46))</f>
        <v/>
      </c>
      <c r="G26" s="46" t="str">
        <f>IF($A26="","",'TO HOP'!$H$110+1*(0-'TO HOP'!$M$47))</f>
        <v/>
      </c>
      <c r="H26" s="46" t="str">
        <f>IF($A26="","",'TO HOP'!$I$110+1*(0-'TO HOP'!$M$48))</f>
        <v/>
      </c>
      <c r="I26" s="46" t="str">
        <f>IF($A26="","",'TO HOP'!$J$110+1*(INDEX('LANE ENGINE'!$D$6:$D$45,27)-'TO HOP'!$M$49))</f>
        <v/>
      </c>
      <c r="J26" s="46" t="str">
        <f>IF($A26="","",'TO HOP'!$K$110+1*(INDEX('LANE ENGINE'!$E$6:$E$45,27)-'TO HOP'!$M$50))</f>
        <v/>
      </c>
      <c r="K26" s="46" t="str">
        <f>IF($A26="","",'TO HOP'!$L$110+1*(INDEX('LANE ENGINE'!$G$6:$G$45,27)-'TO HOP'!$M$51))</f>
        <v/>
      </c>
      <c r="L26" s="40" t="s">
        <v>884</v>
      </c>
      <c r="M26" s="40">
        <v>27</v>
      </c>
    </row>
    <row r="27" spans="1:13" x14ac:dyDescent="0.3">
      <c r="A27" s="40" t="str">
        <f>IF(28&lt;=nLan,"SD I -  lệch tâm"&amp;28&amp;" làn","")</f>
        <v/>
      </c>
      <c r="B27" s="46" t="str">
        <f>IF($A27="","",'TO HOP'!$C$110+1*(0-'TO HOP'!$M$42))</f>
        <v/>
      </c>
      <c r="C27" s="46" t="str">
        <f>IF($A27="","",'TO HOP'!$D$110+1*(0-'TO HOP'!$M$43))</f>
        <v/>
      </c>
      <c r="D27" s="46" t="str">
        <f>IF($A27="","",'TO HOP'!$E$110+1*(INDEX('LANE ENGINE'!$D$6:$D$45,28)-'TO HOP'!$M$44))</f>
        <v/>
      </c>
      <c r="E27" s="46" t="str">
        <f>IF($A27="","",'TO HOP'!$F$110+1*(INDEX('LANE ENGINE'!$E$6:$E$45,28)-'TO HOP'!$M$45))</f>
        <v/>
      </c>
      <c r="F27" s="46" t="str">
        <f>IF($A27="","",'TO HOP'!$G$110+1*(INDEX('LANE ENGINE'!$F$6:$F$45,28)-'TO HOP'!$M$46))</f>
        <v/>
      </c>
      <c r="G27" s="46" t="str">
        <f>IF($A27="","",'TO HOP'!$H$110+1*(0-'TO HOP'!$M$47))</f>
        <v/>
      </c>
      <c r="H27" s="46" t="str">
        <f>IF($A27="","",'TO HOP'!$I$110+1*(0-'TO HOP'!$M$48))</f>
        <v/>
      </c>
      <c r="I27" s="46" t="str">
        <f>IF($A27="","",'TO HOP'!$J$110+1*(INDEX('LANE ENGINE'!$D$6:$D$45,28)-'TO HOP'!$M$49))</f>
        <v/>
      </c>
      <c r="J27" s="46" t="str">
        <f>IF($A27="","",'TO HOP'!$K$110+1*(INDEX('LANE ENGINE'!$E$6:$E$45,28)-'TO HOP'!$M$50))</f>
        <v/>
      </c>
      <c r="K27" s="46" t="str">
        <f>IF($A27="","",'TO HOP'!$L$110+1*(INDEX('LANE ENGINE'!$G$6:$G$45,28)-'TO HOP'!$M$51))</f>
        <v/>
      </c>
      <c r="L27" s="40" t="s">
        <v>884</v>
      </c>
      <c r="M27" s="40">
        <v>28</v>
      </c>
    </row>
    <row r="28" spans="1:13" x14ac:dyDescent="0.3">
      <c r="A28" s="40" t="str">
        <f>IF(29&lt;=nLan,"SD I -  lệch tâm"&amp;29&amp;" làn","")</f>
        <v/>
      </c>
      <c r="B28" s="46" t="str">
        <f>IF($A28="","",'TO HOP'!$C$110+1*(0-'TO HOP'!$M$42))</f>
        <v/>
      </c>
      <c r="C28" s="46" t="str">
        <f>IF($A28="","",'TO HOP'!$D$110+1*(0-'TO HOP'!$M$43))</f>
        <v/>
      </c>
      <c r="D28" s="46" t="str">
        <f>IF($A28="","",'TO HOP'!$E$110+1*(INDEX('LANE ENGINE'!$D$6:$D$45,29)-'TO HOP'!$M$44))</f>
        <v/>
      </c>
      <c r="E28" s="46" t="str">
        <f>IF($A28="","",'TO HOP'!$F$110+1*(INDEX('LANE ENGINE'!$E$6:$E$45,29)-'TO HOP'!$M$45))</f>
        <v/>
      </c>
      <c r="F28" s="46" t="str">
        <f>IF($A28="","",'TO HOP'!$G$110+1*(INDEX('LANE ENGINE'!$F$6:$F$45,29)-'TO HOP'!$M$46))</f>
        <v/>
      </c>
      <c r="G28" s="46" t="str">
        <f>IF($A28="","",'TO HOP'!$H$110+1*(0-'TO HOP'!$M$47))</f>
        <v/>
      </c>
      <c r="H28" s="46" t="str">
        <f>IF($A28="","",'TO HOP'!$I$110+1*(0-'TO HOP'!$M$48))</f>
        <v/>
      </c>
      <c r="I28" s="46" t="str">
        <f>IF($A28="","",'TO HOP'!$J$110+1*(INDEX('LANE ENGINE'!$D$6:$D$45,29)-'TO HOP'!$M$49))</f>
        <v/>
      </c>
      <c r="J28" s="46" t="str">
        <f>IF($A28="","",'TO HOP'!$K$110+1*(INDEX('LANE ENGINE'!$E$6:$E$45,29)-'TO HOP'!$M$50))</f>
        <v/>
      </c>
      <c r="K28" s="46" t="str">
        <f>IF($A28="","",'TO HOP'!$L$110+1*(INDEX('LANE ENGINE'!$G$6:$G$45,29)-'TO HOP'!$M$51))</f>
        <v/>
      </c>
      <c r="L28" s="40" t="s">
        <v>884</v>
      </c>
      <c r="M28" s="40">
        <v>29</v>
      </c>
    </row>
    <row r="29" spans="1:13" x14ac:dyDescent="0.3">
      <c r="A29" s="40" t="str">
        <f>IF(30&lt;=nLan,"SD I -  lệch tâm"&amp;30&amp;" làn","")</f>
        <v/>
      </c>
      <c r="B29" s="46" t="str">
        <f>IF($A29="","",'TO HOP'!$C$110+1*(0-'TO HOP'!$M$42))</f>
        <v/>
      </c>
      <c r="C29" s="46" t="str">
        <f>IF($A29="","",'TO HOP'!$D$110+1*(0-'TO HOP'!$M$43))</f>
        <v/>
      </c>
      <c r="D29" s="46" t="str">
        <f>IF($A29="","",'TO HOP'!$E$110+1*(INDEX('LANE ENGINE'!$D$6:$D$45,30)-'TO HOP'!$M$44))</f>
        <v/>
      </c>
      <c r="E29" s="46" t="str">
        <f>IF($A29="","",'TO HOP'!$F$110+1*(INDEX('LANE ENGINE'!$E$6:$E$45,30)-'TO HOP'!$M$45))</f>
        <v/>
      </c>
      <c r="F29" s="46" t="str">
        <f>IF($A29="","",'TO HOP'!$G$110+1*(INDEX('LANE ENGINE'!$F$6:$F$45,30)-'TO HOP'!$M$46))</f>
        <v/>
      </c>
      <c r="G29" s="46" t="str">
        <f>IF($A29="","",'TO HOP'!$H$110+1*(0-'TO HOP'!$M$47))</f>
        <v/>
      </c>
      <c r="H29" s="46" t="str">
        <f>IF($A29="","",'TO HOP'!$I$110+1*(0-'TO HOP'!$M$48))</f>
        <v/>
      </c>
      <c r="I29" s="46" t="str">
        <f>IF($A29="","",'TO HOP'!$J$110+1*(INDEX('LANE ENGINE'!$D$6:$D$45,30)-'TO HOP'!$M$49))</f>
        <v/>
      </c>
      <c r="J29" s="46" t="str">
        <f>IF($A29="","",'TO HOP'!$K$110+1*(INDEX('LANE ENGINE'!$E$6:$E$45,30)-'TO HOP'!$M$50))</f>
        <v/>
      </c>
      <c r="K29" s="46" t="str">
        <f>IF($A29="","",'TO HOP'!$L$110+1*(INDEX('LANE ENGINE'!$G$6:$G$45,30)-'TO HOP'!$M$51))</f>
        <v/>
      </c>
      <c r="L29" s="40" t="s">
        <v>884</v>
      </c>
      <c r="M29" s="40">
        <v>30</v>
      </c>
    </row>
    <row r="30" spans="1:13" x14ac:dyDescent="0.3">
      <c r="A30" s="40" t="str">
        <f>IF(31&lt;=nLan,"SD I -  lệch tâm"&amp;31&amp;" làn","")</f>
        <v/>
      </c>
      <c r="B30" s="46" t="str">
        <f>IF($A30="","",'TO HOP'!$C$110+1*(0-'TO HOP'!$M$42))</f>
        <v/>
      </c>
      <c r="C30" s="46" t="str">
        <f>IF($A30="","",'TO HOP'!$D$110+1*(0-'TO HOP'!$M$43))</f>
        <v/>
      </c>
      <c r="D30" s="46" t="str">
        <f>IF($A30="","",'TO HOP'!$E$110+1*(INDEX('LANE ENGINE'!$D$6:$D$45,31)-'TO HOP'!$M$44))</f>
        <v/>
      </c>
      <c r="E30" s="46" t="str">
        <f>IF($A30="","",'TO HOP'!$F$110+1*(INDEX('LANE ENGINE'!$E$6:$E$45,31)-'TO HOP'!$M$45))</f>
        <v/>
      </c>
      <c r="F30" s="46" t="str">
        <f>IF($A30="","",'TO HOP'!$G$110+1*(INDEX('LANE ENGINE'!$F$6:$F$45,31)-'TO HOP'!$M$46))</f>
        <v/>
      </c>
      <c r="G30" s="46" t="str">
        <f>IF($A30="","",'TO HOP'!$H$110+1*(0-'TO HOP'!$M$47))</f>
        <v/>
      </c>
      <c r="H30" s="46" t="str">
        <f>IF($A30="","",'TO HOP'!$I$110+1*(0-'TO HOP'!$M$48))</f>
        <v/>
      </c>
      <c r="I30" s="46" t="str">
        <f>IF($A30="","",'TO HOP'!$J$110+1*(INDEX('LANE ENGINE'!$D$6:$D$45,31)-'TO HOP'!$M$49))</f>
        <v/>
      </c>
      <c r="J30" s="46" t="str">
        <f>IF($A30="","",'TO HOP'!$K$110+1*(INDEX('LANE ENGINE'!$E$6:$E$45,31)-'TO HOP'!$M$50))</f>
        <v/>
      </c>
      <c r="K30" s="46" t="str">
        <f>IF($A30="","",'TO HOP'!$L$110+1*(INDEX('LANE ENGINE'!$G$6:$G$45,31)-'TO HOP'!$M$51))</f>
        <v/>
      </c>
      <c r="L30" s="40" t="s">
        <v>884</v>
      </c>
      <c r="M30" s="40">
        <v>31</v>
      </c>
    </row>
    <row r="31" spans="1:13" x14ac:dyDescent="0.3">
      <c r="A31" s="40" t="str">
        <f>IF(32&lt;=nLan,"SD I -  lệch tâm"&amp;32&amp;" làn","")</f>
        <v/>
      </c>
      <c r="B31" s="46" t="str">
        <f>IF($A31="","",'TO HOP'!$C$110+1*(0-'TO HOP'!$M$42))</f>
        <v/>
      </c>
      <c r="C31" s="46" t="str">
        <f>IF($A31="","",'TO HOP'!$D$110+1*(0-'TO HOP'!$M$43))</f>
        <v/>
      </c>
      <c r="D31" s="46" t="str">
        <f>IF($A31="","",'TO HOP'!$E$110+1*(INDEX('LANE ENGINE'!$D$6:$D$45,32)-'TO HOP'!$M$44))</f>
        <v/>
      </c>
      <c r="E31" s="46" t="str">
        <f>IF($A31="","",'TO HOP'!$F$110+1*(INDEX('LANE ENGINE'!$E$6:$E$45,32)-'TO HOP'!$M$45))</f>
        <v/>
      </c>
      <c r="F31" s="46" t="str">
        <f>IF($A31="","",'TO HOP'!$G$110+1*(INDEX('LANE ENGINE'!$F$6:$F$45,32)-'TO HOP'!$M$46))</f>
        <v/>
      </c>
      <c r="G31" s="46" t="str">
        <f>IF($A31="","",'TO HOP'!$H$110+1*(0-'TO HOP'!$M$47))</f>
        <v/>
      </c>
      <c r="H31" s="46" t="str">
        <f>IF($A31="","",'TO HOP'!$I$110+1*(0-'TO HOP'!$M$48))</f>
        <v/>
      </c>
      <c r="I31" s="46" t="str">
        <f>IF($A31="","",'TO HOP'!$J$110+1*(INDEX('LANE ENGINE'!$D$6:$D$45,32)-'TO HOP'!$M$49))</f>
        <v/>
      </c>
      <c r="J31" s="46" t="str">
        <f>IF($A31="","",'TO HOP'!$K$110+1*(INDEX('LANE ENGINE'!$E$6:$E$45,32)-'TO HOP'!$M$50))</f>
        <v/>
      </c>
      <c r="K31" s="46" t="str">
        <f>IF($A31="","",'TO HOP'!$L$110+1*(INDEX('LANE ENGINE'!$G$6:$G$45,32)-'TO HOP'!$M$51))</f>
        <v/>
      </c>
      <c r="L31" s="40" t="s">
        <v>884</v>
      </c>
      <c r="M31" s="40">
        <v>32</v>
      </c>
    </row>
    <row r="32" spans="1:13" x14ac:dyDescent="0.3">
      <c r="A32" s="40" t="str">
        <f>IF(33&lt;=nLan,"SD I -  lệch tâm"&amp;33&amp;" làn","")</f>
        <v/>
      </c>
      <c r="B32" s="46" t="str">
        <f>IF($A32="","",'TO HOP'!$C$110+1*(0-'TO HOP'!$M$42))</f>
        <v/>
      </c>
      <c r="C32" s="46" t="str">
        <f>IF($A32="","",'TO HOP'!$D$110+1*(0-'TO HOP'!$M$43))</f>
        <v/>
      </c>
      <c r="D32" s="46" t="str">
        <f>IF($A32="","",'TO HOP'!$E$110+1*(INDEX('LANE ENGINE'!$D$6:$D$45,33)-'TO HOP'!$M$44))</f>
        <v/>
      </c>
      <c r="E32" s="46" t="str">
        <f>IF($A32="","",'TO HOP'!$F$110+1*(INDEX('LANE ENGINE'!$E$6:$E$45,33)-'TO HOP'!$M$45))</f>
        <v/>
      </c>
      <c r="F32" s="46" t="str">
        <f>IF($A32="","",'TO HOP'!$G$110+1*(INDEX('LANE ENGINE'!$F$6:$F$45,33)-'TO HOP'!$M$46))</f>
        <v/>
      </c>
      <c r="G32" s="46" t="str">
        <f>IF($A32="","",'TO HOP'!$H$110+1*(0-'TO HOP'!$M$47))</f>
        <v/>
      </c>
      <c r="H32" s="46" t="str">
        <f>IF($A32="","",'TO HOP'!$I$110+1*(0-'TO HOP'!$M$48))</f>
        <v/>
      </c>
      <c r="I32" s="46" t="str">
        <f>IF($A32="","",'TO HOP'!$J$110+1*(INDEX('LANE ENGINE'!$D$6:$D$45,33)-'TO HOP'!$M$49))</f>
        <v/>
      </c>
      <c r="J32" s="46" t="str">
        <f>IF($A32="","",'TO HOP'!$K$110+1*(INDEX('LANE ENGINE'!$E$6:$E$45,33)-'TO HOP'!$M$50))</f>
        <v/>
      </c>
      <c r="K32" s="46" t="str">
        <f>IF($A32="","",'TO HOP'!$L$110+1*(INDEX('LANE ENGINE'!$G$6:$G$45,33)-'TO HOP'!$M$51))</f>
        <v/>
      </c>
      <c r="L32" s="40" t="s">
        <v>884</v>
      </c>
      <c r="M32" s="40">
        <v>33</v>
      </c>
    </row>
    <row r="33" spans="1:13" x14ac:dyDescent="0.3">
      <c r="A33" s="40" t="str">
        <f>IF(34&lt;=nLan,"SD I -  lệch tâm"&amp;34&amp;" làn","")</f>
        <v/>
      </c>
      <c r="B33" s="46" t="str">
        <f>IF($A33="","",'TO HOP'!$C$110+1*(0-'TO HOP'!$M$42))</f>
        <v/>
      </c>
      <c r="C33" s="46" t="str">
        <f>IF($A33="","",'TO HOP'!$D$110+1*(0-'TO HOP'!$M$43))</f>
        <v/>
      </c>
      <c r="D33" s="46" t="str">
        <f>IF($A33="","",'TO HOP'!$E$110+1*(INDEX('LANE ENGINE'!$D$6:$D$45,34)-'TO HOP'!$M$44))</f>
        <v/>
      </c>
      <c r="E33" s="46" t="str">
        <f>IF($A33="","",'TO HOP'!$F$110+1*(INDEX('LANE ENGINE'!$E$6:$E$45,34)-'TO HOP'!$M$45))</f>
        <v/>
      </c>
      <c r="F33" s="46" t="str">
        <f>IF($A33="","",'TO HOP'!$G$110+1*(INDEX('LANE ENGINE'!$F$6:$F$45,34)-'TO HOP'!$M$46))</f>
        <v/>
      </c>
      <c r="G33" s="46" t="str">
        <f>IF($A33="","",'TO HOP'!$H$110+1*(0-'TO HOP'!$M$47))</f>
        <v/>
      </c>
      <c r="H33" s="46" t="str">
        <f>IF($A33="","",'TO HOP'!$I$110+1*(0-'TO HOP'!$M$48))</f>
        <v/>
      </c>
      <c r="I33" s="46" t="str">
        <f>IF($A33="","",'TO HOP'!$J$110+1*(INDEX('LANE ENGINE'!$D$6:$D$45,34)-'TO HOP'!$M$49))</f>
        <v/>
      </c>
      <c r="J33" s="46" t="str">
        <f>IF($A33="","",'TO HOP'!$K$110+1*(INDEX('LANE ENGINE'!$E$6:$E$45,34)-'TO HOP'!$M$50))</f>
        <v/>
      </c>
      <c r="K33" s="46" t="str">
        <f>IF($A33="","",'TO HOP'!$L$110+1*(INDEX('LANE ENGINE'!$G$6:$G$45,34)-'TO HOP'!$M$51))</f>
        <v/>
      </c>
      <c r="L33" s="40" t="s">
        <v>884</v>
      </c>
      <c r="M33" s="40">
        <v>34</v>
      </c>
    </row>
    <row r="34" spans="1:13" x14ac:dyDescent="0.3">
      <c r="A34" s="40" t="str">
        <f>IF(35&lt;=nLan,"SD I -  lệch tâm"&amp;35&amp;" làn","")</f>
        <v/>
      </c>
      <c r="B34" s="46" t="str">
        <f>IF($A34="","",'TO HOP'!$C$110+1*(0-'TO HOP'!$M$42))</f>
        <v/>
      </c>
      <c r="C34" s="46" t="str">
        <f>IF($A34="","",'TO HOP'!$D$110+1*(0-'TO HOP'!$M$43))</f>
        <v/>
      </c>
      <c r="D34" s="46" t="str">
        <f>IF($A34="","",'TO HOP'!$E$110+1*(INDEX('LANE ENGINE'!$D$6:$D$45,35)-'TO HOP'!$M$44))</f>
        <v/>
      </c>
      <c r="E34" s="46" t="str">
        <f>IF($A34="","",'TO HOP'!$F$110+1*(INDEX('LANE ENGINE'!$E$6:$E$45,35)-'TO HOP'!$M$45))</f>
        <v/>
      </c>
      <c r="F34" s="46" t="str">
        <f>IF($A34="","",'TO HOP'!$G$110+1*(INDEX('LANE ENGINE'!$F$6:$F$45,35)-'TO HOP'!$M$46))</f>
        <v/>
      </c>
      <c r="G34" s="46" t="str">
        <f>IF($A34="","",'TO HOP'!$H$110+1*(0-'TO HOP'!$M$47))</f>
        <v/>
      </c>
      <c r="H34" s="46" t="str">
        <f>IF($A34="","",'TO HOP'!$I$110+1*(0-'TO HOP'!$M$48))</f>
        <v/>
      </c>
      <c r="I34" s="46" t="str">
        <f>IF($A34="","",'TO HOP'!$J$110+1*(INDEX('LANE ENGINE'!$D$6:$D$45,35)-'TO HOP'!$M$49))</f>
        <v/>
      </c>
      <c r="J34" s="46" t="str">
        <f>IF($A34="","",'TO HOP'!$K$110+1*(INDEX('LANE ENGINE'!$E$6:$E$45,35)-'TO HOP'!$M$50))</f>
        <v/>
      </c>
      <c r="K34" s="46" t="str">
        <f>IF($A34="","",'TO HOP'!$L$110+1*(INDEX('LANE ENGINE'!$G$6:$G$45,35)-'TO HOP'!$M$51))</f>
        <v/>
      </c>
      <c r="L34" s="40" t="s">
        <v>884</v>
      </c>
      <c r="M34" s="40">
        <v>35</v>
      </c>
    </row>
    <row r="35" spans="1:13" x14ac:dyDescent="0.3">
      <c r="A35" s="40" t="str">
        <f>IF(36&lt;=nLan,"SD I -  lệch tâm"&amp;36&amp;" làn","")</f>
        <v/>
      </c>
      <c r="B35" s="46" t="str">
        <f>IF($A35="","",'TO HOP'!$C$110+1*(0-'TO HOP'!$M$42))</f>
        <v/>
      </c>
      <c r="C35" s="46" t="str">
        <f>IF($A35="","",'TO HOP'!$D$110+1*(0-'TO HOP'!$M$43))</f>
        <v/>
      </c>
      <c r="D35" s="46" t="str">
        <f>IF($A35="","",'TO HOP'!$E$110+1*(INDEX('LANE ENGINE'!$D$6:$D$45,36)-'TO HOP'!$M$44))</f>
        <v/>
      </c>
      <c r="E35" s="46" t="str">
        <f>IF($A35="","",'TO HOP'!$F$110+1*(INDEX('LANE ENGINE'!$E$6:$E$45,36)-'TO HOP'!$M$45))</f>
        <v/>
      </c>
      <c r="F35" s="46" t="str">
        <f>IF($A35="","",'TO HOP'!$G$110+1*(INDEX('LANE ENGINE'!$F$6:$F$45,36)-'TO HOP'!$M$46))</f>
        <v/>
      </c>
      <c r="G35" s="46" t="str">
        <f>IF($A35="","",'TO HOP'!$H$110+1*(0-'TO HOP'!$M$47))</f>
        <v/>
      </c>
      <c r="H35" s="46" t="str">
        <f>IF($A35="","",'TO HOP'!$I$110+1*(0-'TO HOP'!$M$48))</f>
        <v/>
      </c>
      <c r="I35" s="46" t="str">
        <f>IF($A35="","",'TO HOP'!$J$110+1*(INDEX('LANE ENGINE'!$D$6:$D$45,36)-'TO HOP'!$M$49))</f>
        <v/>
      </c>
      <c r="J35" s="46" t="str">
        <f>IF($A35="","",'TO HOP'!$K$110+1*(INDEX('LANE ENGINE'!$E$6:$E$45,36)-'TO HOP'!$M$50))</f>
        <v/>
      </c>
      <c r="K35" s="46" t="str">
        <f>IF($A35="","",'TO HOP'!$L$110+1*(INDEX('LANE ENGINE'!$G$6:$G$45,36)-'TO HOP'!$M$51))</f>
        <v/>
      </c>
      <c r="L35" s="40" t="s">
        <v>884</v>
      </c>
      <c r="M35" s="40">
        <v>36</v>
      </c>
    </row>
    <row r="36" spans="1:13" x14ac:dyDescent="0.3">
      <c r="A36" s="40" t="str">
        <f>IF(37&lt;=nLan,"SD I -  lệch tâm"&amp;37&amp;" làn","")</f>
        <v/>
      </c>
      <c r="B36" s="46" t="str">
        <f>IF($A36="","",'TO HOP'!$C$110+1*(0-'TO HOP'!$M$42))</f>
        <v/>
      </c>
      <c r="C36" s="46" t="str">
        <f>IF($A36="","",'TO HOP'!$D$110+1*(0-'TO HOP'!$M$43))</f>
        <v/>
      </c>
      <c r="D36" s="46" t="str">
        <f>IF($A36="","",'TO HOP'!$E$110+1*(INDEX('LANE ENGINE'!$D$6:$D$45,37)-'TO HOP'!$M$44))</f>
        <v/>
      </c>
      <c r="E36" s="46" t="str">
        <f>IF($A36="","",'TO HOP'!$F$110+1*(INDEX('LANE ENGINE'!$E$6:$E$45,37)-'TO HOP'!$M$45))</f>
        <v/>
      </c>
      <c r="F36" s="46" t="str">
        <f>IF($A36="","",'TO HOP'!$G$110+1*(INDEX('LANE ENGINE'!$F$6:$F$45,37)-'TO HOP'!$M$46))</f>
        <v/>
      </c>
      <c r="G36" s="46" t="str">
        <f>IF($A36="","",'TO HOP'!$H$110+1*(0-'TO HOP'!$M$47))</f>
        <v/>
      </c>
      <c r="H36" s="46" t="str">
        <f>IF($A36="","",'TO HOP'!$I$110+1*(0-'TO HOP'!$M$48))</f>
        <v/>
      </c>
      <c r="I36" s="46" t="str">
        <f>IF($A36="","",'TO HOP'!$J$110+1*(INDEX('LANE ENGINE'!$D$6:$D$45,37)-'TO HOP'!$M$49))</f>
        <v/>
      </c>
      <c r="J36" s="46" t="str">
        <f>IF($A36="","",'TO HOP'!$K$110+1*(INDEX('LANE ENGINE'!$E$6:$E$45,37)-'TO HOP'!$M$50))</f>
        <v/>
      </c>
      <c r="K36" s="46" t="str">
        <f>IF($A36="","",'TO HOP'!$L$110+1*(INDEX('LANE ENGINE'!$G$6:$G$45,37)-'TO HOP'!$M$51))</f>
        <v/>
      </c>
      <c r="L36" s="40" t="s">
        <v>884</v>
      </c>
      <c r="M36" s="40">
        <v>37</v>
      </c>
    </row>
    <row r="37" spans="1:13" x14ac:dyDescent="0.3">
      <c r="A37" s="40" t="str">
        <f>IF(38&lt;=nLan,"SD I -  lệch tâm"&amp;38&amp;" làn","")</f>
        <v/>
      </c>
      <c r="B37" s="46" t="str">
        <f>IF($A37="","",'TO HOP'!$C$110+1*(0-'TO HOP'!$M$42))</f>
        <v/>
      </c>
      <c r="C37" s="46" t="str">
        <f>IF($A37="","",'TO HOP'!$D$110+1*(0-'TO HOP'!$M$43))</f>
        <v/>
      </c>
      <c r="D37" s="46" t="str">
        <f>IF($A37="","",'TO HOP'!$E$110+1*(INDEX('LANE ENGINE'!$D$6:$D$45,38)-'TO HOP'!$M$44))</f>
        <v/>
      </c>
      <c r="E37" s="46" t="str">
        <f>IF($A37="","",'TO HOP'!$F$110+1*(INDEX('LANE ENGINE'!$E$6:$E$45,38)-'TO HOP'!$M$45))</f>
        <v/>
      </c>
      <c r="F37" s="46" t="str">
        <f>IF($A37="","",'TO HOP'!$G$110+1*(INDEX('LANE ENGINE'!$F$6:$F$45,38)-'TO HOP'!$M$46))</f>
        <v/>
      </c>
      <c r="G37" s="46" t="str">
        <f>IF($A37="","",'TO HOP'!$H$110+1*(0-'TO HOP'!$M$47))</f>
        <v/>
      </c>
      <c r="H37" s="46" t="str">
        <f>IF($A37="","",'TO HOP'!$I$110+1*(0-'TO HOP'!$M$48))</f>
        <v/>
      </c>
      <c r="I37" s="46" t="str">
        <f>IF($A37="","",'TO HOP'!$J$110+1*(INDEX('LANE ENGINE'!$D$6:$D$45,38)-'TO HOP'!$M$49))</f>
        <v/>
      </c>
      <c r="J37" s="46" t="str">
        <f>IF($A37="","",'TO HOP'!$K$110+1*(INDEX('LANE ENGINE'!$E$6:$E$45,38)-'TO HOP'!$M$50))</f>
        <v/>
      </c>
      <c r="K37" s="46" t="str">
        <f>IF($A37="","",'TO HOP'!$L$110+1*(INDEX('LANE ENGINE'!$G$6:$G$45,38)-'TO HOP'!$M$51))</f>
        <v/>
      </c>
      <c r="L37" s="40" t="s">
        <v>884</v>
      </c>
      <c r="M37" s="40">
        <v>38</v>
      </c>
    </row>
    <row r="38" spans="1:13" x14ac:dyDescent="0.3">
      <c r="A38" s="40" t="str">
        <f>IF(39&lt;=nLan,"SD I -  lệch tâm"&amp;39&amp;" làn","")</f>
        <v/>
      </c>
      <c r="B38" s="46" t="str">
        <f>IF($A38="","",'TO HOP'!$C$110+1*(0-'TO HOP'!$M$42))</f>
        <v/>
      </c>
      <c r="C38" s="46" t="str">
        <f>IF($A38="","",'TO HOP'!$D$110+1*(0-'TO HOP'!$M$43))</f>
        <v/>
      </c>
      <c r="D38" s="46" t="str">
        <f>IF($A38="","",'TO HOP'!$E$110+1*(INDEX('LANE ENGINE'!$D$6:$D$45,39)-'TO HOP'!$M$44))</f>
        <v/>
      </c>
      <c r="E38" s="46" t="str">
        <f>IF($A38="","",'TO HOP'!$F$110+1*(INDEX('LANE ENGINE'!$E$6:$E$45,39)-'TO HOP'!$M$45))</f>
        <v/>
      </c>
      <c r="F38" s="46" t="str">
        <f>IF($A38="","",'TO HOP'!$G$110+1*(INDEX('LANE ENGINE'!$F$6:$F$45,39)-'TO HOP'!$M$46))</f>
        <v/>
      </c>
      <c r="G38" s="46" t="str">
        <f>IF($A38="","",'TO HOP'!$H$110+1*(0-'TO HOP'!$M$47))</f>
        <v/>
      </c>
      <c r="H38" s="46" t="str">
        <f>IF($A38="","",'TO HOP'!$I$110+1*(0-'TO HOP'!$M$48))</f>
        <v/>
      </c>
      <c r="I38" s="46" t="str">
        <f>IF($A38="","",'TO HOP'!$J$110+1*(INDEX('LANE ENGINE'!$D$6:$D$45,39)-'TO HOP'!$M$49))</f>
        <v/>
      </c>
      <c r="J38" s="46" t="str">
        <f>IF($A38="","",'TO HOP'!$K$110+1*(INDEX('LANE ENGINE'!$E$6:$E$45,39)-'TO HOP'!$M$50))</f>
        <v/>
      </c>
      <c r="K38" s="46" t="str">
        <f>IF($A38="","",'TO HOP'!$L$110+1*(INDEX('LANE ENGINE'!$G$6:$G$45,39)-'TO HOP'!$M$51))</f>
        <v/>
      </c>
      <c r="L38" s="40" t="s">
        <v>884</v>
      </c>
      <c r="M38" s="40">
        <v>39</v>
      </c>
    </row>
    <row r="39" spans="1:13" x14ac:dyDescent="0.3">
      <c r="A39" s="40" t="str">
        <f>IF(40&lt;=nLan,"SD I -  lệch tâm"&amp;40&amp;" làn","")</f>
        <v/>
      </c>
      <c r="B39" s="46" t="str">
        <f>IF($A39="","",'TO HOP'!$C$110+1*(0-'TO HOP'!$M$42))</f>
        <v/>
      </c>
      <c r="C39" s="46" t="str">
        <f>IF($A39="","",'TO HOP'!$D$110+1*(0-'TO HOP'!$M$43))</f>
        <v/>
      </c>
      <c r="D39" s="46" t="str">
        <f>IF($A39="","",'TO HOP'!$E$110+1*(INDEX('LANE ENGINE'!$D$6:$D$45,40)-'TO HOP'!$M$44))</f>
        <v/>
      </c>
      <c r="E39" s="46" t="str">
        <f>IF($A39="","",'TO HOP'!$F$110+1*(INDEX('LANE ENGINE'!$E$6:$E$45,40)-'TO HOP'!$M$45))</f>
        <v/>
      </c>
      <c r="F39" s="46" t="str">
        <f>IF($A39="","",'TO HOP'!$G$110+1*(INDEX('LANE ENGINE'!$F$6:$F$45,40)-'TO HOP'!$M$46))</f>
        <v/>
      </c>
      <c r="G39" s="46" t="str">
        <f>IF($A39="","",'TO HOP'!$H$110+1*(0-'TO HOP'!$M$47))</f>
        <v/>
      </c>
      <c r="H39" s="46" t="str">
        <f>IF($A39="","",'TO HOP'!$I$110+1*(0-'TO HOP'!$M$48))</f>
        <v/>
      </c>
      <c r="I39" s="46" t="str">
        <f>IF($A39="","",'TO HOP'!$J$110+1*(INDEX('LANE ENGINE'!$D$6:$D$45,40)-'TO HOP'!$M$49))</f>
        <v/>
      </c>
      <c r="J39" s="46" t="str">
        <f>IF($A39="","",'TO HOP'!$K$110+1*(INDEX('LANE ENGINE'!$E$6:$E$45,40)-'TO HOP'!$M$50))</f>
        <v/>
      </c>
      <c r="K39" s="46" t="str">
        <f>IF($A39="","",'TO HOP'!$L$110+1*(INDEX('LANE ENGINE'!$G$6:$G$45,40)-'TO HOP'!$M$51))</f>
        <v/>
      </c>
      <c r="L39" s="40" t="s">
        <v>884</v>
      </c>
      <c r="M39" s="40">
        <v>40</v>
      </c>
    </row>
    <row r="40" spans="1:13" x14ac:dyDescent="0.3">
      <c r="A40" s="40" t="str">
        <f>IF(7&lt;=nLan,"SD I -  đúng tâm"&amp;7&amp;" làn","")</f>
        <v/>
      </c>
      <c r="B40" s="46" t="str">
        <f>IF($A40="","",'TO HOP'!$C$116+1*(0-'TO HOP'!$S$42))</f>
        <v/>
      </c>
      <c r="C40" s="46" t="str">
        <f>IF($A40="","",'TO HOP'!$D$116+1*(0-'TO HOP'!$S$43))</f>
        <v/>
      </c>
      <c r="D40" s="46" t="str">
        <f>IF($A40="","",'TO HOP'!$E$116+1*(INDEX('LANE ENGINE'!$D$6:$D$45,7)-'TO HOP'!$S$44))</f>
        <v/>
      </c>
      <c r="E40" s="46" t="str">
        <f>IF($A40="","",'TO HOP'!$F$116+1*(0-'TO HOP'!$S$45))</f>
        <v/>
      </c>
      <c r="F40" s="46" t="str">
        <f>IF($A40="","",'TO HOP'!$G$116+1*(INDEX('LANE ENGINE'!$F$6:$F$45,7)-'TO HOP'!$S$46))</f>
        <v/>
      </c>
      <c r="G40" s="46" t="str">
        <f>IF($A40="","",'TO HOP'!$H$116+1*(0-'TO HOP'!$S$47))</f>
        <v/>
      </c>
      <c r="H40" s="46" t="str">
        <f>IF($A40="","",'TO HOP'!$I$116+1*(0-'TO HOP'!$S$48))</f>
        <v/>
      </c>
      <c r="I40" s="46" t="str">
        <f>IF($A40="","",'TO HOP'!$J$116+1*(INDEX('LANE ENGINE'!$D$6:$D$45,7)-'TO HOP'!$S$49))</f>
        <v/>
      </c>
      <c r="J40" s="46" t="str">
        <f>IF($A40="","",'TO HOP'!$K$116+1*(0-'TO HOP'!$S$50))</f>
        <v/>
      </c>
      <c r="K40" s="46" t="str">
        <f>IF($A40="","",'TO HOP'!$L$116+1*(INDEX('LANE ENGINE'!$G$6:$G$45,7)-'TO HOP'!$S$51))</f>
        <v/>
      </c>
      <c r="L40" s="40" t="s">
        <v>884</v>
      </c>
      <c r="M40" s="40">
        <v>7</v>
      </c>
    </row>
    <row r="41" spans="1:13" x14ac:dyDescent="0.3">
      <c r="A41" s="40" t="str">
        <f>IF(8&lt;=nLan,"SD I -  đúng tâm"&amp;8&amp;" làn","")</f>
        <v/>
      </c>
      <c r="B41" s="46" t="str">
        <f>IF($A41="","",'TO HOP'!$C$116+1*(0-'TO HOP'!$S$42))</f>
        <v/>
      </c>
      <c r="C41" s="46" t="str">
        <f>IF($A41="","",'TO HOP'!$D$116+1*(0-'TO HOP'!$S$43))</f>
        <v/>
      </c>
      <c r="D41" s="46" t="str">
        <f>IF($A41="","",'TO HOP'!$E$116+1*(INDEX('LANE ENGINE'!$D$6:$D$45,8)-'TO HOP'!$S$44))</f>
        <v/>
      </c>
      <c r="E41" s="46" t="str">
        <f>IF($A41="","",'TO HOP'!$F$116+1*(0-'TO HOP'!$S$45))</f>
        <v/>
      </c>
      <c r="F41" s="46" t="str">
        <f>IF($A41="","",'TO HOP'!$G$116+1*(INDEX('LANE ENGINE'!$F$6:$F$45,8)-'TO HOP'!$S$46))</f>
        <v/>
      </c>
      <c r="G41" s="46" t="str">
        <f>IF($A41="","",'TO HOP'!$H$116+1*(0-'TO HOP'!$S$47))</f>
        <v/>
      </c>
      <c r="H41" s="46" t="str">
        <f>IF($A41="","",'TO HOP'!$I$116+1*(0-'TO HOP'!$S$48))</f>
        <v/>
      </c>
      <c r="I41" s="46" t="str">
        <f>IF($A41="","",'TO HOP'!$J$116+1*(INDEX('LANE ENGINE'!$D$6:$D$45,8)-'TO HOP'!$S$49))</f>
        <v/>
      </c>
      <c r="J41" s="46" t="str">
        <f>IF($A41="","",'TO HOP'!$K$116+1*(0-'TO HOP'!$S$50))</f>
        <v/>
      </c>
      <c r="K41" s="46" t="str">
        <f>IF($A41="","",'TO HOP'!$L$116+1*(INDEX('LANE ENGINE'!$G$6:$G$45,8)-'TO HOP'!$S$51))</f>
        <v/>
      </c>
      <c r="L41" s="40" t="s">
        <v>884</v>
      </c>
      <c r="M41" s="40">
        <v>8</v>
      </c>
    </row>
    <row r="42" spans="1:13" x14ac:dyDescent="0.3">
      <c r="A42" s="40" t="str">
        <f>IF(9&lt;=nLan,"SD I -  đúng tâm"&amp;9&amp;" làn","")</f>
        <v/>
      </c>
      <c r="B42" s="46" t="str">
        <f>IF($A42="","",'TO HOP'!$C$116+1*(0-'TO HOP'!$S$42))</f>
        <v/>
      </c>
      <c r="C42" s="46" t="str">
        <f>IF($A42="","",'TO HOP'!$D$116+1*(0-'TO HOP'!$S$43))</f>
        <v/>
      </c>
      <c r="D42" s="46" t="str">
        <f>IF($A42="","",'TO HOP'!$E$116+1*(INDEX('LANE ENGINE'!$D$6:$D$45,9)-'TO HOP'!$S$44))</f>
        <v/>
      </c>
      <c r="E42" s="46" t="str">
        <f>IF($A42="","",'TO HOP'!$F$116+1*(0-'TO HOP'!$S$45))</f>
        <v/>
      </c>
      <c r="F42" s="46" t="str">
        <f>IF($A42="","",'TO HOP'!$G$116+1*(INDEX('LANE ENGINE'!$F$6:$F$45,9)-'TO HOP'!$S$46))</f>
        <v/>
      </c>
      <c r="G42" s="46" t="str">
        <f>IF($A42="","",'TO HOP'!$H$116+1*(0-'TO HOP'!$S$47))</f>
        <v/>
      </c>
      <c r="H42" s="46" t="str">
        <f>IF($A42="","",'TO HOP'!$I$116+1*(0-'TO HOP'!$S$48))</f>
        <v/>
      </c>
      <c r="I42" s="46" t="str">
        <f>IF($A42="","",'TO HOP'!$J$116+1*(INDEX('LANE ENGINE'!$D$6:$D$45,9)-'TO HOP'!$S$49))</f>
        <v/>
      </c>
      <c r="J42" s="46" t="str">
        <f>IF($A42="","",'TO HOP'!$K$116+1*(0-'TO HOP'!$S$50))</f>
        <v/>
      </c>
      <c r="K42" s="46" t="str">
        <f>IF($A42="","",'TO HOP'!$L$116+1*(INDEX('LANE ENGINE'!$G$6:$G$45,9)-'TO HOP'!$S$51))</f>
        <v/>
      </c>
      <c r="L42" s="40" t="s">
        <v>884</v>
      </c>
      <c r="M42" s="40">
        <v>9</v>
      </c>
    </row>
    <row r="43" spans="1:13" x14ac:dyDescent="0.3">
      <c r="A43" s="40" t="str">
        <f>IF(10&lt;=nLan,"SD I -  đúng tâm"&amp;10&amp;" làn","")</f>
        <v/>
      </c>
      <c r="B43" s="46" t="str">
        <f>IF($A43="","",'TO HOP'!$C$116+1*(0-'TO HOP'!$S$42))</f>
        <v/>
      </c>
      <c r="C43" s="46" t="str">
        <f>IF($A43="","",'TO HOP'!$D$116+1*(0-'TO HOP'!$S$43))</f>
        <v/>
      </c>
      <c r="D43" s="46" t="str">
        <f>IF($A43="","",'TO HOP'!$E$116+1*(INDEX('LANE ENGINE'!$D$6:$D$45,10)-'TO HOP'!$S$44))</f>
        <v/>
      </c>
      <c r="E43" s="46" t="str">
        <f>IF($A43="","",'TO HOP'!$F$116+1*(0-'TO HOP'!$S$45))</f>
        <v/>
      </c>
      <c r="F43" s="46" t="str">
        <f>IF($A43="","",'TO HOP'!$G$116+1*(INDEX('LANE ENGINE'!$F$6:$F$45,10)-'TO HOP'!$S$46))</f>
        <v/>
      </c>
      <c r="G43" s="46" t="str">
        <f>IF($A43="","",'TO HOP'!$H$116+1*(0-'TO HOP'!$S$47))</f>
        <v/>
      </c>
      <c r="H43" s="46" t="str">
        <f>IF($A43="","",'TO HOP'!$I$116+1*(0-'TO HOP'!$S$48))</f>
        <v/>
      </c>
      <c r="I43" s="46" t="str">
        <f>IF($A43="","",'TO HOP'!$J$116+1*(INDEX('LANE ENGINE'!$D$6:$D$45,10)-'TO HOP'!$S$49))</f>
        <v/>
      </c>
      <c r="J43" s="46" t="str">
        <f>IF($A43="","",'TO HOP'!$K$116+1*(0-'TO HOP'!$S$50))</f>
        <v/>
      </c>
      <c r="K43" s="46" t="str">
        <f>IF($A43="","",'TO HOP'!$L$116+1*(INDEX('LANE ENGINE'!$G$6:$G$45,10)-'TO HOP'!$S$51))</f>
        <v/>
      </c>
      <c r="L43" s="40" t="s">
        <v>884</v>
      </c>
      <c r="M43" s="40">
        <v>10</v>
      </c>
    </row>
    <row r="44" spans="1:13" x14ac:dyDescent="0.3">
      <c r="A44" s="40" t="str">
        <f>IF(11&lt;=nLan,"SD I -  đúng tâm"&amp;11&amp;" làn","")</f>
        <v/>
      </c>
      <c r="B44" s="46" t="str">
        <f>IF($A44="","",'TO HOP'!$C$116+1*(0-'TO HOP'!$S$42))</f>
        <v/>
      </c>
      <c r="C44" s="46" t="str">
        <f>IF($A44="","",'TO HOP'!$D$116+1*(0-'TO HOP'!$S$43))</f>
        <v/>
      </c>
      <c r="D44" s="46" t="str">
        <f>IF($A44="","",'TO HOP'!$E$116+1*(INDEX('LANE ENGINE'!$D$6:$D$45,11)-'TO HOP'!$S$44))</f>
        <v/>
      </c>
      <c r="E44" s="46" t="str">
        <f>IF($A44="","",'TO HOP'!$F$116+1*(0-'TO HOP'!$S$45))</f>
        <v/>
      </c>
      <c r="F44" s="46" t="str">
        <f>IF($A44="","",'TO HOP'!$G$116+1*(INDEX('LANE ENGINE'!$F$6:$F$45,11)-'TO HOP'!$S$46))</f>
        <v/>
      </c>
      <c r="G44" s="46" t="str">
        <f>IF($A44="","",'TO HOP'!$H$116+1*(0-'TO HOP'!$S$47))</f>
        <v/>
      </c>
      <c r="H44" s="46" t="str">
        <f>IF($A44="","",'TO HOP'!$I$116+1*(0-'TO HOP'!$S$48))</f>
        <v/>
      </c>
      <c r="I44" s="46" t="str">
        <f>IF($A44="","",'TO HOP'!$J$116+1*(INDEX('LANE ENGINE'!$D$6:$D$45,11)-'TO HOP'!$S$49))</f>
        <v/>
      </c>
      <c r="J44" s="46" t="str">
        <f>IF($A44="","",'TO HOP'!$K$116+1*(0-'TO HOP'!$S$50))</f>
        <v/>
      </c>
      <c r="K44" s="46" t="str">
        <f>IF($A44="","",'TO HOP'!$L$116+1*(INDEX('LANE ENGINE'!$G$6:$G$45,11)-'TO HOP'!$S$51))</f>
        <v/>
      </c>
      <c r="L44" s="40" t="s">
        <v>884</v>
      </c>
      <c r="M44" s="40">
        <v>11</v>
      </c>
    </row>
    <row r="45" spans="1:13" x14ac:dyDescent="0.3">
      <c r="A45" s="40" t="str">
        <f>IF(12&lt;=nLan,"SD I -  đúng tâm"&amp;12&amp;" làn","")</f>
        <v/>
      </c>
      <c r="B45" s="46" t="str">
        <f>IF($A45="","",'TO HOP'!$C$116+1*(0-'TO HOP'!$S$42))</f>
        <v/>
      </c>
      <c r="C45" s="46" t="str">
        <f>IF($A45="","",'TO HOP'!$D$116+1*(0-'TO HOP'!$S$43))</f>
        <v/>
      </c>
      <c r="D45" s="46" t="str">
        <f>IF($A45="","",'TO HOP'!$E$116+1*(INDEX('LANE ENGINE'!$D$6:$D$45,12)-'TO HOP'!$S$44))</f>
        <v/>
      </c>
      <c r="E45" s="46" t="str">
        <f>IF($A45="","",'TO HOP'!$F$116+1*(0-'TO HOP'!$S$45))</f>
        <v/>
      </c>
      <c r="F45" s="46" t="str">
        <f>IF($A45="","",'TO HOP'!$G$116+1*(INDEX('LANE ENGINE'!$F$6:$F$45,12)-'TO HOP'!$S$46))</f>
        <v/>
      </c>
      <c r="G45" s="46" t="str">
        <f>IF($A45="","",'TO HOP'!$H$116+1*(0-'TO HOP'!$S$47))</f>
        <v/>
      </c>
      <c r="H45" s="46" t="str">
        <f>IF($A45="","",'TO HOP'!$I$116+1*(0-'TO HOP'!$S$48))</f>
        <v/>
      </c>
      <c r="I45" s="46" t="str">
        <f>IF($A45="","",'TO HOP'!$J$116+1*(INDEX('LANE ENGINE'!$D$6:$D$45,12)-'TO HOP'!$S$49))</f>
        <v/>
      </c>
      <c r="J45" s="46" t="str">
        <f>IF($A45="","",'TO HOP'!$K$116+1*(0-'TO HOP'!$S$50))</f>
        <v/>
      </c>
      <c r="K45" s="46" t="str">
        <f>IF($A45="","",'TO HOP'!$L$116+1*(INDEX('LANE ENGINE'!$G$6:$G$45,12)-'TO HOP'!$S$51))</f>
        <v/>
      </c>
      <c r="L45" s="40" t="s">
        <v>884</v>
      </c>
      <c r="M45" s="40">
        <v>12</v>
      </c>
    </row>
    <row r="46" spans="1:13" x14ac:dyDescent="0.3">
      <c r="A46" s="40" t="str">
        <f>IF(13&lt;=nLan,"SD I -  đúng tâm"&amp;13&amp;" làn","")</f>
        <v/>
      </c>
      <c r="B46" s="46" t="str">
        <f>IF($A46="","",'TO HOP'!$C$116+1*(0-'TO HOP'!$S$42))</f>
        <v/>
      </c>
      <c r="C46" s="46" t="str">
        <f>IF($A46="","",'TO HOP'!$D$116+1*(0-'TO HOP'!$S$43))</f>
        <v/>
      </c>
      <c r="D46" s="46" t="str">
        <f>IF($A46="","",'TO HOP'!$E$116+1*(INDEX('LANE ENGINE'!$D$6:$D$45,13)-'TO HOP'!$S$44))</f>
        <v/>
      </c>
      <c r="E46" s="46" t="str">
        <f>IF($A46="","",'TO HOP'!$F$116+1*(0-'TO HOP'!$S$45))</f>
        <v/>
      </c>
      <c r="F46" s="46" t="str">
        <f>IF($A46="","",'TO HOP'!$G$116+1*(INDEX('LANE ENGINE'!$F$6:$F$45,13)-'TO HOP'!$S$46))</f>
        <v/>
      </c>
      <c r="G46" s="46" t="str">
        <f>IF($A46="","",'TO HOP'!$H$116+1*(0-'TO HOP'!$S$47))</f>
        <v/>
      </c>
      <c r="H46" s="46" t="str">
        <f>IF($A46="","",'TO HOP'!$I$116+1*(0-'TO HOP'!$S$48))</f>
        <v/>
      </c>
      <c r="I46" s="46" t="str">
        <f>IF($A46="","",'TO HOP'!$J$116+1*(INDEX('LANE ENGINE'!$D$6:$D$45,13)-'TO HOP'!$S$49))</f>
        <v/>
      </c>
      <c r="J46" s="46" t="str">
        <f>IF($A46="","",'TO HOP'!$K$116+1*(0-'TO HOP'!$S$50))</f>
        <v/>
      </c>
      <c r="K46" s="46" t="str">
        <f>IF($A46="","",'TO HOP'!$L$116+1*(INDEX('LANE ENGINE'!$G$6:$G$45,13)-'TO HOP'!$S$51))</f>
        <v/>
      </c>
      <c r="L46" s="40" t="s">
        <v>884</v>
      </c>
      <c r="M46" s="40">
        <v>13</v>
      </c>
    </row>
    <row r="47" spans="1:13" x14ac:dyDescent="0.3">
      <c r="A47" s="40" t="str">
        <f>IF(14&lt;=nLan,"SD I -  đúng tâm"&amp;14&amp;" làn","")</f>
        <v/>
      </c>
      <c r="B47" s="46" t="str">
        <f>IF($A47="","",'TO HOP'!$C$116+1*(0-'TO HOP'!$S$42))</f>
        <v/>
      </c>
      <c r="C47" s="46" t="str">
        <f>IF($A47="","",'TO HOP'!$D$116+1*(0-'TO HOP'!$S$43))</f>
        <v/>
      </c>
      <c r="D47" s="46" t="str">
        <f>IF($A47="","",'TO HOP'!$E$116+1*(INDEX('LANE ENGINE'!$D$6:$D$45,14)-'TO HOP'!$S$44))</f>
        <v/>
      </c>
      <c r="E47" s="46" t="str">
        <f>IF($A47="","",'TO HOP'!$F$116+1*(0-'TO HOP'!$S$45))</f>
        <v/>
      </c>
      <c r="F47" s="46" t="str">
        <f>IF($A47="","",'TO HOP'!$G$116+1*(INDEX('LANE ENGINE'!$F$6:$F$45,14)-'TO HOP'!$S$46))</f>
        <v/>
      </c>
      <c r="G47" s="46" t="str">
        <f>IF($A47="","",'TO HOP'!$H$116+1*(0-'TO HOP'!$S$47))</f>
        <v/>
      </c>
      <c r="H47" s="46" t="str">
        <f>IF($A47="","",'TO HOP'!$I$116+1*(0-'TO HOP'!$S$48))</f>
        <v/>
      </c>
      <c r="I47" s="46" t="str">
        <f>IF($A47="","",'TO HOP'!$J$116+1*(INDEX('LANE ENGINE'!$D$6:$D$45,14)-'TO HOP'!$S$49))</f>
        <v/>
      </c>
      <c r="J47" s="46" t="str">
        <f>IF($A47="","",'TO HOP'!$K$116+1*(0-'TO HOP'!$S$50))</f>
        <v/>
      </c>
      <c r="K47" s="46" t="str">
        <f>IF($A47="","",'TO HOP'!$L$116+1*(INDEX('LANE ENGINE'!$G$6:$G$45,14)-'TO HOP'!$S$51))</f>
        <v/>
      </c>
      <c r="L47" s="40" t="s">
        <v>884</v>
      </c>
      <c r="M47" s="40">
        <v>14</v>
      </c>
    </row>
    <row r="48" spans="1:13" x14ac:dyDescent="0.3">
      <c r="A48" s="40" t="str">
        <f>IF(15&lt;=nLan,"SD I -  đúng tâm"&amp;15&amp;" làn","")</f>
        <v/>
      </c>
      <c r="B48" s="46" t="str">
        <f>IF($A48="","",'TO HOP'!$C$116+1*(0-'TO HOP'!$S$42))</f>
        <v/>
      </c>
      <c r="C48" s="46" t="str">
        <f>IF($A48="","",'TO HOP'!$D$116+1*(0-'TO HOP'!$S$43))</f>
        <v/>
      </c>
      <c r="D48" s="46" t="str">
        <f>IF($A48="","",'TO HOP'!$E$116+1*(INDEX('LANE ENGINE'!$D$6:$D$45,15)-'TO HOP'!$S$44))</f>
        <v/>
      </c>
      <c r="E48" s="46" t="str">
        <f>IF($A48="","",'TO HOP'!$F$116+1*(0-'TO HOP'!$S$45))</f>
        <v/>
      </c>
      <c r="F48" s="46" t="str">
        <f>IF($A48="","",'TO HOP'!$G$116+1*(INDEX('LANE ENGINE'!$F$6:$F$45,15)-'TO HOP'!$S$46))</f>
        <v/>
      </c>
      <c r="G48" s="46" t="str">
        <f>IF($A48="","",'TO HOP'!$H$116+1*(0-'TO HOP'!$S$47))</f>
        <v/>
      </c>
      <c r="H48" s="46" t="str">
        <f>IF($A48="","",'TO HOP'!$I$116+1*(0-'TO HOP'!$S$48))</f>
        <v/>
      </c>
      <c r="I48" s="46" t="str">
        <f>IF($A48="","",'TO HOP'!$J$116+1*(INDEX('LANE ENGINE'!$D$6:$D$45,15)-'TO HOP'!$S$49))</f>
        <v/>
      </c>
      <c r="J48" s="46" t="str">
        <f>IF($A48="","",'TO HOP'!$K$116+1*(0-'TO HOP'!$S$50))</f>
        <v/>
      </c>
      <c r="K48" s="46" t="str">
        <f>IF($A48="","",'TO HOP'!$L$116+1*(INDEX('LANE ENGINE'!$G$6:$G$45,15)-'TO HOP'!$S$51))</f>
        <v/>
      </c>
      <c r="L48" s="40" t="s">
        <v>884</v>
      </c>
      <c r="M48" s="40">
        <v>15</v>
      </c>
    </row>
    <row r="49" spans="1:13" x14ac:dyDescent="0.3">
      <c r="A49" s="40" t="str">
        <f>IF(16&lt;=nLan,"SD I -  đúng tâm"&amp;16&amp;" làn","")</f>
        <v/>
      </c>
      <c r="B49" s="46" t="str">
        <f>IF($A49="","",'TO HOP'!$C$116+1*(0-'TO HOP'!$S$42))</f>
        <v/>
      </c>
      <c r="C49" s="46" t="str">
        <f>IF($A49="","",'TO HOP'!$D$116+1*(0-'TO HOP'!$S$43))</f>
        <v/>
      </c>
      <c r="D49" s="46" t="str">
        <f>IF($A49="","",'TO HOP'!$E$116+1*(INDEX('LANE ENGINE'!$D$6:$D$45,16)-'TO HOP'!$S$44))</f>
        <v/>
      </c>
      <c r="E49" s="46" t="str">
        <f>IF($A49="","",'TO HOP'!$F$116+1*(0-'TO HOP'!$S$45))</f>
        <v/>
      </c>
      <c r="F49" s="46" t="str">
        <f>IF($A49="","",'TO HOP'!$G$116+1*(INDEX('LANE ENGINE'!$F$6:$F$45,16)-'TO HOP'!$S$46))</f>
        <v/>
      </c>
      <c r="G49" s="46" t="str">
        <f>IF($A49="","",'TO HOP'!$H$116+1*(0-'TO HOP'!$S$47))</f>
        <v/>
      </c>
      <c r="H49" s="46" t="str">
        <f>IF($A49="","",'TO HOP'!$I$116+1*(0-'TO HOP'!$S$48))</f>
        <v/>
      </c>
      <c r="I49" s="46" t="str">
        <f>IF($A49="","",'TO HOP'!$J$116+1*(INDEX('LANE ENGINE'!$D$6:$D$45,16)-'TO HOP'!$S$49))</f>
        <v/>
      </c>
      <c r="J49" s="46" t="str">
        <f>IF($A49="","",'TO HOP'!$K$116+1*(0-'TO HOP'!$S$50))</f>
        <v/>
      </c>
      <c r="K49" s="46" t="str">
        <f>IF($A49="","",'TO HOP'!$L$116+1*(INDEX('LANE ENGINE'!$G$6:$G$45,16)-'TO HOP'!$S$51))</f>
        <v/>
      </c>
      <c r="L49" s="40" t="s">
        <v>884</v>
      </c>
      <c r="M49" s="40">
        <v>16</v>
      </c>
    </row>
    <row r="50" spans="1:13" x14ac:dyDescent="0.3">
      <c r="A50" s="40" t="str">
        <f>IF(17&lt;=nLan,"SD I -  đúng tâm"&amp;17&amp;" làn","")</f>
        <v/>
      </c>
      <c r="B50" s="46" t="str">
        <f>IF($A50="","",'TO HOP'!$C$116+1*(0-'TO HOP'!$S$42))</f>
        <v/>
      </c>
      <c r="C50" s="46" t="str">
        <f>IF($A50="","",'TO HOP'!$D$116+1*(0-'TO HOP'!$S$43))</f>
        <v/>
      </c>
      <c r="D50" s="46" t="str">
        <f>IF($A50="","",'TO HOP'!$E$116+1*(INDEX('LANE ENGINE'!$D$6:$D$45,17)-'TO HOP'!$S$44))</f>
        <v/>
      </c>
      <c r="E50" s="46" t="str">
        <f>IF($A50="","",'TO HOP'!$F$116+1*(0-'TO HOP'!$S$45))</f>
        <v/>
      </c>
      <c r="F50" s="46" t="str">
        <f>IF($A50="","",'TO HOP'!$G$116+1*(INDEX('LANE ENGINE'!$F$6:$F$45,17)-'TO HOP'!$S$46))</f>
        <v/>
      </c>
      <c r="G50" s="46" t="str">
        <f>IF($A50="","",'TO HOP'!$H$116+1*(0-'TO HOP'!$S$47))</f>
        <v/>
      </c>
      <c r="H50" s="46" t="str">
        <f>IF($A50="","",'TO HOP'!$I$116+1*(0-'TO HOP'!$S$48))</f>
        <v/>
      </c>
      <c r="I50" s="46" t="str">
        <f>IF($A50="","",'TO HOP'!$J$116+1*(INDEX('LANE ENGINE'!$D$6:$D$45,17)-'TO HOP'!$S$49))</f>
        <v/>
      </c>
      <c r="J50" s="46" t="str">
        <f>IF($A50="","",'TO HOP'!$K$116+1*(0-'TO HOP'!$S$50))</f>
        <v/>
      </c>
      <c r="K50" s="46" t="str">
        <f>IF($A50="","",'TO HOP'!$L$116+1*(INDEX('LANE ENGINE'!$G$6:$G$45,17)-'TO HOP'!$S$51))</f>
        <v/>
      </c>
      <c r="L50" s="40" t="s">
        <v>884</v>
      </c>
      <c r="M50" s="40">
        <v>17</v>
      </c>
    </row>
    <row r="51" spans="1:13" x14ac:dyDescent="0.3">
      <c r="A51" s="40" t="str">
        <f>IF(18&lt;=nLan,"SD I -  đúng tâm"&amp;18&amp;" làn","")</f>
        <v/>
      </c>
      <c r="B51" s="46" t="str">
        <f>IF($A51="","",'TO HOP'!$C$116+1*(0-'TO HOP'!$S$42))</f>
        <v/>
      </c>
      <c r="C51" s="46" t="str">
        <f>IF($A51="","",'TO HOP'!$D$116+1*(0-'TO HOP'!$S$43))</f>
        <v/>
      </c>
      <c r="D51" s="46" t="str">
        <f>IF($A51="","",'TO HOP'!$E$116+1*(INDEX('LANE ENGINE'!$D$6:$D$45,18)-'TO HOP'!$S$44))</f>
        <v/>
      </c>
      <c r="E51" s="46" t="str">
        <f>IF($A51="","",'TO HOP'!$F$116+1*(0-'TO HOP'!$S$45))</f>
        <v/>
      </c>
      <c r="F51" s="46" t="str">
        <f>IF($A51="","",'TO HOP'!$G$116+1*(INDEX('LANE ENGINE'!$F$6:$F$45,18)-'TO HOP'!$S$46))</f>
        <v/>
      </c>
      <c r="G51" s="46" t="str">
        <f>IF($A51="","",'TO HOP'!$H$116+1*(0-'TO HOP'!$S$47))</f>
        <v/>
      </c>
      <c r="H51" s="46" t="str">
        <f>IF($A51="","",'TO HOP'!$I$116+1*(0-'TO HOP'!$S$48))</f>
        <v/>
      </c>
      <c r="I51" s="46" t="str">
        <f>IF($A51="","",'TO HOP'!$J$116+1*(INDEX('LANE ENGINE'!$D$6:$D$45,18)-'TO HOP'!$S$49))</f>
        <v/>
      </c>
      <c r="J51" s="46" t="str">
        <f>IF($A51="","",'TO HOP'!$K$116+1*(0-'TO HOP'!$S$50))</f>
        <v/>
      </c>
      <c r="K51" s="46" t="str">
        <f>IF($A51="","",'TO HOP'!$L$116+1*(INDEX('LANE ENGINE'!$G$6:$G$45,18)-'TO HOP'!$S$51))</f>
        <v/>
      </c>
      <c r="L51" s="40" t="s">
        <v>884</v>
      </c>
      <c r="M51" s="40">
        <v>18</v>
      </c>
    </row>
    <row r="52" spans="1:13" x14ac:dyDescent="0.3">
      <c r="A52" s="40" t="str">
        <f>IF(19&lt;=nLan,"SD I -  đúng tâm"&amp;19&amp;" làn","")</f>
        <v/>
      </c>
      <c r="B52" s="46" t="str">
        <f>IF($A52="","",'TO HOP'!$C$116+1*(0-'TO HOP'!$S$42))</f>
        <v/>
      </c>
      <c r="C52" s="46" t="str">
        <f>IF($A52="","",'TO HOP'!$D$116+1*(0-'TO HOP'!$S$43))</f>
        <v/>
      </c>
      <c r="D52" s="46" t="str">
        <f>IF($A52="","",'TO HOP'!$E$116+1*(INDEX('LANE ENGINE'!$D$6:$D$45,19)-'TO HOP'!$S$44))</f>
        <v/>
      </c>
      <c r="E52" s="46" t="str">
        <f>IF($A52="","",'TO HOP'!$F$116+1*(0-'TO HOP'!$S$45))</f>
        <v/>
      </c>
      <c r="F52" s="46" t="str">
        <f>IF($A52="","",'TO HOP'!$G$116+1*(INDEX('LANE ENGINE'!$F$6:$F$45,19)-'TO HOP'!$S$46))</f>
        <v/>
      </c>
      <c r="G52" s="46" t="str">
        <f>IF($A52="","",'TO HOP'!$H$116+1*(0-'TO HOP'!$S$47))</f>
        <v/>
      </c>
      <c r="H52" s="46" t="str">
        <f>IF($A52="","",'TO HOP'!$I$116+1*(0-'TO HOP'!$S$48))</f>
        <v/>
      </c>
      <c r="I52" s="46" t="str">
        <f>IF($A52="","",'TO HOP'!$J$116+1*(INDEX('LANE ENGINE'!$D$6:$D$45,19)-'TO HOP'!$S$49))</f>
        <v/>
      </c>
      <c r="J52" s="46" t="str">
        <f>IF($A52="","",'TO HOP'!$K$116+1*(0-'TO HOP'!$S$50))</f>
        <v/>
      </c>
      <c r="K52" s="46" t="str">
        <f>IF($A52="","",'TO HOP'!$L$116+1*(INDEX('LANE ENGINE'!$G$6:$G$45,19)-'TO HOP'!$S$51))</f>
        <v/>
      </c>
      <c r="L52" s="40" t="s">
        <v>884</v>
      </c>
      <c r="M52" s="40">
        <v>19</v>
      </c>
    </row>
    <row r="53" spans="1:13" x14ac:dyDescent="0.3">
      <c r="A53" s="40" t="str">
        <f>IF(20&lt;=nLan,"SD I -  đúng tâm"&amp;20&amp;" làn","")</f>
        <v/>
      </c>
      <c r="B53" s="46" t="str">
        <f>IF($A53="","",'TO HOP'!$C$116+1*(0-'TO HOP'!$S$42))</f>
        <v/>
      </c>
      <c r="C53" s="46" t="str">
        <f>IF($A53="","",'TO HOP'!$D$116+1*(0-'TO HOP'!$S$43))</f>
        <v/>
      </c>
      <c r="D53" s="46" t="str">
        <f>IF($A53="","",'TO HOP'!$E$116+1*(INDEX('LANE ENGINE'!$D$6:$D$45,20)-'TO HOP'!$S$44))</f>
        <v/>
      </c>
      <c r="E53" s="46" t="str">
        <f>IF($A53="","",'TO HOP'!$F$116+1*(0-'TO HOP'!$S$45))</f>
        <v/>
      </c>
      <c r="F53" s="46" t="str">
        <f>IF($A53="","",'TO HOP'!$G$116+1*(INDEX('LANE ENGINE'!$F$6:$F$45,20)-'TO HOP'!$S$46))</f>
        <v/>
      </c>
      <c r="G53" s="46" t="str">
        <f>IF($A53="","",'TO HOP'!$H$116+1*(0-'TO HOP'!$S$47))</f>
        <v/>
      </c>
      <c r="H53" s="46" t="str">
        <f>IF($A53="","",'TO HOP'!$I$116+1*(0-'TO HOP'!$S$48))</f>
        <v/>
      </c>
      <c r="I53" s="46" t="str">
        <f>IF($A53="","",'TO HOP'!$J$116+1*(INDEX('LANE ENGINE'!$D$6:$D$45,20)-'TO HOP'!$S$49))</f>
        <v/>
      </c>
      <c r="J53" s="46" t="str">
        <f>IF($A53="","",'TO HOP'!$K$116+1*(0-'TO HOP'!$S$50))</f>
        <v/>
      </c>
      <c r="K53" s="46" t="str">
        <f>IF($A53="","",'TO HOP'!$L$116+1*(INDEX('LANE ENGINE'!$G$6:$G$45,20)-'TO HOP'!$S$51))</f>
        <v/>
      </c>
      <c r="L53" s="40" t="s">
        <v>884</v>
      </c>
      <c r="M53" s="40">
        <v>20</v>
      </c>
    </row>
    <row r="54" spans="1:13" x14ac:dyDescent="0.3">
      <c r="A54" s="40" t="str">
        <f>IF(21&lt;=nLan,"SD I -  đúng tâm"&amp;21&amp;" làn","")</f>
        <v/>
      </c>
      <c r="B54" s="46" t="str">
        <f>IF($A54="","",'TO HOP'!$C$116+1*(0-'TO HOP'!$S$42))</f>
        <v/>
      </c>
      <c r="C54" s="46" t="str">
        <f>IF($A54="","",'TO HOP'!$D$116+1*(0-'TO HOP'!$S$43))</f>
        <v/>
      </c>
      <c r="D54" s="46" t="str">
        <f>IF($A54="","",'TO HOP'!$E$116+1*(INDEX('LANE ENGINE'!$D$6:$D$45,21)-'TO HOP'!$S$44))</f>
        <v/>
      </c>
      <c r="E54" s="46" t="str">
        <f>IF($A54="","",'TO HOP'!$F$116+1*(0-'TO HOP'!$S$45))</f>
        <v/>
      </c>
      <c r="F54" s="46" t="str">
        <f>IF($A54="","",'TO HOP'!$G$116+1*(INDEX('LANE ENGINE'!$F$6:$F$45,21)-'TO HOP'!$S$46))</f>
        <v/>
      </c>
      <c r="G54" s="46" t="str">
        <f>IF($A54="","",'TO HOP'!$H$116+1*(0-'TO HOP'!$S$47))</f>
        <v/>
      </c>
      <c r="H54" s="46" t="str">
        <f>IF($A54="","",'TO HOP'!$I$116+1*(0-'TO HOP'!$S$48))</f>
        <v/>
      </c>
      <c r="I54" s="46" t="str">
        <f>IF($A54="","",'TO HOP'!$J$116+1*(INDEX('LANE ENGINE'!$D$6:$D$45,21)-'TO HOP'!$S$49))</f>
        <v/>
      </c>
      <c r="J54" s="46" t="str">
        <f>IF($A54="","",'TO HOP'!$K$116+1*(0-'TO HOP'!$S$50))</f>
        <v/>
      </c>
      <c r="K54" s="46" t="str">
        <f>IF($A54="","",'TO HOP'!$L$116+1*(INDEX('LANE ENGINE'!$G$6:$G$45,21)-'TO HOP'!$S$51))</f>
        <v/>
      </c>
      <c r="L54" s="40" t="s">
        <v>884</v>
      </c>
      <c r="M54" s="40">
        <v>21</v>
      </c>
    </row>
    <row r="55" spans="1:13" x14ac:dyDescent="0.3">
      <c r="A55" s="40" t="str">
        <f>IF(22&lt;=nLan,"SD I -  đúng tâm"&amp;22&amp;" làn","")</f>
        <v/>
      </c>
      <c r="B55" s="46" t="str">
        <f>IF($A55="","",'TO HOP'!$C$116+1*(0-'TO HOP'!$S$42))</f>
        <v/>
      </c>
      <c r="C55" s="46" t="str">
        <f>IF($A55="","",'TO HOP'!$D$116+1*(0-'TO HOP'!$S$43))</f>
        <v/>
      </c>
      <c r="D55" s="46" t="str">
        <f>IF($A55="","",'TO HOP'!$E$116+1*(INDEX('LANE ENGINE'!$D$6:$D$45,22)-'TO HOP'!$S$44))</f>
        <v/>
      </c>
      <c r="E55" s="46" t="str">
        <f>IF($A55="","",'TO HOP'!$F$116+1*(0-'TO HOP'!$S$45))</f>
        <v/>
      </c>
      <c r="F55" s="46" t="str">
        <f>IF($A55="","",'TO HOP'!$G$116+1*(INDEX('LANE ENGINE'!$F$6:$F$45,22)-'TO HOP'!$S$46))</f>
        <v/>
      </c>
      <c r="G55" s="46" t="str">
        <f>IF($A55="","",'TO HOP'!$H$116+1*(0-'TO HOP'!$S$47))</f>
        <v/>
      </c>
      <c r="H55" s="46" t="str">
        <f>IF($A55="","",'TO HOP'!$I$116+1*(0-'TO HOP'!$S$48))</f>
        <v/>
      </c>
      <c r="I55" s="46" t="str">
        <f>IF($A55="","",'TO HOP'!$J$116+1*(INDEX('LANE ENGINE'!$D$6:$D$45,22)-'TO HOP'!$S$49))</f>
        <v/>
      </c>
      <c r="J55" s="46" t="str">
        <f>IF($A55="","",'TO HOP'!$K$116+1*(0-'TO HOP'!$S$50))</f>
        <v/>
      </c>
      <c r="K55" s="46" t="str">
        <f>IF($A55="","",'TO HOP'!$L$116+1*(INDEX('LANE ENGINE'!$G$6:$G$45,22)-'TO HOP'!$S$51))</f>
        <v/>
      </c>
      <c r="L55" s="40" t="s">
        <v>884</v>
      </c>
      <c r="M55" s="40">
        <v>22</v>
      </c>
    </row>
    <row r="56" spans="1:13" x14ac:dyDescent="0.3">
      <c r="A56" s="40" t="str">
        <f>IF(23&lt;=nLan,"SD I -  đúng tâm"&amp;23&amp;" làn","")</f>
        <v/>
      </c>
      <c r="B56" s="46" t="str">
        <f>IF($A56="","",'TO HOP'!$C$116+1*(0-'TO HOP'!$S$42))</f>
        <v/>
      </c>
      <c r="C56" s="46" t="str">
        <f>IF($A56="","",'TO HOP'!$D$116+1*(0-'TO HOP'!$S$43))</f>
        <v/>
      </c>
      <c r="D56" s="46" t="str">
        <f>IF($A56="","",'TO HOP'!$E$116+1*(INDEX('LANE ENGINE'!$D$6:$D$45,23)-'TO HOP'!$S$44))</f>
        <v/>
      </c>
      <c r="E56" s="46" t="str">
        <f>IF($A56="","",'TO HOP'!$F$116+1*(0-'TO HOP'!$S$45))</f>
        <v/>
      </c>
      <c r="F56" s="46" t="str">
        <f>IF($A56="","",'TO HOP'!$G$116+1*(INDEX('LANE ENGINE'!$F$6:$F$45,23)-'TO HOP'!$S$46))</f>
        <v/>
      </c>
      <c r="G56" s="46" t="str">
        <f>IF($A56="","",'TO HOP'!$H$116+1*(0-'TO HOP'!$S$47))</f>
        <v/>
      </c>
      <c r="H56" s="46" t="str">
        <f>IF($A56="","",'TO HOP'!$I$116+1*(0-'TO HOP'!$S$48))</f>
        <v/>
      </c>
      <c r="I56" s="46" t="str">
        <f>IF($A56="","",'TO HOP'!$J$116+1*(INDEX('LANE ENGINE'!$D$6:$D$45,23)-'TO HOP'!$S$49))</f>
        <v/>
      </c>
      <c r="J56" s="46" t="str">
        <f>IF($A56="","",'TO HOP'!$K$116+1*(0-'TO HOP'!$S$50))</f>
        <v/>
      </c>
      <c r="K56" s="46" t="str">
        <f>IF($A56="","",'TO HOP'!$L$116+1*(INDEX('LANE ENGINE'!$G$6:$G$45,23)-'TO HOP'!$S$51))</f>
        <v/>
      </c>
      <c r="L56" s="40" t="s">
        <v>884</v>
      </c>
      <c r="M56" s="40">
        <v>23</v>
      </c>
    </row>
    <row r="57" spans="1:13" x14ac:dyDescent="0.3">
      <c r="A57" s="40" t="str">
        <f>IF(24&lt;=nLan,"SD I -  đúng tâm"&amp;24&amp;" làn","")</f>
        <v/>
      </c>
      <c r="B57" s="46" t="str">
        <f>IF($A57="","",'TO HOP'!$C$116+1*(0-'TO HOP'!$S$42))</f>
        <v/>
      </c>
      <c r="C57" s="46" t="str">
        <f>IF($A57="","",'TO HOP'!$D$116+1*(0-'TO HOP'!$S$43))</f>
        <v/>
      </c>
      <c r="D57" s="46" t="str">
        <f>IF($A57="","",'TO HOP'!$E$116+1*(INDEX('LANE ENGINE'!$D$6:$D$45,24)-'TO HOP'!$S$44))</f>
        <v/>
      </c>
      <c r="E57" s="46" t="str">
        <f>IF($A57="","",'TO HOP'!$F$116+1*(0-'TO HOP'!$S$45))</f>
        <v/>
      </c>
      <c r="F57" s="46" t="str">
        <f>IF($A57="","",'TO HOP'!$G$116+1*(INDEX('LANE ENGINE'!$F$6:$F$45,24)-'TO HOP'!$S$46))</f>
        <v/>
      </c>
      <c r="G57" s="46" t="str">
        <f>IF($A57="","",'TO HOP'!$H$116+1*(0-'TO HOP'!$S$47))</f>
        <v/>
      </c>
      <c r="H57" s="46" t="str">
        <f>IF($A57="","",'TO HOP'!$I$116+1*(0-'TO HOP'!$S$48))</f>
        <v/>
      </c>
      <c r="I57" s="46" t="str">
        <f>IF($A57="","",'TO HOP'!$J$116+1*(INDEX('LANE ENGINE'!$D$6:$D$45,24)-'TO HOP'!$S$49))</f>
        <v/>
      </c>
      <c r="J57" s="46" t="str">
        <f>IF($A57="","",'TO HOP'!$K$116+1*(0-'TO HOP'!$S$50))</f>
        <v/>
      </c>
      <c r="K57" s="46" t="str">
        <f>IF($A57="","",'TO HOP'!$L$116+1*(INDEX('LANE ENGINE'!$G$6:$G$45,24)-'TO HOP'!$S$51))</f>
        <v/>
      </c>
      <c r="L57" s="40" t="s">
        <v>884</v>
      </c>
      <c r="M57" s="40">
        <v>24</v>
      </c>
    </row>
    <row r="58" spans="1:13" x14ac:dyDescent="0.3">
      <c r="A58" s="40" t="str">
        <f>IF(25&lt;=nLan,"SD I -  đúng tâm"&amp;25&amp;" làn","")</f>
        <v/>
      </c>
      <c r="B58" s="46" t="str">
        <f>IF($A58="","",'TO HOP'!$C$116+1*(0-'TO HOP'!$S$42))</f>
        <v/>
      </c>
      <c r="C58" s="46" t="str">
        <f>IF($A58="","",'TO HOP'!$D$116+1*(0-'TO HOP'!$S$43))</f>
        <v/>
      </c>
      <c r="D58" s="46" t="str">
        <f>IF($A58="","",'TO HOP'!$E$116+1*(INDEX('LANE ENGINE'!$D$6:$D$45,25)-'TO HOP'!$S$44))</f>
        <v/>
      </c>
      <c r="E58" s="46" t="str">
        <f>IF($A58="","",'TO HOP'!$F$116+1*(0-'TO HOP'!$S$45))</f>
        <v/>
      </c>
      <c r="F58" s="46" t="str">
        <f>IF($A58="","",'TO HOP'!$G$116+1*(INDEX('LANE ENGINE'!$F$6:$F$45,25)-'TO HOP'!$S$46))</f>
        <v/>
      </c>
      <c r="G58" s="46" t="str">
        <f>IF($A58="","",'TO HOP'!$H$116+1*(0-'TO HOP'!$S$47))</f>
        <v/>
      </c>
      <c r="H58" s="46" t="str">
        <f>IF($A58="","",'TO HOP'!$I$116+1*(0-'TO HOP'!$S$48))</f>
        <v/>
      </c>
      <c r="I58" s="46" t="str">
        <f>IF($A58="","",'TO HOP'!$J$116+1*(INDEX('LANE ENGINE'!$D$6:$D$45,25)-'TO HOP'!$S$49))</f>
        <v/>
      </c>
      <c r="J58" s="46" t="str">
        <f>IF($A58="","",'TO HOP'!$K$116+1*(0-'TO HOP'!$S$50))</f>
        <v/>
      </c>
      <c r="K58" s="46" t="str">
        <f>IF($A58="","",'TO HOP'!$L$116+1*(INDEX('LANE ENGINE'!$G$6:$G$45,25)-'TO HOP'!$S$51))</f>
        <v/>
      </c>
      <c r="L58" s="40" t="s">
        <v>884</v>
      </c>
      <c r="M58" s="40">
        <v>25</v>
      </c>
    </row>
    <row r="59" spans="1:13" x14ac:dyDescent="0.3">
      <c r="A59" s="40" t="str">
        <f>IF(26&lt;=nLan,"SD I -  đúng tâm"&amp;26&amp;" làn","")</f>
        <v/>
      </c>
      <c r="B59" s="46" t="str">
        <f>IF($A59="","",'TO HOP'!$C$116+1*(0-'TO HOP'!$S$42))</f>
        <v/>
      </c>
      <c r="C59" s="46" t="str">
        <f>IF($A59="","",'TO HOP'!$D$116+1*(0-'TO HOP'!$S$43))</f>
        <v/>
      </c>
      <c r="D59" s="46" t="str">
        <f>IF($A59="","",'TO HOP'!$E$116+1*(INDEX('LANE ENGINE'!$D$6:$D$45,26)-'TO HOP'!$S$44))</f>
        <v/>
      </c>
      <c r="E59" s="46" t="str">
        <f>IF($A59="","",'TO HOP'!$F$116+1*(0-'TO HOP'!$S$45))</f>
        <v/>
      </c>
      <c r="F59" s="46" t="str">
        <f>IF($A59="","",'TO HOP'!$G$116+1*(INDEX('LANE ENGINE'!$F$6:$F$45,26)-'TO HOP'!$S$46))</f>
        <v/>
      </c>
      <c r="G59" s="46" t="str">
        <f>IF($A59="","",'TO HOP'!$H$116+1*(0-'TO HOP'!$S$47))</f>
        <v/>
      </c>
      <c r="H59" s="46" t="str">
        <f>IF($A59="","",'TO HOP'!$I$116+1*(0-'TO HOP'!$S$48))</f>
        <v/>
      </c>
      <c r="I59" s="46" t="str">
        <f>IF($A59="","",'TO HOP'!$J$116+1*(INDEX('LANE ENGINE'!$D$6:$D$45,26)-'TO HOP'!$S$49))</f>
        <v/>
      </c>
      <c r="J59" s="46" t="str">
        <f>IF($A59="","",'TO HOP'!$K$116+1*(0-'TO HOP'!$S$50))</f>
        <v/>
      </c>
      <c r="K59" s="46" t="str">
        <f>IF($A59="","",'TO HOP'!$L$116+1*(INDEX('LANE ENGINE'!$G$6:$G$45,26)-'TO HOP'!$S$51))</f>
        <v/>
      </c>
      <c r="L59" s="40" t="s">
        <v>884</v>
      </c>
      <c r="M59" s="40">
        <v>26</v>
      </c>
    </row>
    <row r="60" spans="1:13" x14ac:dyDescent="0.3">
      <c r="A60" s="40" t="str">
        <f>IF(27&lt;=nLan,"SD I -  đúng tâm"&amp;27&amp;" làn","")</f>
        <v/>
      </c>
      <c r="B60" s="46" t="str">
        <f>IF($A60="","",'TO HOP'!$C$116+1*(0-'TO HOP'!$S$42))</f>
        <v/>
      </c>
      <c r="C60" s="46" t="str">
        <f>IF($A60="","",'TO HOP'!$D$116+1*(0-'TO HOP'!$S$43))</f>
        <v/>
      </c>
      <c r="D60" s="46" t="str">
        <f>IF($A60="","",'TO HOP'!$E$116+1*(INDEX('LANE ENGINE'!$D$6:$D$45,27)-'TO HOP'!$S$44))</f>
        <v/>
      </c>
      <c r="E60" s="46" t="str">
        <f>IF($A60="","",'TO HOP'!$F$116+1*(0-'TO HOP'!$S$45))</f>
        <v/>
      </c>
      <c r="F60" s="46" t="str">
        <f>IF($A60="","",'TO HOP'!$G$116+1*(INDEX('LANE ENGINE'!$F$6:$F$45,27)-'TO HOP'!$S$46))</f>
        <v/>
      </c>
      <c r="G60" s="46" t="str">
        <f>IF($A60="","",'TO HOP'!$H$116+1*(0-'TO HOP'!$S$47))</f>
        <v/>
      </c>
      <c r="H60" s="46" t="str">
        <f>IF($A60="","",'TO HOP'!$I$116+1*(0-'TO HOP'!$S$48))</f>
        <v/>
      </c>
      <c r="I60" s="46" t="str">
        <f>IF($A60="","",'TO HOP'!$J$116+1*(INDEX('LANE ENGINE'!$D$6:$D$45,27)-'TO HOP'!$S$49))</f>
        <v/>
      </c>
      <c r="J60" s="46" t="str">
        <f>IF($A60="","",'TO HOP'!$K$116+1*(0-'TO HOP'!$S$50))</f>
        <v/>
      </c>
      <c r="K60" s="46" t="str">
        <f>IF($A60="","",'TO HOP'!$L$116+1*(INDEX('LANE ENGINE'!$G$6:$G$45,27)-'TO HOP'!$S$51))</f>
        <v/>
      </c>
      <c r="L60" s="40" t="s">
        <v>884</v>
      </c>
      <c r="M60" s="40">
        <v>27</v>
      </c>
    </row>
    <row r="61" spans="1:13" x14ac:dyDescent="0.3">
      <c r="A61" s="40" t="str">
        <f>IF(28&lt;=nLan,"SD I -  đúng tâm"&amp;28&amp;" làn","")</f>
        <v/>
      </c>
      <c r="B61" s="46" t="str">
        <f>IF($A61="","",'TO HOP'!$C$116+1*(0-'TO HOP'!$S$42))</f>
        <v/>
      </c>
      <c r="C61" s="46" t="str">
        <f>IF($A61="","",'TO HOP'!$D$116+1*(0-'TO HOP'!$S$43))</f>
        <v/>
      </c>
      <c r="D61" s="46" t="str">
        <f>IF($A61="","",'TO HOP'!$E$116+1*(INDEX('LANE ENGINE'!$D$6:$D$45,28)-'TO HOP'!$S$44))</f>
        <v/>
      </c>
      <c r="E61" s="46" t="str">
        <f>IF($A61="","",'TO HOP'!$F$116+1*(0-'TO HOP'!$S$45))</f>
        <v/>
      </c>
      <c r="F61" s="46" t="str">
        <f>IF($A61="","",'TO HOP'!$G$116+1*(INDEX('LANE ENGINE'!$F$6:$F$45,28)-'TO HOP'!$S$46))</f>
        <v/>
      </c>
      <c r="G61" s="46" t="str">
        <f>IF($A61="","",'TO HOP'!$H$116+1*(0-'TO HOP'!$S$47))</f>
        <v/>
      </c>
      <c r="H61" s="46" t="str">
        <f>IF($A61="","",'TO HOP'!$I$116+1*(0-'TO HOP'!$S$48))</f>
        <v/>
      </c>
      <c r="I61" s="46" t="str">
        <f>IF($A61="","",'TO HOP'!$J$116+1*(INDEX('LANE ENGINE'!$D$6:$D$45,28)-'TO HOP'!$S$49))</f>
        <v/>
      </c>
      <c r="J61" s="46" t="str">
        <f>IF($A61="","",'TO HOP'!$K$116+1*(0-'TO HOP'!$S$50))</f>
        <v/>
      </c>
      <c r="K61" s="46" t="str">
        <f>IF($A61="","",'TO HOP'!$L$116+1*(INDEX('LANE ENGINE'!$G$6:$G$45,28)-'TO HOP'!$S$51))</f>
        <v/>
      </c>
      <c r="L61" s="40" t="s">
        <v>884</v>
      </c>
      <c r="M61" s="40">
        <v>28</v>
      </c>
    </row>
    <row r="62" spans="1:13" x14ac:dyDescent="0.3">
      <c r="A62" s="40" t="str">
        <f>IF(29&lt;=nLan,"SD I -  đúng tâm"&amp;29&amp;" làn","")</f>
        <v/>
      </c>
      <c r="B62" s="46" t="str">
        <f>IF($A62="","",'TO HOP'!$C$116+1*(0-'TO HOP'!$S$42))</f>
        <v/>
      </c>
      <c r="C62" s="46" t="str">
        <f>IF($A62="","",'TO HOP'!$D$116+1*(0-'TO HOP'!$S$43))</f>
        <v/>
      </c>
      <c r="D62" s="46" t="str">
        <f>IF($A62="","",'TO HOP'!$E$116+1*(INDEX('LANE ENGINE'!$D$6:$D$45,29)-'TO HOP'!$S$44))</f>
        <v/>
      </c>
      <c r="E62" s="46" t="str">
        <f>IF($A62="","",'TO HOP'!$F$116+1*(0-'TO HOP'!$S$45))</f>
        <v/>
      </c>
      <c r="F62" s="46" t="str">
        <f>IF($A62="","",'TO HOP'!$G$116+1*(INDEX('LANE ENGINE'!$F$6:$F$45,29)-'TO HOP'!$S$46))</f>
        <v/>
      </c>
      <c r="G62" s="46" t="str">
        <f>IF($A62="","",'TO HOP'!$H$116+1*(0-'TO HOP'!$S$47))</f>
        <v/>
      </c>
      <c r="H62" s="46" t="str">
        <f>IF($A62="","",'TO HOP'!$I$116+1*(0-'TO HOP'!$S$48))</f>
        <v/>
      </c>
      <c r="I62" s="46" t="str">
        <f>IF($A62="","",'TO HOP'!$J$116+1*(INDEX('LANE ENGINE'!$D$6:$D$45,29)-'TO HOP'!$S$49))</f>
        <v/>
      </c>
      <c r="J62" s="46" t="str">
        <f>IF($A62="","",'TO HOP'!$K$116+1*(0-'TO HOP'!$S$50))</f>
        <v/>
      </c>
      <c r="K62" s="46" t="str">
        <f>IF($A62="","",'TO HOP'!$L$116+1*(INDEX('LANE ENGINE'!$G$6:$G$45,29)-'TO HOP'!$S$51))</f>
        <v/>
      </c>
      <c r="L62" s="40" t="s">
        <v>884</v>
      </c>
      <c r="M62" s="40">
        <v>29</v>
      </c>
    </row>
    <row r="63" spans="1:13" x14ac:dyDescent="0.3">
      <c r="A63" s="40" t="str">
        <f>IF(30&lt;=nLan,"SD I -  đúng tâm"&amp;30&amp;" làn","")</f>
        <v/>
      </c>
      <c r="B63" s="46" t="str">
        <f>IF($A63="","",'TO HOP'!$C$116+1*(0-'TO HOP'!$S$42))</f>
        <v/>
      </c>
      <c r="C63" s="46" t="str">
        <f>IF($A63="","",'TO HOP'!$D$116+1*(0-'TO HOP'!$S$43))</f>
        <v/>
      </c>
      <c r="D63" s="46" t="str">
        <f>IF($A63="","",'TO HOP'!$E$116+1*(INDEX('LANE ENGINE'!$D$6:$D$45,30)-'TO HOP'!$S$44))</f>
        <v/>
      </c>
      <c r="E63" s="46" t="str">
        <f>IF($A63="","",'TO HOP'!$F$116+1*(0-'TO HOP'!$S$45))</f>
        <v/>
      </c>
      <c r="F63" s="46" t="str">
        <f>IF($A63="","",'TO HOP'!$G$116+1*(INDEX('LANE ENGINE'!$F$6:$F$45,30)-'TO HOP'!$S$46))</f>
        <v/>
      </c>
      <c r="G63" s="46" t="str">
        <f>IF($A63="","",'TO HOP'!$H$116+1*(0-'TO HOP'!$S$47))</f>
        <v/>
      </c>
      <c r="H63" s="46" t="str">
        <f>IF($A63="","",'TO HOP'!$I$116+1*(0-'TO HOP'!$S$48))</f>
        <v/>
      </c>
      <c r="I63" s="46" t="str">
        <f>IF($A63="","",'TO HOP'!$J$116+1*(INDEX('LANE ENGINE'!$D$6:$D$45,30)-'TO HOP'!$S$49))</f>
        <v/>
      </c>
      <c r="J63" s="46" t="str">
        <f>IF($A63="","",'TO HOP'!$K$116+1*(0-'TO HOP'!$S$50))</f>
        <v/>
      </c>
      <c r="K63" s="46" t="str">
        <f>IF($A63="","",'TO HOP'!$L$116+1*(INDEX('LANE ENGINE'!$G$6:$G$45,30)-'TO HOP'!$S$51))</f>
        <v/>
      </c>
      <c r="L63" s="40" t="s">
        <v>884</v>
      </c>
      <c r="M63" s="40">
        <v>30</v>
      </c>
    </row>
    <row r="64" spans="1:13" x14ac:dyDescent="0.3">
      <c r="A64" s="40" t="str">
        <f>IF(31&lt;=nLan,"SD I -  đúng tâm"&amp;31&amp;" làn","")</f>
        <v/>
      </c>
      <c r="B64" s="46" t="str">
        <f>IF($A64="","",'TO HOP'!$C$116+1*(0-'TO HOP'!$S$42))</f>
        <v/>
      </c>
      <c r="C64" s="46" t="str">
        <f>IF($A64="","",'TO HOP'!$D$116+1*(0-'TO HOP'!$S$43))</f>
        <v/>
      </c>
      <c r="D64" s="46" t="str">
        <f>IF($A64="","",'TO HOP'!$E$116+1*(INDEX('LANE ENGINE'!$D$6:$D$45,31)-'TO HOP'!$S$44))</f>
        <v/>
      </c>
      <c r="E64" s="46" t="str">
        <f>IF($A64="","",'TO HOP'!$F$116+1*(0-'TO HOP'!$S$45))</f>
        <v/>
      </c>
      <c r="F64" s="46" t="str">
        <f>IF($A64="","",'TO HOP'!$G$116+1*(INDEX('LANE ENGINE'!$F$6:$F$45,31)-'TO HOP'!$S$46))</f>
        <v/>
      </c>
      <c r="G64" s="46" t="str">
        <f>IF($A64="","",'TO HOP'!$H$116+1*(0-'TO HOP'!$S$47))</f>
        <v/>
      </c>
      <c r="H64" s="46" t="str">
        <f>IF($A64="","",'TO HOP'!$I$116+1*(0-'TO HOP'!$S$48))</f>
        <v/>
      </c>
      <c r="I64" s="46" t="str">
        <f>IF($A64="","",'TO HOP'!$J$116+1*(INDEX('LANE ENGINE'!$D$6:$D$45,31)-'TO HOP'!$S$49))</f>
        <v/>
      </c>
      <c r="J64" s="46" t="str">
        <f>IF($A64="","",'TO HOP'!$K$116+1*(0-'TO HOP'!$S$50))</f>
        <v/>
      </c>
      <c r="K64" s="46" t="str">
        <f>IF($A64="","",'TO HOP'!$L$116+1*(INDEX('LANE ENGINE'!$G$6:$G$45,31)-'TO HOP'!$S$51))</f>
        <v/>
      </c>
      <c r="L64" s="40" t="s">
        <v>884</v>
      </c>
      <c r="M64" s="40">
        <v>31</v>
      </c>
    </row>
    <row r="65" spans="1:13" x14ac:dyDescent="0.3">
      <c r="A65" s="40" t="str">
        <f>IF(32&lt;=nLan,"SD I -  đúng tâm"&amp;32&amp;" làn","")</f>
        <v/>
      </c>
      <c r="B65" s="46" t="str">
        <f>IF($A65="","",'TO HOP'!$C$116+1*(0-'TO HOP'!$S$42))</f>
        <v/>
      </c>
      <c r="C65" s="46" t="str">
        <f>IF($A65="","",'TO HOP'!$D$116+1*(0-'TO HOP'!$S$43))</f>
        <v/>
      </c>
      <c r="D65" s="46" t="str">
        <f>IF($A65="","",'TO HOP'!$E$116+1*(INDEX('LANE ENGINE'!$D$6:$D$45,32)-'TO HOP'!$S$44))</f>
        <v/>
      </c>
      <c r="E65" s="46" t="str">
        <f>IF($A65="","",'TO HOP'!$F$116+1*(0-'TO HOP'!$S$45))</f>
        <v/>
      </c>
      <c r="F65" s="46" t="str">
        <f>IF($A65="","",'TO HOP'!$G$116+1*(INDEX('LANE ENGINE'!$F$6:$F$45,32)-'TO HOP'!$S$46))</f>
        <v/>
      </c>
      <c r="G65" s="46" t="str">
        <f>IF($A65="","",'TO HOP'!$H$116+1*(0-'TO HOP'!$S$47))</f>
        <v/>
      </c>
      <c r="H65" s="46" t="str">
        <f>IF($A65="","",'TO HOP'!$I$116+1*(0-'TO HOP'!$S$48))</f>
        <v/>
      </c>
      <c r="I65" s="46" t="str">
        <f>IF($A65="","",'TO HOP'!$J$116+1*(INDEX('LANE ENGINE'!$D$6:$D$45,32)-'TO HOP'!$S$49))</f>
        <v/>
      </c>
      <c r="J65" s="46" t="str">
        <f>IF($A65="","",'TO HOP'!$K$116+1*(0-'TO HOP'!$S$50))</f>
        <v/>
      </c>
      <c r="K65" s="46" t="str">
        <f>IF($A65="","",'TO HOP'!$L$116+1*(INDEX('LANE ENGINE'!$G$6:$G$45,32)-'TO HOP'!$S$51))</f>
        <v/>
      </c>
      <c r="L65" s="40" t="s">
        <v>884</v>
      </c>
      <c r="M65" s="40">
        <v>32</v>
      </c>
    </row>
    <row r="66" spans="1:13" x14ac:dyDescent="0.3">
      <c r="A66" s="40" t="str">
        <f>IF(33&lt;=nLan,"SD I -  đúng tâm"&amp;33&amp;" làn","")</f>
        <v/>
      </c>
      <c r="B66" s="46" t="str">
        <f>IF($A66="","",'TO HOP'!$C$116+1*(0-'TO HOP'!$S$42))</f>
        <v/>
      </c>
      <c r="C66" s="46" t="str">
        <f>IF($A66="","",'TO HOP'!$D$116+1*(0-'TO HOP'!$S$43))</f>
        <v/>
      </c>
      <c r="D66" s="46" t="str">
        <f>IF($A66="","",'TO HOP'!$E$116+1*(INDEX('LANE ENGINE'!$D$6:$D$45,33)-'TO HOP'!$S$44))</f>
        <v/>
      </c>
      <c r="E66" s="46" t="str">
        <f>IF($A66="","",'TO HOP'!$F$116+1*(0-'TO HOP'!$S$45))</f>
        <v/>
      </c>
      <c r="F66" s="46" t="str">
        <f>IF($A66="","",'TO HOP'!$G$116+1*(INDEX('LANE ENGINE'!$F$6:$F$45,33)-'TO HOP'!$S$46))</f>
        <v/>
      </c>
      <c r="G66" s="46" t="str">
        <f>IF($A66="","",'TO HOP'!$H$116+1*(0-'TO HOP'!$S$47))</f>
        <v/>
      </c>
      <c r="H66" s="46" t="str">
        <f>IF($A66="","",'TO HOP'!$I$116+1*(0-'TO HOP'!$S$48))</f>
        <v/>
      </c>
      <c r="I66" s="46" t="str">
        <f>IF($A66="","",'TO HOP'!$J$116+1*(INDEX('LANE ENGINE'!$D$6:$D$45,33)-'TO HOP'!$S$49))</f>
        <v/>
      </c>
      <c r="J66" s="46" t="str">
        <f>IF($A66="","",'TO HOP'!$K$116+1*(0-'TO HOP'!$S$50))</f>
        <v/>
      </c>
      <c r="K66" s="46" t="str">
        <f>IF($A66="","",'TO HOP'!$L$116+1*(INDEX('LANE ENGINE'!$G$6:$G$45,33)-'TO HOP'!$S$51))</f>
        <v/>
      </c>
      <c r="L66" s="40" t="s">
        <v>884</v>
      </c>
      <c r="M66" s="40">
        <v>33</v>
      </c>
    </row>
    <row r="67" spans="1:13" x14ac:dyDescent="0.3">
      <c r="A67" s="40" t="str">
        <f>IF(34&lt;=nLan,"SD I -  đúng tâm"&amp;34&amp;" làn","")</f>
        <v/>
      </c>
      <c r="B67" s="46" t="str">
        <f>IF($A67="","",'TO HOP'!$C$116+1*(0-'TO HOP'!$S$42))</f>
        <v/>
      </c>
      <c r="C67" s="46" t="str">
        <f>IF($A67="","",'TO HOP'!$D$116+1*(0-'TO HOP'!$S$43))</f>
        <v/>
      </c>
      <c r="D67" s="46" t="str">
        <f>IF($A67="","",'TO HOP'!$E$116+1*(INDEX('LANE ENGINE'!$D$6:$D$45,34)-'TO HOP'!$S$44))</f>
        <v/>
      </c>
      <c r="E67" s="46" t="str">
        <f>IF($A67="","",'TO HOP'!$F$116+1*(0-'TO HOP'!$S$45))</f>
        <v/>
      </c>
      <c r="F67" s="46" t="str">
        <f>IF($A67="","",'TO HOP'!$G$116+1*(INDEX('LANE ENGINE'!$F$6:$F$45,34)-'TO HOP'!$S$46))</f>
        <v/>
      </c>
      <c r="G67" s="46" t="str">
        <f>IF($A67="","",'TO HOP'!$H$116+1*(0-'TO HOP'!$S$47))</f>
        <v/>
      </c>
      <c r="H67" s="46" t="str">
        <f>IF($A67="","",'TO HOP'!$I$116+1*(0-'TO HOP'!$S$48))</f>
        <v/>
      </c>
      <c r="I67" s="46" t="str">
        <f>IF($A67="","",'TO HOP'!$J$116+1*(INDEX('LANE ENGINE'!$D$6:$D$45,34)-'TO HOP'!$S$49))</f>
        <v/>
      </c>
      <c r="J67" s="46" t="str">
        <f>IF($A67="","",'TO HOP'!$K$116+1*(0-'TO HOP'!$S$50))</f>
        <v/>
      </c>
      <c r="K67" s="46" t="str">
        <f>IF($A67="","",'TO HOP'!$L$116+1*(INDEX('LANE ENGINE'!$G$6:$G$45,34)-'TO HOP'!$S$51))</f>
        <v/>
      </c>
      <c r="L67" s="40" t="s">
        <v>884</v>
      </c>
      <c r="M67" s="40">
        <v>34</v>
      </c>
    </row>
    <row r="68" spans="1:13" x14ac:dyDescent="0.3">
      <c r="A68" s="40" t="str">
        <f>IF(35&lt;=nLan,"SD I -  đúng tâm"&amp;35&amp;" làn","")</f>
        <v/>
      </c>
      <c r="B68" s="46" t="str">
        <f>IF($A68="","",'TO HOP'!$C$116+1*(0-'TO HOP'!$S$42))</f>
        <v/>
      </c>
      <c r="C68" s="46" t="str">
        <f>IF($A68="","",'TO HOP'!$D$116+1*(0-'TO HOP'!$S$43))</f>
        <v/>
      </c>
      <c r="D68" s="46" t="str">
        <f>IF($A68="","",'TO HOP'!$E$116+1*(INDEX('LANE ENGINE'!$D$6:$D$45,35)-'TO HOP'!$S$44))</f>
        <v/>
      </c>
      <c r="E68" s="46" t="str">
        <f>IF($A68="","",'TO HOP'!$F$116+1*(0-'TO HOP'!$S$45))</f>
        <v/>
      </c>
      <c r="F68" s="46" t="str">
        <f>IF($A68="","",'TO HOP'!$G$116+1*(INDEX('LANE ENGINE'!$F$6:$F$45,35)-'TO HOP'!$S$46))</f>
        <v/>
      </c>
      <c r="G68" s="46" t="str">
        <f>IF($A68="","",'TO HOP'!$H$116+1*(0-'TO HOP'!$S$47))</f>
        <v/>
      </c>
      <c r="H68" s="46" t="str">
        <f>IF($A68="","",'TO HOP'!$I$116+1*(0-'TO HOP'!$S$48))</f>
        <v/>
      </c>
      <c r="I68" s="46" t="str">
        <f>IF($A68="","",'TO HOP'!$J$116+1*(INDEX('LANE ENGINE'!$D$6:$D$45,35)-'TO HOP'!$S$49))</f>
        <v/>
      </c>
      <c r="J68" s="46" t="str">
        <f>IF($A68="","",'TO HOP'!$K$116+1*(0-'TO HOP'!$S$50))</f>
        <v/>
      </c>
      <c r="K68" s="46" t="str">
        <f>IF($A68="","",'TO HOP'!$L$116+1*(INDEX('LANE ENGINE'!$G$6:$G$45,35)-'TO HOP'!$S$51))</f>
        <v/>
      </c>
      <c r="L68" s="40" t="s">
        <v>884</v>
      </c>
      <c r="M68" s="40">
        <v>35</v>
      </c>
    </row>
    <row r="69" spans="1:13" x14ac:dyDescent="0.3">
      <c r="A69" s="40" t="str">
        <f>IF(36&lt;=nLan,"SD I -  đúng tâm"&amp;36&amp;" làn","")</f>
        <v/>
      </c>
      <c r="B69" s="46" t="str">
        <f>IF($A69="","",'TO HOP'!$C$116+1*(0-'TO HOP'!$S$42))</f>
        <v/>
      </c>
      <c r="C69" s="46" t="str">
        <f>IF($A69="","",'TO HOP'!$D$116+1*(0-'TO HOP'!$S$43))</f>
        <v/>
      </c>
      <c r="D69" s="46" t="str">
        <f>IF($A69="","",'TO HOP'!$E$116+1*(INDEX('LANE ENGINE'!$D$6:$D$45,36)-'TO HOP'!$S$44))</f>
        <v/>
      </c>
      <c r="E69" s="46" t="str">
        <f>IF($A69="","",'TO HOP'!$F$116+1*(0-'TO HOP'!$S$45))</f>
        <v/>
      </c>
      <c r="F69" s="46" t="str">
        <f>IF($A69="","",'TO HOP'!$G$116+1*(INDEX('LANE ENGINE'!$F$6:$F$45,36)-'TO HOP'!$S$46))</f>
        <v/>
      </c>
      <c r="G69" s="46" t="str">
        <f>IF($A69="","",'TO HOP'!$H$116+1*(0-'TO HOP'!$S$47))</f>
        <v/>
      </c>
      <c r="H69" s="46" t="str">
        <f>IF($A69="","",'TO HOP'!$I$116+1*(0-'TO HOP'!$S$48))</f>
        <v/>
      </c>
      <c r="I69" s="46" t="str">
        <f>IF($A69="","",'TO HOP'!$J$116+1*(INDEX('LANE ENGINE'!$D$6:$D$45,36)-'TO HOP'!$S$49))</f>
        <v/>
      </c>
      <c r="J69" s="46" t="str">
        <f>IF($A69="","",'TO HOP'!$K$116+1*(0-'TO HOP'!$S$50))</f>
        <v/>
      </c>
      <c r="K69" s="46" t="str">
        <f>IF($A69="","",'TO HOP'!$L$116+1*(INDEX('LANE ENGINE'!$G$6:$G$45,36)-'TO HOP'!$S$51))</f>
        <v/>
      </c>
      <c r="L69" s="40" t="s">
        <v>884</v>
      </c>
      <c r="M69" s="40">
        <v>36</v>
      </c>
    </row>
    <row r="70" spans="1:13" x14ac:dyDescent="0.3">
      <c r="A70" s="40" t="str">
        <f>IF(37&lt;=nLan,"SD I -  đúng tâm"&amp;37&amp;" làn","")</f>
        <v/>
      </c>
      <c r="B70" s="46" t="str">
        <f>IF($A70="","",'TO HOP'!$C$116+1*(0-'TO HOP'!$S$42))</f>
        <v/>
      </c>
      <c r="C70" s="46" t="str">
        <f>IF($A70="","",'TO HOP'!$D$116+1*(0-'TO HOP'!$S$43))</f>
        <v/>
      </c>
      <c r="D70" s="46" t="str">
        <f>IF($A70="","",'TO HOP'!$E$116+1*(INDEX('LANE ENGINE'!$D$6:$D$45,37)-'TO HOP'!$S$44))</f>
        <v/>
      </c>
      <c r="E70" s="46" t="str">
        <f>IF($A70="","",'TO HOP'!$F$116+1*(0-'TO HOP'!$S$45))</f>
        <v/>
      </c>
      <c r="F70" s="46" t="str">
        <f>IF($A70="","",'TO HOP'!$G$116+1*(INDEX('LANE ENGINE'!$F$6:$F$45,37)-'TO HOP'!$S$46))</f>
        <v/>
      </c>
      <c r="G70" s="46" t="str">
        <f>IF($A70="","",'TO HOP'!$H$116+1*(0-'TO HOP'!$S$47))</f>
        <v/>
      </c>
      <c r="H70" s="46" t="str">
        <f>IF($A70="","",'TO HOP'!$I$116+1*(0-'TO HOP'!$S$48))</f>
        <v/>
      </c>
      <c r="I70" s="46" t="str">
        <f>IF($A70="","",'TO HOP'!$J$116+1*(INDEX('LANE ENGINE'!$D$6:$D$45,37)-'TO HOP'!$S$49))</f>
        <v/>
      </c>
      <c r="J70" s="46" t="str">
        <f>IF($A70="","",'TO HOP'!$K$116+1*(0-'TO HOP'!$S$50))</f>
        <v/>
      </c>
      <c r="K70" s="46" t="str">
        <f>IF($A70="","",'TO HOP'!$L$116+1*(INDEX('LANE ENGINE'!$G$6:$G$45,37)-'TO HOP'!$S$51))</f>
        <v/>
      </c>
      <c r="L70" s="40" t="s">
        <v>884</v>
      </c>
      <c r="M70" s="40">
        <v>37</v>
      </c>
    </row>
    <row r="71" spans="1:13" x14ac:dyDescent="0.3">
      <c r="A71" s="40" t="str">
        <f>IF(38&lt;=nLan,"SD I -  đúng tâm"&amp;38&amp;" làn","")</f>
        <v/>
      </c>
      <c r="B71" s="46" t="str">
        <f>IF($A71="","",'TO HOP'!$C$116+1*(0-'TO HOP'!$S$42))</f>
        <v/>
      </c>
      <c r="C71" s="46" t="str">
        <f>IF($A71="","",'TO HOP'!$D$116+1*(0-'TO HOP'!$S$43))</f>
        <v/>
      </c>
      <c r="D71" s="46" t="str">
        <f>IF($A71="","",'TO HOP'!$E$116+1*(INDEX('LANE ENGINE'!$D$6:$D$45,38)-'TO HOP'!$S$44))</f>
        <v/>
      </c>
      <c r="E71" s="46" t="str">
        <f>IF($A71="","",'TO HOP'!$F$116+1*(0-'TO HOP'!$S$45))</f>
        <v/>
      </c>
      <c r="F71" s="46" t="str">
        <f>IF($A71="","",'TO HOP'!$G$116+1*(INDEX('LANE ENGINE'!$F$6:$F$45,38)-'TO HOP'!$S$46))</f>
        <v/>
      </c>
      <c r="G71" s="46" t="str">
        <f>IF($A71="","",'TO HOP'!$H$116+1*(0-'TO HOP'!$S$47))</f>
        <v/>
      </c>
      <c r="H71" s="46" t="str">
        <f>IF($A71="","",'TO HOP'!$I$116+1*(0-'TO HOP'!$S$48))</f>
        <v/>
      </c>
      <c r="I71" s="46" t="str">
        <f>IF($A71="","",'TO HOP'!$J$116+1*(INDEX('LANE ENGINE'!$D$6:$D$45,38)-'TO HOP'!$S$49))</f>
        <v/>
      </c>
      <c r="J71" s="46" t="str">
        <f>IF($A71="","",'TO HOP'!$K$116+1*(0-'TO HOP'!$S$50))</f>
        <v/>
      </c>
      <c r="K71" s="46" t="str">
        <f>IF($A71="","",'TO HOP'!$L$116+1*(INDEX('LANE ENGINE'!$G$6:$G$45,38)-'TO HOP'!$S$51))</f>
        <v/>
      </c>
      <c r="L71" s="40" t="s">
        <v>884</v>
      </c>
      <c r="M71" s="40">
        <v>38</v>
      </c>
    </row>
    <row r="72" spans="1:13" x14ac:dyDescent="0.3">
      <c r="A72" s="40" t="str">
        <f>IF(39&lt;=nLan,"SD I -  đúng tâm"&amp;39&amp;" làn","")</f>
        <v/>
      </c>
      <c r="B72" s="46" t="str">
        <f>IF($A72="","",'TO HOP'!$C$116+1*(0-'TO HOP'!$S$42))</f>
        <v/>
      </c>
      <c r="C72" s="46" t="str">
        <f>IF($A72="","",'TO HOP'!$D$116+1*(0-'TO HOP'!$S$43))</f>
        <v/>
      </c>
      <c r="D72" s="46" t="str">
        <f>IF($A72="","",'TO HOP'!$E$116+1*(INDEX('LANE ENGINE'!$D$6:$D$45,39)-'TO HOP'!$S$44))</f>
        <v/>
      </c>
      <c r="E72" s="46" t="str">
        <f>IF($A72="","",'TO HOP'!$F$116+1*(0-'TO HOP'!$S$45))</f>
        <v/>
      </c>
      <c r="F72" s="46" t="str">
        <f>IF($A72="","",'TO HOP'!$G$116+1*(INDEX('LANE ENGINE'!$F$6:$F$45,39)-'TO HOP'!$S$46))</f>
        <v/>
      </c>
      <c r="G72" s="46" t="str">
        <f>IF($A72="","",'TO HOP'!$H$116+1*(0-'TO HOP'!$S$47))</f>
        <v/>
      </c>
      <c r="H72" s="46" t="str">
        <f>IF($A72="","",'TO HOP'!$I$116+1*(0-'TO HOP'!$S$48))</f>
        <v/>
      </c>
      <c r="I72" s="46" t="str">
        <f>IF($A72="","",'TO HOP'!$J$116+1*(INDEX('LANE ENGINE'!$D$6:$D$45,39)-'TO HOP'!$S$49))</f>
        <v/>
      </c>
      <c r="J72" s="46" t="str">
        <f>IF($A72="","",'TO HOP'!$K$116+1*(0-'TO HOP'!$S$50))</f>
        <v/>
      </c>
      <c r="K72" s="46" t="str">
        <f>IF($A72="","",'TO HOP'!$L$116+1*(INDEX('LANE ENGINE'!$G$6:$G$45,39)-'TO HOP'!$S$51))</f>
        <v/>
      </c>
      <c r="L72" s="40" t="s">
        <v>884</v>
      </c>
      <c r="M72" s="40">
        <v>39</v>
      </c>
    </row>
    <row r="73" spans="1:13" x14ac:dyDescent="0.3">
      <c r="A73" s="40" t="str">
        <f>IF(40&lt;=nLan,"SD I -  đúng tâm"&amp;40&amp;" làn","")</f>
        <v/>
      </c>
      <c r="B73" s="46" t="str">
        <f>IF($A73="","",'TO HOP'!$C$116+1*(0-'TO HOP'!$S$42))</f>
        <v/>
      </c>
      <c r="C73" s="46" t="str">
        <f>IF($A73="","",'TO HOP'!$D$116+1*(0-'TO HOP'!$S$43))</f>
        <v/>
      </c>
      <c r="D73" s="46" t="str">
        <f>IF($A73="","",'TO HOP'!$E$116+1*(INDEX('LANE ENGINE'!$D$6:$D$45,40)-'TO HOP'!$S$44))</f>
        <v/>
      </c>
      <c r="E73" s="46" t="str">
        <f>IF($A73="","",'TO HOP'!$F$116+1*(0-'TO HOP'!$S$45))</f>
        <v/>
      </c>
      <c r="F73" s="46" t="str">
        <f>IF($A73="","",'TO HOP'!$G$116+1*(INDEX('LANE ENGINE'!$F$6:$F$45,40)-'TO HOP'!$S$46))</f>
        <v/>
      </c>
      <c r="G73" s="46" t="str">
        <f>IF($A73="","",'TO HOP'!$H$116+1*(0-'TO HOP'!$S$47))</f>
        <v/>
      </c>
      <c r="H73" s="46" t="str">
        <f>IF($A73="","",'TO HOP'!$I$116+1*(0-'TO HOP'!$S$48))</f>
        <v/>
      </c>
      <c r="I73" s="46" t="str">
        <f>IF($A73="","",'TO HOP'!$J$116+1*(INDEX('LANE ENGINE'!$D$6:$D$45,40)-'TO HOP'!$S$49))</f>
        <v/>
      </c>
      <c r="J73" s="46" t="str">
        <f>IF($A73="","",'TO HOP'!$K$116+1*(0-'TO HOP'!$S$50))</f>
        <v/>
      </c>
      <c r="K73" s="46" t="str">
        <f>IF($A73="","",'TO HOP'!$L$116+1*(INDEX('LANE ENGINE'!$G$6:$G$45,40)-'TO HOP'!$S$51))</f>
        <v/>
      </c>
      <c r="L73" s="40" t="s">
        <v>884</v>
      </c>
      <c r="M73" s="40">
        <v>40</v>
      </c>
    </row>
    <row r="74" spans="1:13" x14ac:dyDescent="0.3">
      <c r="A74" s="40" t="str">
        <f>IF(7&lt;=nLan,"CĐ I(a) max -  lệch tâm"&amp;7&amp;" làn","")</f>
        <v/>
      </c>
      <c r="B74" s="46" t="str">
        <f>IF($A74="","",'TO HOP'!$C$122+1.75*(0-'TO HOP'!$M$42))</f>
        <v/>
      </c>
      <c r="C74" s="46" t="str">
        <f>IF($A74="","",'TO HOP'!$D$122+1.75*(0-'TO HOP'!$M$43))</f>
        <v/>
      </c>
      <c r="D74" s="46" t="str">
        <f>IF($A74="","",'TO HOP'!$E$122+1.75*(INDEX('LANE ENGINE'!$D$6:$D$45,7)-'TO HOP'!$M$44))</f>
        <v/>
      </c>
      <c r="E74" s="46" t="str">
        <f>IF($A74="","",'TO HOP'!$F$122+1.75*(INDEX('LANE ENGINE'!$E$6:$E$45,7)-'TO HOP'!$M$45))</f>
        <v/>
      </c>
      <c r="F74" s="46" t="str">
        <f>IF($A74="","",'TO HOP'!$G$122+1.75*(INDEX('LANE ENGINE'!$F$6:$F$45,7)-'TO HOP'!$M$46))</f>
        <v/>
      </c>
      <c r="G74" s="46" t="str">
        <f>IF($A74="","",'TO HOP'!$H$122+1.75*(0-'TO HOP'!$M$47))</f>
        <v/>
      </c>
      <c r="H74" s="46" t="str">
        <f>IF($A74="","",'TO HOP'!$I$122+1.75*(0-'TO HOP'!$M$48))</f>
        <v/>
      </c>
      <c r="I74" s="46" t="str">
        <f>IF($A74="","",'TO HOP'!$J$122+1.75*(INDEX('LANE ENGINE'!$D$6:$D$45,7)-'TO HOP'!$M$49))</f>
        <v/>
      </c>
      <c r="J74" s="46" t="str">
        <f>IF($A74="","",'TO HOP'!$K$122+1.75*(INDEX('LANE ENGINE'!$E$6:$E$45,7)-'TO HOP'!$M$50))</f>
        <v/>
      </c>
      <c r="K74" s="46" t="str">
        <f>IF($A74="","",'TO HOP'!$L$122+1.75*(INDEX('LANE ENGINE'!$G$6:$G$45,7)-'TO HOP'!$M$51))</f>
        <v/>
      </c>
      <c r="L74" s="40" t="s">
        <v>885</v>
      </c>
      <c r="M74" s="40">
        <v>7</v>
      </c>
    </row>
    <row r="75" spans="1:13" x14ac:dyDescent="0.3">
      <c r="A75" s="40" t="str">
        <f>IF(8&lt;=nLan,"CĐ I(a) max -  lệch tâm"&amp;8&amp;" làn","")</f>
        <v/>
      </c>
      <c r="B75" s="46" t="str">
        <f>IF($A75="","",'TO HOP'!$C$122+1.75*(0-'TO HOP'!$M$42))</f>
        <v/>
      </c>
      <c r="C75" s="46" t="str">
        <f>IF($A75="","",'TO HOP'!$D$122+1.75*(0-'TO HOP'!$M$43))</f>
        <v/>
      </c>
      <c r="D75" s="46" t="str">
        <f>IF($A75="","",'TO HOP'!$E$122+1.75*(INDEX('LANE ENGINE'!$D$6:$D$45,8)-'TO HOP'!$M$44))</f>
        <v/>
      </c>
      <c r="E75" s="46" t="str">
        <f>IF($A75="","",'TO HOP'!$F$122+1.75*(INDEX('LANE ENGINE'!$E$6:$E$45,8)-'TO HOP'!$M$45))</f>
        <v/>
      </c>
      <c r="F75" s="46" t="str">
        <f>IF($A75="","",'TO HOP'!$G$122+1.75*(INDEX('LANE ENGINE'!$F$6:$F$45,8)-'TO HOP'!$M$46))</f>
        <v/>
      </c>
      <c r="G75" s="46" t="str">
        <f>IF($A75="","",'TO HOP'!$H$122+1.75*(0-'TO HOP'!$M$47))</f>
        <v/>
      </c>
      <c r="H75" s="46" t="str">
        <f>IF($A75="","",'TO HOP'!$I$122+1.75*(0-'TO HOP'!$M$48))</f>
        <v/>
      </c>
      <c r="I75" s="46" t="str">
        <f>IF($A75="","",'TO HOP'!$J$122+1.75*(INDEX('LANE ENGINE'!$D$6:$D$45,8)-'TO HOP'!$M$49))</f>
        <v/>
      </c>
      <c r="J75" s="46" t="str">
        <f>IF($A75="","",'TO HOP'!$K$122+1.75*(INDEX('LANE ENGINE'!$E$6:$E$45,8)-'TO HOP'!$M$50))</f>
        <v/>
      </c>
      <c r="K75" s="46" t="str">
        <f>IF($A75="","",'TO HOP'!$L$122+1.75*(INDEX('LANE ENGINE'!$G$6:$G$45,8)-'TO HOP'!$M$51))</f>
        <v/>
      </c>
      <c r="L75" s="40" t="s">
        <v>885</v>
      </c>
      <c r="M75" s="40">
        <v>8</v>
      </c>
    </row>
    <row r="76" spans="1:13" x14ac:dyDescent="0.3">
      <c r="A76" s="40" t="str">
        <f>IF(9&lt;=nLan,"CĐ I(a) max -  lệch tâm"&amp;9&amp;" làn","")</f>
        <v/>
      </c>
      <c r="B76" s="46" t="str">
        <f>IF($A76="","",'TO HOP'!$C$122+1.75*(0-'TO HOP'!$M$42))</f>
        <v/>
      </c>
      <c r="C76" s="46" t="str">
        <f>IF($A76="","",'TO HOP'!$D$122+1.75*(0-'TO HOP'!$M$43))</f>
        <v/>
      </c>
      <c r="D76" s="46" t="str">
        <f>IF($A76="","",'TO HOP'!$E$122+1.75*(INDEX('LANE ENGINE'!$D$6:$D$45,9)-'TO HOP'!$M$44))</f>
        <v/>
      </c>
      <c r="E76" s="46" t="str">
        <f>IF($A76="","",'TO HOP'!$F$122+1.75*(INDEX('LANE ENGINE'!$E$6:$E$45,9)-'TO HOP'!$M$45))</f>
        <v/>
      </c>
      <c r="F76" s="46" t="str">
        <f>IF($A76="","",'TO HOP'!$G$122+1.75*(INDEX('LANE ENGINE'!$F$6:$F$45,9)-'TO HOP'!$M$46))</f>
        <v/>
      </c>
      <c r="G76" s="46" t="str">
        <f>IF($A76="","",'TO HOP'!$H$122+1.75*(0-'TO HOP'!$M$47))</f>
        <v/>
      </c>
      <c r="H76" s="46" t="str">
        <f>IF($A76="","",'TO HOP'!$I$122+1.75*(0-'TO HOP'!$M$48))</f>
        <v/>
      </c>
      <c r="I76" s="46" t="str">
        <f>IF($A76="","",'TO HOP'!$J$122+1.75*(INDEX('LANE ENGINE'!$D$6:$D$45,9)-'TO HOP'!$M$49))</f>
        <v/>
      </c>
      <c r="J76" s="46" t="str">
        <f>IF($A76="","",'TO HOP'!$K$122+1.75*(INDEX('LANE ENGINE'!$E$6:$E$45,9)-'TO HOP'!$M$50))</f>
        <v/>
      </c>
      <c r="K76" s="46" t="str">
        <f>IF($A76="","",'TO HOP'!$L$122+1.75*(INDEX('LANE ENGINE'!$G$6:$G$45,9)-'TO HOP'!$M$51))</f>
        <v/>
      </c>
      <c r="L76" s="40" t="s">
        <v>885</v>
      </c>
      <c r="M76" s="40">
        <v>9</v>
      </c>
    </row>
    <row r="77" spans="1:13" x14ac:dyDescent="0.3">
      <c r="A77" s="40" t="str">
        <f>IF(10&lt;=nLan,"CĐ I(a) max -  lệch tâm"&amp;10&amp;" làn","")</f>
        <v/>
      </c>
      <c r="B77" s="46" t="str">
        <f>IF($A77="","",'TO HOP'!$C$122+1.75*(0-'TO HOP'!$M$42))</f>
        <v/>
      </c>
      <c r="C77" s="46" t="str">
        <f>IF($A77="","",'TO HOP'!$D$122+1.75*(0-'TO HOP'!$M$43))</f>
        <v/>
      </c>
      <c r="D77" s="46" t="str">
        <f>IF($A77="","",'TO HOP'!$E$122+1.75*(INDEX('LANE ENGINE'!$D$6:$D$45,10)-'TO HOP'!$M$44))</f>
        <v/>
      </c>
      <c r="E77" s="46" t="str">
        <f>IF($A77="","",'TO HOP'!$F$122+1.75*(INDEX('LANE ENGINE'!$E$6:$E$45,10)-'TO HOP'!$M$45))</f>
        <v/>
      </c>
      <c r="F77" s="46" t="str">
        <f>IF($A77="","",'TO HOP'!$G$122+1.75*(INDEX('LANE ENGINE'!$F$6:$F$45,10)-'TO HOP'!$M$46))</f>
        <v/>
      </c>
      <c r="G77" s="46" t="str">
        <f>IF($A77="","",'TO HOP'!$H$122+1.75*(0-'TO HOP'!$M$47))</f>
        <v/>
      </c>
      <c r="H77" s="46" t="str">
        <f>IF($A77="","",'TO HOP'!$I$122+1.75*(0-'TO HOP'!$M$48))</f>
        <v/>
      </c>
      <c r="I77" s="46" t="str">
        <f>IF($A77="","",'TO HOP'!$J$122+1.75*(INDEX('LANE ENGINE'!$D$6:$D$45,10)-'TO HOP'!$M$49))</f>
        <v/>
      </c>
      <c r="J77" s="46" t="str">
        <f>IF($A77="","",'TO HOP'!$K$122+1.75*(INDEX('LANE ENGINE'!$E$6:$E$45,10)-'TO HOP'!$M$50))</f>
        <v/>
      </c>
      <c r="K77" s="46" t="str">
        <f>IF($A77="","",'TO HOP'!$L$122+1.75*(INDEX('LANE ENGINE'!$G$6:$G$45,10)-'TO HOP'!$M$51))</f>
        <v/>
      </c>
      <c r="L77" s="40" t="s">
        <v>885</v>
      </c>
      <c r="M77" s="40">
        <v>10</v>
      </c>
    </row>
    <row r="78" spans="1:13" x14ac:dyDescent="0.3">
      <c r="A78" s="40" t="str">
        <f>IF(11&lt;=nLan,"CĐ I(a) max -  lệch tâm"&amp;11&amp;" làn","")</f>
        <v/>
      </c>
      <c r="B78" s="46" t="str">
        <f>IF($A78="","",'TO HOP'!$C$122+1.75*(0-'TO HOP'!$M$42))</f>
        <v/>
      </c>
      <c r="C78" s="46" t="str">
        <f>IF($A78="","",'TO HOP'!$D$122+1.75*(0-'TO HOP'!$M$43))</f>
        <v/>
      </c>
      <c r="D78" s="46" t="str">
        <f>IF($A78="","",'TO HOP'!$E$122+1.75*(INDEX('LANE ENGINE'!$D$6:$D$45,11)-'TO HOP'!$M$44))</f>
        <v/>
      </c>
      <c r="E78" s="46" t="str">
        <f>IF($A78="","",'TO HOP'!$F$122+1.75*(INDEX('LANE ENGINE'!$E$6:$E$45,11)-'TO HOP'!$M$45))</f>
        <v/>
      </c>
      <c r="F78" s="46" t="str">
        <f>IF($A78="","",'TO HOP'!$G$122+1.75*(INDEX('LANE ENGINE'!$F$6:$F$45,11)-'TO HOP'!$M$46))</f>
        <v/>
      </c>
      <c r="G78" s="46" t="str">
        <f>IF($A78="","",'TO HOP'!$H$122+1.75*(0-'TO HOP'!$M$47))</f>
        <v/>
      </c>
      <c r="H78" s="46" t="str">
        <f>IF($A78="","",'TO HOP'!$I$122+1.75*(0-'TO HOP'!$M$48))</f>
        <v/>
      </c>
      <c r="I78" s="46" t="str">
        <f>IF($A78="","",'TO HOP'!$J$122+1.75*(INDEX('LANE ENGINE'!$D$6:$D$45,11)-'TO HOP'!$M$49))</f>
        <v/>
      </c>
      <c r="J78" s="46" t="str">
        <f>IF($A78="","",'TO HOP'!$K$122+1.75*(INDEX('LANE ENGINE'!$E$6:$E$45,11)-'TO HOP'!$M$50))</f>
        <v/>
      </c>
      <c r="K78" s="46" t="str">
        <f>IF($A78="","",'TO HOP'!$L$122+1.75*(INDEX('LANE ENGINE'!$G$6:$G$45,11)-'TO HOP'!$M$51))</f>
        <v/>
      </c>
      <c r="L78" s="40" t="s">
        <v>885</v>
      </c>
      <c r="M78" s="40">
        <v>11</v>
      </c>
    </row>
    <row r="79" spans="1:13" x14ac:dyDescent="0.3">
      <c r="A79" s="40" t="str">
        <f>IF(12&lt;=nLan,"CĐ I(a) max -  lệch tâm"&amp;12&amp;" làn","")</f>
        <v/>
      </c>
      <c r="B79" s="46" t="str">
        <f>IF($A79="","",'TO HOP'!$C$122+1.75*(0-'TO HOP'!$M$42))</f>
        <v/>
      </c>
      <c r="C79" s="46" t="str">
        <f>IF($A79="","",'TO HOP'!$D$122+1.75*(0-'TO HOP'!$M$43))</f>
        <v/>
      </c>
      <c r="D79" s="46" t="str">
        <f>IF($A79="","",'TO HOP'!$E$122+1.75*(INDEX('LANE ENGINE'!$D$6:$D$45,12)-'TO HOP'!$M$44))</f>
        <v/>
      </c>
      <c r="E79" s="46" t="str">
        <f>IF($A79="","",'TO HOP'!$F$122+1.75*(INDEX('LANE ENGINE'!$E$6:$E$45,12)-'TO HOP'!$M$45))</f>
        <v/>
      </c>
      <c r="F79" s="46" t="str">
        <f>IF($A79="","",'TO HOP'!$G$122+1.75*(INDEX('LANE ENGINE'!$F$6:$F$45,12)-'TO HOP'!$M$46))</f>
        <v/>
      </c>
      <c r="G79" s="46" t="str">
        <f>IF($A79="","",'TO HOP'!$H$122+1.75*(0-'TO HOP'!$M$47))</f>
        <v/>
      </c>
      <c r="H79" s="46" t="str">
        <f>IF($A79="","",'TO HOP'!$I$122+1.75*(0-'TO HOP'!$M$48))</f>
        <v/>
      </c>
      <c r="I79" s="46" t="str">
        <f>IF($A79="","",'TO HOP'!$J$122+1.75*(INDEX('LANE ENGINE'!$D$6:$D$45,12)-'TO HOP'!$M$49))</f>
        <v/>
      </c>
      <c r="J79" s="46" t="str">
        <f>IF($A79="","",'TO HOP'!$K$122+1.75*(INDEX('LANE ENGINE'!$E$6:$E$45,12)-'TO HOP'!$M$50))</f>
        <v/>
      </c>
      <c r="K79" s="46" t="str">
        <f>IF($A79="","",'TO HOP'!$L$122+1.75*(INDEX('LANE ENGINE'!$G$6:$G$45,12)-'TO HOP'!$M$51))</f>
        <v/>
      </c>
      <c r="L79" s="40" t="s">
        <v>885</v>
      </c>
      <c r="M79" s="40">
        <v>12</v>
      </c>
    </row>
    <row r="80" spans="1:13" x14ac:dyDescent="0.3">
      <c r="A80" s="40" t="str">
        <f>IF(13&lt;=nLan,"CĐ I(a) max -  lệch tâm"&amp;13&amp;" làn","")</f>
        <v/>
      </c>
      <c r="B80" s="46" t="str">
        <f>IF($A80="","",'TO HOP'!$C$122+1.75*(0-'TO HOP'!$M$42))</f>
        <v/>
      </c>
      <c r="C80" s="46" t="str">
        <f>IF($A80="","",'TO HOP'!$D$122+1.75*(0-'TO HOP'!$M$43))</f>
        <v/>
      </c>
      <c r="D80" s="46" t="str">
        <f>IF($A80="","",'TO HOP'!$E$122+1.75*(INDEX('LANE ENGINE'!$D$6:$D$45,13)-'TO HOP'!$M$44))</f>
        <v/>
      </c>
      <c r="E80" s="46" t="str">
        <f>IF($A80="","",'TO HOP'!$F$122+1.75*(INDEX('LANE ENGINE'!$E$6:$E$45,13)-'TO HOP'!$M$45))</f>
        <v/>
      </c>
      <c r="F80" s="46" t="str">
        <f>IF($A80="","",'TO HOP'!$G$122+1.75*(INDEX('LANE ENGINE'!$F$6:$F$45,13)-'TO HOP'!$M$46))</f>
        <v/>
      </c>
      <c r="G80" s="46" t="str">
        <f>IF($A80="","",'TO HOP'!$H$122+1.75*(0-'TO HOP'!$M$47))</f>
        <v/>
      </c>
      <c r="H80" s="46" t="str">
        <f>IF($A80="","",'TO HOP'!$I$122+1.75*(0-'TO HOP'!$M$48))</f>
        <v/>
      </c>
      <c r="I80" s="46" t="str">
        <f>IF($A80="","",'TO HOP'!$J$122+1.75*(INDEX('LANE ENGINE'!$D$6:$D$45,13)-'TO HOP'!$M$49))</f>
        <v/>
      </c>
      <c r="J80" s="46" t="str">
        <f>IF($A80="","",'TO HOP'!$K$122+1.75*(INDEX('LANE ENGINE'!$E$6:$E$45,13)-'TO HOP'!$M$50))</f>
        <v/>
      </c>
      <c r="K80" s="46" t="str">
        <f>IF($A80="","",'TO HOP'!$L$122+1.75*(INDEX('LANE ENGINE'!$G$6:$G$45,13)-'TO HOP'!$M$51))</f>
        <v/>
      </c>
      <c r="L80" s="40" t="s">
        <v>885</v>
      </c>
      <c r="M80" s="40">
        <v>13</v>
      </c>
    </row>
    <row r="81" spans="1:13" x14ac:dyDescent="0.3">
      <c r="A81" s="40" t="str">
        <f>IF(14&lt;=nLan,"CĐ I(a) max -  lệch tâm"&amp;14&amp;" làn","")</f>
        <v/>
      </c>
      <c r="B81" s="46" t="str">
        <f>IF($A81="","",'TO HOP'!$C$122+1.75*(0-'TO HOP'!$M$42))</f>
        <v/>
      </c>
      <c r="C81" s="46" t="str">
        <f>IF($A81="","",'TO HOP'!$D$122+1.75*(0-'TO HOP'!$M$43))</f>
        <v/>
      </c>
      <c r="D81" s="46" t="str">
        <f>IF($A81="","",'TO HOP'!$E$122+1.75*(INDEX('LANE ENGINE'!$D$6:$D$45,14)-'TO HOP'!$M$44))</f>
        <v/>
      </c>
      <c r="E81" s="46" t="str">
        <f>IF($A81="","",'TO HOP'!$F$122+1.75*(INDEX('LANE ENGINE'!$E$6:$E$45,14)-'TO HOP'!$M$45))</f>
        <v/>
      </c>
      <c r="F81" s="46" t="str">
        <f>IF($A81="","",'TO HOP'!$G$122+1.75*(INDEX('LANE ENGINE'!$F$6:$F$45,14)-'TO HOP'!$M$46))</f>
        <v/>
      </c>
      <c r="G81" s="46" t="str">
        <f>IF($A81="","",'TO HOP'!$H$122+1.75*(0-'TO HOP'!$M$47))</f>
        <v/>
      </c>
      <c r="H81" s="46" t="str">
        <f>IF($A81="","",'TO HOP'!$I$122+1.75*(0-'TO HOP'!$M$48))</f>
        <v/>
      </c>
      <c r="I81" s="46" t="str">
        <f>IF($A81="","",'TO HOP'!$J$122+1.75*(INDEX('LANE ENGINE'!$D$6:$D$45,14)-'TO HOP'!$M$49))</f>
        <v/>
      </c>
      <c r="J81" s="46" t="str">
        <f>IF($A81="","",'TO HOP'!$K$122+1.75*(INDEX('LANE ENGINE'!$E$6:$E$45,14)-'TO HOP'!$M$50))</f>
        <v/>
      </c>
      <c r="K81" s="46" t="str">
        <f>IF($A81="","",'TO HOP'!$L$122+1.75*(INDEX('LANE ENGINE'!$G$6:$G$45,14)-'TO HOP'!$M$51))</f>
        <v/>
      </c>
      <c r="L81" s="40" t="s">
        <v>885</v>
      </c>
      <c r="M81" s="40">
        <v>14</v>
      </c>
    </row>
    <row r="82" spans="1:13" x14ac:dyDescent="0.3">
      <c r="A82" s="40" t="str">
        <f>IF(15&lt;=nLan,"CĐ I(a) max -  lệch tâm"&amp;15&amp;" làn","")</f>
        <v/>
      </c>
      <c r="B82" s="46" t="str">
        <f>IF($A82="","",'TO HOP'!$C$122+1.75*(0-'TO HOP'!$M$42))</f>
        <v/>
      </c>
      <c r="C82" s="46" t="str">
        <f>IF($A82="","",'TO HOP'!$D$122+1.75*(0-'TO HOP'!$M$43))</f>
        <v/>
      </c>
      <c r="D82" s="46" t="str">
        <f>IF($A82="","",'TO HOP'!$E$122+1.75*(INDEX('LANE ENGINE'!$D$6:$D$45,15)-'TO HOP'!$M$44))</f>
        <v/>
      </c>
      <c r="E82" s="46" t="str">
        <f>IF($A82="","",'TO HOP'!$F$122+1.75*(INDEX('LANE ENGINE'!$E$6:$E$45,15)-'TO HOP'!$M$45))</f>
        <v/>
      </c>
      <c r="F82" s="46" t="str">
        <f>IF($A82="","",'TO HOP'!$G$122+1.75*(INDEX('LANE ENGINE'!$F$6:$F$45,15)-'TO HOP'!$M$46))</f>
        <v/>
      </c>
      <c r="G82" s="46" t="str">
        <f>IF($A82="","",'TO HOP'!$H$122+1.75*(0-'TO HOP'!$M$47))</f>
        <v/>
      </c>
      <c r="H82" s="46" t="str">
        <f>IF($A82="","",'TO HOP'!$I$122+1.75*(0-'TO HOP'!$M$48))</f>
        <v/>
      </c>
      <c r="I82" s="46" t="str">
        <f>IF($A82="","",'TO HOP'!$J$122+1.75*(INDEX('LANE ENGINE'!$D$6:$D$45,15)-'TO HOP'!$M$49))</f>
        <v/>
      </c>
      <c r="J82" s="46" t="str">
        <f>IF($A82="","",'TO HOP'!$K$122+1.75*(INDEX('LANE ENGINE'!$E$6:$E$45,15)-'TO HOP'!$M$50))</f>
        <v/>
      </c>
      <c r="K82" s="46" t="str">
        <f>IF($A82="","",'TO HOP'!$L$122+1.75*(INDEX('LANE ENGINE'!$G$6:$G$45,15)-'TO HOP'!$M$51))</f>
        <v/>
      </c>
      <c r="L82" s="40" t="s">
        <v>885</v>
      </c>
      <c r="M82" s="40">
        <v>15</v>
      </c>
    </row>
    <row r="83" spans="1:13" x14ac:dyDescent="0.3">
      <c r="A83" s="40" t="str">
        <f>IF(16&lt;=nLan,"CĐ I(a) max -  lệch tâm"&amp;16&amp;" làn","")</f>
        <v/>
      </c>
      <c r="B83" s="46" t="str">
        <f>IF($A83="","",'TO HOP'!$C$122+1.75*(0-'TO HOP'!$M$42))</f>
        <v/>
      </c>
      <c r="C83" s="46" t="str">
        <f>IF($A83="","",'TO HOP'!$D$122+1.75*(0-'TO HOP'!$M$43))</f>
        <v/>
      </c>
      <c r="D83" s="46" t="str">
        <f>IF($A83="","",'TO HOP'!$E$122+1.75*(INDEX('LANE ENGINE'!$D$6:$D$45,16)-'TO HOP'!$M$44))</f>
        <v/>
      </c>
      <c r="E83" s="46" t="str">
        <f>IF($A83="","",'TO HOP'!$F$122+1.75*(INDEX('LANE ENGINE'!$E$6:$E$45,16)-'TO HOP'!$M$45))</f>
        <v/>
      </c>
      <c r="F83" s="46" t="str">
        <f>IF($A83="","",'TO HOP'!$G$122+1.75*(INDEX('LANE ENGINE'!$F$6:$F$45,16)-'TO HOP'!$M$46))</f>
        <v/>
      </c>
      <c r="G83" s="46" t="str">
        <f>IF($A83="","",'TO HOP'!$H$122+1.75*(0-'TO HOP'!$M$47))</f>
        <v/>
      </c>
      <c r="H83" s="46" t="str">
        <f>IF($A83="","",'TO HOP'!$I$122+1.75*(0-'TO HOP'!$M$48))</f>
        <v/>
      </c>
      <c r="I83" s="46" t="str">
        <f>IF($A83="","",'TO HOP'!$J$122+1.75*(INDEX('LANE ENGINE'!$D$6:$D$45,16)-'TO HOP'!$M$49))</f>
        <v/>
      </c>
      <c r="J83" s="46" t="str">
        <f>IF($A83="","",'TO HOP'!$K$122+1.75*(INDEX('LANE ENGINE'!$E$6:$E$45,16)-'TO HOP'!$M$50))</f>
        <v/>
      </c>
      <c r="K83" s="46" t="str">
        <f>IF($A83="","",'TO HOP'!$L$122+1.75*(INDEX('LANE ENGINE'!$G$6:$G$45,16)-'TO HOP'!$M$51))</f>
        <v/>
      </c>
      <c r="L83" s="40" t="s">
        <v>885</v>
      </c>
      <c r="M83" s="40">
        <v>16</v>
      </c>
    </row>
    <row r="84" spans="1:13" x14ac:dyDescent="0.3">
      <c r="A84" s="40" t="str">
        <f>IF(17&lt;=nLan,"CĐ I(a) max -  lệch tâm"&amp;17&amp;" làn","")</f>
        <v/>
      </c>
      <c r="B84" s="46" t="str">
        <f>IF($A84="","",'TO HOP'!$C$122+1.75*(0-'TO HOP'!$M$42))</f>
        <v/>
      </c>
      <c r="C84" s="46" t="str">
        <f>IF($A84="","",'TO HOP'!$D$122+1.75*(0-'TO HOP'!$M$43))</f>
        <v/>
      </c>
      <c r="D84" s="46" t="str">
        <f>IF($A84="","",'TO HOP'!$E$122+1.75*(INDEX('LANE ENGINE'!$D$6:$D$45,17)-'TO HOP'!$M$44))</f>
        <v/>
      </c>
      <c r="E84" s="46" t="str">
        <f>IF($A84="","",'TO HOP'!$F$122+1.75*(INDEX('LANE ENGINE'!$E$6:$E$45,17)-'TO HOP'!$M$45))</f>
        <v/>
      </c>
      <c r="F84" s="46" t="str">
        <f>IF($A84="","",'TO HOP'!$G$122+1.75*(INDEX('LANE ENGINE'!$F$6:$F$45,17)-'TO HOP'!$M$46))</f>
        <v/>
      </c>
      <c r="G84" s="46" t="str">
        <f>IF($A84="","",'TO HOP'!$H$122+1.75*(0-'TO HOP'!$M$47))</f>
        <v/>
      </c>
      <c r="H84" s="46" t="str">
        <f>IF($A84="","",'TO HOP'!$I$122+1.75*(0-'TO HOP'!$M$48))</f>
        <v/>
      </c>
      <c r="I84" s="46" t="str">
        <f>IF($A84="","",'TO HOP'!$J$122+1.75*(INDEX('LANE ENGINE'!$D$6:$D$45,17)-'TO HOP'!$M$49))</f>
        <v/>
      </c>
      <c r="J84" s="46" t="str">
        <f>IF($A84="","",'TO HOP'!$K$122+1.75*(INDEX('LANE ENGINE'!$E$6:$E$45,17)-'TO HOP'!$M$50))</f>
        <v/>
      </c>
      <c r="K84" s="46" t="str">
        <f>IF($A84="","",'TO HOP'!$L$122+1.75*(INDEX('LANE ENGINE'!$G$6:$G$45,17)-'TO HOP'!$M$51))</f>
        <v/>
      </c>
      <c r="L84" s="40" t="s">
        <v>885</v>
      </c>
      <c r="M84" s="40">
        <v>17</v>
      </c>
    </row>
    <row r="85" spans="1:13" x14ac:dyDescent="0.3">
      <c r="A85" s="40" t="str">
        <f>IF(18&lt;=nLan,"CĐ I(a) max -  lệch tâm"&amp;18&amp;" làn","")</f>
        <v/>
      </c>
      <c r="B85" s="46" t="str">
        <f>IF($A85="","",'TO HOP'!$C$122+1.75*(0-'TO HOP'!$M$42))</f>
        <v/>
      </c>
      <c r="C85" s="46" t="str">
        <f>IF($A85="","",'TO HOP'!$D$122+1.75*(0-'TO HOP'!$M$43))</f>
        <v/>
      </c>
      <c r="D85" s="46" t="str">
        <f>IF($A85="","",'TO HOP'!$E$122+1.75*(INDEX('LANE ENGINE'!$D$6:$D$45,18)-'TO HOP'!$M$44))</f>
        <v/>
      </c>
      <c r="E85" s="46" t="str">
        <f>IF($A85="","",'TO HOP'!$F$122+1.75*(INDEX('LANE ENGINE'!$E$6:$E$45,18)-'TO HOP'!$M$45))</f>
        <v/>
      </c>
      <c r="F85" s="46" t="str">
        <f>IF($A85="","",'TO HOP'!$G$122+1.75*(INDEX('LANE ENGINE'!$F$6:$F$45,18)-'TO HOP'!$M$46))</f>
        <v/>
      </c>
      <c r="G85" s="46" t="str">
        <f>IF($A85="","",'TO HOP'!$H$122+1.75*(0-'TO HOP'!$M$47))</f>
        <v/>
      </c>
      <c r="H85" s="46" t="str">
        <f>IF($A85="","",'TO HOP'!$I$122+1.75*(0-'TO HOP'!$M$48))</f>
        <v/>
      </c>
      <c r="I85" s="46" t="str">
        <f>IF($A85="","",'TO HOP'!$J$122+1.75*(INDEX('LANE ENGINE'!$D$6:$D$45,18)-'TO HOP'!$M$49))</f>
        <v/>
      </c>
      <c r="J85" s="46" t="str">
        <f>IF($A85="","",'TO HOP'!$K$122+1.75*(INDEX('LANE ENGINE'!$E$6:$E$45,18)-'TO HOP'!$M$50))</f>
        <v/>
      </c>
      <c r="K85" s="46" t="str">
        <f>IF($A85="","",'TO HOP'!$L$122+1.75*(INDEX('LANE ENGINE'!$G$6:$G$45,18)-'TO HOP'!$M$51))</f>
        <v/>
      </c>
      <c r="L85" s="40" t="s">
        <v>885</v>
      </c>
      <c r="M85" s="40">
        <v>18</v>
      </c>
    </row>
    <row r="86" spans="1:13" x14ac:dyDescent="0.3">
      <c r="A86" s="40" t="str">
        <f>IF(19&lt;=nLan,"CĐ I(a) max -  lệch tâm"&amp;19&amp;" làn","")</f>
        <v/>
      </c>
      <c r="B86" s="46" t="str">
        <f>IF($A86="","",'TO HOP'!$C$122+1.75*(0-'TO HOP'!$M$42))</f>
        <v/>
      </c>
      <c r="C86" s="46" t="str">
        <f>IF($A86="","",'TO HOP'!$D$122+1.75*(0-'TO HOP'!$M$43))</f>
        <v/>
      </c>
      <c r="D86" s="46" t="str">
        <f>IF($A86="","",'TO HOP'!$E$122+1.75*(INDEX('LANE ENGINE'!$D$6:$D$45,19)-'TO HOP'!$M$44))</f>
        <v/>
      </c>
      <c r="E86" s="46" t="str">
        <f>IF($A86="","",'TO HOP'!$F$122+1.75*(INDEX('LANE ENGINE'!$E$6:$E$45,19)-'TO HOP'!$M$45))</f>
        <v/>
      </c>
      <c r="F86" s="46" t="str">
        <f>IF($A86="","",'TO HOP'!$G$122+1.75*(INDEX('LANE ENGINE'!$F$6:$F$45,19)-'TO HOP'!$M$46))</f>
        <v/>
      </c>
      <c r="G86" s="46" t="str">
        <f>IF($A86="","",'TO HOP'!$H$122+1.75*(0-'TO HOP'!$M$47))</f>
        <v/>
      </c>
      <c r="H86" s="46" t="str">
        <f>IF($A86="","",'TO HOP'!$I$122+1.75*(0-'TO HOP'!$M$48))</f>
        <v/>
      </c>
      <c r="I86" s="46" t="str">
        <f>IF($A86="","",'TO HOP'!$J$122+1.75*(INDEX('LANE ENGINE'!$D$6:$D$45,19)-'TO HOP'!$M$49))</f>
        <v/>
      </c>
      <c r="J86" s="46" t="str">
        <f>IF($A86="","",'TO HOP'!$K$122+1.75*(INDEX('LANE ENGINE'!$E$6:$E$45,19)-'TO HOP'!$M$50))</f>
        <v/>
      </c>
      <c r="K86" s="46" t="str">
        <f>IF($A86="","",'TO HOP'!$L$122+1.75*(INDEX('LANE ENGINE'!$G$6:$G$45,19)-'TO HOP'!$M$51))</f>
        <v/>
      </c>
      <c r="L86" s="40" t="s">
        <v>885</v>
      </c>
      <c r="M86" s="40">
        <v>19</v>
      </c>
    </row>
    <row r="87" spans="1:13" x14ac:dyDescent="0.3">
      <c r="A87" s="40" t="str">
        <f>IF(20&lt;=nLan,"CĐ I(a) max -  lệch tâm"&amp;20&amp;" làn","")</f>
        <v/>
      </c>
      <c r="B87" s="46" t="str">
        <f>IF($A87="","",'TO HOP'!$C$122+1.75*(0-'TO HOP'!$M$42))</f>
        <v/>
      </c>
      <c r="C87" s="46" t="str">
        <f>IF($A87="","",'TO HOP'!$D$122+1.75*(0-'TO HOP'!$M$43))</f>
        <v/>
      </c>
      <c r="D87" s="46" t="str">
        <f>IF($A87="","",'TO HOP'!$E$122+1.75*(INDEX('LANE ENGINE'!$D$6:$D$45,20)-'TO HOP'!$M$44))</f>
        <v/>
      </c>
      <c r="E87" s="46" t="str">
        <f>IF($A87="","",'TO HOP'!$F$122+1.75*(INDEX('LANE ENGINE'!$E$6:$E$45,20)-'TO HOP'!$M$45))</f>
        <v/>
      </c>
      <c r="F87" s="46" t="str">
        <f>IF($A87="","",'TO HOP'!$G$122+1.75*(INDEX('LANE ENGINE'!$F$6:$F$45,20)-'TO HOP'!$M$46))</f>
        <v/>
      </c>
      <c r="G87" s="46" t="str">
        <f>IF($A87="","",'TO HOP'!$H$122+1.75*(0-'TO HOP'!$M$47))</f>
        <v/>
      </c>
      <c r="H87" s="46" t="str">
        <f>IF($A87="","",'TO HOP'!$I$122+1.75*(0-'TO HOP'!$M$48))</f>
        <v/>
      </c>
      <c r="I87" s="46" t="str">
        <f>IF($A87="","",'TO HOP'!$J$122+1.75*(INDEX('LANE ENGINE'!$D$6:$D$45,20)-'TO HOP'!$M$49))</f>
        <v/>
      </c>
      <c r="J87" s="46" t="str">
        <f>IF($A87="","",'TO HOP'!$K$122+1.75*(INDEX('LANE ENGINE'!$E$6:$E$45,20)-'TO HOP'!$M$50))</f>
        <v/>
      </c>
      <c r="K87" s="46" t="str">
        <f>IF($A87="","",'TO HOP'!$L$122+1.75*(INDEX('LANE ENGINE'!$G$6:$G$45,20)-'TO HOP'!$M$51))</f>
        <v/>
      </c>
      <c r="L87" s="40" t="s">
        <v>885</v>
      </c>
      <c r="M87" s="40">
        <v>20</v>
      </c>
    </row>
    <row r="88" spans="1:13" x14ac:dyDescent="0.3">
      <c r="A88" s="40" t="str">
        <f>IF(21&lt;=nLan,"CĐ I(a) max -  lệch tâm"&amp;21&amp;" làn","")</f>
        <v/>
      </c>
      <c r="B88" s="46" t="str">
        <f>IF($A88="","",'TO HOP'!$C$122+1.75*(0-'TO HOP'!$M$42))</f>
        <v/>
      </c>
      <c r="C88" s="46" t="str">
        <f>IF($A88="","",'TO HOP'!$D$122+1.75*(0-'TO HOP'!$M$43))</f>
        <v/>
      </c>
      <c r="D88" s="46" t="str">
        <f>IF($A88="","",'TO HOP'!$E$122+1.75*(INDEX('LANE ENGINE'!$D$6:$D$45,21)-'TO HOP'!$M$44))</f>
        <v/>
      </c>
      <c r="E88" s="46" t="str">
        <f>IF($A88="","",'TO HOP'!$F$122+1.75*(INDEX('LANE ENGINE'!$E$6:$E$45,21)-'TO HOP'!$M$45))</f>
        <v/>
      </c>
      <c r="F88" s="46" t="str">
        <f>IF($A88="","",'TO HOP'!$G$122+1.75*(INDEX('LANE ENGINE'!$F$6:$F$45,21)-'TO HOP'!$M$46))</f>
        <v/>
      </c>
      <c r="G88" s="46" t="str">
        <f>IF($A88="","",'TO HOP'!$H$122+1.75*(0-'TO HOP'!$M$47))</f>
        <v/>
      </c>
      <c r="H88" s="46" t="str">
        <f>IF($A88="","",'TO HOP'!$I$122+1.75*(0-'TO HOP'!$M$48))</f>
        <v/>
      </c>
      <c r="I88" s="46" t="str">
        <f>IF($A88="","",'TO HOP'!$J$122+1.75*(INDEX('LANE ENGINE'!$D$6:$D$45,21)-'TO HOP'!$M$49))</f>
        <v/>
      </c>
      <c r="J88" s="46" t="str">
        <f>IF($A88="","",'TO HOP'!$K$122+1.75*(INDEX('LANE ENGINE'!$E$6:$E$45,21)-'TO HOP'!$M$50))</f>
        <v/>
      </c>
      <c r="K88" s="46" t="str">
        <f>IF($A88="","",'TO HOP'!$L$122+1.75*(INDEX('LANE ENGINE'!$G$6:$G$45,21)-'TO HOP'!$M$51))</f>
        <v/>
      </c>
      <c r="L88" s="40" t="s">
        <v>885</v>
      </c>
      <c r="M88" s="40">
        <v>21</v>
      </c>
    </row>
    <row r="89" spans="1:13" x14ac:dyDescent="0.3">
      <c r="A89" s="40" t="str">
        <f>IF(22&lt;=nLan,"CĐ I(a) max -  lệch tâm"&amp;22&amp;" làn","")</f>
        <v/>
      </c>
      <c r="B89" s="46" t="str">
        <f>IF($A89="","",'TO HOP'!$C$122+1.75*(0-'TO HOP'!$M$42))</f>
        <v/>
      </c>
      <c r="C89" s="46" t="str">
        <f>IF($A89="","",'TO HOP'!$D$122+1.75*(0-'TO HOP'!$M$43))</f>
        <v/>
      </c>
      <c r="D89" s="46" t="str">
        <f>IF($A89="","",'TO HOP'!$E$122+1.75*(INDEX('LANE ENGINE'!$D$6:$D$45,22)-'TO HOP'!$M$44))</f>
        <v/>
      </c>
      <c r="E89" s="46" t="str">
        <f>IF($A89="","",'TO HOP'!$F$122+1.75*(INDEX('LANE ENGINE'!$E$6:$E$45,22)-'TO HOP'!$M$45))</f>
        <v/>
      </c>
      <c r="F89" s="46" t="str">
        <f>IF($A89="","",'TO HOP'!$G$122+1.75*(INDEX('LANE ENGINE'!$F$6:$F$45,22)-'TO HOP'!$M$46))</f>
        <v/>
      </c>
      <c r="G89" s="46" t="str">
        <f>IF($A89="","",'TO HOP'!$H$122+1.75*(0-'TO HOP'!$M$47))</f>
        <v/>
      </c>
      <c r="H89" s="46" t="str">
        <f>IF($A89="","",'TO HOP'!$I$122+1.75*(0-'TO HOP'!$M$48))</f>
        <v/>
      </c>
      <c r="I89" s="46" t="str">
        <f>IF($A89="","",'TO HOP'!$J$122+1.75*(INDEX('LANE ENGINE'!$D$6:$D$45,22)-'TO HOP'!$M$49))</f>
        <v/>
      </c>
      <c r="J89" s="46" t="str">
        <f>IF($A89="","",'TO HOP'!$K$122+1.75*(INDEX('LANE ENGINE'!$E$6:$E$45,22)-'TO HOP'!$M$50))</f>
        <v/>
      </c>
      <c r="K89" s="46" t="str">
        <f>IF($A89="","",'TO HOP'!$L$122+1.75*(INDEX('LANE ENGINE'!$G$6:$G$45,22)-'TO HOP'!$M$51))</f>
        <v/>
      </c>
      <c r="L89" s="40" t="s">
        <v>885</v>
      </c>
      <c r="M89" s="40">
        <v>22</v>
      </c>
    </row>
    <row r="90" spans="1:13" x14ac:dyDescent="0.3">
      <c r="A90" s="40" t="str">
        <f>IF(23&lt;=nLan,"CĐ I(a) max -  lệch tâm"&amp;23&amp;" làn","")</f>
        <v/>
      </c>
      <c r="B90" s="46" t="str">
        <f>IF($A90="","",'TO HOP'!$C$122+1.75*(0-'TO HOP'!$M$42))</f>
        <v/>
      </c>
      <c r="C90" s="46" t="str">
        <f>IF($A90="","",'TO HOP'!$D$122+1.75*(0-'TO HOP'!$M$43))</f>
        <v/>
      </c>
      <c r="D90" s="46" t="str">
        <f>IF($A90="","",'TO HOP'!$E$122+1.75*(INDEX('LANE ENGINE'!$D$6:$D$45,23)-'TO HOP'!$M$44))</f>
        <v/>
      </c>
      <c r="E90" s="46" t="str">
        <f>IF($A90="","",'TO HOP'!$F$122+1.75*(INDEX('LANE ENGINE'!$E$6:$E$45,23)-'TO HOP'!$M$45))</f>
        <v/>
      </c>
      <c r="F90" s="46" t="str">
        <f>IF($A90="","",'TO HOP'!$G$122+1.75*(INDEX('LANE ENGINE'!$F$6:$F$45,23)-'TO HOP'!$M$46))</f>
        <v/>
      </c>
      <c r="G90" s="46" t="str">
        <f>IF($A90="","",'TO HOP'!$H$122+1.75*(0-'TO HOP'!$M$47))</f>
        <v/>
      </c>
      <c r="H90" s="46" t="str">
        <f>IF($A90="","",'TO HOP'!$I$122+1.75*(0-'TO HOP'!$M$48))</f>
        <v/>
      </c>
      <c r="I90" s="46" t="str">
        <f>IF($A90="","",'TO HOP'!$J$122+1.75*(INDEX('LANE ENGINE'!$D$6:$D$45,23)-'TO HOP'!$M$49))</f>
        <v/>
      </c>
      <c r="J90" s="46" t="str">
        <f>IF($A90="","",'TO HOP'!$K$122+1.75*(INDEX('LANE ENGINE'!$E$6:$E$45,23)-'TO HOP'!$M$50))</f>
        <v/>
      </c>
      <c r="K90" s="46" t="str">
        <f>IF($A90="","",'TO HOP'!$L$122+1.75*(INDEX('LANE ENGINE'!$G$6:$G$45,23)-'TO HOP'!$M$51))</f>
        <v/>
      </c>
      <c r="L90" s="40" t="s">
        <v>885</v>
      </c>
      <c r="M90" s="40">
        <v>23</v>
      </c>
    </row>
    <row r="91" spans="1:13" x14ac:dyDescent="0.3">
      <c r="A91" s="40" t="str">
        <f>IF(24&lt;=nLan,"CĐ I(a) max -  lệch tâm"&amp;24&amp;" làn","")</f>
        <v/>
      </c>
      <c r="B91" s="46" t="str">
        <f>IF($A91="","",'TO HOP'!$C$122+1.75*(0-'TO HOP'!$M$42))</f>
        <v/>
      </c>
      <c r="C91" s="46" t="str">
        <f>IF($A91="","",'TO HOP'!$D$122+1.75*(0-'TO HOP'!$M$43))</f>
        <v/>
      </c>
      <c r="D91" s="46" t="str">
        <f>IF($A91="","",'TO HOP'!$E$122+1.75*(INDEX('LANE ENGINE'!$D$6:$D$45,24)-'TO HOP'!$M$44))</f>
        <v/>
      </c>
      <c r="E91" s="46" t="str">
        <f>IF($A91="","",'TO HOP'!$F$122+1.75*(INDEX('LANE ENGINE'!$E$6:$E$45,24)-'TO HOP'!$M$45))</f>
        <v/>
      </c>
      <c r="F91" s="46" t="str">
        <f>IF($A91="","",'TO HOP'!$G$122+1.75*(INDEX('LANE ENGINE'!$F$6:$F$45,24)-'TO HOP'!$M$46))</f>
        <v/>
      </c>
      <c r="G91" s="46" t="str">
        <f>IF($A91="","",'TO HOP'!$H$122+1.75*(0-'TO HOP'!$M$47))</f>
        <v/>
      </c>
      <c r="H91" s="46" t="str">
        <f>IF($A91="","",'TO HOP'!$I$122+1.75*(0-'TO HOP'!$M$48))</f>
        <v/>
      </c>
      <c r="I91" s="46" t="str">
        <f>IF($A91="","",'TO HOP'!$J$122+1.75*(INDEX('LANE ENGINE'!$D$6:$D$45,24)-'TO HOP'!$M$49))</f>
        <v/>
      </c>
      <c r="J91" s="46" t="str">
        <f>IF($A91="","",'TO HOP'!$K$122+1.75*(INDEX('LANE ENGINE'!$E$6:$E$45,24)-'TO HOP'!$M$50))</f>
        <v/>
      </c>
      <c r="K91" s="46" t="str">
        <f>IF($A91="","",'TO HOP'!$L$122+1.75*(INDEX('LANE ENGINE'!$G$6:$G$45,24)-'TO HOP'!$M$51))</f>
        <v/>
      </c>
      <c r="L91" s="40" t="s">
        <v>885</v>
      </c>
      <c r="M91" s="40">
        <v>24</v>
      </c>
    </row>
    <row r="92" spans="1:13" x14ac:dyDescent="0.3">
      <c r="A92" s="40" t="str">
        <f>IF(25&lt;=nLan,"CĐ I(a) max -  lệch tâm"&amp;25&amp;" làn","")</f>
        <v/>
      </c>
      <c r="B92" s="46" t="str">
        <f>IF($A92="","",'TO HOP'!$C$122+1.75*(0-'TO HOP'!$M$42))</f>
        <v/>
      </c>
      <c r="C92" s="46" t="str">
        <f>IF($A92="","",'TO HOP'!$D$122+1.75*(0-'TO HOP'!$M$43))</f>
        <v/>
      </c>
      <c r="D92" s="46" t="str">
        <f>IF($A92="","",'TO HOP'!$E$122+1.75*(INDEX('LANE ENGINE'!$D$6:$D$45,25)-'TO HOP'!$M$44))</f>
        <v/>
      </c>
      <c r="E92" s="46" t="str">
        <f>IF($A92="","",'TO HOP'!$F$122+1.75*(INDEX('LANE ENGINE'!$E$6:$E$45,25)-'TO HOP'!$M$45))</f>
        <v/>
      </c>
      <c r="F92" s="46" t="str">
        <f>IF($A92="","",'TO HOP'!$G$122+1.75*(INDEX('LANE ENGINE'!$F$6:$F$45,25)-'TO HOP'!$M$46))</f>
        <v/>
      </c>
      <c r="G92" s="46" t="str">
        <f>IF($A92="","",'TO HOP'!$H$122+1.75*(0-'TO HOP'!$M$47))</f>
        <v/>
      </c>
      <c r="H92" s="46" t="str">
        <f>IF($A92="","",'TO HOP'!$I$122+1.75*(0-'TO HOP'!$M$48))</f>
        <v/>
      </c>
      <c r="I92" s="46" t="str">
        <f>IF($A92="","",'TO HOP'!$J$122+1.75*(INDEX('LANE ENGINE'!$D$6:$D$45,25)-'TO HOP'!$M$49))</f>
        <v/>
      </c>
      <c r="J92" s="46" t="str">
        <f>IF($A92="","",'TO HOP'!$K$122+1.75*(INDEX('LANE ENGINE'!$E$6:$E$45,25)-'TO HOP'!$M$50))</f>
        <v/>
      </c>
      <c r="K92" s="46" t="str">
        <f>IF($A92="","",'TO HOP'!$L$122+1.75*(INDEX('LANE ENGINE'!$G$6:$G$45,25)-'TO HOP'!$M$51))</f>
        <v/>
      </c>
      <c r="L92" s="40" t="s">
        <v>885</v>
      </c>
      <c r="M92" s="40">
        <v>25</v>
      </c>
    </row>
    <row r="93" spans="1:13" x14ac:dyDescent="0.3">
      <c r="A93" s="40" t="str">
        <f>IF(26&lt;=nLan,"CĐ I(a) max -  lệch tâm"&amp;26&amp;" làn","")</f>
        <v/>
      </c>
      <c r="B93" s="46" t="str">
        <f>IF($A93="","",'TO HOP'!$C$122+1.75*(0-'TO HOP'!$M$42))</f>
        <v/>
      </c>
      <c r="C93" s="46" t="str">
        <f>IF($A93="","",'TO HOP'!$D$122+1.75*(0-'TO HOP'!$M$43))</f>
        <v/>
      </c>
      <c r="D93" s="46" t="str">
        <f>IF($A93="","",'TO HOP'!$E$122+1.75*(INDEX('LANE ENGINE'!$D$6:$D$45,26)-'TO HOP'!$M$44))</f>
        <v/>
      </c>
      <c r="E93" s="46" t="str">
        <f>IF($A93="","",'TO HOP'!$F$122+1.75*(INDEX('LANE ENGINE'!$E$6:$E$45,26)-'TO HOP'!$M$45))</f>
        <v/>
      </c>
      <c r="F93" s="46" t="str">
        <f>IF($A93="","",'TO HOP'!$G$122+1.75*(INDEX('LANE ENGINE'!$F$6:$F$45,26)-'TO HOP'!$M$46))</f>
        <v/>
      </c>
      <c r="G93" s="46" t="str">
        <f>IF($A93="","",'TO HOP'!$H$122+1.75*(0-'TO HOP'!$M$47))</f>
        <v/>
      </c>
      <c r="H93" s="46" t="str">
        <f>IF($A93="","",'TO HOP'!$I$122+1.75*(0-'TO HOP'!$M$48))</f>
        <v/>
      </c>
      <c r="I93" s="46" t="str">
        <f>IF($A93="","",'TO HOP'!$J$122+1.75*(INDEX('LANE ENGINE'!$D$6:$D$45,26)-'TO HOP'!$M$49))</f>
        <v/>
      </c>
      <c r="J93" s="46" t="str">
        <f>IF($A93="","",'TO HOP'!$K$122+1.75*(INDEX('LANE ENGINE'!$E$6:$E$45,26)-'TO HOP'!$M$50))</f>
        <v/>
      </c>
      <c r="K93" s="46" t="str">
        <f>IF($A93="","",'TO HOP'!$L$122+1.75*(INDEX('LANE ENGINE'!$G$6:$G$45,26)-'TO HOP'!$M$51))</f>
        <v/>
      </c>
      <c r="L93" s="40" t="s">
        <v>885</v>
      </c>
      <c r="M93" s="40">
        <v>26</v>
      </c>
    </row>
    <row r="94" spans="1:13" x14ac:dyDescent="0.3">
      <c r="A94" s="40" t="str">
        <f>IF(27&lt;=nLan,"CĐ I(a) max -  lệch tâm"&amp;27&amp;" làn","")</f>
        <v/>
      </c>
      <c r="B94" s="46" t="str">
        <f>IF($A94="","",'TO HOP'!$C$122+1.75*(0-'TO HOP'!$M$42))</f>
        <v/>
      </c>
      <c r="C94" s="46" t="str">
        <f>IF($A94="","",'TO HOP'!$D$122+1.75*(0-'TO HOP'!$M$43))</f>
        <v/>
      </c>
      <c r="D94" s="46" t="str">
        <f>IF($A94="","",'TO HOP'!$E$122+1.75*(INDEX('LANE ENGINE'!$D$6:$D$45,27)-'TO HOP'!$M$44))</f>
        <v/>
      </c>
      <c r="E94" s="46" t="str">
        <f>IF($A94="","",'TO HOP'!$F$122+1.75*(INDEX('LANE ENGINE'!$E$6:$E$45,27)-'TO HOP'!$M$45))</f>
        <v/>
      </c>
      <c r="F94" s="46" t="str">
        <f>IF($A94="","",'TO HOP'!$G$122+1.75*(INDEX('LANE ENGINE'!$F$6:$F$45,27)-'TO HOP'!$M$46))</f>
        <v/>
      </c>
      <c r="G94" s="46" t="str">
        <f>IF($A94="","",'TO HOP'!$H$122+1.75*(0-'TO HOP'!$M$47))</f>
        <v/>
      </c>
      <c r="H94" s="46" t="str">
        <f>IF($A94="","",'TO HOP'!$I$122+1.75*(0-'TO HOP'!$M$48))</f>
        <v/>
      </c>
      <c r="I94" s="46" t="str">
        <f>IF($A94="","",'TO HOP'!$J$122+1.75*(INDEX('LANE ENGINE'!$D$6:$D$45,27)-'TO HOP'!$M$49))</f>
        <v/>
      </c>
      <c r="J94" s="46" t="str">
        <f>IF($A94="","",'TO HOP'!$K$122+1.75*(INDEX('LANE ENGINE'!$E$6:$E$45,27)-'TO HOP'!$M$50))</f>
        <v/>
      </c>
      <c r="K94" s="46" t="str">
        <f>IF($A94="","",'TO HOP'!$L$122+1.75*(INDEX('LANE ENGINE'!$G$6:$G$45,27)-'TO HOP'!$M$51))</f>
        <v/>
      </c>
      <c r="L94" s="40" t="s">
        <v>885</v>
      </c>
      <c r="M94" s="40">
        <v>27</v>
      </c>
    </row>
    <row r="95" spans="1:13" x14ac:dyDescent="0.3">
      <c r="A95" s="40" t="str">
        <f>IF(28&lt;=nLan,"CĐ I(a) max -  lệch tâm"&amp;28&amp;" làn","")</f>
        <v/>
      </c>
      <c r="B95" s="46" t="str">
        <f>IF($A95="","",'TO HOP'!$C$122+1.75*(0-'TO HOP'!$M$42))</f>
        <v/>
      </c>
      <c r="C95" s="46" t="str">
        <f>IF($A95="","",'TO HOP'!$D$122+1.75*(0-'TO HOP'!$M$43))</f>
        <v/>
      </c>
      <c r="D95" s="46" t="str">
        <f>IF($A95="","",'TO HOP'!$E$122+1.75*(INDEX('LANE ENGINE'!$D$6:$D$45,28)-'TO HOP'!$M$44))</f>
        <v/>
      </c>
      <c r="E95" s="46" t="str">
        <f>IF($A95="","",'TO HOP'!$F$122+1.75*(INDEX('LANE ENGINE'!$E$6:$E$45,28)-'TO HOP'!$M$45))</f>
        <v/>
      </c>
      <c r="F95" s="46" t="str">
        <f>IF($A95="","",'TO HOP'!$G$122+1.75*(INDEX('LANE ENGINE'!$F$6:$F$45,28)-'TO HOP'!$M$46))</f>
        <v/>
      </c>
      <c r="G95" s="46" t="str">
        <f>IF($A95="","",'TO HOP'!$H$122+1.75*(0-'TO HOP'!$M$47))</f>
        <v/>
      </c>
      <c r="H95" s="46" t="str">
        <f>IF($A95="","",'TO HOP'!$I$122+1.75*(0-'TO HOP'!$M$48))</f>
        <v/>
      </c>
      <c r="I95" s="46" t="str">
        <f>IF($A95="","",'TO HOP'!$J$122+1.75*(INDEX('LANE ENGINE'!$D$6:$D$45,28)-'TO HOP'!$M$49))</f>
        <v/>
      </c>
      <c r="J95" s="46" t="str">
        <f>IF($A95="","",'TO HOP'!$K$122+1.75*(INDEX('LANE ENGINE'!$E$6:$E$45,28)-'TO HOP'!$M$50))</f>
        <v/>
      </c>
      <c r="K95" s="46" t="str">
        <f>IF($A95="","",'TO HOP'!$L$122+1.75*(INDEX('LANE ENGINE'!$G$6:$G$45,28)-'TO HOP'!$M$51))</f>
        <v/>
      </c>
      <c r="L95" s="40" t="s">
        <v>885</v>
      </c>
      <c r="M95" s="40">
        <v>28</v>
      </c>
    </row>
    <row r="96" spans="1:13" x14ac:dyDescent="0.3">
      <c r="A96" s="40" t="str">
        <f>IF(29&lt;=nLan,"CĐ I(a) max -  lệch tâm"&amp;29&amp;" làn","")</f>
        <v/>
      </c>
      <c r="B96" s="46" t="str">
        <f>IF($A96="","",'TO HOP'!$C$122+1.75*(0-'TO HOP'!$M$42))</f>
        <v/>
      </c>
      <c r="C96" s="46" t="str">
        <f>IF($A96="","",'TO HOP'!$D$122+1.75*(0-'TO HOP'!$M$43))</f>
        <v/>
      </c>
      <c r="D96" s="46" t="str">
        <f>IF($A96="","",'TO HOP'!$E$122+1.75*(INDEX('LANE ENGINE'!$D$6:$D$45,29)-'TO HOP'!$M$44))</f>
        <v/>
      </c>
      <c r="E96" s="46" t="str">
        <f>IF($A96="","",'TO HOP'!$F$122+1.75*(INDEX('LANE ENGINE'!$E$6:$E$45,29)-'TO HOP'!$M$45))</f>
        <v/>
      </c>
      <c r="F96" s="46" t="str">
        <f>IF($A96="","",'TO HOP'!$G$122+1.75*(INDEX('LANE ENGINE'!$F$6:$F$45,29)-'TO HOP'!$M$46))</f>
        <v/>
      </c>
      <c r="G96" s="46" t="str">
        <f>IF($A96="","",'TO HOP'!$H$122+1.75*(0-'TO HOP'!$M$47))</f>
        <v/>
      </c>
      <c r="H96" s="46" t="str">
        <f>IF($A96="","",'TO HOP'!$I$122+1.75*(0-'TO HOP'!$M$48))</f>
        <v/>
      </c>
      <c r="I96" s="46" t="str">
        <f>IF($A96="","",'TO HOP'!$J$122+1.75*(INDEX('LANE ENGINE'!$D$6:$D$45,29)-'TO HOP'!$M$49))</f>
        <v/>
      </c>
      <c r="J96" s="46" t="str">
        <f>IF($A96="","",'TO HOP'!$K$122+1.75*(INDEX('LANE ENGINE'!$E$6:$E$45,29)-'TO HOP'!$M$50))</f>
        <v/>
      </c>
      <c r="K96" s="46" t="str">
        <f>IF($A96="","",'TO HOP'!$L$122+1.75*(INDEX('LANE ENGINE'!$G$6:$G$45,29)-'TO HOP'!$M$51))</f>
        <v/>
      </c>
      <c r="L96" s="40" t="s">
        <v>885</v>
      </c>
      <c r="M96" s="40">
        <v>29</v>
      </c>
    </row>
    <row r="97" spans="1:13" x14ac:dyDescent="0.3">
      <c r="A97" s="40" t="str">
        <f>IF(30&lt;=nLan,"CĐ I(a) max -  lệch tâm"&amp;30&amp;" làn","")</f>
        <v/>
      </c>
      <c r="B97" s="46" t="str">
        <f>IF($A97="","",'TO HOP'!$C$122+1.75*(0-'TO HOP'!$M$42))</f>
        <v/>
      </c>
      <c r="C97" s="46" t="str">
        <f>IF($A97="","",'TO HOP'!$D$122+1.75*(0-'TO HOP'!$M$43))</f>
        <v/>
      </c>
      <c r="D97" s="46" t="str">
        <f>IF($A97="","",'TO HOP'!$E$122+1.75*(INDEX('LANE ENGINE'!$D$6:$D$45,30)-'TO HOP'!$M$44))</f>
        <v/>
      </c>
      <c r="E97" s="46" t="str">
        <f>IF($A97="","",'TO HOP'!$F$122+1.75*(INDEX('LANE ENGINE'!$E$6:$E$45,30)-'TO HOP'!$M$45))</f>
        <v/>
      </c>
      <c r="F97" s="46" t="str">
        <f>IF($A97="","",'TO HOP'!$G$122+1.75*(INDEX('LANE ENGINE'!$F$6:$F$45,30)-'TO HOP'!$M$46))</f>
        <v/>
      </c>
      <c r="G97" s="46" t="str">
        <f>IF($A97="","",'TO HOP'!$H$122+1.75*(0-'TO HOP'!$M$47))</f>
        <v/>
      </c>
      <c r="H97" s="46" t="str">
        <f>IF($A97="","",'TO HOP'!$I$122+1.75*(0-'TO HOP'!$M$48))</f>
        <v/>
      </c>
      <c r="I97" s="46" t="str">
        <f>IF($A97="","",'TO HOP'!$J$122+1.75*(INDEX('LANE ENGINE'!$D$6:$D$45,30)-'TO HOP'!$M$49))</f>
        <v/>
      </c>
      <c r="J97" s="46" t="str">
        <f>IF($A97="","",'TO HOP'!$K$122+1.75*(INDEX('LANE ENGINE'!$E$6:$E$45,30)-'TO HOP'!$M$50))</f>
        <v/>
      </c>
      <c r="K97" s="46" t="str">
        <f>IF($A97="","",'TO HOP'!$L$122+1.75*(INDEX('LANE ENGINE'!$G$6:$G$45,30)-'TO HOP'!$M$51))</f>
        <v/>
      </c>
      <c r="L97" s="40" t="s">
        <v>885</v>
      </c>
      <c r="M97" s="40">
        <v>30</v>
      </c>
    </row>
    <row r="98" spans="1:13" x14ac:dyDescent="0.3">
      <c r="A98" s="40" t="str">
        <f>IF(31&lt;=nLan,"CĐ I(a) max -  lệch tâm"&amp;31&amp;" làn","")</f>
        <v/>
      </c>
      <c r="B98" s="46" t="str">
        <f>IF($A98="","",'TO HOP'!$C$122+1.75*(0-'TO HOP'!$M$42))</f>
        <v/>
      </c>
      <c r="C98" s="46" t="str">
        <f>IF($A98="","",'TO HOP'!$D$122+1.75*(0-'TO HOP'!$M$43))</f>
        <v/>
      </c>
      <c r="D98" s="46" t="str">
        <f>IF($A98="","",'TO HOP'!$E$122+1.75*(INDEX('LANE ENGINE'!$D$6:$D$45,31)-'TO HOP'!$M$44))</f>
        <v/>
      </c>
      <c r="E98" s="46" t="str">
        <f>IF($A98="","",'TO HOP'!$F$122+1.75*(INDEX('LANE ENGINE'!$E$6:$E$45,31)-'TO HOP'!$M$45))</f>
        <v/>
      </c>
      <c r="F98" s="46" t="str">
        <f>IF($A98="","",'TO HOP'!$G$122+1.75*(INDEX('LANE ENGINE'!$F$6:$F$45,31)-'TO HOP'!$M$46))</f>
        <v/>
      </c>
      <c r="G98" s="46" t="str">
        <f>IF($A98="","",'TO HOP'!$H$122+1.75*(0-'TO HOP'!$M$47))</f>
        <v/>
      </c>
      <c r="H98" s="46" t="str">
        <f>IF($A98="","",'TO HOP'!$I$122+1.75*(0-'TO HOP'!$M$48))</f>
        <v/>
      </c>
      <c r="I98" s="46" t="str">
        <f>IF($A98="","",'TO HOP'!$J$122+1.75*(INDEX('LANE ENGINE'!$D$6:$D$45,31)-'TO HOP'!$M$49))</f>
        <v/>
      </c>
      <c r="J98" s="46" t="str">
        <f>IF($A98="","",'TO HOP'!$K$122+1.75*(INDEX('LANE ENGINE'!$E$6:$E$45,31)-'TO HOP'!$M$50))</f>
        <v/>
      </c>
      <c r="K98" s="46" t="str">
        <f>IF($A98="","",'TO HOP'!$L$122+1.75*(INDEX('LANE ENGINE'!$G$6:$G$45,31)-'TO HOP'!$M$51))</f>
        <v/>
      </c>
      <c r="L98" s="40" t="s">
        <v>885</v>
      </c>
      <c r="M98" s="40">
        <v>31</v>
      </c>
    </row>
    <row r="99" spans="1:13" x14ac:dyDescent="0.3">
      <c r="A99" s="40" t="str">
        <f>IF(32&lt;=nLan,"CĐ I(a) max -  lệch tâm"&amp;32&amp;" làn","")</f>
        <v/>
      </c>
      <c r="B99" s="46" t="str">
        <f>IF($A99="","",'TO HOP'!$C$122+1.75*(0-'TO HOP'!$M$42))</f>
        <v/>
      </c>
      <c r="C99" s="46" t="str">
        <f>IF($A99="","",'TO HOP'!$D$122+1.75*(0-'TO HOP'!$M$43))</f>
        <v/>
      </c>
      <c r="D99" s="46" t="str">
        <f>IF($A99="","",'TO HOP'!$E$122+1.75*(INDEX('LANE ENGINE'!$D$6:$D$45,32)-'TO HOP'!$M$44))</f>
        <v/>
      </c>
      <c r="E99" s="46" t="str">
        <f>IF($A99="","",'TO HOP'!$F$122+1.75*(INDEX('LANE ENGINE'!$E$6:$E$45,32)-'TO HOP'!$M$45))</f>
        <v/>
      </c>
      <c r="F99" s="46" t="str">
        <f>IF($A99="","",'TO HOP'!$G$122+1.75*(INDEX('LANE ENGINE'!$F$6:$F$45,32)-'TO HOP'!$M$46))</f>
        <v/>
      </c>
      <c r="G99" s="46" t="str">
        <f>IF($A99="","",'TO HOP'!$H$122+1.75*(0-'TO HOP'!$M$47))</f>
        <v/>
      </c>
      <c r="H99" s="46" t="str">
        <f>IF($A99="","",'TO HOP'!$I$122+1.75*(0-'TO HOP'!$M$48))</f>
        <v/>
      </c>
      <c r="I99" s="46" t="str">
        <f>IF($A99="","",'TO HOP'!$J$122+1.75*(INDEX('LANE ENGINE'!$D$6:$D$45,32)-'TO HOP'!$M$49))</f>
        <v/>
      </c>
      <c r="J99" s="46" t="str">
        <f>IF($A99="","",'TO HOP'!$K$122+1.75*(INDEX('LANE ENGINE'!$E$6:$E$45,32)-'TO HOP'!$M$50))</f>
        <v/>
      </c>
      <c r="K99" s="46" t="str">
        <f>IF($A99="","",'TO HOP'!$L$122+1.75*(INDEX('LANE ENGINE'!$G$6:$G$45,32)-'TO HOP'!$M$51))</f>
        <v/>
      </c>
      <c r="L99" s="40" t="s">
        <v>885</v>
      </c>
      <c r="M99" s="40">
        <v>32</v>
      </c>
    </row>
    <row r="100" spans="1:13" x14ac:dyDescent="0.3">
      <c r="A100" s="40" t="str">
        <f>IF(33&lt;=nLan,"CĐ I(a) max -  lệch tâm"&amp;33&amp;" làn","")</f>
        <v/>
      </c>
      <c r="B100" s="46" t="str">
        <f>IF($A100="","",'TO HOP'!$C$122+1.75*(0-'TO HOP'!$M$42))</f>
        <v/>
      </c>
      <c r="C100" s="46" t="str">
        <f>IF($A100="","",'TO HOP'!$D$122+1.75*(0-'TO HOP'!$M$43))</f>
        <v/>
      </c>
      <c r="D100" s="46" t="str">
        <f>IF($A100="","",'TO HOP'!$E$122+1.75*(INDEX('LANE ENGINE'!$D$6:$D$45,33)-'TO HOP'!$M$44))</f>
        <v/>
      </c>
      <c r="E100" s="46" t="str">
        <f>IF($A100="","",'TO HOP'!$F$122+1.75*(INDEX('LANE ENGINE'!$E$6:$E$45,33)-'TO HOP'!$M$45))</f>
        <v/>
      </c>
      <c r="F100" s="46" t="str">
        <f>IF($A100="","",'TO HOP'!$G$122+1.75*(INDEX('LANE ENGINE'!$F$6:$F$45,33)-'TO HOP'!$M$46))</f>
        <v/>
      </c>
      <c r="G100" s="46" t="str">
        <f>IF($A100="","",'TO HOP'!$H$122+1.75*(0-'TO HOP'!$M$47))</f>
        <v/>
      </c>
      <c r="H100" s="46" t="str">
        <f>IF($A100="","",'TO HOP'!$I$122+1.75*(0-'TO HOP'!$M$48))</f>
        <v/>
      </c>
      <c r="I100" s="46" t="str">
        <f>IF($A100="","",'TO HOP'!$J$122+1.75*(INDEX('LANE ENGINE'!$D$6:$D$45,33)-'TO HOP'!$M$49))</f>
        <v/>
      </c>
      <c r="J100" s="46" t="str">
        <f>IF($A100="","",'TO HOP'!$K$122+1.75*(INDEX('LANE ENGINE'!$E$6:$E$45,33)-'TO HOP'!$M$50))</f>
        <v/>
      </c>
      <c r="K100" s="46" t="str">
        <f>IF($A100="","",'TO HOP'!$L$122+1.75*(INDEX('LANE ENGINE'!$G$6:$G$45,33)-'TO HOP'!$M$51))</f>
        <v/>
      </c>
      <c r="L100" s="40" t="s">
        <v>885</v>
      </c>
      <c r="M100" s="40">
        <v>33</v>
      </c>
    </row>
    <row r="101" spans="1:13" x14ac:dyDescent="0.3">
      <c r="A101" s="40" t="str">
        <f>IF(34&lt;=nLan,"CĐ I(a) max -  lệch tâm"&amp;34&amp;" làn","")</f>
        <v/>
      </c>
      <c r="B101" s="46" t="str">
        <f>IF($A101="","",'TO HOP'!$C$122+1.75*(0-'TO HOP'!$M$42))</f>
        <v/>
      </c>
      <c r="C101" s="46" t="str">
        <f>IF($A101="","",'TO HOP'!$D$122+1.75*(0-'TO HOP'!$M$43))</f>
        <v/>
      </c>
      <c r="D101" s="46" t="str">
        <f>IF($A101="","",'TO HOP'!$E$122+1.75*(INDEX('LANE ENGINE'!$D$6:$D$45,34)-'TO HOP'!$M$44))</f>
        <v/>
      </c>
      <c r="E101" s="46" t="str">
        <f>IF($A101="","",'TO HOP'!$F$122+1.75*(INDEX('LANE ENGINE'!$E$6:$E$45,34)-'TO HOP'!$M$45))</f>
        <v/>
      </c>
      <c r="F101" s="46" t="str">
        <f>IF($A101="","",'TO HOP'!$G$122+1.75*(INDEX('LANE ENGINE'!$F$6:$F$45,34)-'TO HOP'!$M$46))</f>
        <v/>
      </c>
      <c r="G101" s="46" t="str">
        <f>IF($A101="","",'TO HOP'!$H$122+1.75*(0-'TO HOP'!$M$47))</f>
        <v/>
      </c>
      <c r="H101" s="46" t="str">
        <f>IF($A101="","",'TO HOP'!$I$122+1.75*(0-'TO HOP'!$M$48))</f>
        <v/>
      </c>
      <c r="I101" s="46" t="str">
        <f>IF($A101="","",'TO HOP'!$J$122+1.75*(INDEX('LANE ENGINE'!$D$6:$D$45,34)-'TO HOP'!$M$49))</f>
        <v/>
      </c>
      <c r="J101" s="46" t="str">
        <f>IF($A101="","",'TO HOP'!$K$122+1.75*(INDEX('LANE ENGINE'!$E$6:$E$45,34)-'TO HOP'!$M$50))</f>
        <v/>
      </c>
      <c r="K101" s="46" t="str">
        <f>IF($A101="","",'TO HOP'!$L$122+1.75*(INDEX('LANE ENGINE'!$G$6:$G$45,34)-'TO HOP'!$M$51))</f>
        <v/>
      </c>
      <c r="L101" s="40" t="s">
        <v>885</v>
      </c>
      <c r="M101" s="40">
        <v>34</v>
      </c>
    </row>
    <row r="102" spans="1:13" x14ac:dyDescent="0.3">
      <c r="A102" s="40" t="str">
        <f>IF(35&lt;=nLan,"CĐ I(a) max -  lệch tâm"&amp;35&amp;" làn","")</f>
        <v/>
      </c>
      <c r="B102" s="46" t="str">
        <f>IF($A102="","",'TO HOP'!$C$122+1.75*(0-'TO HOP'!$M$42))</f>
        <v/>
      </c>
      <c r="C102" s="46" t="str">
        <f>IF($A102="","",'TO HOP'!$D$122+1.75*(0-'TO HOP'!$M$43))</f>
        <v/>
      </c>
      <c r="D102" s="46" t="str">
        <f>IF($A102="","",'TO HOP'!$E$122+1.75*(INDEX('LANE ENGINE'!$D$6:$D$45,35)-'TO HOP'!$M$44))</f>
        <v/>
      </c>
      <c r="E102" s="46" t="str">
        <f>IF($A102="","",'TO HOP'!$F$122+1.75*(INDEX('LANE ENGINE'!$E$6:$E$45,35)-'TO HOP'!$M$45))</f>
        <v/>
      </c>
      <c r="F102" s="46" t="str">
        <f>IF($A102="","",'TO HOP'!$G$122+1.75*(INDEX('LANE ENGINE'!$F$6:$F$45,35)-'TO HOP'!$M$46))</f>
        <v/>
      </c>
      <c r="G102" s="46" t="str">
        <f>IF($A102="","",'TO HOP'!$H$122+1.75*(0-'TO HOP'!$M$47))</f>
        <v/>
      </c>
      <c r="H102" s="46" t="str">
        <f>IF($A102="","",'TO HOP'!$I$122+1.75*(0-'TO HOP'!$M$48))</f>
        <v/>
      </c>
      <c r="I102" s="46" t="str">
        <f>IF($A102="","",'TO HOP'!$J$122+1.75*(INDEX('LANE ENGINE'!$D$6:$D$45,35)-'TO HOP'!$M$49))</f>
        <v/>
      </c>
      <c r="J102" s="46" t="str">
        <f>IF($A102="","",'TO HOP'!$K$122+1.75*(INDEX('LANE ENGINE'!$E$6:$E$45,35)-'TO HOP'!$M$50))</f>
        <v/>
      </c>
      <c r="K102" s="46" t="str">
        <f>IF($A102="","",'TO HOP'!$L$122+1.75*(INDEX('LANE ENGINE'!$G$6:$G$45,35)-'TO HOP'!$M$51))</f>
        <v/>
      </c>
      <c r="L102" s="40" t="s">
        <v>885</v>
      </c>
      <c r="M102" s="40">
        <v>35</v>
      </c>
    </row>
    <row r="103" spans="1:13" x14ac:dyDescent="0.3">
      <c r="A103" s="40" t="str">
        <f>IF(36&lt;=nLan,"CĐ I(a) max -  lệch tâm"&amp;36&amp;" làn","")</f>
        <v/>
      </c>
      <c r="B103" s="46" t="str">
        <f>IF($A103="","",'TO HOP'!$C$122+1.75*(0-'TO HOP'!$M$42))</f>
        <v/>
      </c>
      <c r="C103" s="46" t="str">
        <f>IF($A103="","",'TO HOP'!$D$122+1.75*(0-'TO HOP'!$M$43))</f>
        <v/>
      </c>
      <c r="D103" s="46" t="str">
        <f>IF($A103="","",'TO HOP'!$E$122+1.75*(INDEX('LANE ENGINE'!$D$6:$D$45,36)-'TO HOP'!$M$44))</f>
        <v/>
      </c>
      <c r="E103" s="46" t="str">
        <f>IF($A103="","",'TO HOP'!$F$122+1.75*(INDEX('LANE ENGINE'!$E$6:$E$45,36)-'TO HOP'!$M$45))</f>
        <v/>
      </c>
      <c r="F103" s="46" t="str">
        <f>IF($A103="","",'TO HOP'!$G$122+1.75*(INDEX('LANE ENGINE'!$F$6:$F$45,36)-'TO HOP'!$M$46))</f>
        <v/>
      </c>
      <c r="G103" s="46" t="str">
        <f>IF($A103="","",'TO HOP'!$H$122+1.75*(0-'TO HOP'!$M$47))</f>
        <v/>
      </c>
      <c r="H103" s="46" t="str">
        <f>IF($A103="","",'TO HOP'!$I$122+1.75*(0-'TO HOP'!$M$48))</f>
        <v/>
      </c>
      <c r="I103" s="46" t="str">
        <f>IF($A103="","",'TO HOP'!$J$122+1.75*(INDEX('LANE ENGINE'!$D$6:$D$45,36)-'TO HOP'!$M$49))</f>
        <v/>
      </c>
      <c r="J103" s="46" t="str">
        <f>IF($A103="","",'TO HOP'!$K$122+1.75*(INDEX('LANE ENGINE'!$E$6:$E$45,36)-'TO HOP'!$M$50))</f>
        <v/>
      </c>
      <c r="K103" s="46" t="str">
        <f>IF($A103="","",'TO HOP'!$L$122+1.75*(INDEX('LANE ENGINE'!$G$6:$G$45,36)-'TO HOP'!$M$51))</f>
        <v/>
      </c>
      <c r="L103" s="40" t="s">
        <v>885</v>
      </c>
      <c r="M103" s="40">
        <v>36</v>
      </c>
    </row>
    <row r="104" spans="1:13" x14ac:dyDescent="0.3">
      <c r="A104" s="40" t="str">
        <f>IF(37&lt;=nLan,"CĐ I(a) max -  lệch tâm"&amp;37&amp;" làn","")</f>
        <v/>
      </c>
      <c r="B104" s="46" t="str">
        <f>IF($A104="","",'TO HOP'!$C$122+1.75*(0-'TO HOP'!$M$42))</f>
        <v/>
      </c>
      <c r="C104" s="46" t="str">
        <f>IF($A104="","",'TO HOP'!$D$122+1.75*(0-'TO HOP'!$M$43))</f>
        <v/>
      </c>
      <c r="D104" s="46" t="str">
        <f>IF($A104="","",'TO HOP'!$E$122+1.75*(INDEX('LANE ENGINE'!$D$6:$D$45,37)-'TO HOP'!$M$44))</f>
        <v/>
      </c>
      <c r="E104" s="46" t="str">
        <f>IF($A104="","",'TO HOP'!$F$122+1.75*(INDEX('LANE ENGINE'!$E$6:$E$45,37)-'TO HOP'!$M$45))</f>
        <v/>
      </c>
      <c r="F104" s="46" t="str">
        <f>IF($A104="","",'TO HOP'!$G$122+1.75*(INDEX('LANE ENGINE'!$F$6:$F$45,37)-'TO HOP'!$M$46))</f>
        <v/>
      </c>
      <c r="G104" s="46" t="str">
        <f>IF($A104="","",'TO HOP'!$H$122+1.75*(0-'TO HOP'!$M$47))</f>
        <v/>
      </c>
      <c r="H104" s="46" t="str">
        <f>IF($A104="","",'TO HOP'!$I$122+1.75*(0-'TO HOP'!$M$48))</f>
        <v/>
      </c>
      <c r="I104" s="46" t="str">
        <f>IF($A104="","",'TO HOP'!$J$122+1.75*(INDEX('LANE ENGINE'!$D$6:$D$45,37)-'TO HOP'!$M$49))</f>
        <v/>
      </c>
      <c r="J104" s="46" t="str">
        <f>IF($A104="","",'TO HOP'!$K$122+1.75*(INDEX('LANE ENGINE'!$E$6:$E$45,37)-'TO HOP'!$M$50))</f>
        <v/>
      </c>
      <c r="K104" s="46" t="str">
        <f>IF($A104="","",'TO HOP'!$L$122+1.75*(INDEX('LANE ENGINE'!$G$6:$G$45,37)-'TO HOP'!$M$51))</f>
        <v/>
      </c>
      <c r="L104" s="40" t="s">
        <v>885</v>
      </c>
      <c r="M104" s="40">
        <v>37</v>
      </c>
    </row>
    <row r="105" spans="1:13" x14ac:dyDescent="0.3">
      <c r="A105" s="40" t="str">
        <f>IF(38&lt;=nLan,"CĐ I(a) max -  lệch tâm"&amp;38&amp;" làn","")</f>
        <v/>
      </c>
      <c r="B105" s="46" t="str">
        <f>IF($A105="","",'TO HOP'!$C$122+1.75*(0-'TO HOP'!$M$42))</f>
        <v/>
      </c>
      <c r="C105" s="46" t="str">
        <f>IF($A105="","",'TO HOP'!$D$122+1.75*(0-'TO HOP'!$M$43))</f>
        <v/>
      </c>
      <c r="D105" s="46" t="str">
        <f>IF($A105="","",'TO HOP'!$E$122+1.75*(INDEX('LANE ENGINE'!$D$6:$D$45,38)-'TO HOP'!$M$44))</f>
        <v/>
      </c>
      <c r="E105" s="46" t="str">
        <f>IF($A105="","",'TO HOP'!$F$122+1.75*(INDEX('LANE ENGINE'!$E$6:$E$45,38)-'TO HOP'!$M$45))</f>
        <v/>
      </c>
      <c r="F105" s="46" t="str">
        <f>IF($A105="","",'TO HOP'!$G$122+1.75*(INDEX('LANE ENGINE'!$F$6:$F$45,38)-'TO HOP'!$M$46))</f>
        <v/>
      </c>
      <c r="G105" s="46" t="str">
        <f>IF($A105="","",'TO HOP'!$H$122+1.75*(0-'TO HOP'!$M$47))</f>
        <v/>
      </c>
      <c r="H105" s="46" t="str">
        <f>IF($A105="","",'TO HOP'!$I$122+1.75*(0-'TO HOP'!$M$48))</f>
        <v/>
      </c>
      <c r="I105" s="46" t="str">
        <f>IF($A105="","",'TO HOP'!$J$122+1.75*(INDEX('LANE ENGINE'!$D$6:$D$45,38)-'TO HOP'!$M$49))</f>
        <v/>
      </c>
      <c r="J105" s="46" t="str">
        <f>IF($A105="","",'TO HOP'!$K$122+1.75*(INDEX('LANE ENGINE'!$E$6:$E$45,38)-'TO HOP'!$M$50))</f>
        <v/>
      </c>
      <c r="K105" s="46" t="str">
        <f>IF($A105="","",'TO HOP'!$L$122+1.75*(INDEX('LANE ENGINE'!$G$6:$G$45,38)-'TO HOP'!$M$51))</f>
        <v/>
      </c>
      <c r="L105" s="40" t="s">
        <v>885</v>
      </c>
      <c r="M105" s="40">
        <v>38</v>
      </c>
    </row>
    <row r="106" spans="1:13" x14ac:dyDescent="0.3">
      <c r="A106" s="40" t="str">
        <f>IF(39&lt;=nLan,"CĐ I(a) max -  lệch tâm"&amp;39&amp;" làn","")</f>
        <v/>
      </c>
      <c r="B106" s="46" t="str">
        <f>IF($A106="","",'TO HOP'!$C$122+1.75*(0-'TO HOP'!$M$42))</f>
        <v/>
      </c>
      <c r="C106" s="46" t="str">
        <f>IF($A106="","",'TO HOP'!$D$122+1.75*(0-'TO HOP'!$M$43))</f>
        <v/>
      </c>
      <c r="D106" s="46" t="str">
        <f>IF($A106="","",'TO HOP'!$E$122+1.75*(INDEX('LANE ENGINE'!$D$6:$D$45,39)-'TO HOP'!$M$44))</f>
        <v/>
      </c>
      <c r="E106" s="46" t="str">
        <f>IF($A106="","",'TO HOP'!$F$122+1.75*(INDEX('LANE ENGINE'!$E$6:$E$45,39)-'TO HOP'!$M$45))</f>
        <v/>
      </c>
      <c r="F106" s="46" t="str">
        <f>IF($A106="","",'TO HOP'!$G$122+1.75*(INDEX('LANE ENGINE'!$F$6:$F$45,39)-'TO HOP'!$M$46))</f>
        <v/>
      </c>
      <c r="G106" s="46" t="str">
        <f>IF($A106="","",'TO HOP'!$H$122+1.75*(0-'TO HOP'!$M$47))</f>
        <v/>
      </c>
      <c r="H106" s="46" t="str">
        <f>IF($A106="","",'TO HOP'!$I$122+1.75*(0-'TO HOP'!$M$48))</f>
        <v/>
      </c>
      <c r="I106" s="46" t="str">
        <f>IF($A106="","",'TO HOP'!$J$122+1.75*(INDEX('LANE ENGINE'!$D$6:$D$45,39)-'TO HOP'!$M$49))</f>
        <v/>
      </c>
      <c r="J106" s="46" t="str">
        <f>IF($A106="","",'TO HOP'!$K$122+1.75*(INDEX('LANE ENGINE'!$E$6:$E$45,39)-'TO HOP'!$M$50))</f>
        <v/>
      </c>
      <c r="K106" s="46" t="str">
        <f>IF($A106="","",'TO HOP'!$L$122+1.75*(INDEX('LANE ENGINE'!$G$6:$G$45,39)-'TO HOP'!$M$51))</f>
        <v/>
      </c>
      <c r="L106" s="40" t="s">
        <v>885</v>
      </c>
      <c r="M106" s="40">
        <v>39</v>
      </c>
    </row>
    <row r="107" spans="1:13" x14ac:dyDescent="0.3">
      <c r="A107" s="40" t="str">
        <f>IF(40&lt;=nLan,"CĐ I(a) max -  lệch tâm"&amp;40&amp;" làn","")</f>
        <v/>
      </c>
      <c r="B107" s="46" t="str">
        <f>IF($A107="","",'TO HOP'!$C$122+1.75*(0-'TO HOP'!$M$42))</f>
        <v/>
      </c>
      <c r="C107" s="46" t="str">
        <f>IF($A107="","",'TO HOP'!$D$122+1.75*(0-'TO HOP'!$M$43))</f>
        <v/>
      </c>
      <c r="D107" s="46" t="str">
        <f>IF($A107="","",'TO HOP'!$E$122+1.75*(INDEX('LANE ENGINE'!$D$6:$D$45,40)-'TO HOP'!$M$44))</f>
        <v/>
      </c>
      <c r="E107" s="46" t="str">
        <f>IF($A107="","",'TO HOP'!$F$122+1.75*(INDEX('LANE ENGINE'!$E$6:$E$45,40)-'TO HOP'!$M$45))</f>
        <v/>
      </c>
      <c r="F107" s="46" t="str">
        <f>IF($A107="","",'TO HOP'!$G$122+1.75*(INDEX('LANE ENGINE'!$F$6:$F$45,40)-'TO HOP'!$M$46))</f>
        <v/>
      </c>
      <c r="G107" s="46" t="str">
        <f>IF($A107="","",'TO HOP'!$H$122+1.75*(0-'TO HOP'!$M$47))</f>
        <v/>
      </c>
      <c r="H107" s="46" t="str">
        <f>IF($A107="","",'TO HOP'!$I$122+1.75*(0-'TO HOP'!$M$48))</f>
        <v/>
      </c>
      <c r="I107" s="46" t="str">
        <f>IF($A107="","",'TO HOP'!$J$122+1.75*(INDEX('LANE ENGINE'!$D$6:$D$45,40)-'TO HOP'!$M$49))</f>
        <v/>
      </c>
      <c r="J107" s="46" t="str">
        <f>IF($A107="","",'TO HOP'!$K$122+1.75*(INDEX('LANE ENGINE'!$E$6:$E$45,40)-'TO HOP'!$M$50))</f>
        <v/>
      </c>
      <c r="K107" s="46" t="str">
        <f>IF($A107="","",'TO HOP'!$L$122+1.75*(INDEX('LANE ENGINE'!$G$6:$G$45,40)-'TO HOP'!$M$51))</f>
        <v/>
      </c>
      <c r="L107" s="40" t="s">
        <v>885</v>
      </c>
      <c r="M107" s="40">
        <v>40</v>
      </c>
    </row>
    <row r="108" spans="1:13" x14ac:dyDescent="0.3">
      <c r="A108" s="40" t="str">
        <f>IF(7&lt;=nLan,"CĐ I(a) max -  đúng tâm"&amp;7&amp;" làn","")</f>
        <v/>
      </c>
      <c r="B108" s="46" t="str">
        <f>IF($A108="","",'TO HOP'!$C$128+1.75*(0-'TO HOP'!$S$42))</f>
        <v/>
      </c>
      <c r="C108" s="46" t="str">
        <f>IF($A108="","",'TO HOP'!$D$128+1.75*(0-'TO HOP'!$S$43))</f>
        <v/>
      </c>
      <c r="D108" s="46" t="str">
        <f>IF($A108="","",'TO HOP'!$E$128+1.75*(INDEX('LANE ENGINE'!$D$6:$D$45,7)-'TO HOP'!$S$44))</f>
        <v/>
      </c>
      <c r="E108" s="46" t="str">
        <f>IF($A108="","",'TO HOP'!$F$128+1.75*(0-'TO HOP'!$S$45))</f>
        <v/>
      </c>
      <c r="F108" s="46" t="str">
        <f>IF($A108="","",'TO HOP'!$G$128+1.75*(INDEX('LANE ENGINE'!$F$6:$F$45,7)-'TO HOP'!$S$46))</f>
        <v/>
      </c>
      <c r="G108" s="46" t="str">
        <f>IF($A108="","",'TO HOP'!$H$128+1.75*(0-'TO HOP'!$S$47))</f>
        <v/>
      </c>
      <c r="H108" s="46" t="str">
        <f>IF($A108="","",'TO HOP'!$I$128+1.75*(0-'TO HOP'!$S$48))</f>
        <v/>
      </c>
      <c r="I108" s="46" t="str">
        <f>IF($A108="","",'TO HOP'!$J$128+1.75*(INDEX('LANE ENGINE'!$D$6:$D$45,7)-'TO HOP'!$S$49))</f>
        <v/>
      </c>
      <c r="J108" s="46" t="str">
        <f>IF($A108="","",'TO HOP'!$K$128+1.75*(0-'TO HOP'!$S$50))</f>
        <v/>
      </c>
      <c r="K108" s="46" t="str">
        <f>IF($A108="","",'TO HOP'!$L$128+1.75*(INDEX('LANE ENGINE'!$G$6:$G$45,7)-'TO HOP'!$S$51))</f>
        <v/>
      </c>
      <c r="L108" s="40" t="s">
        <v>885</v>
      </c>
      <c r="M108" s="40">
        <v>7</v>
      </c>
    </row>
    <row r="109" spans="1:13" x14ac:dyDescent="0.3">
      <c r="A109" s="40" t="str">
        <f>IF(8&lt;=nLan,"CĐ I(a) max -  đúng tâm"&amp;8&amp;" làn","")</f>
        <v/>
      </c>
      <c r="B109" s="46" t="str">
        <f>IF($A109="","",'TO HOP'!$C$128+1.75*(0-'TO HOP'!$S$42))</f>
        <v/>
      </c>
      <c r="C109" s="46" t="str">
        <f>IF($A109="","",'TO HOP'!$D$128+1.75*(0-'TO HOP'!$S$43))</f>
        <v/>
      </c>
      <c r="D109" s="46" t="str">
        <f>IF($A109="","",'TO HOP'!$E$128+1.75*(INDEX('LANE ENGINE'!$D$6:$D$45,8)-'TO HOP'!$S$44))</f>
        <v/>
      </c>
      <c r="E109" s="46" t="str">
        <f>IF($A109="","",'TO HOP'!$F$128+1.75*(0-'TO HOP'!$S$45))</f>
        <v/>
      </c>
      <c r="F109" s="46" t="str">
        <f>IF($A109="","",'TO HOP'!$G$128+1.75*(INDEX('LANE ENGINE'!$F$6:$F$45,8)-'TO HOP'!$S$46))</f>
        <v/>
      </c>
      <c r="G109" s="46" t="str">
        <f>IF($A109="","",'TO HOP'!$H$128+1.75*(0-'TO HOP'!$S$47))</f>
        <v/>
      </c>
      <c r="H109" s="46" t="str">
        <f>IF($A109="","",'TO HOP'!$I$128+1.75*(0-'TO HOP'!$S$48))</f>
        <v/>
      </c>
      <c r="I109" s="46" t="str">
        <f>IF($A109="","",'TO HOP'!$J$128+1.75*(INDEX('LANE ENGINE'!$D$6:$D$45,8)-'TO HOP'!$S$49))</f>
        <v/>
      </c>
      <c r="J109" s="46" t="str">
        <f>IF($A109="","",'TO HOP'!$K$128+1.75*(0-'TO HOP'!$S$50))</f>
        <v/>
      </c>
      <c r="K109" s="46" t="str">
        <f>IF($A109="","",'TO HOP'!$L$128+1.75*(INDEX('LANE ENGINE'!$G$6:$G$45,8)-'TO HOP'!$S$51))</f>
        <v/>
      </c>
      <c r="L109" s="40" t="s">
        <v>885</v>
      </c>
      <c r="M109" s="40">
        <v>8</v>
      </c>
    </row>
    <row r="110" spans="1:13" x14ac:dyDescent="0.3">
      <c r="A110" s="40" t="str">
        <f>IF(9&lt;=nLan,"CĐ I(a) max -  đúng tâm"&amp;9&amp;" làn","")</f>
        <v/>
      </c>
      <c r="B110" s="46" t="str">
        <f>IF($A110="","",'TO HOP'!$C$128+1.75*(0-'TO HOP'!$S$42))</f>
        <v/>
      </c>
      <c r="C110" s="46" t="str">
        <f>IF($A110="","",'TO HOP'!$D$128+1.75*(0-'TO HOP'!$S$43))</f>
        <v/>
      </c>
      <c r="D110" s="46" t="str">
        <f>IF($A110="","",'TO HOP'!$E$128+1.75*(INDEX('LANE ENGINE'!$D$6:$D$45,9)-'TO HOP'!$S$44))</f>
        <v/>
      </c>
      <c r="E110" s="46" t="str">
        <f>IF($A110="","",'TO HOP'!$F$128+1.75*(0-'TO HOP'!$S$45))</f>
        <v/>
      </c>
      <c r="F110" s="46" t="str">
        <f>IF($A110="","",'TO HOP'!$G$128+1.75*(INDEX('LANE ENGINE'!$F$6:$F$45,9)-'TO HOP'!$S$46))</f>
        <v/>
      </c>
      <c r="G110" s="46" t="str">
        <f>IF($A110="","",'TO HOP'!$H$128+1.75*(0-'TO HOP'!$S$47))</f>
        <v/>
      </c>
      <c r="H110" s="46" t="str">
        <f>IF($A110="","",'TO HOP'!$I$128+1.75*(0-'TO HOP'!$S$48))</f>
        <v/>
      </c>
      <c r="I110" s="46" t="str">
        <f>IF($A110="","",'TO HOP'!$J$128+1.75*(INDEX('LANE ENGINE'!$D$6:$D$45,9)-'TO HOP'!$S$49))</f>
        <v/>
      </c>
      <c r="J110" s="46" t="str">
        <f>IF($A110="","",'TO HOP'!$K$128+1.75*(0-'TO HOP'!$S$50))</f>
        <v/>
      </c>
      <c r="K110" s="46" t="str">
        <f>IF($A110="","",'TO HOP'!$L$128+1.75*(INDEX('LANE ENGINE'!$G$6:$G$45,9)-'TO HOP'!$S$51))</f>
        <v/>
      </c>
      <c r="L110" s="40" t="s">
        <v>885</v>
      </c>
      <c r="M110" s="40">
        <v>9</v>
      </c>
    </row>
    <row r="111" spans="1:13" x14ac:dyDescent="0.3">
      <c r="A111" s="40" t="str">
        <f>IF(10&lt;=nLan,"CĐ I(a) max -  đúng tâm"&amp;10&amp;" làn","")</f>
        <v/>
      </c>
      <c r="B111" s="46" t="str">
        <f>IF($A111="","",'TO HOP'!$C$128+1.75*(0-'TO HOP'!$S$42))</f>
        <v/>
      </c>
      <c r="C111" s="46" t="str">
        <f>IF($A111="","",'TO HOP'!$D$128+1.75*(0-'TO HOP'!$S$43))</f>
        <v/>
      </c>
      <c r="D111" s="46" t="str">
        <f>IF($A111="","",'TO HOP'!$E$128+1.75*(INDEX('LANE ENGINE'!$D$6:$D$45,10)-'TO HOP'!$S$44))</f>
        <v/>
      </c>
      <c r="E111" s="46" t="str">
        <f>IF($A111="","",'TO HOP'!$F$128+1.75*(0-'TO HOP'!$S$45))</f>
        <v/>
      </c>
      <c r="F111" s="46" t="str">
        <f>IF($A111="","",'TO HOP'!$G$128+1.75*(INDEX('LANE ENGINE'!$F$6:$F$45,10)-'TO HOP'!$S$46))</f>
        <v/>
      </c>
      <c r="G111" s="46" t="str">
        <f>IF($A111="","",'TO HOP'!$H$128+1.75*(0-'TO HOP'!$S$47))</f>
        <v/>
      </c>
      <c r="H111" s="46" t="str">
        <f>IF($A111="","",'TO HOP'!$I$128+1.75*(0-'TO HOP'!$S$48))</f>
        <v/>
      </c>
      <c r="I111" s="46" t="str">
        <f>IF($A111="","",'TO HOP'!$J$128+1.75*(INDEX('LANE ENGINE'!$D$6:$D$45,10)-'TO HOP'!$S$49))</f>
        <v/>
      </c>
      <c r="J111" s="46" t="str">
        <f>IF($A111="","",'TO HOP'!$K$128+1.75*(0-'TO HOP'!$S$50))</f>
        <v/>
      </c>
      <c r="K111" s="46" t="str">
        <f>IF($A111="","",'TO HOP'!$L$128+1.75*(INDEX('LANE ENGINE'!$G$6:$G$45,10)-'TO HOP'!$S$51))</f>
        <v/>
      </c>
      <c r="L111" s="40" t="s">
        <v>885</v>
      </c>
      <c r="M111" s="40">
        <v>10</v>
      </c>
    </row>
    <row r="112" spans="1:13" x14ac:dyDescent="0.3">
      <c r="A112" s="40" t="str">
        <f>IF(11&lt;=nLan,"CĐ I(a) max -  đúng tâm"&amp;11&amp;" làn","")</f>
        <v/>
      </c>
      <c r="B112" s="46" t="str">
        <f>IF($A112="","",'TO HOP'!$C$128+1.75*(0-'TO HOP'!$S$42))</f>
        <v/>
      </c>
      <c r="C112" s="46" t="str">
        <f>IF($A112="","",'TO HOP'!$D$128+1.75*(0-'TO HOP'!$S$43))</f>
        <v/>
      </c>
      <c r="D112" s="46" t="str">
        <f>IF($A112="","",'TO HOP'!$E$128+1.75*(INDEX('LANE ENGINE'!$D$6:$D$45,11)-'TO HOP'!$S$44))</f>
        <v/>
      </c>
      <c r="E112" s="46" t="str">
        <f>IF($A112="","",'TO HOP'!$F$128+1.75*(0-'TO HOP'!$S$45))</f>
        <v/>
      </c>
      <c r="F112" s="46" t="str">
        <f>IF($A112="","",'TO HOP'!$G$128+1.75*(INDEX('LANE ENGINE'!$F$6:$F$45,11)-'TO HOP'!$S$46))</f>
        <v/>
      </c>
      <c r="G112" s="46" t="str">
        <f>IF($A112="","",'TO HOP'!$H$128+1.75*(0-'TO HOP'!$S$47))</f>
        <v/>
      </c>
      <c r="H112" s="46" t="str">
        <f>IF($A112="","",'TO HOP'!$I$128+1.75*(0-'TO HOP'!$S$48))</f>
        <v/>
      </c>
      <c r="I112" s="46" t="str">
        <f>IF($A112="","",'TO HOP'!$J$128+1.75*(INDEX('LANE ENGINE'!$D$6:$D$45,11)-'TO HOP'!$S$49))</f>
        <v/>
      </c>
      <c r="J112" s="46" t="str">
        <f>IF($A112="","",'TO HOP'!$K$128+1.75*(0-'TO HOP'!$S$50))</f>
        <v/>
      </c>
      <c r="K112" s="46" t="str">
        <f>IF($A112="","",'TO HOP'!$L$128+1.75*(INDEX('LANE ENGINE'!$G$6:$G$45,11)-'TO HOP'!$S$51))</f>
        <v/>
      </c>
      <c r="L112" s="40" t="s">
        <v>885</v>
      </c>
      <c r="M112" s="40">
        <v>11</v>
      </c>
    </row>
    <row r="113" spans="1:13" x14ac:dyDescent="0.3">
      <c r="A113" s="40" t="str">
        <f>IF(12&lt;=nLan,"CĐ I(a) max -  đúng tâm"&amp;12&amp;" làn","")</f>
        <v/>
      </c>
      <c r="B113" s="46" t="str">
        <f>IF($A113="","",'TO HOP'!$C$128+1.75*(0-'TO HOP'!$S$42))</f>
        <v/>
      </c>
      <c r="C113" s="46" t="str">
        <f>IF($A113="","",'TO HOP'!$D$128+1.75*(0-'TO HOP'!$S$43))</f>
        <v/>
      </c>
      <c r="D113" s="46" t="str">
        <f>IF($A113="","",'TO HOP'!$E$128+1.75*(INDEX('LANE ENGINE'!$D$6:$D$45,12)-'TO HOP'!$S$44))</f>
        <v/>
      </c>
      <c r="E113" s="46" t="str">
        <f>IF($A113="","",'TO HOP'!$F$128+1.75*(0-'TO HOP'!$S$45))</f>
        <v/>
      </c>
      <c r="F113" s="46" t="str">
        <f>IF($A113="","",'TO HOP'!$G$128+1.75*(INDEX('LANE ENGINE'!$F$6:$F$45,12)-'TO HOP'!$S$46))</f>
        <v/>
      </c>
      <c r="G113" s="46" t="str">
        <f>IF($A113="","",'TO HOP'!$H$128+1.75*(0-'TO HOP'!$S$47))</f>
        <v/>
      </c>
      <c r="H113" s="46" t="str">
        <f>IF($A113="","",'TO HOP'!$I$128+1.75*(0-'TO HOP'!$S$48))</f>
        <v/>
      </c>
      <c r="I113" s="46" t="str">
        <f>IF($A113="","",'TO HOP'!$J$128+1.75*(INDEX('LANE ENGINE'!$D$6:$D$45,12)-'TO HOP'!$S$49))</f>
        <v/>
      </c>
      <c r="J113" s="46" t="str">
        <f>IF($A113="","",'TO HOP'!$K$128+1.75*(0-'TO HOP'!$S$50))</f>
        <v/>
      </c>
      <c r="K113" s="46" t="str">
        <f>IF($A113="","",'TO HOP'!$L$128+1.75*(INDEX('LANE ENGINE'!$G$6:$G$45,12)-'TO HOP'!$S$51))</f>
        <v/>
      </c>
      <c r="L113" s="40" t="s">
        <v>885</v>
      </c>
      <c r="M113" s="40">
        <v>12</v>
      </c>
    </row>
    <row r="114" spans="1:13" x14ac:dyDescent="0.3">
      <c r="A114" s="40" t="str">
        <f>IF(13&lt;=nLan,"CĐ I(a) max -  đúng tâm"&amp;13&amp;" làn","")</f>
        <v/>
      </c>
      <c r="B114" s="46" t="str">
        <f>IF($A114="","",'TO HOP'!$C$128+1.75*(0-'TO HOP'!$S$42))</f>
        <v/>
      </c>
      <c r="C114" s="46" t="str">
        <f>IF($A114="","",'TO HOP'!$D$128+1.75*(0-'TO HOP'!$S$43))</f>
        <v/>
      </c>
      <c r="D114" s="46" t="str">
        <f>IF($A114="","",'TO HOP'!$E$128+1.75*(INDEX('LANE ENGINE'!$D$6:$D$45,13)-'TO HOP'!$S$44))</f>
        <v/>
      </c>
      <c r="E114" s="46" t="str">
        <f>IF($A114="","",'TO HOP'!$F$128+1.75*(0-'TO HOP'!$S$45))</f>
        <v/>
      </c>
      <c r="F114" s="46" t="str">
        <f>IF($A114="","",'TO HOP'!$G$128+1.75*(INDEX('LANE ENGINE'!$F$6:$F$45,13)-'TO HOP'!$S$46))</f>
        <v/>
      </c>
      <c r="G114" s="46" t="str">
        <f>IF($A114="","",'TO HOP'!$H$128+1.75*(0-'TO HOP'!$S$47))</f>
        <v/>
      </c>
      <c r="H114" s="46" t="str">
        <f>IF($A114="","",'TO HOP'!$I$128+1.75*(0-'TO HOP'!$S$48))</f>
        <v/>
      </c>
      <c r="I114" s="46" t="str">
        <f>IF($A114="","",'TO HOP'!$J$128+1.75*(INDEX('LANE ENGINE'!$D$6:$D$45,13)-'TO HOP'!$S$49))</f>
        <v/>
      </c>
      <c r="J114" s="46" t="str">
        <f>IF($A114="","",'TO HOP'!$K$128+1.75*(0-'TO HOP'!$S$50))</f>
        <v/>
      </c>
      <c r="K114" s="46" t="str">
        <f>IF($A114="","",'TO HOP'!$L$128+1.75*(INDEX('LANE ENGINE'!$G$6:$G$45,13)-'TO HOP'!$S$51))</f>
        <v/>
      </c>
      <c r="L114" s="40" t="s">
        <v>885</v>
      </c>
      <c r="M114" s="40">
        <v>13</v>
      </c>
    </row>
    <row r="115" spans="1:13" x14ac:dyDescent="0.3">
      <c r="A115" s="40" t="str">
        <f>IF(14&lt;=nLan,"CĐ I(a) max -  đúng tâm"&amp;14&amp;" làn","")</f>
        <v/>
      </c>
      <c r="B115" s="46" t="str">
        <f>IF($A115="","",'TO HOP'!$C$128+1.75*(0-'TO HOP'!$S$42))</f>
        <v/>
      </c>
      <c r="C115" s="46" t="str">
        <f>IF($A115="","",'TO HOP'!$D$128+1.75*(0-'TO HOP'!$S$43))</f>
        <v/>
      </c>
      <c r="D115" s="46" t="str">
        <f>IF($A115="","",'TO HOP'!$E$128+1.75*(INDEX('LANE ENGINE'!$D$6:$D$45,14)-'TO HOP'!$S$44))</f>
        <v/>
      </c>
      <c r="E115" s="46" t="str">
        <f>IF($A115="","",'TO HOP'!$F$128+1.75*(0-'TO HOP'!$S$45))</f>
        <v/>
      </c>
      <c r="F115" s="46" t="str">
        <f>IF($A115="","",'TO HOP'!$G$128+1.75*(INDEX('LANE ENGINE'!$F$6:$F$45,14)-'TO HOP'!$S$46))</f>
        <v/>
      </c>
      <c r="G115" s="46" t="str">
        <f>IF($A115="","",'TO HOP'!$H$128+1.75*(0-'TO HOP'!$S$47))</f>
        <v/>
      </c>
      <c r="H115" s="46" t="str">
        <f>IF($A115="","",'TO HOP'!$I$128+1.75*(0-'TO HOP'!$S$48))</f>
        <v/>
      </c>
      <c r="I115" s="46" t="str">
        <f>IF($A115="","",'TO HOP'!$J$128+1.75*(INDEX('LANE ENGINE'!$D$6:$D$45,14)-'TO HOP'!$S$49))</f>
        <v/>
      </c>
      <c r="J115" s="46" t="str">
        <f>IF($A115="","",'TO HOP'!$K$128+1.75*(0-'TO HOP'!$S$50))</f>
        <v/>
      </c>
      <c r="K115" s="46" t="str">
        <f>IF($A115="","",'TO HOP'!$L$128+1.75*(INDEX('LANE ENGINE'!$G$6:$G$45,14)-'TO HOP'!$S$51))</f>
        <v/>
      </c>
      <c r="L115" s="40" t="s">
        <v>885</v>
      </c>
      <c r="M115" s="40">
        <v>14</v>
      </c>
    </row>
    <row r="116" spans="1:13" x14ac:dyDescent="0.3">
      <c r="A116" s="40" t="str">
        <f>IF(15&lt;=nLan,"CĐ I(a) max -  đúng tâm"&amp;15&amp;" làn","")</f>
        <v/>
      </c>
      <c r="B116" s="46" t="str">
        <f>IF($A116="","",'TO HOP'!$C$128+1.75*(0-'TO HOP'!$S$42))</f>
        <v/>
      </c>
      <c r="C116" s="46" t="str">
        <f>IF($A116="","",'TO HOP'!$D$128+1.75*(0-'TO HOP'!$S$43))</f>
        <v/>
      </c>
      <c r="D116" s="46" t="str">
        <f>IF($A116="","",'TO HOP'!$E$128+1.75*(INDEX('LANE ENGINE'!$D$6:$D$45,15)-'TO HOP'!$S$44))</f>
        <v/>
      </c>
      <c r="E116" s="46" t="str">
        <f>IF($A116="","",'TO HOP'!$F$128+1.75*(0-'TO HOP'!$S$45))</f>
        <v/>
      </c>
      <c r="F116" s="46" t="str">
        <f>IF($A116="","",'TO HOP'!$G$128+1.75*(INDEX('LANE ENGINE'!$F$6:$F$45,15)-'TO HOP'!$S$46))</f>
        <v/>
      </c>
      <c r="G116" s="46" t="str">
        <f>IF($A116="","",'TO HOP'!$H$128+1.75*(0-'TO HOP'!$S$47))</f>
        <v/>
      </c>
      <c r="H116" s="46" t="str">
        <f>IF($A116="","",'TO HOP'!$I$128+1.75*(0-'TO HOP'!$S$48))</f>
        <v/>
      </c>
      <c r="I116" s="46" t="str">
        <f>IF($A116="","",'TO HOP'!$J$128+1.75*(INDEX('LANE ENGINE'!$D$6:$D$45,15)-'TO HOP'!$S$49))</f>
        <v/>
      </c>
      <c r="J116" s="46" t="str">
        <f>IF($A116="","",'TO HOP'!$K$128+1.75*(0-'TO HOP'!$S$50))</f>
        <v/>
      </c>
      <c r="K116" s="46" t="str">
        <f>IF($A116="","",'TO HOP'!$L$128+1.75*(INDEX('LANE ENGINE'!$G$6:$G$45,15)-'TO HOP'!$S$51))</f>
        <v/>
      </c>
      <c r="L116" s="40" t="s">
        <v>885</v>
      </c>
      <c r="M116" s="40">
        <v>15</v>
      </c>
    </row>
    <row r="117" spans="1:13" x14ac:dyDescent="0.3">
      <c r="A117" s="40" t="str">
        <f>IF(16&lt;=nLan,"CĐ I(a) max -  đúng tâm"&amp;16&amp;" làn","")</f>
        <v/>
      </c>
      <c r="B117" s="46" t="str">
        <f>IF($A117="","",'TO HOP'!$C$128+1.75*(0-'TO HOP'!$S$42))</f>
        <v/>
      </c>
      <c r="C117" s="46" t="str">
        <f>IF($A117="","",'TO HOP'!$D$128+1.75*(0-'TO HOP'!$S$43))</f>
        <v/>
      </c>
      <c r="D117" s="46" t="str">
        <f>IF($A117="","",'TO HOP'!$E$128+1.75*(INDEX('LANE ENGINE'!$D$6:$D$45,16)-'TO HOP'!$S$44))</f>
        <v/>
      </c>
      <c r="E117" s="46" t="str">
        <f>IF($A117="","",'TO HOP'!$F$128+1.75*(0-'TO HOP'!$S$45))</f>
        <v/>
      </c>
      <c r="F117" s="46" t="str">
        <f>IF($A117="","",'TO HOP'!$G$128+1.75*(INDEX('LANE ENGINE'!$F$6:$F$45,16)-'TO HOP'!$S$46))</f>
        <v/>
      </c>
      <c r="G117" s="46" t="str">
        <f>IF($A117="","",'TO HOP'!$H$128+1.75*(0-'TO HOP'!$S$47))</f>
        <v/>
      </c>
      <c r="H117" s="46" t="str">
        <f>IF($A117="","",'TO HOP'!$I$128+1.75*(0-'TO HOP'!$S$48))</f>
        <v/>
      </c>
      <c r="I117" s="46" t="str">
        <f>IF($A117="","",'TO HOP'!$J$128+1.75*(INDEX('LANE ENGINE'!$D$6:$D$45,16)-'TO HOP'!$S$49))</f>
        <v/>
      </c>
      <c r="J117" s="46" t="str">
        <f>IF($A117="","",'TO HOP'!$K$128+1.75*(0-'TO HOP'!$S$50))</f>
        <v/>
      </c>
      <c r="K117" s="46" t="str">
        <f>IF($A117="","",'TO HOP'!$L$128+1.75*(INDEX('LANE ENGINE'!$G$6:$G$45,16)-'TO HOP'!$S$51))</f>
        <v/>
      </c>
      <c r="L117" s="40" t="s">
        <v>885</v>
      </c>
      <c r="M117" s="40">
        <v>16</v>
      </c>
    </row>
    <row r="118" spans="1:13" x14ac:dyDescent="0.3">
      <c r="A118" s="40" t="str">
        <f>IF(17&lt;=nLan,"CĐ I(a) max -  đúng tâm"&amp;17&amp;" làn","")</f>
        <v/>
      </c>
      <c r="B118" s="46" t="str">
        <f>IF($A118="","",'TO HOP'!$C$128+1.75*(0-'TO HOP'!$S$42))</f>
        <v/>
      </c>
      <c r="C118" s="46" t="str">
        <f>IF($A118="","",'TO HOP'!$D$128+1.75*(0-'TO HOP'!$S$43))</f>
        <v/>
      </c>
      <c r="D118" s="46" t="str">
        <f>IF($A118="","",'TO HOP'!$E$128+1.75*(INDEX('LANE ENGINE'!$D$6:$D$45,17)-'TO HOP'!$S$44))</f>
        <v/>
      </c>
      <c r="E118" s="46" t="str">
        <f>IF($A118="","",'TO HOP'!$F$128+1.75*(0-'TO HOP'!$S$45))</f>
        <v/>
      </c>
      <c r="F118" s="46" t="str">
        <f>IF($A118="","",'TO HOP'!$G$128+1.75*(INDEX('LANE ENGINE'!$F$6:$F$45,17)-'TO HOP'!$S$46))</f>
        <v/>
      </c>
      <c r="G118" s="46" t="str">
        <f>IF($A118="","",'TO HOP'!$H$128+1.75*(0-'TO HOP'!$S$47))</f>
        <v/>
      </c>
      <c r="H118" s="46" t="str">
        <f>IF($A118="","",'TO HOP'!$I$128+1.75*(0-'TO HOP'!$S$48))</f>
        <v/>
      </c>
      <c r="I118" s="46" t="str">
        <f>IF($A118="","",'TO HOP'!$J$128+1.75*(INDEX('LANE ENGINE'!$D$6:$D$45,17)-'TO HOP'!$S$49))</f>
        <v/>
      </c>
      <c r="J118" s="46" t="str">
        <f>IF($A118="","",'TO HOP'!$K$128+1.75*(0-'TO HOP'!$S$50))</f>
        <v/>
      </c>
      <c r="K118" s="46" t="str">
        <f>IF($A118="","",'TO HOP'!$L$128+1.75*(INDEX('LANE ENGINE'!$G$6:$G$45,17)-'TO HOP'!$S$51))</f>
        <v/>
      </c>
      <c r="L118" s="40" t="s">
        <v>885</v>
      </c>
      <c r="M118" s="40">
        <v>17</v>
      </c>
    </row>
    <row r="119" spans="1:13" x14ac:dyDescent="0.3">
      <c r="A119" s="40" t="str">
        <f>IF(18&lt;=nLan,"CĐ I(a) max -  đúng tâm"&amp;18&amp;" làn","")</f>
        <v/>
      </c>
      <c r="B119" s="46" t="str">
        <f>IF($A119="","",'TO HOP'!$C$128+1.75*(0-'TO HOP'!$S$42))</f>
        <v/>
      </c>
      <c r="C119" s="46" t="str">
        <f>IF($A119="","",'TO HOP'!$D$128+1.75*(0-'TO HOP'!$S$43))</f>
        <v/>
      </c>
      <c r="D119" s="46" t="str">
        <f>IF($A119="","",'TO HOP'!$E$128+1.75*(INDEX('LANE ENGINE'!$D$6:$D$45,18)-'TO HOP'!$S$44))</f>
        <v/>
      </c>
      <c r="E119" s="46" t="str">
        <f>IF($A119="","",'TO HOP'!$F$128+1.75*(0-'TO HOP'!$S$45))</f>
        <v/>
      </c>
      <c r="F119" s="46" t="str">
        <f>IF($A119="","",'TO HOP'!$G$128+1.75*(INDEX('LANE ENGINE'!$F$6:$F$45,18)-'TO HOP'!$S$46))</f>
        <v/>
      </c>
      <c r="G119" s="46" t="str">
        <f>IF($A119="","",'TO HOP'!$H$128+1.75*(0-'TO HOP'!$S$47))</f>
        <v/>
      </c>
      <c r="H119" s="46" t="str">
        <f>IF($A119="","",'TO HOP'!$I$128+1.75*(0-'TO HOP'!$S$48))</f>
        <v/>
      </c>
      <c r="I119" s="46" t="str">
        <f>IF($A119="","",'TO HOP'!$J$128+1.75*(INDEX('LANE ENGINE'!$D$6:$D$45,18)-'TO HOP'!$S$49))</f>
        <v/>
      </c>
      <c r="J119" s="46" t="str">
        <f>IF($A119="","",'TO HOP'!$K$128+1.75*(0-'TO HOP'!$S$50))</f>
        <v/>
      </c>
      <c r="K119" s="46" t="str">
        <f>IF($A119="","",'TO HOP'!$L$128+1.75*(INDEX('LANE ENGINE'!$G$6:$G$45,18)-'TO HOP'!$S$51))</f>
        <v/>
      </c>
      <c r="L119" s="40" t="s">
        <v>885</v>
      </c>
      <c r="M119" s="40">
        <v>18</v>
      </c>
    </row>
    <row r="120" spans="1:13" x14ac:dyDescent="0.3">
      <c r="A120" s="40" t="str">
        <f>IF(19&lt;=nLan,"CĐ I(a) max -  đúng tâm"&amp;19&amp;" làn","")</f>
        <v/>
      </c>
      <c r="B120" s="46" t="str">
        <f>IF($A120="","",'TO HOP'!$C$128+1.75*(0-'TO HOP'!$S$42))</f>
        <v/>
      </c>
      <c r="C120" s="46" t="str">
        <f>IF($A120="","",'TO HOP'!$D$128+1.75*(0-'TO HOP'!$S$43))</f>
        <v/>
      </c>
      <c r="D120" s="46" t="str">
        <f>IF($A120="","",'TO HOP'!$E$128+1.75*(INDEX('LANE ENGINE'!$D$6:$D$45,19)-'TO HOP'!$S$44))</f>
        <v/>
      </c>
      <c r="E120" s="46" t="str">
        <f>IF($A120="","",'TO HOP'!$F$128+1.75*(0-'TO HOP'!$S$45))</f>
        <v/>
      </c>
      <c r="F120" s="46" t="str">
        <f>IF($A120="","",'TO HOP'!$G$128+1.75*(INDEX('LANE ENGINE'!$F$6:$F$45,19)-'TO HOP'!$S$46))</f>
        <v/>
      </c>
      <c r="G120" s="46" t="str">
        <f>IF($A120="","",'TO HOP'!$H$128+1.75*(0-'TO HOP'!$S$47))</f>
        <v/>
      </c>
      <c r="H120" s="46" t="str">
        <f>IF($A120="","",'TO HOP'!$I$128+1.75*(0-'TO HOP'!$S$48))</f>
        <v/>
      </c>
      <c r="I120" s="46" t="str">
        <f>IF($A120="","",'TO HOP'!$J$128+1.75*(INDEX('LANE ENGINE'!$D$6:$D$45,19)-'TO HOP'!$S$49))</f>
        <v/>
      </c>
      <c r="J120" s="46" t="str">
        <f>IF($A120="","",'TO HOP'!$K$128+1.75*(0-'TO HOP'!$S$50))</f>
        <v/>
      </c>
      <c r="K120" s="46" t="str">
        <f>IF($A120="","",'TO HOP'!$L$128+1.75*(INDEX('LANE ENGINE'!$G$6:$G$45,19)-'TO HOP'!$S$51))</f>
        <v/>
      </c>
      <c r="L120" s="40" t="s">
        <v>885</v>
      </c>
      <c r="M120" s="40">
        <v>19</v>
      </c>
    </row>
    <row r="121" spans="1:13" x14ac:dyDescent="0.3">
      <c r="A121" s="40" t="str">
        <f>IF(20&lt;=nLan,"CĐ I(a) max -  đúng tâm"&amp;20&amp;" làn","")</f>
        <v/>
      </c>
      <c r="B121" s="46" t="str">
        <f>IF($A121="","",'TO HOP'!$C$128+1.75*(0-'TO HOP'!$S$42))</f>
        <v/>
      </c>
      <c r="C121" s="46" t="str">
        <f>IF($A121="","",'TO HOP'!$D$128+1.75*(0-'TO HOP'!$S$43))</f>
        <v/>
      </c>
      <c r="D121" s="46" t="str">
        <f>IF($A121="","",'TO HOP'!$E$128+1.75*(INDEX('LANE ENGINE'!$D$6:$D$45,20)-'TO HOP'!$S$44))</f>
        <v/>
      </c>
      <c r="E121" s="46" t="str">
        <f>IF($A121="","",'TO HOP'!$F$128+1.75*(0-'TO HOP'!$S$45))</f>
        <v/>
      </c>
      <c r="F121" s="46" t="str">
        <f>IF($A121="","",'TO HOP'!$G$128+1.75*(INDEX('LANE ENGINE'!$F$6:$F$45,20)-'TO HOP'!$S$46))</f>
        <v/>
      </c>
      <c r="G121" s="46" t="str">
        <f>IF($A121="","",'TO HOP'!$H$128+1.75*(0-'TO HOP'!$S$47))</f>
        <v/>
      </c>
      <c r="H121" s="46" t="str">
        <f>IF($A121="","",'TO HOP'!$I$128+1.75*(0-'TO HOP'!$S$48))</f>
        <v/>
      </c>
      <c r="I121" s="46" t="str">
        <f>IF($A121="","",'TO HOP'!$J$128+1.75*(INDEX('LANE ENGINE'!$D$6:$D$45,20)-'TO HOP'!$S$49))</f>
        <v/>
      </c>
      <c r="J121" s="46" t="str">
        <f>IF($A121="","",'TO HOP'!$K$128+1.75*(0-'TO HOP'!$S$50))</f>
        <v/>
      </c>
      <c r="K121" s="46" t="str">
        <f>IF($A121="","",'TO HOP'!$L$128+1.75*(INDEX('LANE ENGINE'!$G$6:$G$45,20)-'TO HOP'!$S$51))</f>
        <v/>
      </c>
      <c r="L121" s="40" t="s">
        <v>885</v>
      </c>
      <c r="M121" s="40">
        <v>20</v>
      </c>
    </row>
    <row r="122" spans="1:13" x14ac:dyDescent="0.3">
      <c r="A122" s="40" t="str">
        <f>IF(21&lt;=nLan,"CĐ I(a) max -  đúng tâm"&amp;21&amp;" làn","")</f>
        <v/>
      </c>
      <c r="B122" s="46" t="str">
        <f>IF($A122="","",'TO HOP'!$C$128+1.75*(0-'TO HOP'!$S$42))</f>
        <v/>
      </c>
      <c r="C122" s="46" t="str">
        <f>IF($A122="","",'TO HOP'!$D$128+1.75*(0-'TO HOP'!$S$43))</f>
        <v/>
      </c>
      <c r="D122" s="46" t="str">
        <f>IF($A122="","",'TO HOP'!$E$128+1.75*(INDEX('LANE ENGINE'!$D$6:$D$45,21)-'TO HOP'!$S$44))</f>
        <v/>
      </c>
      <c r="E122" s="46" t="str">
        <f>IF($A122="","",'TO HOP'!$F$128+1.75*(0-'TO HOP'!$S$45))</f>
        <v/>
      </c>
      <c r="F122" s="46" t="str">
        <f>IF($A122="","",'TO HOP'!$G$128+1.75*(INDEX('LANE ENGINE'!$F$6:$F$45,21)-'TO HOP'!$S$46))</f>
        <v/>
      </c>
      <c r="G122" s="46" t="str">
        <f>IF($A122="","",'TO HOP'!$H$128+1.75*(0-'TO HOP'!$S$47))</f>
        <v/>
      </c>
      <c r="H122" s="46" t="str">
        <f>IF($A122="","",'TO HOP'!$I$128+1.75*(0-'TO HOP'!$S$48))</f>
        <v/>
      </c>
      <c r="I122" s="46" t="str">
        <f>IF($A122="","",'TO HOP'!$J$128+1.75*(INDEX('LANE ENGINE'!$D$6:$D$45,21)-'TO HOP'!$S$49))</f>
        <v/>
      </c>
      <c r="J122" s="46" t="str">
        <f>IF($A122="","",'TO HOP'!$K$128+1.75*(0-'TO HOP'!$S$50))</f>
        <v/>
      </c>
      <c r="K122" s="46" t="str">
        <f>IF($A122="","",'TO HOP'!$L$128+1.75*(INDEX('LANE ENGINE'!$G$6:$G$45,21)-'TO HOP'!$S$51))</f>
        <v/>
      </c>
      <c r="L122" s="40" t="s">
        <v>885</v>
      </c>
      <c r="M122" s="40">
        <v>21</v>
      </c>
    </row>
    <row r="123" spans="1:13" x14ac:dyDescent="0.3">
      <c r="A123" s="40" t="str">
        <f>IF(22&lt;=nLan,"CĐ I(a) max -  đúng tâm"&amp;22&amp;" làn","")</f>
        <v/>
      </c>
      <c r="B123" s="46" t="str">
        <f>IF($A123="","",'TO HOP'!$C$128+1.75*(0-'TO HOP'!$S$42))</f>
        <v/>
      </c>
      <c r="C123" s="46" t="str">
        <f>IF($A123="","",'TO HOP'!$D$128+1.75*(0-'TO HOP'!$S$43))</f>
        <v/>
      </c>
      <c r="D123" s="46" t="str">
        <f>IF($A123="","",'TO HOP'!$E$128+1.75*(INDEX('LANE ENGINE'!$D$6:$D$45,22)-'TO HOP'!$S$44))</f>
        <v/>
      </c>
      <c r="E123" s="46" t="str">
        <f>IF($A123="","",'TO HOP'!$F$128+1.75*(0-'TO HOP'!$S$45))</f>
        <v/>
      </c>
      <c r="F123" s="46" t="str">
        <f>IF($A123="","",'TO HOP'!$G$128+1.75*(INDEX('LANE ENGINE'!$F$6:$F$45,22)-'TO HOP'!$S$46))</f>
        <v/>
      </c>
      <c r="G123" s="46" t="str">
        <f>IF($A123="","",'TO HOP'!$H$128+1.75*(0-'TO HOP'!$S$47))</f>
        <v/>
      </c>
      <c r="H123" s="46" t="str">
        <f>IF($A123="","",'TO HOP'!$I$128+1.75*(0-'TO HOP'!$S$48))</f>
        <v/>
      </c>
      <c r="I123" s="46" t="str">
        <f>IF($A123="","",'TO HOP'!$J$128+1.75*(INDEX('LANE ENGINE'!$D$6:$D$45,22)-'TO HOP'!$S$49))</f>
        <v/>
      </c>
      <c r="J123" s="46" t="str">
        <f>IF($A123="","",'TO HOP'!$K$128+1.75*(0-'TO HOP'!$S$50))</f>
        <v/>
      </c>
      <c r="K123" s="46" t="str">
        <f>IF($A123="","",'TO HOP'!$L$128+1.75*(INDEX('LANE ENGINE'!$G$6:$G$45,22)-'TO HOP'!$S$51))</f>
        <v/>
      </c>
      <c r="L123" s="40" t="s">
        <v>885</v>
      </c>
      <c r="M123" s="40">
        <v>22</v>
      </c>
    </row>
    <row r="124" spans="1:13" x14ac:dyDescent="0.3">
      <c r="A124" s="40" t="str">
        <f>IF(23&lt;=nLan,"CĐ I(a) max -  đúng tâm"&amp;23&amp;" làn","")</f>
        <v/>
      </c>
      <c r="B124" s="46" t="str">
        <f>IF($A124="","",'TO HOP'!$C$128+1.75*(0-'TO HOP'!$S$42))</f>
        <v/>
      </c>
      <c r="C124" s="46" t="str">
        <f>IF($A124="","",'TO HOP'!$D$128+1.75*(0-'TO HOP'!$S$43))</f>
        <v/>
      </c>
      <c r="D124" s="46" t="str">
        <f>IF($A124="","",'TO HOP'!$E$128+1.75*(INDEX('LANE ENGINE'!$D$6:$D$45,23)-'TO HOP'!$S$44))</f>
        <v/>
      </c>
      <c r="E124" s="46" t="str">
        <f>IF($A124="","",'TO HOP'!$F$128+1.75*(0-'TO HOP'!$S$45))</f>
        <v/>
      </c>
      <c r="F124" s="46" t="str">
        <f>IF($A124="","",'TO HOP'!$G$128+1.75*(INDEX('LANE ENGINE'!$F$6:$F$45,23)-'TO HOP'!$S$46))</f>
        <v/>
      </c>
      <c r="G124" s="46" t="str">
        <f>IF($A124="","",'TO HOP'!$H$128+1.75*(0-'TO HOP'!$S$47))</f>
        <v/>
      </c>
      <c r="H124" s="46" t="str">
        <f>IF($A124="","",'TO HOP'!$I$128+1.75*(0-'TO HOP'!$S$48))</f>
        <v/>
      </c>
      <c r="I124" s="46" t="str">
        <f>IF($A124="","",'TO HOP'!$J$128+1.75*(INDEX('LANE ENGINE'!$D$6:$D$45,23)-'TO HOP'!$S$49))</f>
        <v/>
      </c>
      <c r="J124" s="46" t="str">
        <f>IF($A124="","",'TO HOP'!$K$128+1.75*(0-'TO HOP'!$S$50))</f>
        <v/>
      </c>
      <c r="K124" s="46" t="str">
        <f>IF($A124="","",'TO HOP'!$L$128+1.75*(INDEX('LANE ENGINE'!$G$6:$G$45,23)-'TO HOP'!$S$51))</f>
        <v/>
      </c>
      <c r="L124" s="40" t="s">
        <v>885</v>
      </c>
      <c r="M124" s="40">
        <v>23</v>
      </c>
    </row>
    <row r="125" spans="1:13" x14ac:dyDescent="0.3">
      <c r="A125" s="40" t="str">
        <f>IF(24&lt;=nLan,"CĐ I(a) max -  đúng tâm"&amp;24&amp;" làn","")</f>
        <v/>
      </c>
      <c r="B125" s="46" t="str">
        <f>IF($A125="","",'TO HOP'!$C$128+1.75*(0-'TO HOP'!$S$42))</f>
        <v/>
      </c>
      <c r="C125" s="46" t="str">
        <f>IF($A125="","",'TO HOP'!$D$128+1.75*(0-'TO HOP'!$S$43))</f>
        <v/>
      </c>
      <c r="D125" s="46" t="str">
        <f>IF($A125="","",'TO HOP'!$E$128+1.75*(INDEX('LANE ENGINE'!$D$6:$D$45,24)-'TO HOP'!$S$44))</f>
        <v/>
      </c>
      <c r="E125" s="46" t="str">
        <f>IF($A125="","",'TO HOP'!$F$128+1.75*(0-'TO HOP'!$S$45))</f>
        <v/>
      </c>
      <c r="F125" s="46" t="str">
        <f>IF($A125="","",'TO HOP'!$G$128+1.75*(INDEX('LANE ENGINE'!$F$6:$F$45,24)-'TO HOP'!$S$46))</f>
        <v/>
      </c>
      <c r="G125" s="46" t="str">
        <f>IF($A125="","",'TO HOP'!$H$128+1.75*(0-'TO HOP'!$S$47))</f>
        <v/>
      </c>
      <c r="H125" s="46" t="str">
        <f>IF($A125="","",'TO HOP'!$I$128+1.75*(0-'TO HOP'!$S$48))</f>
        <v/>
      </c>
      <c r="I125" s="46" t="str">
        <f>IF($A125="","",'TO HOP'!$J$128+1.75*(INDEX('LANE ENGINE'!$D$6:$D$45,24)-'TO HOP'!$S$49))</f>
        <v/>
      </c>
      <c r="J125" s="46" t="str">
        <f>IF($A125="","",'TO HOP'!$K$128+1.75*(0-'TO HOP'!$S$50))</f>
        <v/>
      </c>
      <c r="K125" s="46" t="str">
        <f>IF($A125="","",'TO HOP'!$L$128+1.75*(INDEX('LANE ENGINE'!$G$6:$G$45,24)-'TO HOP'!$S$51))</f>
        <v/>
      </c>
      <c r="L125" s="40" t="s">
        <v>885</v>
      </c>
      <c r="M125" s="40">
        <v>24</v>
      </c>
    </row>
    <row r="126" spans="1:13" x14ac:dyDescent="0.3">
      <c r="A126" s="40" t="str">
        <f>IF(25&lt;=nLan,"CĐ I(a) max -  đúng tâm"&amp;25&amp;" làn","")</f>
        <v/>
      </c>
      <c r="B126" s="46" t="str">
        <f>IF($A126="","",'TO HOP'!$C$128+1.75*(0-'TO HOP'!$S$42))</f>
        <v/>
      </c>
      <c r="C126" s="46" t="str">
        <f>IF($A126="","",'TO HOP'!$D$128+1.75*(0-'TO HOP'!$S$43))</f>
        <v/>
      </c>
      <c r="D126" s="46" t="str">
        <f>IF($A126="","",'TO HOP'!$E$128+1.75*(INDEX('LANE ENGINE'!$D$6:$D$45,25)-'TO HOP'!$S$44))</f>
        <v/>
      </c>
      <c r="E126" s="46" t="str">
        <f>IF($A126="","",'TO HOP'!$F$128+1.75*(0-'TO HOP'!$S$45))</f>
        <v/>
      </c>
      <c r="F126" s="46" t="str">
        <f>IF($A126="","",'TO HOP'!$G$128+1.75*(INDEX('LANE ENGINE'!$F$6:$F$45,25)-'TO HOP'!$S$46))</f>
        <v/>
      </c>
      <c r="G126" s="46" t="str">
        <f>IF($A126="","",'TO HOP'!$H$128+1.75*(0-'TO HOP'!$S$47))</f>
        <v/>
      </c>
      <c r="H126" s="46" t="str">
        <f>IF($A126="","",'TO HOP'!$I$128+1.75*(0-'TO HOP'!$S$48))</f>
        <v/>
      </c>
      <c r="I126" s="46" t="str">
        <f>IF($A126="","",'TO HOP'!$J$128+1.75*(INDEX('LANE ENGINE'!$D$6:$D$45,25)-'TO HOP'!$S$49))</f>
        <v/>
      </c>
      <c r="J126" s="46" t="str">
        <f>IF($A126="","",'TO HOP'!$K$128+1.75*(0-'TO HOP'!$S$50))</f>
        <v/>
      </c>
      <c r="K126" s="46" t="str">
        <f>IF($A126="","",'TO HOP'!$L$128+1.75*(INDEX('LANE ENGINE'!$G$6:$G$45,25)-'TO HOP'!$S$51))</f>
        <v/>
      </c>
      <c r="L126" s="40" t="s">
        <v>885</v>
      </c>
      <c r="M126" s="40">
        <v>25</v>
      </c>
    </row>
    <row r="127" spans="1:13" x14ac:dyDescent="0.3">
      <c r="A127" s="40" t="str">
        <f>IF(26&lt;=nLan,"CĐ I(a) max -  đúng tâm"&amp;26&amp;" làn","")</f>
        <v/>
      </c>
      <c r="B127" s="46" t="str">
        <f>IF($A127="","",'TO HOP'!$C$128+1.75*(0-'TO HOP'!$S$42))</f>
        <v/>
      </c>
      <c r="C127" s="46" t="str">
        <f>IF($A127="","",'TO HOP'!$D$128+1.75*(0-'TO HOP'!$S$43))</f>
        <v/>
      </c>
      <c r="D127" s="46" t="str">
        <f>IF($A127="","",'TO HOP'!$E$128+1.75*(INDEX('LANE ENGINE'!$D$6:$D$45,26)-'TO HOP'!$S$44))</f>
        <v/>
      </c>
      <c r="E127" s="46" t="str">
        <f>IF($A127="","",'TO HOP'!$F$128+1.75*(0-'TO HOP'!$S$45))</f>
        <v/>
      </c>
      <c r="F127" s="46" t="str">
        <f>IF($A127="","",'TO HOP'!$G$128+1.75*(INDEX('LANE ENGINE'!$F$6:$F$45,26)-'TO HOP'!$S$46))</f>
        <v/>
      </c>
      <c r="G127" s="46" t="str">
        <f>IF($A127="","",'TO HOP'!$H$128+1.75*(0-'TO HOP'!$S$47))</f>
        <v/>
      </c>
      <c r="H127" s="46" t="str">
        <f>IF($A127="","",'TO HOP'!$I$128+1.75*(0-'TO HOP'!$S$48))</f>
        <v/>
      </c>
      <c r="I127" s="46" t="str">
        <f>IF($A127="","",'TO HOP'!$J$128+1.75*(INDEX('LANE ENGINE'!$D$6:$D$45,26)-'TO HOP'!$S$49))</f>
        <v/>
      </c>
      <c r="J127" s="46" t="str">
        <f>IF($A127="","",'TO HOP'!$K$128+1.75*(0-'TO HOP'!$S$50))</f>
        <v/>
      </c>
      <c r="K127" s="46" t="str">
        <f>IF($A127="","",'TO HOP'!$L$128+1.75*(INDEX('LANE ENGINE'!$G$6:$G$45,26)-'TO HOP'!$S$51))</f>
        <v/>
      </c>
      <c r="L127" s="40" t="s">
        <v>885</v>
      </c>
      <c r="M127" s="40">
        <v>26</v>
      </c>
    </row>
    <row r="128" spans="1:13" x14ac:dyDescent="0.3">
      <c r="A128" s="40" t="str">
        <f>IF(27&lt;=nLan,"CĐ I(a) max -  đúng tâm"&amp;27&amp;" làn","")</f>
        <v/>
      </c>
      <c r="B128" s="46" t="str">
        <f>IF($A128="","",'TO HOP'!$C$128+1.75*(0-'TO HOP'!$S$42))</f>
        <v/>
      </c>
      <c r="C128" s="46" t="str">
        <f>IF($A128="","",'TO HOP'!$D$128+1.75*(0-'TO HOP'!$S$43))</f>
        <v/>
      </c>
      <c r="D128" s="46" t="str">
        <f>IF($A128="","",'TO HOP'!$E$128+1.75*(INDEX('LANE ENGINE'!$D$6:$D$45,27)-'TO HOP'!$S$44))</f>
        <v/>
      </c>
      <c r="E128" s="46" t="str">
        <f>IF($A128="","",'TO HOP'!$F$128+1.75*(0-'TO HOP'!$S$45))</f>
        <v/>
      </c>
      <c r="F128" s="46" t="str">
        <f>IF($A128="","",'TO HOP'!$G$128+1.75*(INDEX('LANE ENGINE'!$F$6:$F$45,27)-'TO HOP'!$S$46))</f>
        <v/>
      </c>
      <c r="G128" s="46" t="str">
        <f>IF($A128="","",'TO HOP'!$H$128+1.75*(0-'TO HOP'!$S$47))</f>
        <v/>
      </c>
      <c r="H128" s="46" t="str">
        <f>IF($A128="","",'TO HOP'!$I$128+1.75*(0-'TO HOP'!$S$48))</f>
        <v/>
      </c>
      <c r="I128" s="46" t="str">
        <f>IF($A128="","",'TO HOP'!$J$128+1.75*(INDEX('LANE ENGINE'!$D$6:$D$45,27)-'TO HOP'!$S$49))</f>
        <v/>
      </c>
      <c r="J128" s="46" t="str">
        <f>IF($A128="","",'TO HOP'!$K$128+1.75*(0-'TO HOP'!$S$50))</f>
        <v/>
      </c>
      <c r="K128" s="46" t="str">
        <f>IF($A128="","",'TO HOP'!$L$128+1.75*(INDEX('LANE ENGINE'!$G$6:$G$45,27)-'TO HOP'!$S$51))</f>
        <v/>
      </c>
      <c r="L128" s="40" t="s">
        <v>885</v>
      </c>
      <c r="M128" s="40">
        <v>27</v>
      </c>
    </row>
    <row r="129" spans="1:13" x14ac:dyDescent="0.3">
      <c r="A129" s="40" t="str">
        <f>IF(28&lt;=nLan,"CĐ I(a) max -  đúng tâm"&amp;28&amp;" làn","")</f>
        <v/>
      </c>
      <c r="B129" s="46" t="str">
        <f>IF($A129="","",'TO HOP'!$C$128+1.75*(0-'TO HOP'!$S$42))</f>
        <v/>
      </c>
      <c r="C129" s="46" t="str">
        <f>IF($A129="","",'TO HOP'!$D$128+1.75*(0-'TO HOP'!$S$43))</f>
        <v/>
      </c>
      <c r="D129" s="46" t="str">
        <f>IF($A129="","",'TO HOP'!$E$128+1.75*(INDEX('LANE ENGINE'!$D$6:$D$45,28)-'TO HOP'!$S$44))</f>
        <v/>
      </c>
      <c r="E129" s="46" t="str">
        <f>IF($A129="","",'TO HOP'!$F$128+1.75*(0-'TO HOP'!$S$45))</f>
        <v/>
      </c>
      <c r="F129" s="46" t="str">
        <f>IF($A129="","",'TO HOP'!$G$128+1.75*(INDEX('LANE ENGINE'!$F$6:$F$45,28)-'TO HOP'!$S$46))</f>
        <v/>
      </c>
      <c r="G129" s="46" t="str">
        <f>IF($A129="","",'TO HOP'!$H$128+1.75*(0-'TO HOP'!$S$47))</f>
        <v/>
      </c>
      <c r="H129" s="46" t="str">
        <f>IF($A129="","",'TO HOP'!$I$128+1.75*(0-'TO HOP'!$S$48))</f>
        <v/>
      </c>
      <c r="I129" s="46" t="str">
        <f>IF($A129="","",'TO HOP'!$J$128+1.75*(INDEX('LANE ENGINE'!$D$6:$D$45,28)-'TO HOP'!$S$49))</f>
        <v/>
      </c>
      <c r="J129" s="46" t="str">
        <f>IF($A129="","",'TO HOP'!$K$128+1.75*(0-'TO HOP'!$S$50))</f>
        <v/>
      </c>
      <c r="K129" s="46" t="str">
        <f>IF($A129="","",'TO HOP'!$L$128+1.75*(INDEX('LANE ENGINE'!$G$6:$G$45,28)-'TO HOP'!$S$51))</f>
        <v/>
      </c>
      <c r="L129" s="40" t="s">
        <v>885</v>
      </c>
      <c r="M129" s="40">
        <v>28</v>
      </c>
    </row>
    <row r="130" spans="1:13" x14ac:dyDescent="0.3">
      <c r="A130" s="40" t="str">
        <f>IF(29&lt;=nLan,"CĐ I(a) max -  đúng tâm"&amp;29&amp;" làn","")</f>
        <v/>
      </c>
      <c r="B130" s="46" t="str">
        <f>IF($A130="","",'TO HOP'!$C$128+1.75*(0-'TO HOP'!$S$42))</f>
        <v/>
      </c>
      <c r="C130" s="46" t="str">
        <f>IF($A130="","",'TO HOP'!$D$128+1.75*(0-'TO HOP'!$S$43))</f>
        <v/>
      </c>
      <c r="D130" s="46" t="str">
        <f>IF($A130="","",'TO HOP'!$E$128+1.75*(INDEX('LANE ENGINE'!$D$6:$D$45,29)-'TO HOP'!$S$44))</f>
        <v/>
      </c>
      <c r="E130" s="46" t="str">
        <f>IF($A130="","",'TO HOP'!$F$128+1.75*(0-'TO HOP'!$S$45))</f>
        <v/>
      </c>
      <c r="F130" s="46" t="str">
        <f>IF($A130="","",'TO HOP'!$G$128+1.75*(INDEX('LANE ENGINE'!$F$6:$F$45,29)-'TO HOP'!$S$46))</f>
        <v/>
      </c>
      <c r="G130" s="46" t="str">
        <f>IF($A130="","",'TO HOP'!$H$128+1.75*(0-'TO HOP'!$S$47))</f>
        <v/>
      </c>
      <c r="H130" s="46" t="str">
        <f>IF($A130="","",'TO HOP'!$I$128+1.75*(0-'TO HOP'!$S$48))</f>
        <v/>
      </c>
      <c r="I130" s="46" t="str">
        <f>IF($A130="","",'TO HOP'!$J$128+1.75*(INDEX('LANE ENGINE'!$D$6:$D$45,29)-'TO HOP'!$S$49))</f>
        <v/>
      </c>
      <c r="J130" s="46" t="str">
        <f>IF($A130="","",'TO HOP'!$K$128+1.75*(0-'TO HOP'!$S$50))</f>
        <v/>
      </c>
      <c r="K130" s="46" t="str">
        <f>IF($A130="","",'TO HOP'!$L$128+1.75*(INDEX('LANE ENGINE'!$G$6:$G$45,29)-'TO HOP'!$S$51))</f>
        <v/>
      </c>
      <c r="L130" s="40" t="s">
        <v>885</v>
      </c>
      <c r="M130" s="40">
        <v>29</v>
      </c>
    </row>
    <row r="131" spans="1:13" x14ac:dyDescent="0.3">
      <c r="A131" s="40" t="str">
        <f>IF(30&lt;=nLan,"CĐ I(a) max -  đúng tâm"&amp;30&amp;" làn","")</f>
        <v/>
      </c>
      <c r="B131" s="46" t="str">
        <f>IF($A131="","",'TO HOP'!$C$128+1.75*(0-'TO HOP'!$S$42))</f>
        <v/>
      </c>
      <c r="C131" s="46" t="str">
        <f>IF($A131="","",'TO HOP'!$D$128+1.75*(0-'TO HOP'!$S$43))</f>
        <v/>
      </c>
      <c r="D131" s="46" t="str">
        <f>IF($A131="","",'TO HOP'!$E$128+1.75*(INDEX('LANE ENGINE'!$D$6:$D$45,30)-'TO HOP'!$S$44))</f>
        <v/>
      </c>
      <c r="E131" s="46" t="str">
        <f>IF($A131="","",'TO HOP'!$F$128+1.75*(0-'TO HOP'!$S$45))</f>
        <v/>
      </c>
      <c r="F131" s="46" t="str">
        <f>IF($A131="","",'TO HOP'!$G$128+1.75*(INDEX('LANE ENGINE'!$F$6:$F$45,30)-'TO HOP'!$S$46))</f>
        <v/>
      </c>
      <c r="G131" s="46" t="str">
        <f>IF($A131="","",'TO HOP'!$H$128+1.75*(0-'TO HOP'!$S$47))</f>
        <v/>
      </c>
      <c r="H131" s="46" t="str">
        <f>IF($A131="","",'TO HOP'!$I$128+1.75*(0-'TO HOP'!$S$48))</f>
        <v/>
      </c>
      <c r="I131" s="46" t="str">
        <f>IF($A131="","",'TO HOP'!$J$128+1.75*(INDEX('LANE ENGINE'!$D$6:$D$45,30)-'TO HOP'!$S$49))</f>
        <v/>
      </c>
      <c r="J131" s="46" t="str">
        <f>IF($A131="","",'TO HOP'!$K$128+1.75*(0-'TO HOP'!$S$50))</f>
        <v/>
      </c>
      <c r="K131" s="46" t="str">
        <f>IF($A131="","",'TO HOP'!$L$128+1.75*(INDEX('LANE ENGINE'!$G$6:$G$45,30)-'TO HOP'!$S$51))</f>
        <v/>
      </c>
      <c r="L131" s="40" t="s">
        <v>885</v>
      </c>
      <c r="M131" s="40">
        <v>30</v>
      </c>
    </row>
    <row r="132" spans="1:13" x14ac:dyDescent="0.3">
      <c r="A132" s="40" t="str">
        <f>IF(31&lt;=nLan,"CĐ I(a) max -  đúng tâm"&amp;31&amp;" làn","")</f>
        <v/>
      </c>
      <c r="B132" s="46" t="str">
        <f>IF($A132="","",'TO HOP'!$C$128+1.75*(0-'TO HOP'!$S$42))</f>
        <v/>
      </c>
      <c r="C132" s="46" t="str">
        <f>IF($A132="","",'TO HOP'!$D$128+1.75*(0-'TO HOP'!$S$43))</f>
        <v/>
      </c>
      <c r="D132" s="46" t="str">
        <f>IF($A132="","",'TO HOP'!$E$128+1.75*(INDEX('LANE ENGINE'!$D$6:$D$45,31)-'TO HOP'!$S$44))</f>
        <v/>
      </c>
      <c r="E132" s="46" t="str">
        <f>IF($A132="","",'TO HOP'!$F$128+1.75*(0-'TO HOP'!$S$45))</f>
        <v/>
      </c>
      <c r="F132" s="46" t="str">
        <f>IF($A132="","",'TO HOP'!$G$128+1.75*(INDEX('LANE ENGINE'!$F$6:$F$45,31)-'TO HOP'!$S$46))</f>
        <v/>
      </c>
      <c r="G132" s="46" t="str">
        <f>IF($A132="","",'TO HOP'!$H$128+1.75*(0-'TO HOP'!$S$47))</f>
        <v/>
      </c>
      <c r="H132" s="46" t="str">
        <f>IF($A132="","",'TO HOP'!$I$128+1.75*(0-'TO HOP'!$S$48))</f>
        <v/>
      </c>
      <c r="I132" s="46" t="str">
        <f>IF($A132="","",'TO HOP'!$J$128+1.75*(INDEX('LANE ENGINE'!$D$6:$D$45,31)-'TO HOP'!$S$49))</f>
        <v/>
      </c>
      <c r="J132" s="46" t="str">
        <f>IF($A132="","",'TO HOP'!$K$128+1.75*(0-'TO HOP'!$S$50))</f>
        <v/>
      </c>
      <c r="K132" s="46" t="str">
        <f>IF($A132="","",'TO HOP'!$L$128+1.75*(INDEX('LANE ENGINE'!$G$6:$G$45,31)-'TO HOP'!$S$51))</f>
        <v/>
      </c>
      <c r="L132" s="40" t="s">
        <v>885</v>
      </c>
      <c r="M132" s="40">
        <v>31</v>
      </c>
    </row>
    <row r="133" spans="1:13" x14ac:dyDescent="0.3">
      <c r="A133" s="40" t="str">
        <f>IF(32&lt;=nLan,"CĐ I(a) max -  đúng tâm"&amp;32&amp;" làn","")</f>
        <v/>
      </c>
      <c r="B133" s="46" t="str">
        <f>IF($A133="","",'TO HOP'!$C$128+1.75*(0-'TO HOP'!$S$42))</f>
        <v/>
      </c>
      <c r="C133" s="46" t="str">
        <f>IF($A133="","",'TO HOP'!$D$128+1.75*(0-'TO HOP'!$S$43))</f>
        <v/>
      </c>
      <c r="D133" s="46" t="str">
        <f>IF($A133="","",'TO HOP'!$E$128+1.75*(INDEX('LANE ENGINE'!$D$6:$D$45,32)-'TO HOP'!$S$44))</f>
        <v/>
      </c>
      <c r="E133" s="46" t="str">
        <f>IF($A133="","",'TO HOP'!$F$128+1.75*(0-'TO HOP'!$S$45))</f>
        <v/>
      </c>
      <c r="F133" s="46" t="str">
        <f>IF($A133="","",'TO HOP'!$G$128+1.75*(INDEX('LANE ENGINE'!$F$6:$F$45,32)-'TO HOP'!$S$46))</f>
        <v/>
      </c>
      <c r="G133" s="46" t="str">
        <f>IF($A133="","",'TO HOP'!$H$128+1.75*(0-'TO HOP'!$S$47))</f>
        <v/>
      </c>
      <c r="H133" s="46" t="str">
        <f>IF($A133="","",'TO HOP'!$I$128+1.75*(0-'TO HOP'!$S$48))</f>
        <v/>
      </c>
      <c r="I133" s="46" t="str">
        <f>IF($A133="","",'TO HOP'!$J$128+1.75*(INDEX('LANE ENGINE'!$D$6:$D$45,32)-'TO HOP'!$S$49))</f>
        <v/>
      </c>
      <c r="J133" s="46" t="str">
        <f>IF($A133="","",'TO HOP'!$K$128+1.75*(0-'TO HOP'!$S$50))</f>
        <v/>
      </c>
      <c r="K133" s="46" t="str">
        <f>IF($A133="","",'TO HOP'!$L$128+1.75*(INDEX('LANE ENGINE'!$G$6:$G$45,32)-'TO HOP'!$S$51))</f>
        <v/>
      </c>
      <c r="L133" s="40" t="s">
        <v>885</v>
      </c>
      <c r="M133" s="40">
        <v>32</v>
      </c>
    </row>
    <row r="134" spans="1:13" x14ac:dyDescent="0.3">
      <c r="A134" s="40" t="str">
        <f>IF(33&lt;=nLan,"CĐ I(a) max -  đúng tâm"&amp;33&amp;" làn","")</f>
        <v/>
      </c>
      <c r="B134" s="46" t="str">
        <f>IF($A134="","",'TO HOP'!$C$128+1.75*(0-'TO HOP'!$S$42))</f>
        <v/>
      </c>
      <c r="C134" s="46" t="str">
        <f>IF($A134="","",'TO HOP'!$D$128+1.75*(0-'TO HOP'!$S$43))</f>
        <v/>
      </c>
      <c r="D134" s="46" t="str">
        <f>IF($A134="","",'TO HOP'!$E$128+1.75*(INDEX('LANE ENGINE'!$D$6:$D$45,33)-'TO HOP'!$S$44))</f>
        <v/>
      </c>
      <c r="E134" s="46" t="str">
        <f>IF($A134="","",'TO HOP'!$F$128+1.75*(0-'TO HOP'!$S$45))</f>
        <v/>
      </c>
      <c r="F134" s="46" t="str">
        <f>IF($A134="","",'TO HOP'!$G$128+1.75*(INDEX('LANE ENGINE'!$F$6:$F$45,33)-'TO HOP'!$S$46))</f>
        <v/>
      </c>
      <c r="G134" s="46" t="str">
        <f>IF($A134="","",'TO HOP'!$H$128+1.75*(0-'TO HOP'!$S$47))</f>
        <v/>
      </c>
      <c r="H134" s="46" t="str">
        <f>IF($A134="","",'TO HOP'!$I$128+1.75*(0-'TO HOP'!$S$48))</f>
        <v/>
      </c>
      <c r="I134" s="46" t="str">
        <f>IF($A134="","",'TO HOP'!$J$128+1.75*(INDEX('LANE ENGINE'!$D$6:$D$45,33)-'TO HOP'!$S$49))</f>
        <v/>
      </c>
      <c r="J134" s="46" t="str">
        <f>IF($A134="","",'TO HOP'!$K$128+1.75*(0-'TO HOP'!$S$50))</f>
        <v/>
      </c>
      <c r="K134" s="46" t="str">
        <f>IF($A134="","",'TO HOP'!$L$128+1.75*(INDEX('LANE ENGINE'!$G$6:$G$45,33)-'TO HOP'!$S$51))</f>
        <v/>
      </c>
      <c r="L134" s="40" t="s">
        <v>885</v>
      </c>
      <c r="M134" s="40">
        <v>33</v>
      </c>
    </row>
    <row r="135" spans="1:13" x14ac:dyDescent="0.3">
      <c r="A135" s="40" t="str">
        <f>IF(34&lt;=nLan,"CĐ I(a) max -  đúng tâm"&amp;34&amp;" làn","")</f>
        <v/>
      </c>
      <c r="B135" s="46" t="str">
        <f>IF($A135="","",'TO HOP'!$C$128+1.75*(0-'TO HOP'!$S$42))</f>
        <v/>
      </c>
      <c r="C135" s="46" t="str">
        <f>IF($A135="","",'TO HOP'!$D$128+1.75*(0-'TO HOP'!$S$43))</f>
        <v/>
      </c>
      <c r="D135" s="46" t="str">
        <f>IF($A135="","",'TO HOP'!$E$128+1.75*(INDEX('LANE ENGINE'!$D$6:$D$45,34)-'TO HOP'!$S$44))</f>
        <v/>
      </c>
      <c r="E135" s="46" t="str">
        <f>IF($A135="","",'TO HOP'!$F$128+1.75*(0-'TO HOP'!$S$45))</f>
        <v/>
      </c>
      <c r="F135" s="46" t="str">
        <f>IF($A135="","",'TO HOP'!$G$128+1.75*(INDEX('LANE ENGINE'!$F$6:$F$45,34)-'TO HOP'!$S$46))</f>
        <v/>
      </c>
      <c r="G135" s="46" t="str">
        <f>IF($A135="","",'TO HOP'!$H$128+1.75*(0-'TO HOP'!$S$47))</f>
        <v/>
      </c>
      <c r="H135" s="46" t="str">
        <f>IF($A135="","",'TO HOP'!$I$128+1.75*(0-'TO HOP'!$S$48))</f>
        <v/>
      </c>
      <c r="I135" s="46" t="str">
        <f>IF($A135="","",'TO HOP'!$J$128+1.75*(INDEX('LANE ENGINE'!$D$6:$D$45,34)-'TO HOP'!$S$49))</f>
        <v/>
      </c>
      <c r="J135" s="46" t="str">
        <f>IF($A135="","",'TO HOP'!$K$128+1.75*(0-'TO HOP'!$S$50))</f>
        <v/>
      </c>
      <c r="K135" s="46" t="str">
        <f>IF($A135="","",'TO HOP'!$L$128+1.75*(INDEX('LANE ENGINE'!$G$6:$G$45,34)-'TO HOP'!$S$51))</f>
        <v/>
      </c>
      <c r="L135" s="40" t="s">
        <v>885</v>
      </c>
      <c r="M135" s="40">
        <v>34</v>
      </c>
    </row>
    <row r="136" spans="1:13" x14ac:dyDescent="0.3">
      <c r="A136" s="40" t="str">
        <f>IF(35&lt;=nLan,"CĐ I(a) max -  đúng tâm"&amp;35&amp;" làn","")</f>
        <v/>
      </c>
      <c r="B136" s="46" t="str">
        <f>IF($A136="","",'TO HOP'!$C$128+1.75*(0-'TO HOP'!$S$42))</f>
        <v/>
      </c>
      <c r="C136" s="46" t="str">
        <f>IF($A136="","",'TO HOP'!$D$128+1.75*(0-'TO HOP'!$S$43))</f>
        <v/>
      </c>
      <c r="D136" s="46" t="str">
        <f>IF($A136="","",'TO HOP'!$E$128+1.75*(INDEX('LANE ENGINE'!$D$6:$D$45,35)-'TO HOP'!$S$44))</f>
        <v/>
      </c>
      <c r="E136" s="46" t="str">
        <f>IF($A136="","",'TO HOP'!$F$128+1.75*(0-'TO HOP'!$S$45))</f>
        <v/>
      </c>
      <c r="F136" s="46" t="str">
        <f>IF($A136="","",'TO HOP'!$G$128+1.75*(INDEX('LANE ENGINE'!$F$6:$F$45,35)-'TO HOP'!$S$46))</f>
        <v/>
      </c>
      <c r="G136" s="46" t="str">
        <f>IF($A136="","",'TO HOP'!$H$128+1.75*(0-'TO HOP'!$S$47))</f>
        <v/>
      </c>
      <c r="H136" s="46" t="str">
        <f>IF($A136="","",'TO HOP'!$I$128+1.75*(0-'TO HOP'!$S$48))</f>
        <v/>
      </c>
      <c r="I136" s="46" t="str">
        <f>IF($A136="","",'TO HOP'!$J$128+1.75*(INDEX('LANE ENGINE'!$D$6:$D$45,35)-'TO HOP'!$S$49))</f>
        <v/>
      </c>
      <c r="J136" s="46" t="str">
        <f>IF($A136="","",'TO HOP'!$K$128+1.75*(0-'TO HOP'!$S$50))</f>
        <v/>
      </c>
      <c r="K136" s="46" t="str">
        <f>IF($A136="","",'TO HOP'!$L$128+1.75*(INDEX('LANE ENGINE'!$G$6:$G$45,35)-'TO HOP'!$S$51))</f>
        <v/>
      </c>
      <c r="L136" s="40" t="s">
        <v>885</v>
      </c>
      <c r="M136" s="40">
        <v>35</v>
      </c>
    </row>
    <row r="137" spans="1:13" x14ac:dyDescent="0.3">
      <c r="A137" s="40" t="str">
        <f>IF(36&lt;=nLan,"CĐ I(a) max -  đúng tâm"&amp;36&amp;" làn","")</f>
        <v/>
      </c>
      <c r="B137" s="46" t="str">
        <f>IF($A137="","",'TO HOP'!$C$128+1.75*(0-'TO HOP'!$S$42))</f>
        <v/>
      </c>
      <c r="C137" s="46" t="str">
        <f>IF($A137="","",'TO HOP'!$D$128+1.75*(0-'TO HOP'!$S$43))</f>
        <v/>
      </c>
      <c r="D137" s="46" t="str">
        <f>IF($A137="","",'TO HOP'!$E$128+1.75*(INDEX('LANE ENGINE'!$D$6:$D$45,36)-'TO HOP'!$S$44))</f>
        <v/>
      </c>
      <c r="E137" s="46" t="str">
        <f>IF($A137="","",'TO HOP'!$F$128+1.75*(0-'TO HOP'!$S$45))</f>
        <v/>
      </c>
      <c r="F137" s="46" t="str">
        <f>IF($A137="","",'TO HOP'!$G$128+1.75*(INDEX('LANE ENGINE'!$F$6:$F$45,36)-'TO HOP'!$S$46))</f>
        <v/>
      </c>
      <c r="G137" s="46" t="str">
        <f>IF($A137="","",'TO HOP'!$H$128+1.75*(0-'TO HOP'!$S$47))</f>
        <v/>
      </c>
      <c r="H137" s="46" t="str">
        <f>IF($A137="","",'TO HOP'!$I$128+1.75*(0-'TO HOP'!$S$48))</f>
        <v/>
      </c>
      <c r="I137" s="46" t="str">
        <f>IF($A137="","",'TO HOP'!$J$128+1.75*(INDEX('LANE ENGINE'!$D$6:$D$45,36)-'TO HOP'!$S$49))</f>
        <v/>
      </c>
      <c r="J137" s="46" t="str">
        <f>IF($A137="","",'TO HOP'!$K$128+1.75*(0-'TO HOP'!$S$50))</f>
        <v/>
      </c>
      <c r="K137" s="46" t="str">
        <f>IF($A137="","",'TO HOP'!$L$128+1.75*(INDEX('LANE ENGINE'!$G$6:$G$45,36)-'TO HOP'!$S$51))</f>
        <v/>
      </c>
      <c r="L137" s="40" t="s">
        <v>885</v>
      </c>
      <c r="M137" s="40">
        <v>36</v>
      </c>
    </row>
    <row r="138" spans="1:13" x14ac:dyDescent="0.3">
      <c r="A138" s="40" t="str">
        <f>IF(37&lt;=nLan,"CĐ I(a) max -  đúng tâm"&amp;37&amp;" làn","")</f>
        <v/>
      </c>
      <c r="B138" s="46" t="str">
        <f>IF($A138="","",'TO HOP'!$C$128+1.75*(0-'TO HOP'!$S$42))</f>
        <v/>
      </c>
      <c r="C138" s="46" t="str">
        <f>IF($A138="","",'TO HOP'!$D$128+1.75*(0-'TO HOP'!$S$43))</f>
        <v/>
      </c>
      <c r="D138" s="46" t="str">
        <f>IF($A138="","",'TO HOP'!$E$128+1.75*(INDEX('LANE ENGINE'!$D$6:$D$45,37)-'TO HOP'!$S$44))</f>
        <v/>
      </c>
      <c r="E138" s="46" t="str">
        <f>IF($A138="","",'TO HOP'!$F$128+1.75*(0-'TO HOP'!$S$45))</f>
        <v/>
      </c>
      <c r="F138" s="46" t="str">
        <f>IF($A138="","",'TO HOP'!$G$128+1.75*(INDEX('LANE ENGINE'!$F$6:$F$45,37)-'TO HOP'!$S$46))</f>
        <v/>
      </c>
      <c r="G138" s="46" t="str">
        <f>IF($A138="","",'TO HOP'!$H$128+1.75*(0-'TO HOP'!$S$47))</f>
        <v/>
      </c>
      <c r="H138" s="46" t="str">
        <f>IF($A138="","",'TO HOP'!$I$128+1.75*(0-'TO HOP'!$S$48))</f>
        <v/>
      </c>
      <c r="I138" s="46" t="str">
        <f>IF($A138="","",'TO HOP'!$J$128+1.75*(INDEX('LANE ENGINE'!$D$6:$D$45,37)-'TO HOP'!$S$49))</f>
        <v/>
      </c>
      <c r="J138" s="46" t="str">
        <f>IF($A138="","",'TO HOP'!$K$128+1.75*(0-'TO HOP'!$S$50))</f>
        <v/>
      </c>
      <c r="K138" s="46" t="str">
        <f>IF($A138="","",'TO HOP'!$L$128+1.75*(INDEX('LANE ENGINE'!$G$6:$G$45,37)-'TO HOP'!$S$51))</f>
        <v/>
      </c>
      <c r="L138" s="40" t="s">
        <v>885</v>
      </c>
      <c r="M138" s="40">
        <v>37</v>
      </c>
    </row>
    <row r="139" spans="1:13" x14ac:dyDescent="0.3">
      <c r="A139" s="40" t="str">
        <f>IF(38&lt;=nLan,"CĐ I(a) max -  đúng tâm"&amp;38&amp;" làn","")</f>
        <v/>
      </c>
      <c r="B139" s="46" t="str">
        <f>IF($A139="","",'TO HOP'!$C$128+1.75*(0-'TO HOP'!$S$42))</f>
        <v/>
      </c>
      <c r="C139" s="46" t="str">
        <f>IF($A139="","",'TO HOP'!$D$128+1.75*(0-'TO HOP'!$S$43))</f>
        <v/>
      </c>
      <c r="D139" s="46" t="str">
        <f>IF($A139="","",'TO HOP'!$E$128+1.75*(INDEX('LANE ENGINE'!$D$6:$D$45,38)-'TO HOP'!$S$44))</f>
        <v/>
      </c>
      <c r="E139" s="46" t="str">
        <f>IF($A139="","",'TO HOP'!$F$128+1.75*(0-'TO HOP'!$S$45))</f>
        <v/>
      </c>
      <c r="F139" s="46" t="str">
        <f>IF($A139="","",'TO HOP'!$G$128+1.75*(INDEX('LANE ENGINE'!$F$6:$F$45,38)-'TO HOP'!$S$46))</f>
        <v/>
      </c>
      <c r="G139" s="46" t="str">
        <f>IF($A139="","",'TO HOP'!$H$128+1.75*(0-'TO HOP'!$S$47))</f>
        <v/>
      </c>
      <c r="H139" s="46" t="str">
        <f>IF($A139="","",'TO HOP'!$I$128+1.75*(0-'TO HOP'!$S$48))</f>
        <v/>
      </c>
      <c r="I139" s="46" t="str">
        <f>IF($A139="","",'TO HOP'!$J$128+1.75*(INDEX('LANE ENGINE'!$D$6:$D$45,38)-'TO HOP'!$S$49))</f>
        <v/>
      </c>
      <c r="J139" s="46" t="str">
        <f>IF($A139="","",'TO HOP'!$K$128+1.75*(0-'TO HOP'!$S$50))</f>
        <v/>
      </c>
      <c r="K139" s="46" t="str">
        <f>IF($A139="","",'TO HOP'!$L$128+1.75*(INDEX('LANE ENGINE'!$G$6:$G$45,38)-'TO HOP'!$S$51))</f>
        <v/>
      </c>
      <c r="L139" s="40" t="s">
        <v>885</v>
      </c>
      <c r="M139" s="40">
        <v>38</v>
      </c>
    </row>
    <row r="140" spans="1:13" x14ac:dyDescent="0.3">
      <c r="A140" s="40" t="str">
        <f>IF(39&lt;=nLan,"CĐ I(a) max -  đúng tâm"&amp;39&amp;" làn","")</f>
        <v/>
      </c>
      <c r="B140" s="46" t="str">
        <f>IF($A140="","",'TO HOP'!$C$128+1.75*(0-'TO HOP'!$S$42))</f>
        <v/>
      </c>
      <c r="C140" s="46" t="str">
        <f>IF($A140="","",'TO HOP'!$D$128+1.75*(0-'TO HOP'!$S$43))</f>
        <v/>
      </c>
      <c r="D140" s="46" t="str">
        <f>IF($A140="","",'TO HOP'!$E$128+1.75*(INDEX('LANE ENGINE'!$D$6:$D$45,39)-'TO HOP'!$S$44))</f>
        <v/>
      </c>
      <c r="E140" s="46" t="str">
        <f>IF($A140="","",'TO HOP'!$F$128+1.75*(0-'TO HOP'!$S$45))</f>
        <v/>
      </c>
      <c r="F140" s="46" t="str">
        <f>IF($A140="","",'TO HOP'!$G$128+1.75*(INDEX('LANE ENGINE'!$F$6:$F$45,39)-'TO HOP'!$S$46))</f>
        <v/>
      </c>
      <c r="G140" s="46" t="str">
        <f>IF($A140="","",'TO HOP'!$H$128+1.75*(0-'TO HOP'!$S$47))</f>
        <v/>
      </c>
      <c r="H140" s="46" t="str">
        <f>IF($A140="","",'TO HOP'!$I$128+1.75*(0-'TO HOP'!$S$48))</f>
        <v/>
      </c>
      <c r="I140" s="46" t="str">
        <f>IF($A140="","",'TO HOP'!$J$128+1.75*(INDEX('LANE ENGINE'!$D$6:$D$45,39)-'TO HOP'!$S$49))</f>
        <v/>
      </c>
      <c r="J140" s="46" t="str">
        <f>IF($A140="","",'TO HOP'!$K$128+1.75*(0-'TO HOP'!$S$50))</f>
        <v/>
      </c>
      <c r="K140" s="46" t="str">
        <f>IF($A140="","",'TO HOP'!$L$128+1.75*(INDEX('LANE ENGINE'!$G$6:$G$45,39)-'TO HOP'!$S$51))</f>
        <v/>
      </c>
      <c r="L140" s="40" t="s">
        <v>885</v>
      </c>
      <c r="M140" s="40">
        <v>39</v>
      </c>
    </row>
    <row r="141" spans="1:13" x14ac:dyDescent="0.3">
      <c r="A141" s="40" t="str">
        <f>IF(40&lt;=nLan,"CĐ I(a) max -  đúng tâm"&amp;40&amp;" làn","")</f>
        <v/>
      </c>
      <c r="B141" s="46" t="str">
        <f>IF($A141="","",'TO HOP'!$C$128+1.75*(0-'TO HOP'!$S$42))</f>
        <v/>
      </c>
      <c r="C141" s="46" t="str">
        <f>IF($A141="","",'TO HOP'!$D$128+1.75*(0-'TO HOP'!$S$43))</f>
        <v/>
      </c>
      <c r="D141" s="46" t="str">
        <f>IF($A141="","",'TO HOP'!$E$128+1.75*(INDEX('LANE ENGINE'!$D$6:$D$45,40)-'TO HOP'!$S$44))</f>
        <v/>
      </c>
      <c r="E141" s="46" t="str">
        <f>IF($A141="","",'TO HOP'!$F$128+1.75*(0-'TO HOP'!$S$45))</f>
        <v/>
      </c>
      <c r="F141" s="46" t="str">
        <f>IF($A141="","",'TO HOP'!$G$128+1.75*(INDEX('LANE ENGINE'!$F$6:$F$45,40)-'TO HOP'!$S$46))</f>
        <v/>
      </c>
      <c r="G141" s="46" t="str">
        <f>IF($A141="","",'TO HOP'!$H$128+1.75*(0-'TO HOP'!$S$47))</f>
        <v/>
      </c>
      <c r="H141" s="46" t="str">
        <f>IF($A141="","",'TO HOP'!$I$128+1.75*(0-'TO HOP'!$S$48))</f>
        <v/>
      </c>
      <c r="I141" s="46" t="str">
        <f>IF($A141="","",'TO HOP'!$J$128+1.75*(INDEX('LANE ENGINE'!$D$6:$D$45,40)-'TO HOP'!$S$49))</f>
        <v/>
      </c>
      <c r="J141" s="46" t="str">
        <f>IF($A141="","",'TO HOP'!$K$128+1.75*(0-'TO HOP'!$S$50))</f>
        <v/>
      </c>
      <c r="K141" s="46" t="str">
        <f>IF($A141="","",'TO HOP'!$L$128+1.75*(INDEX('LANE ENGINE'!$G$6:$G$45,40)-'TO HOP'!$S$51))</f>
        <v/>
      </c>
      <c r="L141" s="40" t="s">
        <v>885</v>
      </c>
      <c r="M141" s="40">
        <v>40</v>
      </c>
    </row>
    <row r="142" spans="1:13" x14ac:dyDescent="0.3">
      <c r="A142" s="40" t="str">
        <f>IF(7&lt;=nLan,"CĐ I(b) min - "&amp;7&amp;" làn","")</f>
        <v/>
      </c>
      <c r="B142" s="46" t="str">
        <f>IF($A142="","",'TO HOP'!$C$134+1.75*(0-'TO HOP'!$M$42))</f>
        <v/>
      </c>
      <c r="C142" s="46" t="str">
        <f>IF($A142="","",'TO HOP'!$D$134+1.75*(0-'TO HOP'!$M$43))</f>
        <v/>
      </c>
      <c r="D142" s="46" t="str">
        <f>IF($A142="","",'TO HOP'!$E$134+1.75*(INDEX('LANE ENGINE'!$D$6:$D$45,7)-'TO HOP'!$M$44))</f>
        <v/>
      </c>
      <c r="E142" s="46" t="str">
        <f>IF($A142="","",'TO HOP'!$F$134+1.75*(INDEX('LANE ENGINE'!$E$6:$E$45,7)-'TO HOP'!$M$45))</f>
        <v/>
      </c>
      <c r="F142" s="46" t="str">
        <f>IF($A142="","",'TO HOP'!$G$134+1.75*(INDEX('LANE ENGINE'!$F$6:$F$45,7)-'TO HOP'!$M$46))</f>
        <v/>
      </c>
      <c r="G142" s="46" t="str">
        <f>IF($A142="","",'TO HOP'!$H$134+1.75*(0-'TO HOP'!$M$47))</f>
        <v/>
      </c>
      <c r="H142" s="46" t="str">
        <f>IF($A142="","",'TO HOP'!$I$134+1.75*(0-'TO HOP'!$M$48))</f>
        <v/>
      </c>
      <c r="I142" s="46" t="str">
        <f>IF($A142="","",'TO HOP'!$J$134+1.75*(INDEX('LANE ENGINE'!$D$6:$D$45,7)-'TO HOP'!$M$49))</f>
        <v/>
      </c>
      <c r="J142" s="46" t="str">
        <f>IF($A142="","",'TO HOP'!$K$134+1.75*(INDEX('LANE ENGINE'!$E$6:$E$45,7)-'TO HOP'!$M$50))</f>
        <v/>
      </c>
      <c r="K142" s="46" t="str">
        <f>IF($A142="","",'TO HOP'!$L$134+1.75*(INDEX('LANE ENGINE'!$G$6:$G$45,7)-'TO HOP'!$M$51))</f>
        <v/>
      </c>
      <c r="L142" s="40" t="s">
        <v>885</v>
      </c>
      <c r="M142" s="40">
        <v>7</v>
      </c>
    </row>
    <row r="143" spans="1:13" x14ac:dyDescent="0.3">
      <c r="A143" s="40" t="str">
        <f>IF(8&lt;=nLan,"CĐ I(b) min - "&amp;8&amp;" làn","")</f>
        <v/>
      </c>
      <c r="B143" s="46" t="str">
        <f>IF($A143="","",'TO HOP'!$C$134+1.75*(0-'TO HOP'!$M$42))</f>
        <v/>
      </c>
      <c r="C143" s="46" t="str">
        <f>IF($A143="","",'TO HOP'!$D$134+1.75*(0-'TO HOP'!$M$43))</f>
        <v/>
      </c>
      <c r="D143" s="46" t="str">
        <f>IF($A143="","",'TO HOP'!$E$134+1.75*(INDEX('LANE ENGINE'!$D$6:$D$45,8)-'TO HOP'!$M$44))</f>
        <v/>
      </c>
      <c r="E143" s="46" t="str">
        <f>IF($A143="","",'TO HOP'!$F$134+1.75*(INDEX('LANE ENGINE'!$E$6:$E$45,8)-'TO HOP'!$M$45))</f>
        <v/>
      </c>
      <c r="F143" s="46" t="str">
        <f>IF($A143="","",'TO HOP'!$G$134+1.75*(INDEX('LANE ENGINE'!$F$6:$F$45,8)-'TO HOP'!$M$46))</f>
        <v/>
      </c>
      <c r="G143" s="46" t="str">
        <f>IF($A143="","",'TO HOP'!$H$134+1.75*(0-'TO HOP'!$M$47))</f>
        <v/>
      </c>
      <c r="H143" s="46" t="str">
        <f>IF($A143="","",'TO HOP'!$I$134+1.75*(0-'TO HOP'!$M$48))</f>
        <v/>
      </c>
      <c r="I143" s="46" t="str">
        <f>IF($A143="","",'TO HOP'!$J$134+1.75*(INDEX('LANE ENGINE'!$D$6:$D$45,8)-'TO HOP'!$M$49))</f>
        <v/>
      </c>
      <c r="J143" s="46" t="str">
        <f>IF($A143="","",'TO HOP'!$K$134+1.75*(INDEX('LANE ENGINE'!$E$6:$E$45,8)-'TO HOP'!$M$50))</f>
        <v/>
      </c>
      <c r="K143" s="46" t="str">
        <f>IF($A143="","",'TO HOP'!$L$134+1.75*(INDEX('LANE ENGINE'!$G$6:$G$45,8)-'TO HOP'!$M$51))</f>
        <v/>
      </c>
      <c r="L143" s="40" t="s">
        <v>885</v>
      </c>
      <c r="M143" s="40">
        <v>8</v>
      </c>
    </row>
    <row r="144" spans="1:13" x14ac:dyDescent="0.3">
      <c r="A144" s="40" t="str">
        <f>IF(9&lt;=nLan,"CĐ I(b) min - "&amp;9&amp;" làn","")</f>
        <v/>
      </c>
      <c r="B144" s="46" t="str">
        <f>IF($A144="","",'TO HOP'!$C$134+1.75*(0-'TO HOP'!$M$42))</f>
        <v/>
      </c>
      <c r="C144" s="46" t="str">
        <f>IF($A144="","",'TO HOP'!$D$134+1.75*(0-'TO HOP'!$M$43))</f>
        <v/>
      </c>
      <c r="D144" s="46" t="str">
        <f>IF($A144="","",'TO HOP'!$E$134+1.75*(INDEX('LANE ENGINE'!$D$6:$D$45,9)-'TO HOP'!$M$44))</f>
        <v/>
      </c>
      <c r="E144" s="46" t="str">
        <f>IF($A144="","",'TO HOP'!$F$134+1.75*(INDEX('LANE ENGINE'!$E$6:$E$45,9)-'TO HOP'!$M$45))</f>
        <v/>
      </c>
      <c r="F144" s="46" t="str">
        <f>IF($A144="","",'TO HOP'!$G$134+1.75*(INDEX('LANE ENGINE'!$F$6:$F$45,9)-'TO HOP'!$M$46))</f>
        <v/>
      </c>
      <c r="G144" s="46" t="str">
        <f>IF($A144="","",'TO HOP'!$H$134+1.75*(0-'TO HOP'!$M$47))</f>
        <v/>
      </c>
      <c r="H144" s="46" t="str">
        <f>IF($A144="","",'TO HOP'!$I$134+1.75*(0-'TO HOP'!$M$48))</f>
        <v/>
      </c>
      <c r="I144" s="46" t="str">
        <f>IF($A144="","",'TO HOP'!$J$134+1.75*(INDEX('LANE ENGINE'!$D$6:$D$45,9)-'TO HOP'!$M$49))</f>
        <v/>
      </c>
      <c r="J144" s="46" t="str">
        <f>IF($A144="","",'TO HOP'!$K$134+1.75*(INDEX('LANE ENGINE'!$E$6:$E$45,9)-'TO HOP'!$M$50))</f>
        <v/>
      </c>
      <c r="K144" s="46" t="str">
        <f>IF($A144="","",'TO HOP'!$L$134+1.75*(INDEX('LANE ENGINE'!$G$6:$G$45,9)-'TO HOP'!$M$51))</f>
        <v/>
      </c>
      <c r="L144" s="40" t="s">
        <v>885</v>
      </c>
      <c r="M144" s="40">
        <v>9</v>
      </c>
    </row>
    <row r="145" spans="1:13" x14ac:dyDescent="0.3">
      <c r="A145" s="40" t="str">
        <f>IF(10&lt;=nLan,"CĐ I(b) min - "&amp;10&amp;" làn","")</f>
        <v/>
      </c>
      <c r="B145" s="46" t="str">
        <f>IF($A145="","",'TO HOP'!$C$134+1.75*(0-'TO HOP'!$M$42))</f>
        <v/>
      </c>
      <c r="C145" s="46" t="str">
        <f>IF($A145="","",'TO HOP'!$D$134+1.75*(0-'TO HOP'!$M$43))</f>
        <v/>
      </c>
      <c r="D145" s="46" t="str">
        <f>IF($A145="","",'TO HOP'!$E$134+1.75*(INDEX('LANE ENGINE'!$D$6:$D$45,10)-'TO HOP'!$M$44))</f>
        <v/>
      </c>
      <c r="E145" s="46" t="str">
        <f>IF($A145="","",'TO HOP'!$F$134+1.75*(INDEX('LANE ENGINE'!$E$6:$E$45,10)-'TO HOP'!$M$45))</f>
        <v/>
      </c>
      <c r="F145" s="46" t="str">
        <f>IF($A145="","",'TO HOP'!$G$134+1.75*(INDEX('LANE ENGINE'!$F$6:$F$45,10)-'TO HOP'!$M$46))</f>
        <v/>
      </c>
      <c r="G145" s="46" t="str">
        <f>IF($A145="","",'TO HOP'!$H$134+1.75*(0-'TO HOP'!$M$47))</f>
        <v/>
      </c>
      <c r="H145" s="46" t="str">
        <f>IF($A145="","",'TO HOP'!$I$134+1.75*(0-'TO HOP'!$M$48))</f>
        <v/>
      </c>
      <c r="I145" s="46" t="str">
        <f>IF($A145="","",'TO HOP'!$J$134+1.75*(INDEX('LANE ENGINE'!$D$6:$D$45,10)-'TO HOP'!$M$49))</f>
        <v/>
      </c>
      <c r="J145" s="46" t="str">
        <f>IF($A145="","",'TO HOP'!$K$134+1.75*(INDEX('LANE ENGINE'!$E$6:$E$45,10)-'TO HOP'!$M$50))</f>
        <v/>
      </c>
      <c r="K145" s="46" t="str">
        <f>IF($A145="","",'TO HOP'!$L$134+1.75*(INDEX('LANE ENGINE'!$G$6:$G$45,10)-'TO HOP'!$M$51))</f>
        <v/>
      </c>
      <c r="L145" s="40" t="s">
        <v>885</v>
      </c>
      <c r="M145" s="40">
        <v>10</v>
      </c>
    </row>
    <row r="146" spans="1:13" x14ac:dyDescent="0.3">
      <c r="A146" s="40" t="str">
        <f>IF(11&lt;=nLan,"CĐ I(b) min - "&amp;11&amp;" làn","")</f>
        <v/>
      </c>
      <c r="B146" s="46" t="str">
        <f>IF($A146="","",'TO HOP'!$C$134+1.75*(0-'TO HOP'!$M$42))</f>
        <v/>
      </c>
      <c r="C146" s="46" t="str">
        <f>IF($A146="","",'TO HOP'!$D$134+1.75*(0-'TO HOP'!$M$43))</f>
        <v/>
      </c>
      <c r="D146" s="46" t="str">
        <f>IF($A146="","",'TO HOP'!$E$134+1.75*(INDEX('LANE ENGINE'!$D$6:$D$45,11)-'TO HOP'!$M$44))</f>
        <v/>
      </c>
      <c r="E146" s="46" t="str">
        <f>IF($A146="","",'TO HOP'!$F$134+1.75*(INDEX('LANE ENGINE'!$E$6:$E$45,11)-'TO HOP'!$M$45))</f>
        <v/>
      </c>
      <c r="F146" s="46" t="str">
        <f>IF($A146="","",'TO HOP'!$G$134+1.75*(INDEX('LANE ENGINE'!$F$6:$F$45,11)-'TO HOP'!$M$46))</f>
        <v/>
      </c>
      <c r="G146" s="46" t="str">
        <f>IF($A146="","",'TO HOP'!$H$134+1.75*(0-'TO HOP'!$M$47))</f>
        <v/>
      </c>
      <c r="H146" s="46" t="str">
        <f>IF($A146="","",'TO HOP'!$I$134+1.75*(0-'TO HOP'!$M$48))</f>
        <v/>
      </c>
      <c r="I146" s="46" t="str">
        <f>IF($A146="","",'TO HOP'!$J$134+1.75*(INDEX('LANE ENGINE'!$D$6:$D$45,11)-'TO HOP'!$M$49))</f>
        <v/>
      </c>
      <c r="J146" s="46" t="str">
        <f>IF($A146="","",'TO HOP'!$K$134+1.75*(INDEX('LANE ENGINE'!$E$6:$E$45,11)-'TO HOP'!$M$50))</f>
        <v/>
      </c>
      <c r="K146" s="46" t="str">
        <f>IF($A146="","",'TO HOP'!$L$134+1.75*(INDEX('LANE ENGINE'!$G$6:$G$45,11)-'TO HOP'!$M$51))</f>
        <v/>
      </c>
      <c r="L146" s="40" t="s">
        <v>885</v>
      </c>
      <c r="M146" s="40">
        <v>11</v>
      </c>
    </row>
    <row r="147" spans="1:13" x14ac:dyDescent="0.3">
      <c r="A147" s="40" t="str">
        <f>IF(12&lt;=nLan,"CĐ I(b) min - "&amp;12&amp;" làn","")</f>
        <v/>
      </c>
      <c r="B147" s="46" t="str">
        <f>IF($A147="","",'TO HOP'!$C$134+1.75*(0-'TO HOP'!$M$42))</f>
        <v/>
      </c>
      <c r="C147" s="46" t="str">
        <f>IF($A147="","",'TO HOP'!$D$134+1.75*(0-'TO HOP'!$M$43))</f>
        <v/>
      </c>
      <c r="D147" s="46" t="str">
        <f>IF($A147="","",'TO HOP'!$E$134+1.75*(INDEX('LANE ENGINE'!$D$6:$D$45,12)-'TO HOP'!$M$44))</f>
        <v/>
      </c>
      <c r="E147" s="46" t="str">
        <f>IF($A147="","",'TO HOP'!$F$134+1.75*(INDEX('LANE ENGINE'!$E$6:$E$45,12)-'TO HOP'!$M$45))</f>
        <v/>
      </c>
      <c r="F147" s="46" t="str">
        <f>IF($A147="","",'TO HOP'!$G$134+1.75*(INDEX('LANE ENGINE'!$F$6:$F$45,12)-'TO HOP'!$M$46))</f>
        <v/>
      </c>
      <c r="G147" s="46" t="str">
        <f>IF($A147="","",'TO HOP'!$H$134+1.75*(0-'TO HOP'!$M$47))</f>
        <v/>
      </c>
      <c r="H147" s="46" t="str">
        <f>IF($A147="","",'TO HOP'!$I$134+1.75*(0-'TO HOP'!$M$48))</f>
        <v/>
      </c>
      <c r="I147" s="46" t="str">
        <f>IF($A147="","",'TO HOP'!$J$134+1.75*(INDEX('LANE ENGINE'!$D$6:$D$45,12)-'TO HOP'!$M$49))</f>
        <v/>
      </c>
      <c r="J147" s="46" t="str">
        <f>IF($A147="","",'TO HOP'!$K$134+1.75*(INDEX('LANE ENGINE'!$E$6:$E$45,12)-'TO HOP'!$M$50))</f>
        <v/>
      </c>
      <c r="K147" s="46" t="str">
        <f>IF($A147="","",'TO HOP'!$L$134+1.75*(INDEX('LANE ENGINE'!$G$6:$G$45,12)-'TO HOP'!$M$51))</f>
        <v/>
      </c>
      <c r="L147" s="40" t="s">
        <v>885</v>
      </c>
      <c r="M147" s="40">
        <v>12</v>
      </c>
    </row>
    <row r="148" spans="1:13" x14ac:dyDescent="0.3">
      <c r="A148" s="40" t="str">
        <f>IF(13&lt;=nLan,"CĐ I(b) min - "&amp;13&amp;" làn","")</f>
        <v/>
      </c>
      <c r="B148" s="46" t="str">
        <f>IF($A148="","",'TO HOP'!$C$134+1.75*(0-'TO HOP'!$M$42))</f>
        <v/>
      </c>
      <c r="C148" s="46" t="str">
        <f>IF($A148="","",'TO HOP'!$D$134+1.75*(0-'TO HOP'!$M$43))</f>
        <v/>
      </c>
      <c r="D148" s="46" t="str">
        <f>IF($A148="","",'TO HOP'!$E$134+1.75*(INDEX('LANE ENGINE'!$D$6:$D$45,13)-'TO HOP'!$M$44))</f>
        <v/>
      </c>
      <c r="E148" s="46" t="str">
        <f>IF($A148="","",'TO HOP'!$F$134+1.75*(INDEX('LANE ENGINE'!$E$6:$E$45,13)-'TO HOP'!$M$45))</f>
        <v/>
      </c>
      <c r="F148" s="46" t="str">
        <f>IF($A148="","",'TO HOP'!$G$134+1.75*(INDEX('LANE ENGINE'!$F$6:$F$45,13)-'TO HOP'!$M$46))</f>
        <v/>
      </c>
      <c r="G148" s="46" t="str">
        <f>IF($A148="","",'TO HOP'!$H$134+1.75*(0-'TO HOP'!$M$47))</f>
        <v/>
      </c>
      <c r="H148" s="46" t="str">
        <f>IF($A148="","",'TO HOP'!$I$134+1.75*(0-'TO HOP'!$M$48))</f>
        <v/>
      </c>
      <c r="I148" s="46" t="str">
        <f>IF($A148="","",'TO HOP'!$J$134+1.75*(INDEX('LANE ENGINE'!$D$6:$D$45,13)-'TO HOP'!$M$49))</f>
        <v/>
      </c>
      <c r="J148" s="46" t="str">
        <f>IF($A148="","",'TO HOP'!$K$134+1.75*(INDEX('LANE ENGINE'!$E$6:$E$45,13)-'TO HOP'!$M$50))</f>
        <v/>
      </c>
      <c r="K148" s="46" t="str">
        <f>IF($A148="","",'TO HOP'!$L$134+1.75*(INDEX('LANE ENGINE'!$G$6:$G$45,13)-'TO HOP'!$M$51))</f>
        <v/>
      </c>
      <c r="L148" s="40" t="s">
        <v>885</v>
      </c>
      <c r="M148" s="40">
        <v>13</v>
      </c>
    </row>
    <row r="149" spans="1:13" x14ac:dyDescent="0.3">
      <c r="A149" s="40" t="str">
        <f>IF(14&lt;=nLan,"CĐ I(b) min - "&amp;14&amp;" làn","")</f>
        <v/>
      </c>
      <c r="B149" s="46" t="str">
        <f>IF($A149="","",'TO HOP'!$C$134+1.75*(0-'TO HOP'!$M$42))</f>
        <v/>
      </c>
      <c r="C149" s="46" t="str">
        <f>IF($A149="","",'TO HOP'!$D$134+1.75*(0-'TO HOP'!$M$43))</f>
        <v/>
      </c>
      <c r="D149" s="46" t="str">
        <f>IF($A149="","",'TO HOP'!$E$134+1.75*(INDEX('LANE ENGINE'!$D$6:$D$45,14)-'TO HOP'!$M$44))</f>
        <v/>
      </c>
      <c r="E149" s="46" t="str">
        <f>IF($A149="","",'TO HOP'!$F$134+1.75*(INDEX('LANE ENGINE'!$E$6:$E$45,14)-'TO HOP'!$M$45))</f>
        <v/>
      </c>
      <c r="F149" s="46" t="str">
        <f>IF($A149="","",'TO HOP'!$G$134+1.75*(INDEX('LANE ENGINE'!$F$6:$F$45,14)-'TO HOP'!$M$46))</f>
        <v/>
      </c>
      <c r="G149" s="46" t="str">
        <f>IF($A149="","",'TO HOP'!$H$134+1.75*(0-'TO HOP'!$M$47))</f>
        <v/>
      </c>
      <c r="H149" s="46" t="str">
        <f>IF($A149="","",'TO HOP'!$I$134+1.75*(0-'TO HOP'!$M$48))</f>
        <v/>
      </c>
      <c r="I149" s="46" t="str">
        <f>IF($A149="","",'TO HOP'!$J$134+1.75*(INDEX('LANE ENGINE'!$D$6:$D$45,14)-'TO HOP'!$M$49))</f>
        <v/>
      </c>
      <c r="J149" s="46" t="str">
        <f>IF($A149="","",'TO HOP'!$K$134+1.75*(INDEX('LANE ENGINE'!$E$6:$E$45,14)-'TO HOP'!$M$50))</f>
        <v/>
      </c>
      <c r="K149" s="46" t="str">
        <f>IF($A149="","",'TO HOP'!$L$134+1.75*(INDEX('LANE ENGINE'!$G$6:$G$45,14)-'TO HOP'!$M$51))</f>
        <v/>
      </c>
      <c r="L149" s="40" t="s">
        <v>885</v>
      </c>
      <c r="M149" s="40">
        <v>14</v>
      </c>
    </row>
    <row r="150" spans="1:13" x14ac:dyDescent="0.3">
      <c r="A150" s="40" t="str">
        <f>IF(15&lt;=nLan,"CĐ I(b) min - "&amp;15&amp;" làn","")</f>
        <v/>
      </c>
      <c r="B150" s="46" t="str">
        <f>IF($A150="","",'TO HOP'!$C$134+1.75*(0-'TO HOP'!$M$42))</f>
        <v/>
      </c>
      <c r="C150" s="46" t="str">
        <f>IF($A150="","",'TO HOP'!$D$134+1.75*(0-'TO HOP'!$M$43))</f>
        <v/>
      </c>
      <c r="D150" s="46" t="str">
        <f>IF($A150="","",'TO HOP'!$E$134+1.75*(INDEX('LANE ENGINE'!$D$6:$D$45,15)-'TO HOP'!$M$44))</f>
        <v/>
      </c>
      <c r="E150" s="46" t="str">
        <f>IF($A150="","",'TO HOP'!$F$134+1.75*(INDEX('LANE ENGINE'!$E$6:$E$45,15)-'TO HOP'!$M$45))</f>
        <v/>
      </c>
      <c r="F150" s="46" t="str">
        <f>IF($A150="","",'TO HOP'!$G$134+1.75*(INDEX('LANE ENGINE'!$F$6:$F$45,15)-'TO HOP'!$M$46))</f>
        <v/>
      </c>
      <c r="G150" s="46" t="str">
        <f>IF($A150="","",'TO HOP'!$H$134+1.75*(0-'TO HOP'!$M$47))</f>
        <v/>
      </c>
      <c r="H150" s="46" t="str">
        <f>IF($A150="","",'TO HOP'!$I$134+1.75*(0-'TO HOP'!$M$48))</f>
        <v/>
      </c>
      <c r="I150" s="46" t="str">
        <f>IF($A150="","",'TO HOP'!$J$134+1.75*(INDEX('LANE ENGINE'!$D$6:$D$45,15)-'TO HOP'!$M$49))</f>
        <v/>
      </c>
      <c r="J150" s="46" t="str">
        <f>IF($A150="","",'TO HOP'!$K$134+1.75*(INDEX('LANE ENGINE'!$E$6:$E$45,15)-'TO HOP'!$M$50))</f>
        <v/>
      </c>
      <c r="K150" s="46" t="str">
        <f>IF($A150="","",'TO HOP'!$L$134+1.75*(INDEX('LANE ENGINE'!$G$6:$G$45,15)-'TO HOP'!$M$51))</f>
        <v/>
      </c>
      <c r="L150" s="40" t="s">
        <v>885</v>
      </c>
      <c r="M150" s="40">
        <v>15</v>
      </c>
    </row>
    <row r="151" spans="1:13" x14ac:dyDescent="0.3">
      <c r="A151" s="40" t="str">
        <f>IF(16&lt;=nLan,"CĐ I(b) min - "&amp;16&amp;" làn","")</f>
        <v/>
      </c>
      <c r="B151" s="46" t="str">
        <f>IF($A151="","",'TO HOP'!$C$134+1.75*(0-'TO HOP'!$M$42))</f>
        <v/>
      </c>
      <c r="C151" s="46" t="str">
        <f>IF($A151="","",'TO HOP'!$D$134+1.75*(0-'TO HOP'!$M$43))</f>
        <v/>
      </c>
      <c r="D151" s="46" t="str">
        <f>IF($A151="","",'TO HOP'!$E$134+1.75*(INDEX('LANE ENGINE'!$D$6:$D$45,16)-'TO HOP'!$M$44))</f>
        <v/>
      </c>
      <c r="E151" s="46" t="str">
        <f>IF($A151="","",'TO HOP'!$F$134+1.75*(INDEX('LANE ENGINE'!$E$6:$E$45,16)-'TO HOP'!$M$45))</f>
        <v/>
      </c>
      <c r="F151" s="46" t="str">
        <f>IF($A151="","",'TO HOP'!$G$134+1.75*(INDEX('LANE ENGINE'!$F$6:$F$45,16)-'TO HOP'!$M$46))</f>
        <v/>
      </c>
      <c r="G151" s="46" t="str">
        <f>IF($A151="","",'TO HOP'!$H$134+1.75*(0-'TO HOP'!$M$47))</f>
        <v/>
      </c>
      <c r="H151" s="46" t="str">
        <f>IF($A151="","",'TO HOP'!$I$134+1.75*(0-'TO HOP'!$M$48))</f>
        <v/>
      </c>
      <c r="I151" s="46" t="str">
        <f>IF($A151="","",'TO HOP'!$J$134+1.75*(INDEX('LANE ENGINE'!$D$6:$D$45,16)-'TO HOP'!$M$49))</f>
        <v/>
      </c>
      <c r="J151" s="46" t="str">
        <f>IF($A151="","",'TO HOP'!$K$134+1.75*(INDEX('LANE ENGINE'!$E$6:$E$45,16)-'TO HOP'!$M$50))</f>
        <v/>
      </c>
      <c r="K151" s="46" t="str">
        <f>IF($A151="","",'TO HOP'!$L$134+1.75*(INDEX('LANE ENGINE'!$G$6:$G$45,16)-'TO HOP'!$M$51))</f>
        <v/>
      </c>
      <c r="L151" s="40" t="s">
        <v>885</v>
      </c>
      <c r="M151" s="40">
        <v>16</v>
      </c>
    </row>
    <row r="152" spans="1:13" x14ac:dyDescent="0.3">
      <c r="A152" s="40" t="str">
        <f>IF(17&lt;=nLan,"CĐ I(b) min - "&amp;17&amp;" làn","")</f>
        <v/>
      </c>
      <c r="B152" s="46" t="str">
        <f>IF($A152="","",'TO HOP'!$C$134+1.75*(0-'TO HOP'!$M$42))</f>
        <v/>
      </c>
      <c r="C152" s="46" t="str">
        <f>IF($A152="","",'TO HOP'!$D$134+1.75*(0-'TO HOP'!$M$43))</f>
        <v/>
      </c>
      <c r="D152" s="46" t="str">
        <f>IF($A152="","",'TO HOP'!$E$134+1.75*(INDEX('LANE ENGINE'!$D$6:$D$45,17)-'TO HOP'!$M$44))</f>
        <v/>
      </c>
      <c r="E152" s="46" t="str">
        <f>IF($A152="","",'TO HOP'!$F$134+1.75*(INDEX('LANE ENGINE'!$E$6:$E$45,17)-'TO HOP'!$M$45))</f>
        <v/>
      </c>
      <c r="F152" s="46" t="str">
        <f>IF($A152="","",'TO HOP'!$G$134+1.75*(INDEX('LANE ENGINE'!$F$6:$F$45,17)-'TO HOP'!$M$46))</f>
        <v/>
      </c>
      <c r="G152" s="46" t="str">
        <f>IF($A152="","",'TO HOP'!$H$134+1.75*(0-'TO HOP'!$M$47))</f>
        <v/>
      </c>
      <c r="H152" s="46" t="str">
        <f>IF($A152="","",'TO HOP'!$I$134+1.75*(0-'TO HOP'!$M$48))</f>
        <v/>
      </c>
      <c r="I152" s="46" t="str">
        <f>IF($A152="","",'TO HOP'!$J$134+1.75*(INDEX('LANE ENGINE'!$D$6:$D$45,17)-'TO HOP'!$M$49))</f>
        <v/>
      </c>
      <c r="J152" s="46" t="str">
        <f>IF($A152="","",'TO HOP'!$K$134+1.75*(INDEX('LANE ENGINE'!$E$6:$E$45,17)-'TO HOP'!$M$50))</f>
        <v/>
      </c>
      <c r="K152" s="46" t="str">
        <f>IF($A152="","",'TO HOP'!$L$134+1.75*(INDEX('LANE ENGINE'!$G$6:$G$45,17)-'TO HOP'!$M$51))</f>
        <v/>
      </c>
      <c r="L152" s="40" t="s">
        <v>885</v>
      </c>
      <c r="M152" s="40">
        <v>17</v>
      </c>
    </row>
    <row r="153" spans="1:13" x14ac:dyDescent="0.3">
      <c r="A153" s="40" t="str">
        <f>IF(18&lt;=nLan,"CĐ I(b) min - "&amp;18&amp;" làn","")</f>
        <v/>
      </c>
      <c r="B153" s="46" t="str">
        <f>IF($A153="","",'TO HOP'!$C$134+1.75*(0-'TO HOP'!$M$42))</f>
        <v/>
      </c>
      <c r="C153" s="46" t="str">
        <f>IF($A153="","",'TO HOP'!$D$134+1.75*(0-'TO HOP'!$M$43))</f>
        <v/>
      </c>
      <c r="D153" s="46" t="str">
        <f>IF($A153="","",'TO HOP'!$E$134+1.75*(INDEX('LANE ENGINE'!$D$6:$D$45,18)-'TO HOP'!$M$44))</f>
        <v/>
      </c>
      <c r="E153" s="46" t="str">
        <f>IF($A153="","",'TO HOP'!$F$134+1.75*(INDEX('LANE ENGINE'!$E$6:$E$45,18)-'TO HOP'!$M$45))</f>
        <v/>
      </c>
      <c r="F153" s="46" t="str">
        <f>IF($A153="","",'TO HOP'!$G$134+1.75*(INDEX('LANE ENGINE'!$F$6:$F$45,18)-'TO HOP'!$M$46))</f>
        <v/>
      </c>
      <c r="G153" s="46" t="str">
        <f>IF($A153="","",'TO HOP'!$H$134+1.75*(0-'TO HOP'!$M$47))</f>
        <v/>
      </c>
      <c r="H153" s="46" t="str">
        <f>IF($A153="","",'TO HOP'!$I$134+1.75*(0-'TO HOP'!$M$48))</f>
        <v/>
      </c>
      <c r="I153" s="46" t="str">
        <f>IF($A153="","",'TO HOP'!$J$134+1.75*(INDEX('LANE ENGINE'!$D$6:$D$45,18)-'TO HOP'!$M$49))</f>
        <v/>
      </c>
      <c r="J153" s="46" t="str">
        <f>IF($A153="","",'TO HOP'!$K$134+1.75*(INDEX('LANE ENGINE'!$E$6:$E$45,18)-'TO HOP'!$M$50))</f>
        <v/>
      </c>
      <c r="K153" s="46" t="str">
        <f>IF($A153="","",'TO HOP'!$L$134+1.75*(INDEX('LANE ENGINE'!$G$6:$G$45,18)-'TO HOP'!$M$51))</f>
        <v/>
      </c>
      <c r="L153" s="40" t="s">
        <v>885</v>
      </c>
      <c r="M153" s="40">
        <v>18</v>
      </c>
    </row>
    <row r="154" spans="1:13" x14ac:dyDescent="0.3">
      <c r="A154" s="40" t="str">
        <f>IF(19&lt;=nLan,"CĐ I(b) min - "&amp;19&amp;" làn","")</f>
        <v/>
      </c>
      <c r="B154" s="46" t="str">
        <f>IF($A154="","",'TO HOP'!$C$134+1.75*(0-'TO HOP'!$M$42))</f>
        <v/>
      </c>
      <c r="C154" s="46" t="str">
        <f>IF($A154="","",'TO HOP'!$D$134+1.75*(0-'TO HOP'!$M$43))</f>
        <v/>
      </c>
      <c r="D154" s="46" t="str">
        <f>IF($A154="","",'TO HOP'!$E$134+1.75*(INDEX('LANE ENGINE'!$D$6:$D$45,19)-'TO HOP'!$M$44))</f>
        <v/>
      </c>
      <c r="E154" s="46" t="str">
        <f>IF($A154="","",'TO HOP'!$F$134+1.75*(INDEX('LANE ENGINE'!$E$6:$E$45,19)-'TO HOP'!$M$45))</f>
        <v/>
      </c>
      <c r="F154" s="46" t="str">
        <f>IF($A154="","",'TO HOP'!$G$134+1.75*(INDEX('LANE ENGINE'!$F$6:$F$45,19)-'TO HOP'!$M$46))</f>
        <v/>
      </c>
      <c r="G154" s="46" t="str">
        <f>IF($A154="","",'TO HOP'!$H$134+1.75*(0-'TO HOP'!$M$47))</f>
        <v/>
      </c>
      <c r="H154" s="46" t="str">
        <f>IF($A154="","",'TO HOP'!$I$134+1.75*(0-'TO HOP'!$M$48))</f>
        <v/>
      </c>
      <c r="I154" s="46" t="str">
        <f>IF($A154="","",'TO HOP'!$J$134+1.75*(INDEX('LANE ENGINE'!$D$6:$D$45,19)-'TO HOP'!$M$49))</f>
        <v/>
      </c>
      <c r="J154" s="46" t="str">
        <f>IF($A154="","",'TO HOP'!$K$134+1.75*(INDEX('LANE ENGINE'!$E$6:$E$45,19)-'TO HOP'!$M$50))</f>
        <v/>
      </c>
      <c r="K154" s="46" t="str">
        <f>IF($A154="","",'TO HOP'!$L$134+1.75*(INDEX('LANE ENGINE'!$G$6:$G$45,19)-'TO HOP'!$M$51))</f>
        <v/>
      </c>
      <c r="L154" s="40" t="s">
        <v>885</v>
      </c>
      <c r="M154" s="40">
        <v>19</v>
      </c>
    </row>
    <row r="155" spans="1:13" x14ac:dyDescent="0.3">
      <c r="A155" s="40" t="str">
        <f>IF(20&lt;=nLan,"CĐ I(b) min - "&amp;20&amp;" làn","")</f>
        <v/>
      </c>
      <c r="B155" s="46" t="str">
        <f>IF($A155="","",'TO HOP'!$C$134+1.75*(0-'TO HOP'!$M$42))</f>
        <v/>
      </c>
      <c r="C155" s="46" t="str">
        <f>IF($A155="","",'TO HOP'!$D$134+1.75*(0-'TO HOP'!$M$43))</f>
        <v/>
      </c>
      <c r="D155" s="46" t="str">
        <f>IF($A155="","",'TO HOP'!$E$134+1.75*(INDEX('LANE ENGINE'!$D$6:$D$45,20)-'TO HOP'!$M$44))</f>
        <v/>
      </c>
      <c r="E155" s="46" t="str">
        <f>IF($A155="","",'TO HOP'!$F$134+1.75*(INDEX('LANE ENGINE'!$E$6:$E$45,20)-'TO HOP'!$M$45))</f>
        <v/>
      </c>
      <c r="F155" s="46" t="str">
        <f>IF($A155="","",'TO HOP'!$G$134+1.75*(INDEX('LANE ENGINE'!$F$6:$F$45,20)-'TO HOP'!$M$46))</f>
        <v/>
      </c>
      <c r="G155" s="46" t="str">
        <f>IF($A155="","",'TO HOP'!$H$134+1.75*(0-'TO HOP'!$M$47))</f>
        <v/>
      </c>
      <c r="H155" s="46" t="str">
        <f>IF($A155="","",'TO HOP'!$I$134+1.75*(0-'TO HOP'!$M$48))</f>
        <v/>
      </c>
      <c r="I155" s="46" t="str">
        <f>IF($A155="","",'TO HOP'!$J$134+1.75*(INDEX('LANE ENGINE'!$D$6:$D$45,20)-'TO HOP'!$M$49))</f>
        <v/>
      </c>
      <c r="J155" s="46" t="str">
        <f>IF($A155="","",'TO HOP'!$K$134+1.75*(INDEX('LANE ENGINE'!$E$6:$E$45,20)-'TO HOP'!$M$50))</f>
        <v/>
      </c>
      <c r="K155" s="46" t="str">
        <f>IF($A155="","",'TO HOP'!$L$134+1.75*(INDEX('LANE ENGINE'!$G$6:$G$45,20)-'TO HOP'!$M$51))</f>
        <v/>
      </c>
      <c r="L155" s="40" t="s">
        <v>885</v>
      </c>
      <c r="M155" s="40">
        <v>20</v>
      </c>
    </row>
    <row r="156" spans="1:13" x14ac:dyDescent="0.3">
      <c r="A156" s="40" t="str">
        <f>IF(21&lt;=nLan,"CĐ I(b) min - "&amp;21&amp;" làn","")</f>
        <v/>
      </c>
      <c r="B156" s="46" t="str">
        <f>IF($A156="","",'TO HOP'!$C$134+1.75*(0-'TO HOP'!$M$42))</f>
        <v/>
      </c>
      <c r="C156" s="46" t="str">
        <f>IF($A156="","",'TO HOP'!$D$134+1.75*(0-'TO HOP'!$M$43))</f>
        <v/>
      </c>
      <c r="D156" s="46" t="str">
        <f>IF($A156="","",'TO HOP'!$E$134+1.75*(INDEX('LANE ENGINE'!$D$6:$D$45,21)-'TO HOP'!$M$44))</f>
        <v/>
      </c>
      <c r="E156" s="46" t="str">
        <f>IF($A156="","",'TO HOP'!$F$134+1.75*(INDEX('LANE ENGINE'!$E$6:$E$45,21)-'TO HOP'!$M$45))</f>
        <v/>
      </c>
      <c r="F156" s="46" t="str">
        <f>IF($A156="","",'TO HOP'!$G$134+1.75*(INDEX('LANE ENGINE'!$F$6:$F$45,21)-'TO HOP'!$M$46))</f>
        <v/>
      </c>
      <c r="G156" s="46" t="str">
        <f>IF($A156="","",'TO HOP'!$H$134+1.75*(0-'TO HOP'!$M$47))</f>
        <v/>
      </c>
      <c r="H156" s="46" t="str">
        <f>IF($A156="","",'TO HOP'!$I$134+1.75*(0-'TO HOP'!$M$48))</f>
        <v/>
      </c>
      <c r="I156" s="46" t="str">
        <f>IF($A156="","",'TO HOP'!$J$134+1.75*(INDEX('LANE ENGINE'!$D$6:$D$45,21)-'TO HOP'!$M$49))</f>
        <v/>
      </c>
      <c r="J156" s="46" t="str">
        <f>IF($A156="","",'TO HOP'!$K$134+1.75*(INDEX('LANE ENGINE'!$E$6:$E$45,21)-'TO HOP'!$M$50))</f>
        <v/>
      </c>
      <c r="K156" s="46" t="str">
        <f>IF($A156="","",'TO HOP'!$L$134+1.75*(INDEX('LANE ENGINE'!$G$6:$G$45,21)-'TO HOP'!$M$51))</f>
        <v/>
      </c>
      <c r="L156" s="40" t="s">
        <v>885</v>
      </c>
      <c r="M156" s="40">
        <v>21</v>
      </c>
    </row>
    <row r="157" spans="1:13" x14ac:dyDescent="0.3">
      <c r="A157" s="40" t="str">
        <f>IF(22&lt;=nLan,"CĐ I(b) min - "&amp;22&amp;" làn","")</f>
        <v/>
      </c>
      <c r="B157" s="46" t="str">
        <f>IF($A157="","",'TO HOP'!$C$134+1.75*(0-'TO HOP'!$M$42))</f>
        <v/>
      </c>
      <c r="C157" s="46" t="str">
        <f>IF($A157="","",'TO HOP'!$D$134+1.75*(0-'TO HOP'!$M$43))</f>
        <v/>
      </c>
      <c r="D157" s="46" t="str">
        <f>IF($A157="","",'TO HOP'!$E$134+1.75*(INDEX('LANE ENGINE'!$D$6:$D$45,22)-'TO HOP'!$M$44))</f>
        <v/>
      </c>
      <c r="E157" s="46" t="str">
        <f>IF($A157="","",'TO HOP'!$F$134+1.75*(INDEX('LANE ENGINE'!$E$6:$E$45,22)-'TO HOP'!$M$45))</f>
        <v/>
      </c>
      <c r="F157" s="46" t="str">
        <f>IF($A157="","",'TO HOP'!$G$134+1.75*(INDEX('LANE ENGINE'!$F$6:$F$45,22)-'TO HOP'!$M$46))</f>
        <v/>
      </c>
      <c r="G157" s="46" t="str">
        <f>IF($A157="","",'TO HOP'!$H$134+1.75*(0-'TO HOP'!$M$47))</f>
        <v/>
      </c>
      <c r="H157" s="46" t="str">
        <f>IF($A157="","",'TO HOP'!$I$134+1.75*(0-'TO HOP'!$M$48))</f>
        <v/>
      </c>
      <c r="I157" s="46" t="str">
        <f>IF($A157="","",'TO HOP'!$J$134+1.75*(INDEX('LANE ENGINE'!$D$6:$D$45,22)-'TO HOP'!$M$49))</f>
        <v/>
      </c>
      <c r="J157" s="46" t="str">
        <f>IF($A157="","",'TO HOP'!$K$134+1.75*(INDEX('LANE ENGINE'!$E$6:$E$45,22)-'TO HOP'!$M$50))</f>
        <v/>
      </c>
      <c r="K157" s="46" t="str">
        <f>IF($A157="","",'TO HOP'!$L$134+1.75*(INDEX('LANE ENGINE'!$G$6:$G$45,22)-'TO HOP'!$M$51))</f>
        <v/>
      </c>
      <c r="L157" s="40" t="s">
        <v>885</v>
      </c>
      <c r="M157" s="40">
        <v>22</v>
      </c>
    </row>
    <row r="158" spans="1:13" x14ac:dyDescent="0.3">
      <c r="A158" s="40" t="str">
        <f>IF(23&lt;=nLan,"CĐ I(b) min - "&amp;23&amp;" làn","")</f>
        <v/>
      </c>
      <c r="B158" s="46" t="str">
        <f>IF($A158="","",'TO HOP'!$C$134+1.75*(0-'TO HOP'!$M$42))</f>
        <v/>
      </c>
      <c r="C158" s="46" t="str">
        <f>IF($A158="","",'TO HOP'!$D$134+1.75*(0-'TO HOP'!$M$43))</f>
        <v/>
      </c>
      <c r="D158" s="46" t="str">
        <f>IF($A158="","",'TO HOP'!$E$134+1.75*(INDEX('LANE ENGINE'!$D$6:$D$45,23)-'TO HOP'!$M$44))</f>
        <v/>
      </c>
      <c r="E158" s="46" t="str">
        <f>IF($A158="","",'TO HOP'!$F$134+1.75*(INDEX('LANE ENGINE'!$E$6:$E$45,23)-'TO HOP'!$M$45))</f>
        <v/>
      </c>
      <c r="F158" s="46" t="str">
        <f>IF($A158="","",'TO HOP'!$G$134+1.75*(INDEX('LANE ENGINE'!$F$6:$F$45,23)-'TO HOP'!$M$46))</f>
        <v/>
      </c>
      <c r="G158" s="46" t="str">
        <f>IF($A158="","",'TO HOP'!$H$134+1.75*(0-'TO HOP'!$M$47))</f>
        <v/>
      </c>
      <c r="H158" s="46" t="str">
        <f>IF($A158="","",'TO HOP'!$I$134+1.75*(0-'TO HOP'!$M$48))</f>
        <v/>
      </c>
      <c r="I158" s="46" t="str">
        <f>IF($A158="","",'TO HOP'!$J$134+1.75*(INDEX('LANE ENGINE'!$D$6:$D$45,23)-'TO HOP'!$M$49))</f>
        <v/>
      </c>
      <c r="J158" s="46" t="str">
        <f>IF($A158="","",'TO HOP'!$K$134+1.75*(INDEX('LANE ENGINE'!$E$6:$E$45,23)-'TO HOP'!$M$50))</f>
        <v/>
      </c>
      <c r="K158" s="46" t="str">
        <f>IF($A158="","",'TO HOP'!$L$134+1.75*(INDEX('LANE ENGINE'!$G$6:$G$45,23)-'TO HOP'!$M$51))</f>
        <v/>
      </c>
      <c r="L158" s="40" t="s">
        <v>885</v>
      </c>
      <c r="M158" s="40">
        <v>23</v>
      </c>
    </row>
    <row r="159" spans="1:13" x14ac:dyDescent="0.3">
      <c r="A159" s="40" t="str">
        <f>IF(24&lt;=nLan,"CĐ I(b) min - "&amp;24&amp;" làn","")</f>
        <v/>
      </c>
      <c r="B159" s="46" t="str">
        <f>IF($A159="","",'TO HOP'!$C$134+1.75*(0-'TO HOP'!$M$42))</f>
        <v/>
      </c>
      <c r="C159" s="46" t="str">
        <f>IF($A159="","",'TO HOP'!$D$134+1.75*(0-'TO HOP'!$M$43))</f>
        <v/>
      </c>
      <c r="D159" s="46" t="str">
        <f>IF($A159="","",'TO HOP'!$E$134+1.75*(INDEX('LANE ENGINE'!$D$6:$D$45,24)-'TO HOP'!$M$44))</f>
        <v/>
      </c>
      <c r="E159" s="46" t="str">
        <f>IF($A159="","",'TO HOP'!$F$134+1.75*(INDEX('LANE ENGINE'!$E$6:$E$45,24)-'TO HOP'!$M$45))</f>
        <v/>
      </c>
      <c r="F159" s="46" t="str">
        <f>IF($A159="","",'TO HOP'!$G$134+1.75*(INDEX('LANE ENGINE'!$F$6:$F$45,24)-'TO HOP'!$M$46))</f>
        <v/>
      </c>
      <c r="G159" s="46" t="str">
        <f>IF($A159="","",'TO HOP'!$H$134+1.75*(0-'TO HOP'!$M$47))</f>
        <v/>
      </c>
      <c r="H159" s="46" t="str">
        <f>IF($A159="","",'TO HOP'!$I$134+1.75*(0-'TO HOP'!$M$48))</f>
        <v/>
      </c>
      <c r="I159" s="46" t="str">
        <f>IF($A159="","",'TO HOP'!$J$134+1.75*(INDEX('LANE ENGINE'!$D$6:$D$45,24)-'TO HOP'!$M$49))</f>
        <v/>
      </c>
      <c r="J159" s="46" t="str">
        <f>IF($A159="","",'TO HOP'!$K$134+1.75*(INDEX('LANE ENGINE'!$E$6:$E$45,24)-'TO HOP'!$M$50))</f>
        <v/>
      </c>
      <c r="K159" s="46" t="str">
        <f>IF($A159="","",'TO HOP'!$L$134+1.75*(INDEX('LANE ENGINE'!$G$6:$G$45,24)-'TO HOP'!$M$51))</f>
        <v/>
      </c>
      <c r="L159" s="40" t="s">
        <v>885</v>
      </c>
      <c r="M159" s="40">
        <v>24</v>
      </c>
    </row>
    <row r="160" spans="1:13" x14ac:dyDescent="0.3">
      <c r="A160" s="40" t="str">
        <f>IF(25&lt;=nLan,"CĐ I(b) min - "&amp;25&amp;" làn","")</f>
        <v/>
      </c>
      <c r="B160" s="46" t="str">
        <f>IF($A160="","",'TO HOP'!$C$134+1.75*(0-'TO HOP'!$M$42))</f>
        <v/>
      </c>
      <c r="C160" s="46" t="str">
        <f>IF($A160="","",'TO HOP'!$D$134+1.75*(0-'TO HOP'!$M$43))</f>
        <v/>
      </c>
      <c r="D160" s="46" t="str">
        <f>IF($A160="","",'TO HOP'!$E$134+1.75*(INDEX('LANE ENGINE'!$D$6:$D$45,25)-'TO HOP'!$M$44))</f>
        <v/>
      </c>
      <c r="E160" s="46" t="str">
        <f>IF($A160="","",'TO HOP'!$F$134+1.75*(INDEX('LANE ENGINE'!$E$6:$E$45,25)-'TO HOP'!$M$45))</f>
        <v/>
      </c>
      <c r="F160" s="46" t="str">
        <f>IF($A160="","",'TO HOP'!$G$134+1.75*(INDEX('LANE ENGINE'!$F$6:$F$45,25)-'TO HOP'!$M$46))</f>
        <v/>
      </c>
      <c r="G160" s="46" t="str">
        <f>IF($A160="","",'TO HOP'!$H$134+1.75*(0-'TO HOP'!$M$47))</f>
        <v/>
      </c>
      <c r="H160" s="46" t="str">
        <f>IF($A160="","",'TO HOP'!$I$134+1.75*(0-'TO HOP'!$M$48))</f>
        <v/>
      </c>
      <c r="I160" s="46" t="str">
        <f>IF($A160="","",'TO HOP'!$J$134+1.75*(INDEX('LANE ENGINE'!$D$6:$D$45,25)-'TO HOP'!$M$49))</f>
        <v/>
      </c>
      <c r="J160" s="46" t="str">
        <f>IF($A160="","",'TO HOP'!$K$134+1.75*(INDEX('LANE ENGINE'!$E$6:$E$45,25)-'TO HOP'!$M$50))</f>
        <v/>
      </c>
      <c r="K160" s="46" t="str">
        <f>IF($A160="","",'TO HOP'!$L$134+1.75*(INDEX('LANE ENGINE'!$G$6:$G$45,25)-'TO HOP'!$M$51))</f>
        <v/>
      </c>
      <c r="L160" s="40" t="s">
        <v>885</v>
      </c>
      <c r="M160" s="40">
        <v>25</v>
      </c>
    </row>
    <row r="161" spans="1:13" x14ac:dyDescent="0.3">
      <c r="A161" s="40" t="str">
        <f>IF(26&lt;=nLan,"CĐ I(b) min - "&amp;26&amp;" làn","")</f>
        <v/>
      </c>
      <c r="B161" s="46" t="str">
        <f>IF($A161="","",'TO HOP'!$C$134+1.75*(0-'TO HOP'!$M$42))</f>
        <v/>
      </c>
      <c r="C161" s="46" t="str">
        <f>IF($A161="","",'TO HOP'!$D$134+1.75*(0-'TO HOP'!$M$43))</f>
        <v/>
      </c>
      <c r="D161" s="46" t="str">
        <f>IF($A161="","",'TO HOP'!$E$134+1.75*(INDEX('LANE ENGINE'!$D$6:$D$45,26)-'TO HOP'!$M$44))</f>
        <v/>
      </c>
      <c r="E161" s="46" t="str">
        <f>IF($A161="","",'TO HOP'!$F$134+1.75*(INDEX('LANE ENGINE'!$E$6:$E$45,26)-'TO HOP'!$M$45))</f>
        <v/>
      </c>
      <c r="F161" s="46" t="str">
        <f>IF($A161="","",'TO HOP'!$G$134+1.75*(INDEX('LANE ENGINE'!$F$6:$F$45,26)-'TO HOP'!$M$46))</f>
        <v/>
      </c>
      <c r="G161" s="46" t="str">
        <f>IF($A161="","",'TO HOP'!$H$134+1.75*(0-'TO HOP'!$M$47))</f>
        <v/>
      </c>
      <c r="H161" s="46" t="str">
        <f>IF($A161="","",'TO HOP'!$I$134+1.75*(0-'TO HOP'!$M$48))</f>
        <v/>
      </c>
      <c r="I161" s="46" t="str">
        <f>IF($A161="","",'TO HOP'!$J$134+1.75*(INDEX('LANE ENGINE'!$D$6:$D$45,26)-'TO HOP'!$M$49))</f>
        <v/>
      </c>
      <c r="J161" s="46" t="str">
        <f>IF($A161="","",'TO HOP'!$K$134+1.75*(INDEX('LANE ENGINE'!$E$6:$E$45,26)-'TO HOP'!$M$50))</f>
        <v/>
      </c>
      <c r="K161" s="46" t="str">
        <f>IF($A161="","",'TO HOP'!$L$134+1.75*(INDEX('LANE ENGINE'!$G$6:$G$45,26)-'TO HOP'!$M$51))</f>
        <v/>
      </c>
      <c r="L161" s="40" t="s">
        <v>885</v>
      </c>
      <c r="M161" s="40">
        <v>26</v>
      </c>
    </row>
    <row r="162" spans="1:13" x14ac:dyDescent="0.3">
      <c r="A162" s="40" t="str">
        <f>IF(27&lt;=nLan,"CĐ I(b) min - "&amp;27&amp;" làn","")</f>
        <v/>
      </c>
      <c r="B162" s="46" t="str">
        <f>IF($A162="","",'TO HOP'!$C$134+1.75*(0-'TO HOP'!$M$42))</f>
        <v/>
      </c>
      <c r="C162" s="46" t="str">
        <f>IF($A162="","",'TO HOP'!$D$134+1.75*(0-'TO HOP'!$M$43))</f>
        <v/>
      </c>
      <c r="D162" s="46" t="str">
        <f>IF($A162="","",'TO HOP'!$E$134+1.75*(INDEX('LANE ENGINE'!$D$6:$D$45,27)-'TO HOP'!$M$44))</f>
        <v/>
      </c>
      <c r="E162" s="46" t="str">
        <f>IF($A162="","",'TO HOP'!$F$134+1.75*(INDEX('LANE ENGINE'!$E$6:$E$45,27)-'TO HOP'!$M$45))</f>
        <v/>
      </c>
      <c r="F162" s="46" t="str">
        <f>IF($A162="","",'TO HOP'!$G$134+1.75*(INDEX('LANE ENGINE'!$F$6:$F$45,27)-'TO HOP'!$M$46))</f>
        <v/>
      </c>
      <c r="G162" s="46" t="str">
        <f>IF($A162="","",'TO HOP'!$H$134+1.75*(0-'TO HOP'!$M$47))</f>
        <v/>
      </c>
      <c r="H162" s="46" t="str">
        <f>IF($A162="","",'TO HOP'!$I$134+1.75*(0-'TO HOP'!$M$48))</f>
        <v/>
      </c>
      <c r="I162" s="46" t="str">
        <f>IF($A162="","",'TO HOP'!$J$134+1.75*(INDEX('LANE ENGINE'!$D$6:$D$45,27)-'TO HOP'!$M$49))</f>
        <v/>
      </c>
      <c r="J162" s="46" t="str">
        <f>IF($A162="","",'TO HOP'!$K$134+1.75*(INDEX('LANE ENGINE'!$E$6:$E$45,27)-'TO HOP'!$M$50))</f>
        <v/>
      </c>
      <c r="K162" s="46" t="str">
        <f>IF($A162="","",'TO HOP'!$L$134+1.75*(INDEX('LANE ENGINE'!$G$6:$G$45,27)-'TO HOP'!$M$51))</f>
        <v/>
      </c>
      <c r="L162" s="40" t="s">
        <v>885</v>
      </c>
      <c r="M162" s="40">
        <v>27</v>
      </c>
    </row>
    <row r="163" spans="1:13" x14ac:dyDescent="0.3">
      <c r="A163" s="40" t="str">
        <f>IF(28&lt;=nLan,"CĐ I(b) min - "&amp;28&amp;" làn","")</f>
        <v/>
      </c>
      <c r="B163" s="46" t="str">
        <f>IF($A163="","",'TO HOP'!$C$134+1.75*(0-'TO HOP'!$M$42))</f>
        <v/>
      </c>
      <c r="C163" s="46" t="str">
        <f>IF($A163="","",'TO HOP'!$D$134+1.75*(0-'TO HOP'!$M$43))</f>
        <v/>
      </c>
      <c r="D163" s="46" t="str">
        <f>IF($A163="","",'TO HOP'!$E$134+1.75*(INDEX('LANE ENGINE'!$D$6:$D$45,28)-'TO HOP'!$M$44))</f>
        <v/>
      </c>
      <c r="E163" s="46" t="str">
        <f>IF($A163="","",'TO HOP'!$F$134+1.75*(INDEX('LANE ENGINE'!$E$6:$E$45,28)-'TO HOP'!$M$45))</f>
        <v/>
      </c>
      <c r="F163" s="46" t="str">
        <f>IF($A163="","",'TO HOP'!$G$134+1.75*(INDEX('LANE ENGINE'!$F$6:$F$45,28)-'TO HOP'!$M$46))</f>
        <v/>
      </c>
      <c r="G163" s="46" t="str">
        <f>IF($A163="","",'TO HOP'!$H$134+1.75*(0-'TO HOP'!$M$47))</f>
        <v/>
      </c>
      <c r="H163" s="46" t="str">
        <f>IF($A163="","",'TO HOP'!$I$134+1.75*(0-'TO HOP'!$M$48))</f>
        <v/>
      </c>
      <c r="I163" s="46" t="str">
        <f>IF($A163="","",'TO HOP'!$J$134+1.75*(INDEX('LANE ENGINE'!$D$6:$D$45,28)-'TO HOP'!$M$49))</f>
        <v/>
      </c>
      <c r="J163" s="46" t="str">
        <f>IF($A163="","",'TO HOP'!$K$134+1.75*(INDEX('LANE ENGINE'!$E$6:$E$45,28)-'TO HOP'!$M$50))</f>
        <v/>
      </c>
      <c r="K163" s="46" t="str">
        <f>IF($A163="","",'TO HOP'!$L$134+1.75*(INDEX('LANE ENGINE'!$G$6:$G$45,28)-'TO HOP'!$M$51))</f>
        <v/>
      </c>
      <c r="L163" s="40" t="s">
        <v>885</v>
      </c>
      <c r="M163" s="40">
        <v>28</v>
      </c>
    </row>
    <row r="164" spans="1:13" x14ac:dyDescent="0.3">
      <c r="A164" s="40" t="str">
        <f>IF(29&lt;=nLan,"CĐ I(b) min - "&amp;29&amp;" làn","")</f>
        <v/>
      </c>
      <c r="B164" s="46" t="str">
        <f>IF($A164="","",'TO HOP'!$C$134+1.75*(0-'TO HOP'!$M$42))</f>
        <v/>
      </c>
      <c r="C164" s="46" t="str">
        <f>IF($A164="","",'TO HOP'!$D$134+1.75*(0-'TO HOP'!$M$43))</f>
        <v/>
      </c>
      <c r="D164" s="46" t="str">
        <f>IF($A164="","",'TO HOP'!$E$134+1.75*(INDEX('LANE ENGINE'!$D$6:$D$45,29)-'TO HOP'!$M$44))</f>
        <v/>
      </c>
      <c r="E164" s="46" t="str">
        <f>IF($A164="","",'TO HOP'!$F$134+1.75*(INDEX('LANE ENGINE'!$E$6:$E$45,29)-'TO HOP'!$M$45))</f>
        <v/>
      </c>
      <c r="F164" s="46" t="str">
        <f>IF($A164="","",'TO HOP'!$G$134+1.75*(INDEX('LANE ENGINE'!$F$6:$F$45,29)-'TO HOP'!$M$46))</f>
        <v/>
      </c>
      <c r="G164" s="46" t="str">
        <f>IF($A164="","",'TO HOP'!$H$134+1.75*(0-'TO HOP'!$M$47))</f>
        <v/>
      </c>
      <c r="H164" s="46" t="str">
        <f>IF($A164="","",'TO HOP'!$I$134+1.75*(0-'TO HOP'!$M$48))</f>
        <v/>
      </c>
      <c r="I164" s="46" t="str">
        <f>IF($A164="","",'TO HOP'!$J$134+1.75*(INDEX('LANE ENGINE'!$D$6:$D$45,29)-'TO HOP'!$M$49))</f>
        <v/>
      </c>
      <c r="J164" s="46" t="str">
        <f>IF($A164="","",'TO HOP'!$K$134+1.75*(INDEX('LANE ENGINE'!$E$6:$E$45,29)-'TO HOP'!$M$50))</f>
        <v/>
      </c>
      <c r="K164" s="46" t="str">
        <f>IF($A164="","",'TO HOP'!$L$134+1.75*(INDEX('LANE ENGINE'!$G$6:$G$45,29)-'TO HOP'!$M$51))</f>
        <v/>
      </c>
      <c r="L164" s="40" t="s">
        <v>885</v>
      </c>
      <c r="M164" s="40">
        <v>29</v>
      </c>
    </row>
    <row r="165" spans="1:13" x14ac:dyDescent="0.3">
      <c r="A165" s="40" t="str">
        <f>IF(30&lt;=nLan,"CĐ I(b) min - "&amp;30&amp;" làn","")</f>
        <v/>
      </c>
      <c r="B165" s="46" t="str">
        <f>IF($A165="","",'TO HOP'!$C$134+1.75*(0-'TO HOP'!$M$42))</f>
        <v/>
      </c>
      <c r="C165" s="46" t="str">
        <f>IF($A165="","",'TO HOP'!$D$134+1.75*(0-'TO HOP'!$M$43))</f>
        <v/>
      </c>
      <c r="D165" s="46" t="str">
        <f>IF($A165="","",'TO HOP'!$E$134+1.75*(INDEX('LANE ENGINE'!$D$6:$D$45,30)-'TO HOP'!$M$44))</f>
        <v/>
      </c>
      <c r="E165" s="46" t="str">
        <f>IF($A165="","",'TO HOP'!$F$134+1.75*(INDEX('LANE ENGINE'!$E$6:$E$45,30)-'TO HOP'!$M$45))</f>
        <v/>
      </c>
      <c r="F165" s="46" t="str">
        <f>IF($A165="","",'TO HOP'!$G$134+1.75*(INDEX('LANE ENGINE'!$F$6:$F$45,30)-'TO HOP'!$M$46))</f>
        <v/>
      </c>
      <c r="G165" s="46" t="str">
        <f>IF($A165="","",'TO HOP'!$H$134+1.75*(0-'TO HOP'!$M$47))</f>
        <v/>
      </c>
      <c r="H165" s="46" t="str">
        <f>IF($A165="","",'TO HOP'!$I$134+1.75*(0-'TO HOP'!$M$48))</f>
        <v/>
      </c>
      <c r="I165" s="46" t="str">
        <f>IF($A165="","",'TO HOP'!$J$134+1.75*(INDEX('LANE ENGINE'!$D$6:$D$45,30)-'TO HOP'!$M$49))</f>
        <v/>
      </c>
      <c r="J165" s="46" t="str">
        <f>IF($A165="","",'TO HOP'!$K$134+1.75*(INDEX('LANE ENGINE'!$E$6:$E$45,30)-'TO HOP'!$M$50))</f>
        <v/>
      </c>
      <c r="K165" s="46" t="str">
        <f>IF($A165="","",'TO HOP'!$L$134+1.75*(INDEX('LANE ENGINE'!$G$6:$G$45,30)-'TO HOP'!$M$51))</f>
        <v/>
      </c>
      <c r="L165" s="40" t="s">
        <v>885</v>
      </c>
      <c r="M165" s="40">
        <v>30</v>
      </c>
    </row>
    <row r="166" spans="1:13" x14ac:dyDescent="0.3">
      <c r="A166" s="40" t="str">
        <f>IF(31&lt;=nLan,"CĐ I(b) min - "&amp;31&amp;" làn","")</f>
        <v/>
      </c>
      <c r="B166" s="46" t="str">
        <f>IF($A166="","",'TO HOP'!$C$134+1.75*(0-'TO HOP'!$M$42))</f>
        <v/>
      </c>
      <c r="C166" s="46" t="str">
        <f>IF($A166="","",'TO HOP'!$D$134+1.75*(0-'TO HOP'!$M$43))</f>
        <v/>
      </c>
      <c r="D166" s="46" t="str">
        <f>IF($A166="","",'TO HOP'!$E$134+1.75*(INDEX('LANE ENGINE'!$D$6:$D$45,31)-'TO HOP'!$M$44))</f>
        <v/>
      </c>
      <c r="E166" s="46" t="str">
        <f>IF($A166="","",'TO HOP'!$F$134+1.75*(INDEX('LANE ENGINE'!$E$6:$E$45,31)-'TO HOP'!$M$45))</f>
        <v/>
      </c>
      <c r="F166" s="46" t="str">
        <f>IF($A166="","",'TO HOP'!$G$134+1.75*(INDEX('LANE ENGINE'!$F$6:$F$45,31)-'TO HOP'!$M$46))</f>
        <v/>
      </c>
      <c r="G166" s="46" t="str">
        <f>IF($A166="","",'TO HOP'!$H$134+1.75*(0-'TO HOP'!$M$47))</f>
        <v/>
      </c>
      <c r="H166" s="46" t="str">
        <f>IF($A166="","",'TO HOP'!$I$134+1.75*(0-'TO HOP'!$M$48))</f>
        <v/>
      </c>
      <c r="I166" s="46" t="str">
        <f>IF($A166="","",'TO HOP'!$J$134+1.75*(INDEX('LANE ENGINE'!$D$6:$D$45,31)-'TO HOP'!$M$49))</f>
        <v/>
      </c>
      <c r="J166" s="46" t="str">
        <f>IF($A166="","",'TO HOP'!$K$134+1.75*(INDEX('LANE ENGINE'!$E$6:$E$45,31)-'TO HOP'!$M$50))</f>
        <v/>
      </c>
      <c r="K166" s="46" t="str">
        <f>IF($A166="","",'TO HOP'!$L$134+1.75*(INDEX('LANE ENGINE'!$G$6:$G$45,31)-'TO HOP'!$M$51))</f>
        <v/>
      </c>
      <c r="L166" s="40" t="s">
        <v>885</v>
      </c>
      <c r="M166" s="40">
        <v>31</v>
      </c>
    </row>
    <row r="167" spans="1:13" x14ac:dyDescent="0.3">
      <c r="A167" s="40" t="str">
        <f>IF(32&lt;=nLan,"CĐ I(b) min - "&amp;32&amp;" làn","")</f>
        <v/>
      </c>
      <c r="B167" s="46" t="str">
        <f>IF($A167="","",'TO HOP'!$C$134+1.75*(0-'TO HOP'!$M$42))</f>
        <v/>
      </c>
      <c r="C167" s="46" t="str">
        <f>IF($A167="","",'TO HOP'!$D$134+1.75*(0-'TO HOP'!$M$43))</f>
        <v/>
      </c>
      <c r="D167" s="46" t="str">
        <f>IF($A167="","",'TO HOP'!$E$134+1.75*(INDEX('LANE ENGINE'!$D$6:$D$45,32)-'TO HOP'!$M$44))</f>
        <v/>
      </c>
      <c r="E167" s="46" t="str">
        <f>IF($A167="","",'TO HOP'!$F$134+1.75*(INDEX('LANE ENGINE'!$E$6:$E$45,32)-'TO HOP'!$M$45))</f>
        <v/>
      </c>
      <c r="F167" s="46" t="str">
        <f>IF($A167="","",'TO HOP'!$G$134+1.75*(INDEX('LANE ENGINE'!$F$6:$F$45,32)-'TO HOP'!$M$46))</f>
        <v/>
      </c>
      <c r="G167" s="46" t="str">
        <f>IF($A167="","",'TO HOP'!$H$134+1.75*(0-'TO HOP'!$M$47))</f>
        <v/>
      </c>
      <c r="H167" s="46" t="str">
        <f>IF($A167="","",'TO HOP'!$I$134+1.75*(0-'TO HOP'!$M$48))</f>
        <v/>
      </c>
      <c r="I167" s="46" t="str">
        <f>IF($A167="","",'TO HOP'!$J$134+1.75*(INDEX('LANE ENGINE'!$D$6:$D$45,32)-'TO HOP'!$M$49))</f>
        <v/>
      </c>
      <c r="J167" s="46" t="str">
        <f>IF($A167="","",'TO HOP'!$K$134+1.75*(INDEX('LANE ENGINE'!$E$6:$E$45,32)-'TO HOP'!$M$50))</f>
        <v/>
      </c>
      <c r="K167" s="46" t="str">
        <f>IF($A167="","",'TO HOP'!$L$134+1.75*(INDEX('LANE ENGINE'!$G$6:$G$45,32)-'TO HOP'!$M$51))</f>
        <v/>
      </c>
      <c r="L167" s="40" t="s">
        <v>885</v>
      </c>
      <c r="M167" s="40">
        <v>32</v>
      </c>
    </row>
    <row r="168" spans="1:13" x14ac:dyDescent="0.3">
      <c r="A168" s="40" t="str">
        <f>IF(33&lt;=nLan,"CĐ I(b) min - "&amp;33&amp;" làn","")</f>
        <v/>
      </c>
      <c r="B168" s="46" t="str">
        <f>IF($A168="","",'TO HOP'!$C$134+1.75*(0-'TO HOP'!$M$42))</f>
        <v/>
      </c>
      <c r="C168" s="46" t="str">
        <f>IF($A168="","",'TO HOP'!$D$134+1.75*(0-'TO HOP'!$M$43))</f>
        <v/>
      </c>
      <c r="D168" s="46" t="str">
        <f>IF($A168="","",'TO HOP'!$E$134+1.75*(INDEX('LANE ENGINE'!$D$6:$D$45,33)-'TO HOP'!$M$44))</f>
        <v/>
      </c>
      <c r="E168" s="46" t="str">
        <f>IF($A168="","",'TO HOP'!$F$134+1.75*(INDEX('LANE ENGINE'!$E$6:$E$45,33)-'TO HOP'!$M$45))</f>
        <v/>
      </c>
      <c r="F168" s="46" t="str">
        <f>IF($A168="","",'TO HOP'!$G$134+1.75*(INDEX('LANE ENGINE'!$F$6:$F$45,33)-'TO HOP'!$M$46))</f>
        <v/>
      </c>
      <c r="G168" s="46" t="str">
        <f>IF($A168="","",'TO HOP'!$H$134+1.75*(0-'TO HOP'!$M$47))</f>
        <v/>
      </c>
      <c r="H168" s="46" t="str">
        <f>IF($A168="","",'TO HOP'!$I$134+1.75*(0-'TO HOP'!$M$48))</f>
        <v/>
      </c>
      <c r="I168" s="46" t="str">
        <f>IF($A168="","",'TO HOP'!$J$134+1.75*(INDEX('LANE ENGINE'!$D$6:$D$45,33)-'TO HOP'!$M$49))</f>
        <v/>
      </c>
      <c r="J168" s="46" t="str">
        <f>IF($A168="","",'TO HOP'!$K$134+1.75*(INDEX('LANE ENGINE'!$E$6:$E$45,33)-'TO HOP'!$M$50))</f>
        <v/>
      </c>
      <c r="K168" s="46" t="str">
        <f>IF($A168="","",'TO HOP'!$L$134+1.75*(INDEX('LANE ENGINE'!$G$6:$G$45,33)-'TO HOP'!$M$51))</f>
        <v/>
      </c>
      <c r="L168" s="40" t="s">
        <v>885</v>
      </c>
      <c r="M168" s="40">
        <v>33</v>
      </c>
    </row>
    <row r="169" spans="1:13" x14ac:dyDescent="0.3">
      <c r="A169" s="40" t="str">
        <f>IF(34&lt;=nLan,"CĐ I(b) min - "&amp;34&amp;" làn","")</f>
        <v/>
      </c>
      <c r="B169" s="46" t="str">
        <f>IF($A169="","",'TO HOP'!$C$134+1.75*(0-'TO HOP'!$M$42))</f>
        <v/>
      </c>
      <c r="C169" s="46" t="str">
        <f>IF($A169="","",'TO HOP'!$D$134+1.75*(0-'TO HOP'!$M$43))</f>
        <v/>
      </c>
      <c r="D169" s="46" t="str">
        <f>IF($A169="","",'TO HOP'!$E$134+1.75*(INDEX('LANE ENGINE'!$D$6:$D$45,34)-'TO HOP'!$M$44))</f>
        <v/>
      </c>
      <c r="E169" s="46" t="str">
        <f>IF($A169="","",'TO HOP'!$F$134+1.75*(INDEX('LANE ENGINE'!$E$6:$E$45,34)-'TO HOP'!$M$45))</f>
        <v/>
      </c>
      <c r="F169" s="46" t="str">
        <f>IF($A169="","",'TO HOP'!$G$134+1.75*(INDEX('LANE ENGINE'!$F$6:$F$45,34)-'TO HOP'!$M$46))</f>
        <v/>
      </c>
      <c r="G169" s="46" t="str">
        <f>IF($A169="","",'TO HOP'!$H$134+1.75*(0-'TO HOP'!$M$47))</f>
        <v/>
      </c>
      <c r="H169" s="46" t="str">
        <f>IF($A169="","",'TO HOP'!$I$134+1.75*(0-'TO HOP'!$M$48))</f>
        <v/>
      </c>
      <c r="I169" s="46" t="str">
        <f>IF($A169="","",'TO HOP'!$J$134+1.75*(INDEX('LANE ENGINE'!$D$6:$D$45,34)-'TO HOP'!$M$49))</f>
        <v/>
      </c>
      <c r="J169" s="46" t="str">
        <f>IF($A169="","",'TO HOP'!$K$134+1.75*(INDEX('LANE ENGINE'!$E$6:$E$45,34)-'TO HOP'!$M$50))</f>
        <v/>
      </c>
      <c r="K169" s="46" t="str">
        <f>IF($A169="","",'TO HOP'!$L$134+1.75*(INDEX('LANE ENGINE'!$G$6:$G$45,34)-'TO HOP'!$M$51))</f>
        <v/>
      </c>
      <c r="L169" s="40" t="s">
        <v>885</v>
      </c>
      <c r="M169" s="40">
        <v>34</v>
      </c>
    </row>
    <row r="170" spans="1:13" x14ac:dyDescent="0.3">
      <c r="A170" s="40" t="str">
        <f>IF(35&lt;=nLan,"CĐ I(b) min - "&amp;35&amp;" làn","")</f>
        <v/>
      </c>
      <c r="B170" s="46" t="str">
        <f>IF($A170="","",'TO HOP'!$C$134+1.75*(0-'TO HOP'!$M$42))</f>
        <v/>
      </c>
      <c r="C170" s="46" t="str">
        <f>IF($A170="","",'TO HOP'!$D$134+1.75*(0-'TO HOP'!$M$43))</f>
        <v/>
      </c>
      <c r="D170" s="46" t="str">
        <f>IF($A170="","",'TO HOP'!$E$134+1.75*(INDEX('LANE ENGINE'!$D$6:$D$45,35)-'TO HOP'!$M$44))</f>
        <v/>
      </c>
      <c r="E170" s="46" t="str">
        <f>IF($A170="","",'TO HOP'!$F$134+1.75*(INDEX('LANE ENGINE'!$E$6:$E$45,35)-'TO HOP'!$M$45))</f>
        <v/>
      </c>
      <c r="F170" s="46" t="str">
        <f>IF($A170="","",'TO HOP'!$G$134+1.75*(INDEX('LANE ENGINE'!$F$6:$F$45,35)-'TO HOP'!$M$46))</f>
        <v/>
      </c>
      <c r="G170" s="46" t="str">
        <f>IF($A170="","",'TO HOP'!$H$134+1.75*(0-'TO HOP'!$M$47))</f>
        <v/>
      </c>
      <c r="H170" s="46" t="str">
        <f>IF($A170="","",'TO HOP'!$I$134+1.75*(0-'TO HOP'!$M$48))</f>
        <v/>
      </c>
      <c r="I170" s="46" t="str">
        <f>IF($A170="","",'TO HOP'!$J$134+1.75*(INDEX('LANE ENGINE'!$D$6:$D$45,35)-'TO HOP'!$M$49))</f>
        <v/>
      </c>
      <c r="J170" s="46" t="str">
        <f>IF($A170="","",'TO HOP'!$K$134+1.75*(INDEX('LANE ENGINE'!$E$6:$E$45,35)-'TO HOP'!$M$50))</f>
        <v/>
      </c>
      <c r="K170" s="46" t="str">
        <f>IF($A170="","",'TO HOP'!$L$134+1.75*(INDEX('LANE ENGINE'!$G$6:$G$45,35)-'TO HOP'!$M$51))</f>
        <v/>
      </c>
      <c r="L170" s="40" t="s">
        <v>885</v>
      </c>
      <c r="M170" s="40">
        <v>35</v>
      </c>
    </row>
    <row r="171" spans="1:13" x14ac:dyDescent="0.3">
      <c r="A171" s="40" t="str">
        <f>IF(36&lt;=nLan,"CĐ I(b) min - "&amp;36&amp;" làn","")</f>
        <v/>
      </c>
      <c r="B171" s="46" t="str">
        <f>IF($A171="","",'TO HOP'!$C$134+1.75*(0-'TO HOP'!$M$42))</f>
        <v/>
      </c>
      <c r="C171" s="46" t="str">
        <f>IF($A171="","",'TO HOP'!$D$134+1.75*(0-'TO HOP'!$M$43))</f>
        <v/>
      </c>
      <c r="D171" s="46" t="str">
        <f>IF($A171="","",'TO HOP'!$E$134+1.75*(INDEX('LANE ENGINE'!$D$6:$D$45,36)-'TO HOP'!$M$44))</f>
        <v/>
      </c>
      <c r="E171" s="46" t="str">
        <f>IF($A171="","",'TO HOP'!$F$134+1.75*(INDEX('LANE ENGINE'!$E$6:$E$45,36)-'TO HOP'!$M$45))</f>
        <v/>
      </c>
      <c r="F171" s="46" t="str">
        <f>IF($A171="","",'TO HOP'!$G$134+1.75*(INDEX('LANE ENGINE'!$F$6:$F$45,36)-'TO HOP'!$M$46))</f>
        <v/>
      </c>
      <c r="G171" s="46" t="str">
        <f>IF($A171="","",'TO HOP'!$H$134+1.75*(0-'TO HOP'!$M$47))</f>
        <v/>
      </c>
      <c r="H171" s="46" t="str">
        <f>IF($A171="","",'TO HOP'!$I$134+1.75*(0-'TO HOP'!$M$48))</f>
        <v/>
      </c>
      <c r="I171" s="46" t="str">
        <f>IF($A171="","",'TO HOP'!$J$134+1.75*(INDEX('LANE ENGINE'!$D$6:$D$45,36)-'TO HOP'!$M$49))</f>
        <v/>
      </c>
      <c r="J171" s="46" t="str">
        <f>IF($A171="","",'TO HOP'!$K$134+1.75*(INDEX('LANE ENGINE'!$E$6:$E$45,36)-'TO HOP'!$M$50))</f>
        <v/>
      </c>
      <c r="K171" s="46" t="str">
        <f>IF($A171="","",'TO HOP'!$L$134+1.75*(INDEX('LANE ENGINE'!$G$6:$G$45,36)-'TO HOP'!$M$51))</f>
        <v/>
      </c>
      <c r="L171" s="40" t="s">
        <v>885</v>
      </c>
      <c r="M171" s="40">
        <v>36</v>
      </c>
    </row>
    <row r="172" spans="1:13" x14ac:dyDescent="0.3">
      <c r="A172" s="40" t="str">
        <f>IF(37&lt;=nLan,"CĐ I(b) min - "&amp;37&amp;" làn","")</f>
        <v/>
      </c>
      <c r="B172" s="46" t="str">
        <f>IF($A172="","",'TO HOP'!$C$134+1.75*(0-'TO HOP'!$M$42))</f>
        <v/>
      </c>
      <c r="C172" s="46" t="str">
        <f>IF($A172="","",'TO HOP'!$D$134+1.75*(0-'TO HOP'!$M$43))</f>
        <v/>
      </c>
      <c r="D172" s="46" t="str">
        <f>IF($A172="","",'TO HOP'!$E$134+1.75*(INDEX('LANE ENGINE'!$D$6:$D$45,37)-'TO HOP'!$M$44))</f>
        <v/>
      </c>
      <c r="E172" s="46" t="str">
        <f>IF($A172="","",'TO HOP'!$F$134+1.75*(INDEX('LANE ENGINE'!$E$6:$E$45,37)-'TO HOP'!$M$45))</f>
        <v/>
      </c>
      <c r="F172" s="46" t="str">
        <f>IF($A172="","",'TO HOP'!$G$134+1.75*(INDEX('LANE ENGINE'!$F$6:$F$45,37)-'TO HOP'!$M$46))</f>
        <v/>
      </c>
      <c r="G172" s="46" t="str">
        <f>IF($A172="","",'TO HOP'!$H$134+1.75*(0-'TO HOP'!$M$47))</f>
        <v/>
      </c>
      <c r="H172" s="46" t="str">
        <f>IF($A172="","",'TO HOP'!$I$134+1.75*(0-'TO HOP'!$M$48))</f>
        <v/>
      </c>
      <c r="I172" s="46" t="str">
        <f>IF($A172="","",'TO HOP'!$J$134+1.75*(INDEX('LANE ENGINE'!$D$6:$D$45,37)-'TO HOP'!$M$49))</f>
        <v/>
      </c>
      <c r="J172" s="46" t="str">
        <f>IF($A172="","",'TO HOP'!$K$134+1.75*(INDEX('LANE ENGINE'!$E$6:$E$45,37)-'TO HOP'!$M$50))</f>
        <v/>
      </c>
      <c r="K172" s="46" t="str">
        <f>IF($A172="","",'TO HOP'!$L$134+1.75*(INDEX('LANE ENGINE'!$G$6:$G$45,37)-'TO HOP'!$M$51))</f>
        <v/>
      </c>
      <c r="L172" s="40" t="s">
        <v>885</v>
      </c>
      <c r="M172" s="40">
        <v>37</v>
      </c>
    </row>
    <row r="173" spans="1:13" x14ac:dyDescent="0.3">
      <c r="A173" s="40" t="str">
        <f>IF(38&lt;=nLan,"CĐ I(b) min - "&amp;38&amp;" làn","")</f>
        <v/>
      </c>
      <c r="B173" s="46" t="str">
        <f>IF($A173="","",'TO HOP'!$C$134+1.75*(0-'TO HOP'!$M$42))</f>
        <v/>
      </c>
      <c r="C173" s="46" t="str">
        <f>IF($A173="","",'TO HOP'!$D$134+1.75*(0-'TO HOP'!$M$43))</f>
        <v/>
      </c>
      <c r="D173" s="46" t="str">
        <f>IF($A173="","",'TO HOP'!$E$134+1.75*(INDEX('LANE ENGINE'!$D$6:$D$45,38)-'TO HOP'!$M$44))</f>
        <v/>
      </c>
      <c r="E173" s="46" t="str">
        <f>IF($A173="","",'TO HOP'!$F$134+1.75*(INDEX('LANE ENGINE'!$E$6:$E$45,38)-'TO HOP'!$M$45))</f>
        <v/>
      </c>
      <c r="F173" s="46" t="str">
        <f>IF($A173="","",'TO HOP'!$G$134+1.75*(INDEX('LANE ENGINE'!$F$6:$F$45,38)-'TO HOP'!$M$46))</f>
        <v/>
      </c>
      <c r="G173" s="46" t="str">
        <f>IF($A173="","",'TO HOP'!$H$134+1.75*(0-'TO HOP'!$M$47))</f>
        <v/>
      </c>
      <c r="H173" s="46" t="str">
        <f>IF($A173="","",'TO HOP'!$I$134+1.75*(0-'TO HOP'!$M$48))</f>
        <v/>
      </c>
      <c r="I173" s="46" t="str">
        <f>IF($A173="","",'TO HOP'!$J$134+1.75*(INDEX('LANE ENGINE'!$D$6:$D$45,38)-'TO HOP'!$M$49))</f>
        <v/>
      </c>
      <c r="J173" s="46" t="str">
        <f>IF($A173="","",'TO HOP'!$K$134+1.75*(INDEX('LANE ENGINE'!$E$6:$E$45,38)-'TO HOP'!$M$50))</f>
        <v/>
      </c>
      <c r="K173" s="46" t="str">
        <f>IF($A173="","",'TO HOP'!$L$134+1.75*(INDEX('LANE ENGINE'!$G$6:$G$45,38)-'TO HOP'!$M$51))</f>
        <v/>
      </c>
      <c r="L173" s="40" t="s">
        <v>885</v>
      </c>
      <c r="M173" s="40">
        <v>38</v>
      </c>
    </row>
    <row r="174" spans="1:13" x14ac:dyDescent="0.3">
      <c r="A174" s="40" t="str">
        <f>IF(39&lt;=nLan,"CĐ I(b) min - "&amp;39&amp;" làn","")</f>
        <v/>
      </c>
      <c r="B174" s="46" t="str">
        <f>IF($A174="","",'TO HOP'!$C$134+1.75*(0-'TO HOP'!$M$42))</f>
        <v/>
      </c>
      <c r="C174" s="46" t="str">
        <f>IF($A174="","",'TO HOP'!$D$134+1.75*(0-'TO HOP'!$M$43))</f>
        <v/>
      </c>
      <c r="D174" s="46" t="str">
        <f>IF($A174="","",'TO HOP'!$E$134+1.75*(INDEX('LANE ENGINE'!$D$6:$D$45,39)-'TO HOP'!$M$44))</f>
        <v/>
      </c>
      <c r="E174" s="46" t="str">
        <f>IF($A174="","",'TO HOP'!$F$134+1.75*(INDEX('LANE ENGINE'!$E$6:$E$45,39)-'TO HOP'!$M$45))</f>
        <v/>
      </c>
      <c r="F174" s="46" t="str">
        <f>IF($A174="","",'TO HOP'!$G$134+1.75*(INDEX('LANE ENGINE'!$F$6:$F$45,39)-'TO HOP'!$M$46))</f>
        <v/>
      </c>
      <c r="G174" s="46" t="str">
        <f>IF($A174="","",'TO HOP'!$H$134+1.75*(0-'TO HOP'!$M$47))</f>
        <v/>
      </c>
      <c r="H174" s="46" t="str">
        <f>IF($A174="","",'TO HOP'!$I$134+1.75*(0-'TO HOP'!$M$48))</f>
        <v/>
      </c>
      <c r="I174" s="46" t="str">
        <f>IF($A174="","",'TO HOP'!$J$134+1.75*(INDEX('LANE ENGINE'!$D$6:$D$45,39)-'TO HOP'!$M$49))</f>
        <v/>
      </c>
      <c r="J174" s="46" t="str">
        <f>IF($A174="","",'TO HOP'!$K$134+1.75*(INDEX('LANE ENGINE'!$E$6:$E$45,39)-'TO HOP'!$M$50))</f>
        <v/>
      </c>
      <c r="K174" s="46" t="str">
        <f>IF($A174="","",'TO HOP'!$L$134+1.75*(INDEX('LANE ENGINE'!$G$6:$G$45,39)-'TO HOP'!$M$51))</f>
        <v/>
      </c>
      <c r="L174" s="40" t="s">
        <v>885</v>
      </c>
      <c r="M174" s="40">
        <v>39</v>
      </c>
    </row>
    <row r="175" spans="1:13" x14ac:dyDescent="0.3">
      <c r="A175" s="40" t="str">
        <f>IF(40&lt;=nLan,"CĐ I(b) min - "&amp;40&amp;" làn","")</f>
        <v/>
      </c>
      <c r="B175" s="46" t="str">
        <f>IF($A175="","",'TO HOP'!$C$134+1.75*(0-'TO HOP'!$M$42))</f>
        <v/>
      </c>
      <c r="C175" s="46" t="str">
        <f>IF($A175="","",'TO HOP'!$D$134+1.75*(0-'TO HOP'!$M$43))</f>
        <v/>
      </c>
      <c r="D175" s="46" t="str">
        <f>IF($A175="","",'TO HOP'!$E$134+1.75*(INDEX('LANE ENGINE'!$D$6:$D$45,40)-'TO HOP'!$M$44))</f>
        <v/>
      </c>
      <c r="E175" s="46" t="str">
        <f>IF($A175="","",'TO HOP'!$F$134+1.75*(INDEX('LANE ENGINE'!$E$6:$E$45,40)-'TO HOP'!$M$45))</f>
        <v/>
      </c>
      <c r="F175" s="46" t="str">
        <f>IF($A175="","",'TO HOP'!$G$134+1.75*(INDEX('LANE ENGINE'!$F$6:$F$45,40)-'TO HOP'!$M$46))</f>
        <v/>
      </c>
      <c r="G175" s="46" t="str">
        <f>IF($A175="","",'TO HOP'!$H$134+1.75*(0-'TO HOP'!$M$47))</f>
        <v/>
      </c>
      <c r="H175" s="46" t="str">
        <f>IF($A175="","",'TO HOP'!$I$134+1.75*(0-'TO HOP'!$M$48))</f>
        <v/>
      </c>
      <c r="I175" s="46" t="str">
        <f>IF($A175="","",'TO HOP'!$J$134+1.75*(INDEX('LANE ENGINE'!$D$6:$D$45,40)-'TO HOP'!$M$49))</f>
        <v/>
      </c>
      <c r="J175" s="46" t="str">
        <f>IF($A175="","",'TO HOP'!$K$134+1.75*(INDEX('LANE ENGINE'!$E$6:$E$45,40)-'TO HOP'!$M$50))</f>
        <v/>
      </c>
      <c r="K175" s="46" t="str">
        <f>IF($A175="","",'TO HOP'!$L$134+1.75*(INDEX('LANE ENGINE'!$G$6:$G$45,40)-'TO HOP'!$M$51))</f>
        <v/>
      </c>
      <c r="L175" s="40" t="s">
        <v>885</v>
      </c>
      <c r="M175" s="40">
        <v>40</v>
      </c>
    </row>
    <row r="176" spans="1:13" x14ac:dyDescent="0.3">
      <c r="A176" s="40" t="str">
        <f>IF(7&lt;=nLan,"CĐ V(a) max - "&amp;7&amp;" làn","")</f>
        <v/>
      </c>
      <c r="B176" s="46" t="str">
        <f>IF($A176="","",'TO HOP'!$C$142+1.35*(0-'TO HOP'!$M$42))</f>
        <v/>
      </c>
      <c r="C176" s="46" t="str">
        <f>IF($A176="","",'TO HOP'!$D$142+1.35*(0-'TO HOP'!$M$43))</f>
        <v/>
      </c>
      <c r="D176" s="46" t="str">
        <f>IF($A176="","",'TO HOP'!$E$142+1.35*(INDEX('LANE ENGINE'!$D$6:$D$45,7)-'TO HOP'!$M$44))</f>
        <v/>
      </c>
      <c r="E176" s="46" t="str">
        <f>IF($A176="","",'TO HOP'!$F$142+1.35*(INDEX('LANE ENGINE'!$E$6:$E$45,7)-'TO HOP'!$M$45))</f>
        <v/>
      </c>
      <c r="F176" s="46" t="str">
        <f>IF($A176="","",'TO HOP'!$G$142+1.35*(INDEX('LANE ENGINE'!$F$6:$F$45,7)-'TO HOP'!$M$46))</f>
        <v/>
      </c>
      <c r="G176" s="46" t="str">
        <f>IF($A176="","",'TO HOP'!$H$142+1.35*(0-'TO HOP'!$M$47))</f>
        <v/>
      </c>
      <c r="H176" s="46" t="str">
        <f>IF($A176="","",'TO HOP'!$I$142+1.35*(0-'TO HOP'!$M$48))</f>
        <v/>
      </c>
      <c r="I176" s="46" t="str">
        <f>IF($A176="","",'TO HOP'!$J$142+1.35*(INDEX('LANE ENGINE'!$D$6:$D$45,7)-'TO HOP'!$M$49))</f>
        <v/>
      </c>
      <c r="J176" s="46" t="str">
        <f>IF($A176="","",'TO HOP'!$K$142+1.35*(INDEX('LANE ENGINE'!$E$6:$E$45,7)-'TO HOP'!$M$50))</f>
        <v/>
      </c>
      <c r="K176" s="46" t="str">
        <f>IF($A176="","",'TO HOP'!$L$142+1.35*(INDEX('LANE ENGINE'!$G$6:$G$45,7)-'TO HOP'!$M$51))</f>
        <v/>
      </c>
      <c r="L176" s="40" t="s">
        <v>885</v>
      </c>
      <c r="M176" s="40">
        <v>7</v>
      </c>
    </row>
    <row r="177" spans="1:13" x14ac:dyDescent="0.3">
      <c r="A177" s="40" t="str">
        <f>IF(8&lt;=nLan,"CĐ V(a) max - "&amp;8&amp;" làn","")</f>
        <v/>
      </c>
      <c r="B177" s="46" t="str">
        <f>IF($A177="","",'TO HOP'!$C$142+1.35*(0-'TO HOP'!$M$42))</f>
        <v/>
      </c>
      <c r="C177" s="46" t="str">
        <f>IF($A177="","",'TO HOP'!$D$142+1.35*(0-'TO HOP'!$M$43))</f>
        <v/>
      </c>
      <c r="D177" s="46" t="str">
        <f>IF($A177="","",'TO HOP'!$E$142+1.35*(INDEX('LANE ENGINE'!$D$6:$D$45,8)-'TO HOP'!$M$44))</f>
        <v/>
      </c>
      <c r="E177" s="46" t="str">
        <f>IF($A177="","",'TO HOP'!$F$142+1.35*(INDEX('LANE ENGINE'!$E$6:$E$45,8)-'TO HOP'!$M$45))</f>
        <v/>
      </c>
      <c r="F177" s="46" t="str">
        <f>IF($A177="","",'TO HOP'!$G$142+1.35*(INDEX('LANE ENGINE'!$F$6:$F$45,8)-'TO HOP'!$M$46))</f>
        <v/>
      </c>
      <c r="G177" s="46" t="str">
        <f>IF($A177="","",'TO HOP'!$H$142+1.35*(0-'TO HOP'!$M$47))</f>
        <v/>
      </c>
      <c r="H177" s="46" t="str">
        <f>IF($A177="","",'TO HOP'!$I$142+1.35*(0-'TO HOP'!$M$48))</f>
        <v/>
      </c>
      <c r="I177" s="46" t="str">
        <f>IF($A177="","",'TO HOP'!$J$142+1.35*(INDEX('LANE ENGINE'!$D$6:$D$45,8)-'TO HOP'!$M$49))</f>
        <v/>
      </c>
      <c r="J177" s="46" t="str">
        <f>IF($A177="","",'TO HOP'!$K$142+1.35*(INDEX('LANE ENGINE'!$E$6:$E$45,8)-'TO HOP'!$M$50))</f>
        <v/>
      </c>
      <c r="K177" s="46" t="str">
        <f>IF($A177="","",'TO HOP'!$L$142+1.35*(INDEX('LANE ENGINE'!$G$6:$G$45,8)-'TO HOP'!$M$51))</f>
        <v/>
      </c>
      <c r="L177" s="40" t="s">
        <v>885</v>
      </c>
      <c r="M177" s="40">
        <v>8</v>
      </c>
    </row>
    <row r="178" spans="1:13" x14ac:dyDescent="0.3">
      <c r="A178" s="40" t="str">
        <f>IF(9&lt;=nLan,"CĐ V(a) max - "&amp;9&amp;" làn","")</f>
        <v/>
      </c>
      <c r="B178" s="46" t="str">
        <f>IF($A178="","",'TO HOP'!$C$142+1.35*(0-'TO HOP'!$M$42))</f>
        <v/>
      </c>
      <c r="C178" s="46" t="str">
        <f>IF($A178="","",'TO HOP'!$D$142+1.35*(0-'TO HOP'!$M$43))</f>
        <v/>
      </c>
      <c r="D178" s="46" t="str">
        <f>IF($A178="","",'TO HOP'!$E$142+1.35*(INDEX('LANE ENGINE'!$D$6:$D$45,9)-'TO HOP'!$M$44))</f>
        <v/>
      </c>
      <c r="E178" s="46" t="str">
        <f>IF($A178="","",'TO HOP'!$F$142+1.35*(INDEX('LANE ENGINE'!$E$6:$E$45,9)-'TO HOP'!$M$45))</f>
        <v/>
      </c>
      <c r="F178" s="46" t="str">
        <f>IF($A178="","",'TO HOP'!$G$142+1.35*(INDEX('LANE ENGINE'!$F$6:$F$45,9)-'TO HOP'!$M$46))</f>
        <v/>
      </c>
      <c r="G178" s="46" t="str">
        <f>IF($A178="","",'TO HOP'!$H$142+1.35*(0-'TO HOP'!$M$47))</f>
        <v/>
      </c>
      <c r="H178" s="46" t="str">
        <f>IF($A178="","",'TO HOP'!$I$142+1.35*(0-'TO HOP'!$M$48))</f>
        <v/>
      </c>
      <c r="I178" s="46" t="str">
        <f>IF($A178="","",'TO HOP'!$J$142+1.35*(INDEX('LANE ENGINE'!$D$6:$D$45,9)-'TO HOP'!$M$49))</f>
        <v/>
      </c>
      <c r="J178" s="46" t="str">
        <f>IF($A178="","",'TO HOP'!$K$142+1.35*(INDEX('LANE ENGINE'!$E$6:$E$45,9)-'TO HOP'!$M$50))</f>
        <v/>
      </c>
      <c r="K178" s="46" t="str">
        <f>IF($A178="","",'TO HOP'!$L$142+1.35*(INDEX('LANE ENGINE'!$G$6:$G$45,9)-'TO HOP'!$M$51))</f>
        <v/>
      </c>
      <c r="L178" s="40" t="s">
        <v>885</v>
      </c>
      <c r="M178" s="40">
        <v>9</v>
      </c>
    </row>
    <row r="179" spans="1:13" x14ac:dyDescent="0.3">
      <c r="A179" s="40" t="str">
        <f>IF(10&lt;=nLan,"CĐ V(a) max - "&amp;10&amp;" làn","")</f>
        <v/>
      </c>
      <c r="B179" s="46" t="str">
        <f>IF($A179="","",'TO HOP'!$C$142+1.35*(0-'TO HOP'!$M$42))</f>
        <v/>
      </c>
      <c r="C179" s="46" t="str">
        <f>IF($A179="","",'TO HOP'!$D$142+1.35*(0-'TO HOP'!$M$43))</f>
        <v/>
      </c>
      <c r="D179" s="46" t="str">
        <f>IF($A179="","",'TO HOP'!$E$142+1.35*(INDEX('LANE ENGINE'!$D$6:$D$45,10)-'TO HOP'!$M$44))</f>
        <v/>
      </c>
      <c r="E179" s="46" t="str">
        <f>IF($A179="","",'TO HOP'!$F$142+1.35*(INDEX('LANE ENGINE'!$E$6:$E$45,10)-'TO HOP'!$M$45))</f>
        <v/>
      </c>
      <c r="F179" s="46" t="str">
        <f>IF($A179="","",'TO HOP'!$G$142+1.35*(INDEX('LANE ENGINE'!$F$6:$F$45,10)-'TO HOP'!$M$46))</f>
        <v/>
      </c>
      <c r="G179" s="46" t="str">
        <f>IF($A179="","",'TO HOP'!$H$142+1.35*(0-'TO HOP'!$M$47))</f>
        <v/>
      </c>
      <c r="H179" s="46" t="str">
        <f>IF($A179="","",'TO HOP'!$I$142+1.35*(0-'TO HOP'!$M$48))</f>
        <v/>
      </c>
      <c r="I179" s="46" t="str">
        <f>IF($A179="","",'TO HOP'!$J$142+1.35*(INDEX('LANE ENGINE'!$D$6:$D$45,10)-'TO HOP'!$M$49))</f>
        <v/>
      </c>
      <c r="J179" s="46" t="str">
        <f>IF($A179="","",'TO HOP'!$K$142+1.35*(INDEX('LANE ENGINE'!$E$6:$E$45,10)-'TO HOP'!$M$50))</f>
        <v/>
      </c>
      <c r="K179" s="46" t="str">
        <f>IF($A179="","",'TO HOP'!$L$142+1.35*(INDEX('LANE ENGINE'!$G$6:$G$45,10)-'TO HOP'!$M$51))</f>
        <v/>
      </c>
      <c r="L179" s="40" t="s">
        <v>885</v>
      </c>
      <c r="M179" s="40">
        <v>10</v>
      </c>
    </row>
    <row r="180" spans="1:13" x14ac:dyDescent="0.3">
      <c r="A180" s="40" t="str">
        <f>IF(11&lt;=nLan,"CĐ V(a) max - "&amp;11&amp;" làn","")</f>
        <v/>
      </c>
      <c r="B180" s="46" t="str">
        <f>IF($A180="","",'TO HOP'!$C$142+1.35*(0-'TO HOP'!$M$42))</f>
        <v/>
      </c>
      <c r="C180" s="46" t="str">
        <f>IF($A180="","",'TO HOP'!$D$142+1.35*(0-'TO HOP'!$M$43))</f>
        <v/>
      </c>
      <c r="D180" s="46" t="str">
        <f>IF($A180="","",'TO HOP'!$E$142+1.35*(INDEX('LANE ENGINE'!$D$6:$D$45,11)-'TO HOP'!$M$44))</f>
        <v/>
      </c>
      <c r="E180" s="46" t="str">
        <f>IF($A180="","",'TO HOP'!$F$142+1.35*(INDEX('LANE ENGINE'!$E$6:$E$45,11)-'TO HOP'!$M$45))</f>
        <v/>
      </c>
      <c r="F180" s="46" t="str">
        <f>IF($A180="","",'TO HOP'!$G$142+1.35*(INDEX('LANE ENGINE'!$F$6:$F$45,11)-'TO HOP'!$M$46))</f>
        <v/>
      </c>
      <c r="G180" s="46" t="str">
        <f>IF($A180="","",'TO HOP'!$H$142+1.35*(0-'TO HOP'!$M$47))</f>
        <v/>
      </c>
      <c r="H180" s="46" t="str">
        <f>IF($A180="","",'TO HOP'!$I$142+1.35*(0-'TO HOP'!$M$48))</f>
        <v/>
      </c>
      <c r="I180" s="46" t="str">
        <f>IF($A180="","",'TO HOP'!$J$142+1.35*(INDEX('LANE ENGINE'!$D$6:$D$45,11)-'TO HOP'!$M$49))</f>
        <v/>
      </c>
      <c r="J180" s="46" t="str">
        <f>IF($A180="","",'TO HOP'!$K$142+1.35*(INDEX('LANE ENGINE'!$E$6:$E$45,11)-'TO HOP'!$M$50))</f>
        <v/>
      </c>
      <c r="K180" s="46" t="str">
        <f>IF($A180="","",'TO HOP'!$L$142+1.35*(INDEX('LANE ENGINE'!$G$6:$G$45,11)-'TO HOP'!$M$51))</f>
        <v/>
      </c>
      <c r="L180" s="40" t="s">
        <v>885</v>
      </c>
      <c r="M180" s="40">
        <v>11</v>
      </c>
    </row>
    <row r="181" spans="1:13" x14ac:dyDescent="0.3">
      <c r="A181" s="40" t="str">
        <f>IF(12&lt;=nLan,"CĐ V(a) max - "&amp;12&amp;" làn","")</f>
        <v/>
      </c>
      <c r="B181" s="46" t="str">
        <f>IF($A181="","",'TO HOP'!$C$142+1.35*(0-'TO HOP'!$M$42))</f>
        <v/>
      </c>
      <c r="C181" s="46" t="str">
        <f>IF($A181="","",'TO HOP'!$D$142+1.35*(0-'TO HOP'!$M$43))</f>
        <v/>
      </c>
      <c r="D181" s="46" t="str">
        <f>IF($A181="","",'TO HOP'!$E$142+1.35*(INDEX('LANE ENGINE'!$D$6:$D$45,12)-'TO HOP'!$M$44))</f>
        <v/>
      </c>
      <c r="E181" s="46" t="str">
        <f>IF($A181="","",'TO HOP'!$F$142+1.35*(INDEX('LANE ENGINE'!$E$6:$E$45,12)-'TO HOP'!$M$45))</f>
        <v/>
      </c>
      <c r="F181" s="46" t="str">
        <f>IF($A181="","",'TO HOP'!$G$142+1.35*(INDEX('LANE ENGINE'!$F$6:$F$45,12)-'TO HOP'!$M$46))</f>
        <v/>
      </c>
      <c r="G181" s="46" t="str">
        <f>IF($A181="","",'TO HOP'!$H$142+1.35*(0-'TO HOP'!$M$47))</f>
        <v/>
      </c>
      <c r="H181" s="46" t="str">
        <f>IF($A181="","",'TO HOP'!$I$142+1.35*(0-'TO HOP'!$M$48))</f>
        <v/>
      </c>
      <c r="I181" s="46" t="str">
        <f>IF($A181="","",'TO HOP'!$J$142+1.35*(INDEX('LANE ENGINE'!$D$6:$D$45,12)-'TO HOP'!$M$49))</f>
        <v/>
      </c>
      <c r="J181" s="46" t="str">
        <f>IF($A181="","",'TO HOP'!$K$142+1.35*(INDEX('LANE ENGINE'!$E$6:$E$45,12)-'TO HOP'!$M$50))</f>
        <v/>
      </c>
      <c r="K181" s="46" t="str">
        <f>IF($A181="","",'TO HOP'!$L$142+1.35*(INDEX('LANE ENGINE'!$G$6:$G$45,12)-'TO HOP'!$M$51))</f>
        <v/>
      </c>
      <c r="L181" s="40" t="s">
        <v>885</v>
      </c>
      <c r="M181" s="40">
        <v>12</v>
      </c>
    </row>
    <row r="182" spans="1:13" x14ac:dyDescent="0.3">
      <c r="A182" s="40" t="str">
        <f>IF(13&lt;=nLan,"CĐ V(a) max - "&amp;13&amp;" làn","")</f>
        <v/>
      </c>
      <c r="B182" s="46" t="str">
        <f>IF($A182="","",'TO HOP'!$C$142+1.35*(0-'TO HOP'!$M$42))</f>
        <v/>
      </c>
      <c r="C182" s="46" t="str">
        <f>IF($A182="","",'TO HOP'!$D$142+1.35*(0-'TO HOP'!$M$43))</f>
        <v/>
      </c>
      <c r="D182" s="46" t="str">
        <f>IF($A182="","",'TO HOP'!$E$142+1.35*(INDEX('LANE ENGINE'!$D$6:$D$45,13)-'TO HOP'!$M$44))</f>
        <v/>
      </c>
      <c r="E182" s="46" t="str">
        <f>IF($A182="","",'TO HOP'!$F$142+1.35*(INDEX('LANE ENGINE'!$E$6:$E$45,13)-'TO HOP'!$M$45))</f>
        <v/>
      </c>
      <c r="F182" s="46" t="str">
        <f>IF($A182="","",'TO HOP'!$G$142+1.35*(INDEX('LANE ENGINE'!$F$6:$F$45,13)-'TO HOP'!$M$46))</f>
        <v/>
      </c>
      <c r="G182" s="46" t="str">
        <f>IF($A182="","",'TO HOP'!$H$142+1.35*(0-'TO HOP'!$M$47))</f>
        <v/>
      </c>
      <c r="H182" s="46" t="str">
        <f>IF($A182="","",'TO HOP'!$I$142+1.35*(0-'TO HOP'!$M$48))</f>
        <v/>
      </c>
      <c r="I182" s="46" t="str">
        <f>IF($A182="","",'TO HOP'!$J$142+1.35*(INDEX('LANE ENGINE'!$D$6:$D$45,13)-'TO HOP'!$M$49))</f>
        <v/>
      </c>
      <c r="J182" s="46" t="str">
        <f>IF($A182="","",'TO HOP'!$K$142+1.35*(INDEX('LANE ENGINE'!$E$6:$E$45,13)-'TO HOP'!$M$50))</f>
        <v/>
      </c>
      <c r="K182" s="46" t="str">
        <f>IF($A182="","",'TO HOP'!$L$142+1.35*(INDEX('LANE ENGINE'!$G$6:$G$45,13)-'TO HOP'!$M$51))</f>
        <v/>
      </c>
      <c r="L182" s="40" t="s">
        <v>885</v>
      </c>
      <c r="M182" s="40">
        <v>13</v>
      </c>
    </row>
    <row r="183" spans="1:13" x14ac:dyDescent="0.3">
      <c r="A183" s="40" t="str">
        <f>IF(14&lt;=nLan,"CĐ V(a) max - "&amp;14&amp;" làn","")</f>
        <v/>
      </c>
      <c r="B183" s="46" t="str">
        <f>IF($A183="","",'TO HOP'!$C$142+1.35*(0-'TO HOP'!$M$42))</f>
        <v/>
      </c>
      <c r="C183" s="46" t="str">
        <f>IF($A183="","",'TO HOP'!$D$142+1.35*(0-'TO HOP'!$M$43))</f>
        <v/>
      </c>
      <c r="D183" s="46" t="str">
        <f>IF($A183="","",'TO HOP'!$E$142+1.35*(INDEX('LANE ENGINE'!$D$6:$D$45,14)-'TO HOP'!$M$44))</f>
        <v/>
      </c>
      <c r="E183" s="46" t="str">
        <f>IF($A183="","",'TO HOP'!$F$142+1.35*(INDEX('LANE ENGINE'!$E$6:$E$45,14)-'TO HOP'!$M$45))</f>
        <v/>
      </c>
      <c r="F183" s="46" t="str">
        <f>IF($A183="","",'TO HOP'!$G$142+1.35*(INDEX('LANE ENGINE'!$F$6:$F$45,14)-'TO HOP'!$M$46))</f>
        <v/>
      </c>
      <c r="G183" s="46" t="str">
        <f>IF($A183="","",'TO HOP'!$H$142+1.35*(0-'TO HOP'!$M$47))</f>
        <v/>
      </c>
      <c r="H183" s="46" t="str">
        <f>IF($A183="","",'TO HOP'!$I$142+1.35*(0-'TO HOP'!$M$48))</f>
        <v/>
      </c>
      <c r="I183" s="46" t="str">
        <f>IF($A183="","",'TO HOP'!$J$142+1.35*(INDEX('LANE ENGINE'!$D$6:$D$45,14)-'TO HOP'!$M$49))</f>
        <v/>
      </c>
      <c r="J183" s="46" t="str">
        <f>IF($A183="","",'TO HOP'!$K$142+1.35*(INDEX('LANE ENGINE'!$E$6:$E$45,14)-'TO HOP'!$M$50))</f>
        <v/>
      </c>
      <c r="K183" s="46" t="str">
        <f>IF($A183="","",'TO HOP'!$L$142+1.35*(INDEX('LANE ENGINE'!$G$6:$G$45,14)-'TO HOP'!$M$51))</f>
        <v/>
      </c>
      <c r="L183" s="40" t="s">
        <v>885</v>
      </c>
      <c r="M183" s="40">
        <v>14</v>
      </c>
    </row>
    <row r="184" spans="1:13" x14ac:dyDescent="0.3">
      <c r="A184" s="40" t="str">
        <f>IF(15&lt;=nLan,"CĐ V(a) max - "&amp;15&amp;" làn","")</f>
        <v/>
      </c>
      <c r="B184" s="46" t="str">
        <f>IF($A184="","",'TO HOP'!$C$142+1.35*(0-'TO HOP'!$M$42))</f>
        <v/>
      </c>
      <c r="C184" s="46" t="str">
        <f>IF($A184="","",'TO HOP'!$D$142+1.35*(0-'TO HOP'!$M$43))</f>
        <v/>
      </c>
      <c r="D184" s="46" t="str">
        <f>IF($A184="","",'TO HOP'!$E$142+1.35*(INDEX('LANE ENGINE'!$D$6:$D$45,15)-'TO HOP'!$M$44))</f>
        <v/>
      </c>
      <c r="E184" s="46" t="str">
        <f>IF($A184="","",'TO HOP'!$F$142+1.35*(INDEX('LANE ENGINE'!$E$6:$E$45,15)-'TO HOP'!$M$45))</f>
        <v/>
      </c>
      <c r="F184" s="46" t="str">
        <f>IF($A184="","",'TO HOP'!$G$142+1.35*(INDEX('LANE ENGINE'!$F$6:$F$45,15)-'TO HOP'!$M$46))</f>
        <v/>
      </c>
      <c r="G184" s="46" t="str">
        <f>IF($A184="","",'TO HOP'!$H$142+1.35*(0-'TO HOP'!$M$47))</f>
        <v/>
      </c>
      <c r="H184" s="46" t="str">
        <f>IF($A184="","",'TO HOP'!$I$142+1.35*(0-'TO HOP'!$M$48))</f>
        <v/>
      </c>
      <c r="I184" s="46" t="str">
        <f>IF($A184="","",'TO HOP'!$J$142+1.35*(INDEX('LANE ENGINE'!$D$6:$D$45,15)-'TO HOP'!$M$49))</f>
        <v/>
      </c>
      <c r="J184" s="46" t="str">
        <f>IF($A184="","",'TO HOP'!$K$142+1.35*(INDEX('LANE ENGINE'!$E$6:$E$45,15)-'TO HOP'!$M$50))</f>
        <v/>
      </c>
      <c r="K184" s="46" t="str">
        <f>IF($A184="","",'TO HOP'!$L$142+1.35*(INDEX('LANE ENGINE'!$G$6:$G$45,15)-'TO HOP'!$M$51))</f>
        <v/>
      </c>
      <c r="L184" s="40" t="s">
        <v>885</v>
      </c>
      <c r="M184" s="40">
        <v>15</v>
      </c>
    </row>
    <row r="185" spans="1:13" x14ac:dyDescent="0.3">
      <c r="A185" s="40" t="str">
        <f>IF(16&lt;=nLan,"CĐ V(a) max - "&amp;16&amp;" làn","")</f>
        <v/>
      </c>
      <c r="B185" s="46" t="str">
        <f>IF($A185="","",'TO HOP'!$C$142+1.35*(0-'TO HOP'!$M$42))</f>
        <v/>
      </c>
      <c r="C185" s="46" t="str">
        <f>IF($A185="","",'TO HOP'!$D$142+1.35*(0-'TO HOP'!$M$43))</f>
        <v/>
      </c>
      <c r="D185" s="46" t="str">
        <f>IF($A185="","",'TO HOP'!$E$142+1.35*(INDEX('LANE ENGINE'!$D$6:$D$45,16)-'TO HOP'!$M$44))</f>
        <v/>
      </c>
      <c r="E185" s="46" t="str">
        <f>IF($A185="","",'TO HOP'!$F$142+1.35*(INDEX('LANE ENGINE'!$E$6:$E$45,16)-'TO HOP'!$M$45))</f>
        <v/>
      </c>
      <c r="F185" s="46" t="str">
        <f>IF($A185="","",'TO HOP'!$G$142+1.35*(INDEX('LANE ENGINE'!$F$6:$F$45,16)-'TO HOP'!$M$46))</f>
        <v/>
      </c>
      <c r="G185" s="46" t="str">
        <f>IF($A185="","",'TO HOP'!$H$142+1.35*(0-'TO HOP'!$M$47))</f>
        <v/>
      </c>
      <c r="H185" s="46" t="str">
        <f>IF($A185="","",'TO HOP'!$I$142+1.35*(0-'TO HOP'!$M$48))</f>
        <v/>
      </c>
      <c r="I185" s="46" t="str">
        <f>IF($A185="","",'TO HOP'!$J$142+1.35*(INDEX('LANE ENGINE'!$D$6:$D$45,16)-'TO HOP'!$M$49))</f>
        <v/>
      </c>
      <c r="J185" s="46" t="str">
        <f>IF($A185="","",'TO HOP'!$K$142+1.35*(INDEX('LANE ENGINE'!$E$6:$E$45,16)-'TO HOP'!$M$50))</f>
        <v/>
      </c>
      <c r="K185" s="46" t="str">
        <f>IF($A185="","",'TO HOP'!$L$142+1.35*(INDEX('LANE ENGINE'!$G$6:$G$45,16)-'TO HOP'!$M$51))</f>
        <v/>
      </c>
      <c r="L185" s="40" t="s">
        <v>885</v>
      </c>
      <c r="M185" s="40">
        <v>16</v>
      </c>
    </row>
    <row r="186" spans="1:13" x14ac:dyDescent="0.3">
      <c r="A186" s="40" t="str">
        <f>IF(17&lt;=nLan,"CĐ V(a) max - "&amp;17&amp;" làn","")</f>
        <v/>
      </c>
      <c r="B186" s="46" t="str">
        <f>IF($A186="","",'TO HOP'!$C$142+1.35*(0-'TO HOP'!$M$42))</f>
        <v/>
      </c>
      <c r="C186" s="46" t="str">
        <f>IF($A186="","",'TO HOP'!$D$142+1.35*(0-'TO HOP'!$M$43))</f>
        <v/>
      </c>
      <c r="D186" s="46" t="str">
        <f>IF($A186="","",'TO HOP'!$E$142+1.35*(INDEX('LANE ENGINE'!$D$6:$D$45,17)-'TO HOP'!$M$44))</f>
        <v/>
      </c>
      <c r="E186" s="46" t="str">
        <f>IF($A186="","",'TO HOP'!$F$142+1.35*(INDEX('LANE ENGINE'!$E$6:$E$45,17)-'TO HOP'!$M$45))</f>
        <v/>
      </c>
      <c r="F186" s="46" t="str">
        <f>IF($A186="","",'TO HOP'!$G$142+1.35*(INDEX('LANE ENGINE'!$F$6:$F$45,17)-'TO HOP'!$M$46))</f>
        <v/>
      </c>
      <c r="G186" s="46" t="str">
        <f>IF($A186="","",'TO HOP'!$H$142+1.35*(0-'TO HOP'!$M$47))</f>
        <v/>
      </c>
      <c r="H186" s="46" t="str">
        <f>IF($A186="","",'TO HOP'!$I$142+1.35*(0-'TO HOP'!$M$48))</f>
        <v/>
      </c>
      <c r="I186" s="46" t="str">
        <f>IF($A186="","",'TO HOP'!$J$142+1.35*(INDEX('LANE ENGINE'!$D$6:$D$45,17)-'TO HOP'!$M$49))</f>
        <v/>
      </c>
      <c r="J186" s="46" t="str">
        <f>IF($A186="","",'TO HOP'!$K$142+1.35*(INDEX('LANE ENGINE'!$E$6:$E$45,17)-'TO HOP'!$M$50))</f>
        <v/>
      </c>
      <c r="K186" s="46" t="str">
        <f>IF($A186="","",'TO HOP'!$L$142+1.35*(INDEX('LANE ENGINE'!$G$6:$G$45,17)-'TO HOP'!$M$51))</f>
        <v/>
      </c>
      <c r="L186" s="40" t="s">
        <v>885</v>
      </c>
      <c r="M186" s="40">
        <v>17</v>
      </c>
    </row>
    <row r="187" spans="1:13" x14ac:dyDescent="0.3">
      <c r="A187" s="40" t="str">
        <f>IF(18&lt;=nLan,"CĐ V(a) max - "&amp;18&amp;" làn","")</f>
        <v/>
      </c>
      <c r="B187" s="46" t="str">
        <f>IF($A187="","",'TO HOP'!$C$142+1.35*(0-'TO HOP'!$M$42))</f>
        <v/>
      </c>
      <c r="C187" s="46" t="str">
        <f>IF($A187="","",'TO HOP'!$D$142+1.35*(0-'TO HOP'!$M$43))</f>
        <v/>
      </c>
      <c r="D187" s="46" t="str">
        <f>IF($A187="","",'TO HOP'!$E$142+1.35*(INDEX('LANE ENGINE'!$D$6:$D$45,18)-'TO HOP'!$M$44))</f>
        <v/>
      </c>
      <c r="E187" s="46" t="str">
        <f>IF($A187="","",'TO HOP'!$F$142+1.35*(INDEX('LANE ENGINE'!$E$6:$E$45,18)-'TO HOP'!$M$45))</f>
        <v/>
      </c>
      <c r="F187" s="46" t="str">
        <f>IF($A187="","",'TO HOP'!$G$142+1.35*(INDEX('LANE ENGINE'!$F$6:$F$45,18)-'TO HOP'!$M$46))</f>
        <v/>
      </c>
      <c r="G187" s="46" t="str">
        <f>IF($A187="","",'TO HOP'!$H$142+1.35*(0-'TO HOP'!$M$47))</f>
        <v/>
      </c>
      <c r="H187" s="46" t="str">
        <f>IF($A187="","",'TO HOP'!$I$142+1.35*(0-'TO HOP'!$M$48))</f>
        <v/>
      </c>
      <c r="I187" s="46" t="str">
        <f>IF($A187="","",'TO HOP'!$J$142+1.35*(INDEX('LANE ENGINE'!$D$6:$D$45,18)-'TO HOP'!$M$49))</f>
        <v/>
      </c>
      <c r="J187" s="46" t="str">
        <f>IF($A187="","",'TO HOP'!$K$142+1.35*(INDEX('LANE ENGINE'!$E$6:$E$45,18)-'TO HOP'!$M$50))</f>
        <v/>
      </c>
      <c r="K187" s="46" t="str">
        <f>IF($A187="","",'TO HOP'!$L$142+1.35*(INDEX('LANE ENGINE'!$G$6:$G$45,18)-'TO HOP'!$M$51))</f>
        <v/>
      </c>
      <c r="L187" s="40" t="s">
        <v>885</v>
      </c>
      <c r="M187" s="40">
        <v>18</v>
      </c>
    </row>
    <row r="188" spans="1:13" x14ac:dyDescent="0.3">
      <c r="A188" s="40" t="str">
        <f>IF(19&lt;=nLan,"CĐ V(a) max - "&amp;19&amp;" làn","")</f>
        <v/>
      </c>
      <c r="B188" s="46" t="str">
        <f>IF($A188="","",'TO HOP'!$C$142+1.35*(0-'TO HOP'!$M$42))</f>
        <v/>
      </c>
      <c r="C188" s="46" t="str">
        <f>IF($A188="","",'TO HOP'!$D$142+1.35*(0-'TO HOP'!$M$43))</f>
        <v/>
      </c>
      <c r="D188" s="46" t="str">
        <f>IF($A188="","",'TO HOP'!$E$142+1.35*(INDEX('LANE ENGINE'!$D$6:$D$45,19)-'TO HOP'!$M$44))</f>
        <v/>
      </c>
      <c r="E188" s="46" t="str">
        <f>IF($A188="","",'TO HOP'!$F$142+1.35*(INDEX('LANE ENGINE'!$E$6:$E$45,19)-'TO HOP'!$M$45))</f>
        <v/>
      </c>
      <c r="F188" s="46" t="str">
        <f>IF($A188="","",'TO HOP'!$G$142+1.35*(INDEX('LANE ENGINE'!$F$6:$F$45,19)-'TO HOP'!$M$46))</f>
        <v/>
      </c>
      <c r="G188" s="46" t="str">
        <f>IF($A188="","",'TO HOP'!$H$142+1.35*(0-'TO HOP'!$M$47))</f>
        <v/>
      </c>
      <c r="H188" s="46" t="str">
        <f>IF($A188="","",'TO HOP'!$I$142+1.35*(0-'TO HOP'!$M$48))</f>
        <v/>
      </c>
      <c r="I188" s="46" t="str">
        <f>IF($A188="","",'TO HOP'!$J$142+1.35*(INDEX('LANE ENGINE'!$D$6:$D$45,19)-'TO HOP'!$M$49))</f>
        <v/>
      </c>
      <c r="J188" s="46" t="str">
        <f>IF($A188="","",'TO HOP'!$K$142+1.35*(INDEX('LANE ENGINE'!$E$6:$E$45,19)-'TO HOP'!$M$50))</f>
        <v/>
      </c>
      <c r="K188" s="46" t="str">
        <f>IF($A188="","",'TO HOP'!$L$142+1.35*(INDEX('LANE ENGINE'!$G$6:$G$45,19)-'TO HOP'!$M$51))</f>
        <v/>
      </c>
      <c r="L188" s="40" t="s">
        <v>885</v>
      </c>
      <c r="M188" s="40">
        <v>19</v>
      </c>
    </row>
    <row r="189" spans="1:13" x14ac:dyDescent="0.3">
      <c r="A189" s="40" t="str">
        <f>IF(20&lt;=nLan,"CĐ V(a) max - "&amp;20&amp;" làn","")</f>
        <v/>
      </c>
      <c r="B189" s="46" t="str">
        <f>IF($A189="","",'TO HOP'!$C$142+1.35*(0-'TO HOP'!$M$42))</f>
        <v/>
      </c>
      <c r="C189" s="46" t="str">
        <f>IF($A189="","",'TO HOP'!$D$142+1.35*(0-'TO HOP'!$M$43))</f>
        <v/>
      </c>
      <c r="D189" s="46" t="str">
        <f>IF($A189="","",'TO HOP'!$E$142+1.35*(INDEX('LANE ENGINE'!$D$6:$D$45,20)-'TO HOP'!$M$44))</f>
        <v/>
      </c>
      <c r="E189" s="46" t="str">
        <f>IF($A189="","",'TO HOP'!$F$142+1.35*(INDEX('LANE ENGINE'!$E$6:$E$45,20)-'TO HOP'!$M$45))</f>
        <v/>
      </c>
      <c r="F189" s="46" t="str">
        <f>IF($A189="","",'TO HOP'!$G$142+1.35*(INDEX('LANE ENGINE'!$F$6:$F$45,20)-'TO HOP'!$M$46))</f>
        <v/>
      </c>
      <c r="G189" s="46" t="str">
        <f>IF($A189="","",'TO HOP'!$H$142+1.35*(0-'TO HOP'!$M$47))</f>
        <v/>
      </c>
      <c r="H189" s="46" t="str">
        <f>IF($A189="","",'TO HOP'!$I$142+1.35*(0-'TO HOP'!$M$48))</f>
        <v/>
      </c>
      <c r="I189" s="46" t="str">
        <f>IF($A189="","",'TO HOP'!$J$142+1.35*(INDEX('LANE ENGINE'!$D$6:$D$45,20)-'TO HOP'!$M$49))</f>
        <v/>
      </c>
      <c r="J189" s="46" t="str">
        <f>IF($A189="","",'TO HOP'!$K$142+1.35*(INDEX('LANE ENGINE'!$E$6:$E$45,20)-'TO HOP'!$M$50))</f>
        <v/>
      </c>
      <c r="K189" s="46" t="str">
        <f>IF($A189="","",'TO HOP'!$L$142+1.35*(INDEX('LANE ENGINE'!$G$6:$G$45,20)-'TO HOP'!$M$51))</f>
        <v/>
      </c>
      <c r="L189" s="40" t="s">
        <v>885</v>
      </c>
      <c r="M189" s="40">
        <v>20</v>
      </c>
    </row>
    <row r="190" spans="1:13" x14ac:dyDescent="0.3">
      <c r="A190" s="40" t="str">
        <f>IF(21&lt;=nLan,"CĐ V(a) max - "&amp;21&amp;" làn","")</f>
        <v/>
      </c>
      <c r="B190" s="46" t="str">
        <f>IF($A190="","",'TO HOP'!$C$142+1.35*(0-'TO HOP'!$M$42))</f>
        <v/>
      </c>
      <c r="C190" s="46" t="str">
        <f>IF($A190="","",'TO HOP'!$D$142+1.35*(0-'TO HOP'!$M$43))</f>
        <v/>
      </c>
      <c r="D190" s="46" t="str">
        <f>IF($A190="","",'TO HOP'!$E$142+1.35*(INDEX('LANE ENGINE'!$D$6:$D$45,21)-'TO HOP'!$M$44))</f>
        <v/>
      </c>
      <c r="E190" s="46" t="str">
        <f>IF($A190="","",'TO HOP'!$F$142+1.35*(INDEX('LANE ENGINE'!$E$6:$E$45,21)-'TO HOP'!$M$45))</f>
        <v/>
      </c>
      <c r="F190" s="46" t="str">
        <f>IF($A190="","",'TO HOP'!$G$142+1.35*(INDEX('LANE ENGINE'!$F$6:$F$45,21)-'TO HOP'!$M$46))</f>
        <v/>
      </c>
      <c r="G190" s="46" t="str">
        <f>IF($A190="","",'TO HOP'!$H$142+1.35*(0-'TO HOP'!$M$47))</f>
        <v/>
      </c>
      <c r="H190" s="46" t="str">
        <f>IF($A190="","",'TO HOP'!$I$142+1.35*(0-'TO HOP'!$M$48))</f>
        <v/>
      </c>
      <c r="I190" s="46" t="str">
        <f>IF($A190="","",'TO HOP'!$J$142+1.35*(INDEX('LANE ENGINE'!$D$6:$D$45,21)-'TO HOP'!$M$49))</f>
        <v/>
      </c>
      <c r="J190" s="46" t="str">
        <f>IF($A190="","",'TO HOP'!$K$142+1.35*(INDEX('LANE ENGINE'!$E$6:$E$45,21)-'TO HOP'!$M$50))</f>
        <v/>
      </c>
      <c r="K190" s="46" t="str">
        <f>IF($A190="","",'TO HOP'!$L$142+1.35*(INDEX('LANE ENGINE'!$G$6:$G$45,21)-'TO HOP'!$M$51))</f>
        <v/>
      </c>
      <c r="L190" s="40" t="s">
        <v>885</v>
      </c>
      <c r="M190" s="40">
        <v>21</v>
      </c>
    </row>
    <row r="191" spans="1:13" x14ac:dyDescent="0.3">
      <c r="A191" s="40" t="str">
        <f>IF(22&lt;=nLan,"CĐ V(a) max - "&amp;22&amp;" làn","")</f>
        <v/>
      </c>
      <c r="B191" s="46" t="str">
        <f>IF($A191="","",'TO HOP'!$C$142+1.35*(0-'TO HOP'!$M$42))</f>
        <v/>
      </c>
      <c r="C191" s="46" t="str">
        <f>IF($A191="","",'TO HOP'!$D$142+1.35*(0-'TO HOP'!$M$43))</f>
        <v/>
      </c>
      <c r="D191" s="46" t="str">
        <f>IF($A191="","",'TO HOP'!$E$142+1.35*(INDEX('LANE ENGINE'!$D$6:$D$45,22)-'TO HOP'!$M$44))</f>
        <v/>
      </c>
      <c r="E191" s="46" t="str">
        <f>IF($A191="","",'TO HOP'!$F$142+1.35*(INDEX('LANE ENGINE'!$E$6:$E$45,22)-'TO HOP'!$M$45))</f>
        <v/>
      </c>
      <c r="F191" s="46" t="str">
        <f>IF($A191="","",'TO HOP'!$G$142+1.35*(INDEX('LANE ENGINE'!$F$6:$F$45,22)-'TO HOP'!$M$46))</f>
        <v/>
      </c>
      <c r="G191" s="46" t="str">
        <f>IF($A191="","",'TO HOP'!$H$142+1.35*(0-'TO HOP'!$M$47))</f>
        <v/>
      </c>
      <c r="H191" s="46" t="str">
        <f>IF($A191="","",'TO HOP'!$I$142+1.35*(0-'TO HOP'!$M$48))</f>
        <v/>
      </c>
      <c r="I191" s="46" t="str">
        <f>IF($A191="","",'TO HOP'!$J$142+1.35*(INDEX('LANE ENGINE'!$D$6:$D$45,22)-'TO HOP'!$M$49))</f>
        <v/>
      </c>
      <c r="J191" s="46" t="str">
        <f>IF($A191="","",'TO HOP'!$K$142+1.35*(INDEX('LANE ENGINE'!$E$6:$E$45,22)-'TO HOP'!$M$50))</f>
        <v/>
      </c>
      <c r="K191" s="46" t="str">
        <f>IF($A191="","",'TO HOP'!$L$142+1.35*(INDEX('LANE ENGINE'!$G$6:$G$45,22)-'TO HOP'!$M$51))</f>
        <v/>
      </c>
      <c r="L191" s="40" t="s">
        <v>885</v>
      </c>
      <c r="M191" s="40">
        <v>22</v>
      </c>
    </row>
    <row r="192" spans="1:13" x14ac:dyDescent="0.3">
      <c r="A192" s="40" t="str">
        <f>IF(23&lt;=nLan,"CĐ V(a) max - "&amp;23&amp;" làn","")</f>
        <v/>
      </c>
      <c r="B192" s="46" t="str">
        <f>IF($A192="","",'TO HOP'!$C$142+1.35*(0-'TO HOP'!$M$42))</f>
        <v/>
      </c>
      <c r="C192" s="46" t="str">
        <f>IF($A192="","",'TO HOP'!$D$142+1.35*(0-'TO HOP'!$M$43))</f>
        <v/>
      </c>
      <c r="D192" s="46" t="str">
        <f>IF($A192="","",'TO HOP'!$E$142+1.35*(INDEX('LANE ENGINE'!$D$6:$D$45,23)-'TO HOP'!$M$44))</f>
        <v/>
      </c>
      <c r="E192" s="46" t="str">
        <f>IF($A192="","",'TO HOP'!$F$142+1.35*(INDEX('LANE ENGINE'!$E$6:$E$45,23)-'TO HOP'!$M$45))</f>
        <v/>
      </c>
      <c r="F192" s="46" t="str">
        <f>IF($A192="","",'TO HOP'!$G$142+1.35*(INDEX('LANE ENGINE'!$F$6:$F$45,23)-'TO HOP'!$M$46))</f>
        <v/>
      </c>
      <c r="G192" s="46" t="str">
        <f>IF($A192="","",'TO HOP'!$H$142+1.35*(0-'TO HOP'!$M$47))</f>
        <v/>
      </c>
      <c r="H192" s="46" t="str">
        <f>IF($A192="","",'TO HOP'!$I$142+1.35*(0-'TO HOP'!$M$48))</f>
        <v/>
      </c>
      <c r="I192" s="46" t="str">
        <f>IF($A192="","",'TO HOP'!$J$142+1.35*(INDEX('LANE ENGINE'!$D$6:$D$45,23)-'TO HOP'!$M$49))</f>
        <v/>
      </c>
      <c r="J192" s="46" t="str">
        <f>IF($A192="","",'TO HOP'!$K$142+1.35*(INDEX('LANE ENGINE'!$E$6:$E$45,23)-'TO HOP'!$M$50))</f>
        <v/>
      </c>
      <c r="K192" s="46" t="str">
        <f>IF($A192="","",'TO HOP'!$L$142+1.35*(INDEX('LANE ENGINE'!$G$6:$G$45,23)-'TO HOP'!$M$51))</f>
        <v/>
      </c>
      <c r="L192" s="40" t="s">
        <v>885</v>
      </c>
      <c r="M192" s="40">
        <v>23</v>
      </c>
    </row>
    <row r="193" spans="1:13" x14ac:dyDescent="0.3">
      <c r="A193" s="40" t="str">
        <f>IF(24&lt;=nLan,"CĐ V(a) max - "&amp;24&amp;" làn","")</f>
        <v/>
      </c>
      <c r="B193" s="46" t="str">
        <f>IF($A193="","",'TO HOP'!$C$142+1.35*(0-'TO HOP'!$M$42))</f>
        <v/>
      </c>
      <c r="C193" s="46" t="str">
        <f>IF($A193="","",'TO HOP'!$D$142+1.35*(0-'TO HOP'!$M$43))</f>
        <v/>
      </c>
      <c r="D193" s="46" t="str">
        <f>IF($A193="","",'TO HOP'!$E$142+1.35*(INDEX('LANE ENGINE'!$D$6:$D$45,24)-'TO HOP'!$M$44))</f>
        <v/>
      </c>
      <c r="E193" s="46" t="str">
        <f>IF($A193="","",'TO HOP'!$F$142+1.35*(INDEX('LANE ENGINE'!$E$6:$E$45,24)-'TO HOP'!$M$45))</f>
        <v/>
      </c>
      <c r="F193" s="46" t="str">
        <f>IF($A193="","",'TO HOP'!$G$142+1.35*(INDEX('LANE ENGINE'!$F$6:$F$45,24)-'TO HOP'!$M$46))</f>
        <v/>
      </c>
      <c r="G193" s="46" t="str">
        <f>IF($A193="","",'TO HOP'!$H$142+1.35*(0-'TO HOP'!$M$47))</f>
        <v/>
      </c>
      <c r="H193" s="46" t="str">
        <f>IF($A193="","",'TO HOP'!$I$142+1.35*(0-'TO HOP'!$M$48))</f>
        <v/>
      </c>
      <c r="I193" s="46" t="str">
        <f>IF($A193="","",'TO HOP'!$J$142+1.35*(INDEX('LANE ENGINE'!$D$6:$D$45,24)-'TO HOP'!$M$49))</f>
        <v/>
      </c>
      <c r="J193" s="46" t="str">
        <f>IF($A193="","",'TO HOP'!$K$142+1.35*(INDEX('LANE ENGINE'!$E$6:$E$45,24)-'TO HOP'!$M$50))</f>
        <v/>
      </c>
      <c r="K193" s="46" t="str">
        <f>IF($A193="","",'TO HOP'!$L$142+1.35*(INDEX('LANE ENGINE'!$G$6:$G$45,24)-'TO HOP'!$M$51))</f>
        <v/>
      </c>
      <c r="L193" s="40" t="s">
        <v>885</v>
      </c>
      <c r="M193" s="40">
        <v>24</v>
      </c>
    </row>
    <row r="194" spans="1:13" x14ac:dyDescent="0.3">
      <c r="A194" s="40" t="str">
        <f>IF(25&lt;=nLan,"CĐ V(a) max - "&amp;25&amp;" làn","")</f>
        <v/>
      </c>
      <c r="B194" s="46" t="str">
        <f>IF($A194="","",'TO HOP'!$C$142+1.35*(0-'TO HOP'!$M$42))</f>
        <v/>
      </c>
      <c r="C194" s="46" t="str">
        <f>IF($A194="","",'TO HOP'!$D$142+1.35*(0-'TO HOP'!$M$43))</f>
        <v/>
      </c>
      <c r="D194" s="46" t="str">
        <f>IF($A194="","",'TO HOP'!$E$142+1.35*(INDEX('LANE ENGINE'!$D$6:$D$45,25)-'TO HOP'!$M$44))</f>
        <v/>
      </c>
      <c r="E194" s="46" t="str">
        <f>IF($A194="","",'TO HOP'!$F$142+1.35*(INDEX('LANE ENGINE'!$E$6:$E$45,25)-'TO HOP'!$M$45))</f>
        <v/>
      </c>
      <c r="F194" s="46" t="str">
        <f>IF($A194="","",'TO HOP'!$G$142+1.35*(INDEX('LANE ENGINE'!$F$6:$F$45,25)-'TO HOP'!$M$46))</f>
        <v/>
      </c>
      <c r="G194" s="46" t="str">
        <f>IF($A194="","",'TO HOP'!$H$142+1.35*(0-'TO HOP'!$M$47))</f>
        <v/>
      </c>
      <c r="H194" s="46" t="str">
        <f>IF($A194="","",'TO HOP'!$I$142+1.35*(0-'TO HOP'!$M$48))</f>
        <v/>
      </c>
      <c r="I194" s="46" t="str">
        <f>IF($A194="","",'TO HOP'!$J$142+1.35*(INDEX('LANE ENGINE'!$D$6:$D$45,25)-'TO HOP'!$M$49))</f>
        <v/>
      </c>
      <c r="J194" s="46" t="str">
        <f>IF($A194="","",'TO HOP'!$K$142+1.35*(INDEX('LANE ENGINE'!$E$6:$E$45,25)-'TO HOP'!$M$50))</f>
        <v/>
      </c>
      <c r="K194" s="46" t="str">
        <f>IF($A194="","",'TO HOP'!$L$142+1.35*(INDEX('LANE ENGINE'!$G$6:$G$45,25)-'TO HOP'!$M$51))</f>
        <v/>
      </c>
      <c r="L194" s="40" t="s">
        <v>885</v>
      </c>
      <c r="M194" s="40">
        <v>25</v>
      </c>
    </row>
    <row r="195" spans="1:13" x14ac:dyDescent="0.3">
      <c r="A195" s="40" t="str">
        <f>IF(26&lt;=nLan,"CĐ V(a) max - "&amp;26&amp;" làn","")</f>
        <v/>
      </c>
      <c r="B195" s="46" t="str">
        <f>IF($A195="","",'TO HOP'!$C$142+1.35*(0-'TO HOP'!$M$42))</f>
        <v/>
      </c>
      <c r="C195" s="46" t="str">
        <f>IF($A195="","",'TO HOP'!$D$142+1.35*(0-'TO HOP'!$M$43))</f>
        <v/>
      </c>
      <c r="D195" s="46" t="str">
        <f>IF($A195="","",'TO HOP'!$E$142+1.35*(INDEX('LANE ENGINE'!$D$6:$D$45,26)-'TO HOP'!$M$44))</f>
        <v/>
      </c>
      <c r="E195" s="46" t="str">
        <f>IF($A195="","",'TO HOP'!$F$142+1.35*(INDEX('LANE ENGINE'!$E$6:$E$45,26)-'TO HOP'!$M$45))</f>
        <v/>
      </c>
      <c r="F195" s="46" t="str">
        <f>IF($A195="","",'TO HOP'!$G$142+1.35*(INDEX('LANE ENGINE'!$F$6:$F$45,26)-'TO HOP'!$M$46))</f>
        <v/>
      </c>
      <c r="G195" s="46" t="str">
        <f>IF($A195="","",'TO HOP'!$H$142+1.35*(0-'TO HOP'!$M$47))</f>
        <v/>
      </c>
      <c r="H195" s="46" t="str">
        <f>IF($A195="","",'TO HOP'!$I$142+1.35*(0-'TO HOP'!$M$48))</f>
        <v/>
      </c>
      <c r="I195" s="46" t="str">
        <f>IF($A195="","",'TO HOP'!$J$142+1.35*(INDEX('LANE ENGINE'!$D$6:$D$45,26)-'TO HOP'!$M$49))</f>
        <v/>
      </c>
      <c r="J195" s="46" t="str">
        <f>IF($A195="","",'TO HOP'!$K$142+1.35*(INDEX('LANE ENGINE'!$E$6:$E$45,26)-'TO HOP'!$M$50))</f>
        <v/>
      </c>
      <c r="K195" s="46" t="str">
        <f>IF($A195="","",'TO HOP'!$L$142+1.35*(INDEX('LANE ENGINE'!$G$6:$G$45,26)-'TO HOP'!$M$51))</f>
        <v/>
      </c>
      <c r="L195" s="40" t="s">
        <v>885</v>
      </c>
      <c r="M195" s="40">
        <v>26</v>
      </c>
    </row>
    <row r="196" spans="1:13" x14ac:dyDescent="0.3">
      <c r="A196" s="40" t="str">
        <f>IF(27&lt;=nLan,"CĐ V(a) max - "&amp;27&amp;" làn","")</f>
        <v/>
      </c>
      <c r="B196" s="46" t="str">
        <f>IF($A196="","",'TO HOP'!$C$142+1.35*(0-'TO HOP'!$M$42))</f>
        <v/>
      </c>
      <c r="C196" s="46" t="str">
        <f>IF($A196="","",'TO HOP'!$D$142+1.35*(0-'TO HOP'!$M$43))</f>
        <v/>
      </c>
      <c r="D196" s="46" t="str">
        <f>IF($A196="","",'TO HOP'!$E$142+1.35*(INDEX('LANE ENGINE'!$D$6:$D$45,27)-'TO HOP'!$M$44))</f>
        <v/>
      </c>
      <c r="E196" s="46" t="str">
        <f>IF($A196="","",'TO HOP'!$F$142+1.35*(INDEX('LANE ENGINE'!$E$6:$E$45,27)-'TO HOP'!$M$45))</f>
        <v/>
      </c>
      <c r="F196" s="46" t="str">
        <f>IF($A196="","",'TO HOP'!$G$142+1.35*(INDEX('LANE ENGINE'!$F$6:$F$45,27)-'TO HOP'!$M$46))</f>
        <v/>
      </c>
      <c r="G196" s="46" t="str">
        <f>IF($A196="","",'TO HOP'!$H$142+1.35*(0-'TO HOP'!$M$47))</f>
        <v/>
      </c>
      <c r="H196" s="46" t="str">
        <f>IF($A196="","",'TO HOP'!$I$142+1.35*(0-'TO HOP'!$M$48))</f>
        <v/>
      </c>
      <c r="I196" s="46" t="str">
        <f>IF($A196="","",'TO HOP'!$J$142+1.35*(INDEX('LANE ENGINE'!$D$6:$D$45,27)-'TO HOP'!$M$49))</f>
        <v/>
      </c>
      <c r="J196" s="46" t="str">
        <f>IF($A196="","",'TO HOP'!$K$142+1.35*(INDEX('LANE ENGINE'!$E$6:$E$45,27)-'TO HOP'!$M$50))</f>
        <v/>
      </c>
      <c r="K196" s="46" t="str">
        <f>IF($A196="","",'TO HOP'!$L$142+1.35*(INDEX('LANE ENGINE'!$G$6:$G$45,27)-'TO HOP'!$M$51))</f>
        <v/>
      </c>
      <c r="L196" s="40" t="s">
        <v>885</v>
      </c>
      <c r="M196" s="40">
        <v>27</v>
      </c>
    </row>
    <row r="197" spans="1:13" x14ac:dyDescent="0.3">
      <c r="A197" s="40" t="str">
        <f>IF(28&lt;=nLan,"CĐ V(a) max - "&amp;28&amp;" làn","")</f>
        <v/>
      </c>
      <c r="B197" s="46" t="str">
        <f>IF($A197="","",'TO HOP'!$C$142+1.35*(0-'TO HOP'!$M$42))</f>
        <v/>
      </c>
      <c r="C197" s="46" t="str">
        <f>IF($A197="","",'TO HOP'!$D$142+1.35*(0-'TO HOP'!$M$43))</f>
        <v/>
      </c>
      <c r="D197" s="46" t="str">
        <f>IF($A197="","",'TO HOP'!$E$142+1.35*(INDEX('LANE ENGINE'!$D$6:$D$45,28)-'TO HOP'!$M$44))</f>
        <v/>
      </c>
      <c r="E197" s="46" t="str">
        <f>IF($A197="","",'TO HOP'!$F$142+1.35*(INDEX('LANE ENGINE'!$E$6:$E$45,28)-'TO HOP'!$M$45))</f>
        <v/>
      </c>
      <c r="F197" s="46" t="str">
        <f>IF($A197="","",'TO HOP'!$G$142+1.35*(INDEX('LANE ENGINE'!$F$6:$F$45,28)-'TO HOP'!$M$46))</f>
        <v/>
      </c>
      <c r="G197" s="46" t="str">
        <f>IF($A197="","",'TO HOP'!$H$142+1.35*(0-'TO HOP'!$M$47))</f>
        <v/>
      </c>
      <c r="H197" s="46" t="str">
        <f>IF($A197="","",'TO HOP'!$I$142+1.35*(0-'TO HOP'!$M$48))</f>
        <v/>
      </c>
      <c r="I197" s="46" t="str">
        <f>IF($A197="","",'TO HOP'!$J$142+1.35*(INDEX('LANE ENGINE'!$D$6:$D$45,28)-'TO HOP'!$M$49))</f>
        <v/>
      </c>
      <c r="J197" s="46" t="str">
        <f>IF($A197="","",'TO HOP'!$K$142+1.35*(INDEX('LANE ENGINE'!$E$6:$E$45,28)-'TO HOP'!$M$50))</f>
        <v/>
      </c>
      <c r="K197" s="46" t="str">
        <f>IF($A197="","",'TO HOP'!$L$142+1.35*(INDEX('LANE ENGINE'!$G$6:$G$45,28)-'TO HOP'!$M$51))</f>
        <v/>
      </c>
      <c r="L197" s="40" t="s">
        <v>885</v>
      </c>
      <c r="M197" s="40">
        <v>28</v>
      </c>
    </row>
    <row r="198" spans="1:13" x14ac:dyDescent="0.3">
      <c r="A198" s="40" t="str">
        <f>IF(29&lt;=nLan,"CĐ V(a) max - "&amp;29&amp;" làn","")</f>
        <v/>
      </c>
      <c r="B198" s="46" t="str">
        <f>IF($A198="","",'TO HOP'!$C$142+1.35*(0-'TO HOP'!$M$42))</f>
        <v/>
      </c>
      <c r="C198" s="46" t="str">
        <f>IF($A198="","",'TO HOP'!$D$142+1.35*(0-'TO HOP'!$M$43))</f>
        <v/>
      </c>
      <c r="D198" s="46" t="str">
        <f>IF($A198="","",'TO HOP'!$E$142+1.35*(INDEX('LANE ENGINE'!$D$6:$D$45,29)-'TO HOP'!$M$44))</f>
        <v/>
      </c>
      <c r="E198" s="46" t="str">
        <f>IF($A198="","",'TO HOP'!$F$142+1.35*(INDEX('LANE ENGINE'!$E$6:$E$45,29)-'TO HOP'!$M$45))</f>
        <v/>
      </c>
      <c r="F198" s="46" t="str">
        <f>IF($A198="","",'TO HOP'!$G$142+1.35*(INDEX('LANE ENGINE'!$F$6:$F$45,29)-'TO HOP'!$M$46))</f>
        <v/>
      </c>
      <c r="G198" s="46" t="str">
        <f>IF($A198="","",'TO HOP'!$H$142+1.35*(0-'TO HOP'!$M$47))</f>
        <v/>
      </c>
      <c r="H198" s="46" t="str">
        <f>IF($A198="","",'TO HOP'!$I$142+1.35*(0-'TO HOP'!$M$48))</f>
        <v/>
      </c>
      <c r="I198" s="46" t="str">
        <f>IF($A198="","",'TO HOP'!$J$142+1.35*(INDEX('LANE ENGINE'!$D$6:$D$45,29)-'TO HOP'!$M$49))</f>
        <v/>
      </c>
      <c r="J198" s="46" t="str">
        <f>IF($A198="","",'TO HOP'!$K$142+1.35*(INDEX('LANE ENGINE'!$E$6:$E$45,29)-'TO HOP'!$M$50))</f>
        <v/>
      </c>
      <c r="K198" s="46" t="str">
        <f>IF($A198="","",'TO HOP'!$L$142+1.35*(INDEX('LANE ENGINE'!$G$6:$G$45,29)-'TO HOP'!$M$51))</f>
        <v/>
      </c>
      <c r="L198" s="40" t="s">
        <v>885</v>
      </c>
      <c r="M198" s="40">
        <v>29</v>
      </c>
    </row>
    <row r="199" spans="1:13" x14ac:dyDescent="0.3">
      <c r="A199" s="40" t="str">
        <f>IF(30&lt;=nLan,"CĐ V(a) max - "&amp;30&amp;" làn","")</f>
        <v/>
      </c>
      <c r="B199" s="46" t="str">
        <f>IF($A199="","",'TO HOP'!$C$142+1.35*(0-'TO HOP'!$M$42))</f>
        <v/>
      </c>
      <c r="C199" s="46" t="str">
        <f>IF($A199="","",'TO HOP'!$D$142+1.35*(0-'TO HOP'!$M$43))</f>
        <v/>
      </c>
      <c r="D199" s="46" t="str">
        <f>IF($A199="","",'TO HOP'!$E$142+1.35*(INDEX('LANE ENGINE'!$D$6:$D$45,30)-'TO HOP'!$M$44))</f>
        <v/>
      </c>
      <c r="E199" s="46" t="str">
        <f>IF($A199="","",'TO HOP'!$F$142+1.35*(INDEX('LANE ENGINE'!$E$6:$E$45,30)-'TO HOP'!$M$45))</f>
        <v/>
      </c>
      <c r="F199" s="46" t="str">
        <f>IF($A199="","",'TO HOP'!$G$142+1.35*(INDEX('LANE ENGINE'!$F$6:$F$45,30)-'TO HOP'!$M$46))</f>
        <v/>
      </c>
      <c r="G199" s="46" t="str">
        <f>IF($A199="","",'TO HOP'!$H$142+1.35*(0-'TO HOP'!$M$47))</f>
        <v/>
      </c>
      <c r="H199" s="46" t="str">
        <f>IF($A199="","",'TO HOP'!$I$142+1.35*(0-'TO HOP'!$M$48))</f>
        <v/>
      </c>
      <c r="I199" s="46" t="str">
        <f>IF($A199="","",'TO HOP'!$J$142+1.35*(INDEX('LANE ENGINE'!$D$6:$D$45,30)-'TO HOP'!$M$49))</f>
        <v/>
      </c>
      <c r="J199" s="46" t="str">
        <f>IF($A199="","",'TO HOP'!$K$142+1.35*(INDEX('LANE ENGINE'!$E$6:$E$45,30)-'TO HOP'!$M$50))</f>
        <v/>
      </c>
      <c r="K199" s="46" t="str">
        <f>IF($A199="","",'TO HOP'!$L$142+1.35*(INDEX('LANE ENGINE'!$G$6:$G$45,30)-'TO HOP'!$M$51))</f>
        <v/>
      </c>
      <c r="L199" s="40" t="s">
        <v>885</v>
      </c>
      <c r="M199" s="40">
        <v>30</v>
      </c>
    </row>
    <row r="200" spans="1:13" x14ac:dyDescent="0.3">
      <c r="A200" s="40" t="str">
        <f>IF(31&lt;=nLan,"CĐ V(a) max - "&amp;31&amp;" làn","")</f>
        <v/>
      </c>
      <c r="B200" s="46" t="str">
        <f>IF($A200="","",'TO HOP'!$C$142+1.35*(0-'TO HOP'!$M$42))</f>
        <v/>
      </c>
      <c r="C200" s="46" t="str">
        <f>IF($A200="","",'TO HOP'!$D$142+1.35*(0-'TO HOP'!$M$43))</f>
        <v/>
      </c>
      <c r="D200" s="46" t="str">
        <f>IF($A200="","",'TO HOP'!$E$142+1.35*(INDEX('LANE ENGINE'!$D$6:$D$45,31)-'TO HOP'!$M$44))</f>
        <v/>
      </c>
      <c r="E200" s="46" t="str">
        <f>IF($A200="","",'TO HOP'!$F$142+1.35*(INDEX('LANE ENGINE'!$E$6:$E$45,31)-'TO HOP'!$M$45))</f>
        <v/>
      </c>
      <c r="F200" s="46" t="str">
        <f>IF($A200="","",'TO HOP'!$G$142+1.35*(INDEX('LANE ENGINE'!$F$6:$F$45,31)-'TO HOP'!$M$46))</f>
        <v/>
      </c>
      <c r="G200" s="46" t="str">
        <f>IF($A200="","",'TO HOP'!$H$142+1.35*(0-'TO HOP'!$M$47))</f>
        <v/>
      </c>
      <c r="H200" s="46" t="str">
        <f>IF($A200="","",'TO HOP'!$I$142+1.35*(0-'TO HOP'!$M$48))</f>
        <v/>
      </c>
      <c r="I200" s="46" t="str">
        <f>IF($A200="","",'TO HOP'!$J$142+1.35*(INDEX('LANE ENGINE'!$D$6:$D$45,31)-'TO HOP'!$M$49))</f>
        <v/>
      </c>
      <c r="J200" s="46" t="str">
        <f>IF($A200="","",'TO HOP'!$K$142+1.35*(INDEX('LANE ENGINE'!$E$6:$E$45,31)-'TO HOP'!$M$50))</f>
        <v/>
      </c>
      <c r="K200" s="46" t="str">
        <f>IF($A200="","",'TO HOP'!$L$142+1.35*(INDEX('LANE ENGINE'!$G$6:$G$45,31)-'TO HOP'!$M$51))</f>
        <v/>
      </c>
      <c r="L200" s="40" t="s">
        <v>885</v>
      </c>
      <c r="M200" s="40">
        <v>31</v>
      </c>
    </row>
    <row r="201" spans="1:13" x14ac:dyDescent="0.3">
      <c r="A201" s="40" t="str">
        <f>IF(32&lt;=nLan,"CĐ V(a) max - "&amp;32&amp;" làn","")</f>
        <v/>
      </c>
      <c r="B201" s="46" t="str">
        <f>IF($A201="","",'TO HOP'!$C$142+1.35*(0-'TO HOP'!$M$42))</f>
        <v/>
      </c>
      <c r="C201" s="46" t="str">
        <f>IF($A201="","",'TO HOP'!$D$142+1.35*(0-'TO HOP'!$M$43))</f>
        <v/>
      </c>
      <c r="D201" s="46" t="str">
        <f>IF($A201="","",'TO HOP'!$E$142+1.35*(INDEX('LANE ENGINE'!$D$6:$D$45,32)-'TO HOP'!$M$44))</f>
        <v/>
      </c>
      <c r="E201" s="46" t="str">
        <f>IF($A201="","",'TO HOP'!$F$142+1.35*(INDEX('LANE ENGINE'!$E$6:$E$45,32)-'TO HOP'!$M$45))</f>
        <v/>
      </c>
      <c r="F201" s="46" t="str">
        <f>IF($A201="","",'TO HOP'!$G$142+1.35*(INDEX('LANE ENGINE'!$F$6:$F$45,32)-'TO HOP'!$M$46))</f>
        <v/>
      </c>
      <c r="G201" s="46" t="str">
        <f>IF($A201="","",'TO HOP'!$H$142+1.35*(0-'TO HOP'!$M$47))</f>
        <v/>
      </c>
      <c r="H201" s="46" t="str">
        <f>IF($A201="","",'TO HOP'!$I$142+1.35*(0-'TO HOP'!$M$48))</f>
        <v/>
      </c>
      <c r="I201" s="46" t="str">
        <f>IF($A201="","",'TO HOP'!$J$142+1.35*(INDEX('LANE ENGINE'!$D$6:$D$45,32)-'TO HOP'!$M$49))</f>
        <v/>
      </c>
      <c r="J201" s="46" t="str">
        <f>IF($A201="","",'TO HOP'!$K$142+1.35*(INDEX('LANE ENGINE'!$E$6:$E$45,32)-'TO HOP'!$M$50))</f>
        <v/>
      </c>
      <c r="K201" s="46" t="str">
        <f>IF($A201="","",'TO HOP'!$L$142+1.35*(INDEX('LANE ENGINE'!$G$6:$G$45,32)-'TO HOP'!$M$51))</f>
        <v/>
      </c>
      <c r="L201" s="40" t="s">
        <v>885</v>
      </c>
      <c r="M201" s="40">
        <v>32</v>
      </c>
    </row>
    <row r="202" spans="1:13" x14ac:dyDescent="0.3">
      <c r="A202" s="40" t="str">
        <f>IF(33&lt;=nLan,"CĐ V(a) max - "&amp;33&amp;" làn","")</f>
        <v/>
      </c>
      <c r="B202" s="46" t="str">
        <f>IF($A202="","",'TO HOP'!$C$142+1.35*(0-'TO HOP'!$M$42))</f>
        <v/>
      </c>
      <c r="C202" s="46" t="str">
        <f>IF($A202="","",'TO HOP'!$D$142+1.35*(0-'TO HOP'!$M$43))</f>
        <v/>
      </c>
      <c r="D202" s="46" t="str">
        <f>IF($A202="","",'TO HOP'!$E$142+1.35*(INDEX('LANE ENGINE'!$D$6:$D$45,33)-'TO HOP'!$M$44))</f>
        <v/>
      </c>
      <c r="E202" s="46" t="str">
        <f>IF($A202="","",'TO HOP'!$F$142+1.35*(INDEX('LANE ENGINE'!$E$6:$E$45,33)-'TO HOP'!$M$45))</f>
        <v/>
      </c>
      <c r="F202" s="46" t="str">
        <f>IF($A202="","",'TO HOP'!$G$142+1.35*(INDEX('LANE ENGINE'!$F$6:$F$45,33)-'TO HOP'!$M$46))</f>
        <v/>
      </c>
      <c r="G202" s="46" t="str">
        <f>IF($A202="","",'TO HOP'!$H$142+1.35*(0-'TO HOP'!$M$47))</f>
        <v/>
      </c>
      <c r="H202" s="46" t="str">
        <f>IF($A202="","",'TO HOP'!$I$142+1.35*(0-'TO HOP'!$M$48))</f>
        <v/>
      </c>
      <c r="I202" s="46" t="str">
        <f>IF($A202="","",'TO HOP'!$J$142+1.35*(INDEX('LANE ENGINE'!$D$6:$D$45,33)-'TO HOP'!$M$49))</f>
        <v/>
      </c>
      <c r="J202" s="46" t="str">
        <f>IF($A202="","",'TO HOP'!$K$142+1.35*(INDEX('LANE ENGINE'!$E$6:$E$45,33)-'TO HOP'!$M$50))</f>
        <v/>
      </c>
      <c r="K202" s="46" t="str">
        <f>IF($A202="","",'TO HOP'!$L$142+1.35*(INDEX('LANE ENGINE'!$G$6:$G$45,33)-'TO HOP'!$M$51))</f>
        <v/>
      </c>
      <c r="L202" s="40" t="s">
        <v>885</v>
      </c>
      <c r="M202" s="40">
        <v>33</v>
      </c>
    </row>
    <row r="203" spans="1:13" x14ac:dyDescent="0.3">
      <c r="A203" s="40" t="str">
        <f>IF(34&lt;=nLan,"CĐ V(a) max - "&amp;34&amp;" làn","")</f>
        <v/>
      </c>
      <c r="B203" s="46" t="str">
        <f>IF($A203="","",'TO HOP'!$C$142+1.35*(0-'TO HOP'!$M$42))</f>
        <v/>
      </c>
      <c r="C203" s="46" t="str">
        <f>IF($A203="","",'TO HOP'!$D$142+1.35*(0-'TO HOP'!$M$43))</f>
        <v/>
      </c>
      <c r="D203" s="46" t="str">
        <f>IF($A203="","",'TO HOP'!$E$142+1.35*(INDEX('LANE ENGINE'!$D$6:$D$45,34)-'TO HOP'!$M$44))</f>
        <v/>
      </c>
      <c r="E203" s="46" t="str">
        <f>IF($A203="","",'TO HOP'!$F$142+1.35*(INDEX('LANE ENGINE'!$E$6:$E$45,34)-'TO HOP'!$M$45))</f>
        <v/>
      </c>
      <c r="F203" s="46" t="str">
        <f>IF($A203="","",'TO HOP'!$G$142+1.35*(INDEX('LANE ENGINE'!$F$6:$F$45,34)-'TO HOP'!$M$46))</f>
        <v/>
      </c>
      <c r="G203" s="46" t="str">
        <f>IF($A203="","",'TO HOP'!$H$142+1.35*(0-'TO HOP'!$M$47))</f>
        <v/>
      </c>
      <c r="H203" s="46" t="str">
        <f>IF($A203="","",'TO HOP'!$I$142+1.35*(0-'TO HOP'!$M$48))</f>
        <v/>
      </c>
      <c r="I203" s="46" t="str">
        <f>IF($A203="","",'TO HOP'!$J$142+1.35*(INDEX('LANE ENGINE'!$D$6:$D$45,34)-'TO HOP'!$M$49))</f>
        <v/>
      </c>
      <c r="J203" s="46" t="str">
        <f>IF($A203="","",'TO HOP'!$K$142+1.35*(INDEX('LANE ENGINE'!$E$6:$E$45,34)-'TO HOP'!$M$50))</f>
        <v/>
      </c>
      <c r="K203" s="46" t="str">
        <f>IF($A203="","",'TO HOP'!$L$142+1.35*(INDEX('LANE ENGINE'!$G$6:$G$45,34)-'TO HOP'!$M$51))</f>
        <v/>
      </c>
      <c r="L203" s="40" t="s">
        <v>885</v>
      </c>
      <c r="M203" s="40">
        <v>34</v>
      </c>
    </row>
    <row r="204" spans="1:13" x14ac:dyDescent="0.3">
      <c r="A204" s="40" t="str">
        <f>IF(35&lt;=nLan,"CĐ V(a) max - "&amp;35&amp;" làn","")</f>
        <v/>
      </c>
      <c r="B204" s="46" t="str">
        <f>IF($A204="","",'TO HOP'!$C$142+1.35*(0-'TO HOP'!$M$42))</f>
        <v/>
      </c>
      <c r="C204" s="46" t="str">
        <f>IF($A204="","",'TO HOP'!$D$142+1.35*(0-'TO HOP'!$M$43))</f>
        <v/>
      </c>
      <c r="D204" s="46" t="str">
        <f>IF($A204="","",'TO HOP'!$E$142+1.35*(INDEX('LANE ENGINE'!$D$6:$D$45,35)-'TO HOP'!$M$44))</f>
        <v/>
      </c>
      <c r="E204" s="46" t="str">
        <f>IF($A204="","",'TO HOP'!$F$142+1.35*(INDEX('LANE ENGINE'!$E$6:$E$45,35)-'TO HOP'!$M$45))</f>
        <v/>
      </c>
      <c r="F204" s="46" t="str">
        <f>IF($A204="","",'TO HOP'!$G$142+1.35*(INDEX('LANE ENGINE'!$F$6:$F$45,35)-'TO HOP'!$M$46))</f>
        <v/>
      </c>
      <c r="G204" s="46" t="str">
        <f>IF($A204="","",'TO HOP'!$H$142+1.35*(0-'TO HOP'!$M$47))</f>
        <v/>
      </c>
      <c r="H204" s="46" t="str">
        <f>IF($A204="","",'TO HOP'!$I$142+1.35*(0-'TO HOP'!$M$48))</f>
        <v/>
      </c>
      <c r="I204" s="46" t="str">
        <f>IF($A204="","",'TO HOP'!$J$142+1.35*(INDEX('LANE ENGINE'!$D$6:$D$45,35)-'TO HOP'!$M$49))</f>
        <v/>
      </c>
      <c r="J204" s="46" t="str">
        <f>IF($A204="","",'TO HOP'!$K$142+1.35*(INDEX('LANE ENGINE'!$E$6:$E$45,35)-'TO HOP'!$M$50))</f>
        <v/>
      </c>
      <c r="K204" s="46" t="str">
        <f>IF($A204="","",'TO HOP'!$L$142+1.35*(INDEX('LANE ENGINE'!$G$6:$G$45,35)-'TO HOP'!$M$51))</f>
        <v/>
      </c>
      <c r="L204" s="40" t="s">
        <v>885</v>
      </c>
      <c r="M204" s="40">
        <v>35</v>
      </c>
    </row>
    <row r="205" spans="1:13" x14ac:dyDescent="0.3">
      <c r="A205" s="40" t="str">
        <f>IF(36&lt;=nLan,"CĐ V(a) max - "&amp;36&amp;" làn","")</f>
        <v/>
      </c>
      <c r="B205" s="46" t="str">
        <f>IF($A205="","",'TO HOP'!$C$142+1.35*(0-'TO HOP'!$M$42))</f>
        <v/>
      </c>
      <c r="C205" s="46" t="str">
        <f>IF($A205="","",'TO HOP'!$D$142+1.35*(0-'TO HOP'!$M$43))</f>
        <v/>
      </c>
      <c r="D205" s="46" t="str">
        <f>IF($A205="","",'TO HOP'!$E$142+1.35*(INDEX('LANE ENGINE'!$D$6:$D$45,36)-'TO HOP'!$M$44))</f>
        <v/>
      </c>
      <c r="E205" s="46" t="str">
        <f>IF($A205="","",'TO HOP'!$F$142+1.35*(INDEX('LANE ENGINE'!$E$6:$E$45,36)-'TO HOP'!$M$45))</f>
        <v/>
      </c>
      <c r="F205" s="46" t="str">
        <f>IF($A205="","",'TO HOP'!$G$142+1.35*(INDEX('LANE ENGINE'!$F$6:$F$45,36)-'TO HOP'!$M$46))</f>
        <v/>
      </c>
      <c r="G205" s="46" t="str">
        <f>IF($A205="","",'TO HOP'!$H$142+1.35*(0-'TO HOP'!$M$47))</f>
        <v/>
      </c>
      <c r="H205" s="46" t="str">
        <f>IF($A205="","",'TO HOP'!$I$142+1.35*(0-'TO HOP'!$M$48))</f>
        <v/>
      </c>
      <c r="I205" s="46" t="str">
        <f>IF($A205="","",'TO HOP'!$J$142+1.35*(INDEX('LANE ENGINE'!$D$6:$D$45,36)-'TO HOP'!$M$49))</f>
        <v/>
      </c>
      <c r="J205" s="46" t="str">
        <f>IF($A205="","",'TO HOP'!$K$142+1.35*(INDEX('LANE ENGINE'!$E$6:$E$45,36)-'TO HOP'!$M$50))</f>
        <v/>
      </c>
      <c r="K205" s="46" t="str">
        <f>IF($A205="","",'TO HOP'!$L$142+1.35*(INDEX('LANE ENGINE'!$G$6:$G$45,36)-'TO HOP'!$M$51))</f>
        <v/>
      </c>
      <c r="L205" s="40" t="s">
        <v>885</v>
      </c>
      <c r="M205" s="40">
        <v>36</v>
      </c>
    </row>
    <row r="206" spans="1:13" x14ac:dyDescent="0.3">
      <c r="A206" s="40" t="str">
        <f>IF(37&lt;=nLan,"CĐ V(a) max - "&amp;37&amp;" làn","")</f>
        <v/>
      </c>
      <c r="B206" s="46" t="str">
        <f>IF($A206="","",'TO HOP'!$C$142+1.35*(0-'TO HOP'!$M$42))</f>
        <v/>
      </c>
      <c r="C206" s="46" t="str">
        <f>IF($A206="","",'TO HOP'!$D$142+1.35*(0-'TO HOP'!$M$43))</f>
        <v/>
      </c>
      <c r="D206" s="46" t="str">
        <f>IF($A206="","",'TO HOP'!$E$142+1.35*(INDEX('LANE ENGINE'!$D$6:$D$45,37)-'TO HOP'!$M$44))</f>
        <v/>
      </c>
      <c r="E206" s="46" t="str">
        <f>IF($A206="","",'TO HOP'!$F$142+1.35*(INDEX('LANE ENGINE'!$E$6:$E$45,37)-'TO HOP'!$M$45))</f>
        <v/>
      </c>
      <c r="F206" s="46" t="str">
        <f>IF($A206="","",'TO HOP'!$G$142+1.35*(INDEX('LANE ENGINE'!$F$6:$F$45,37)-'TO HOP'!$M$46))</f>
        <v/>
      </c>
      <c r="G206" s="46" t="str">
        <f>IF($A206="","",'TO HOP'!$H$142+1.35*(0-'TO HOP'!$M$47))</f>
        <v/>
      </c>
      <c r="H206" s="46" t="str">
        <f>IF($A206="","",'TO HOP'!$I$142+1.35*(0-'TO HOP'!$M$48))</f>
        <v/>
      </c>
      <c r="I206" s="46" t="str">
        <f>IF($A206="","",'TO HOP'!$J$142+1.35*(INDEX('LANE ENGINE'!$D$6:$D$45,37)-'TO HOP'!$M$49))</f>
        <v/>
      </c>
      <c r="J206" s="46" t="str">
        <f>IF($A206="","",'TO HOP'!$K$142+1.35*(INDEX('LANE ENGINE'!$E$6:$E$45,37)-'TO HOP'!$M$50))</f>
        <v/>
      </c>
      <c r="K206" s="46" t="str">
        <f>IF($A206="","",'TO HOP'!$L$142+1.35*(INDEX('LANE ENGINE'!$G$6:$G$45,37)-'TO HOP'!$M$51))</f>
        <v/>
      </c>
      <c r="L206" s="40" t="s">
        <v>885</v>
      </c>
      <c r="M206" s="40">
        <v>37</v>
      </c>
    </row>
    <row r="207" spans="1:13" x14ac:dyDescent="0.3">
      <c r="A207" s="40" t="str">
        <f>IF(38&lt;=nLan,"CĐ V(a) max - "&amp;38&amp;" làn","")</f>
        <v/>
      </c>
      <c r="B207" s="46" t="str">
        <f>IF($A207="","",'TO HOP'!$C$142+1.35*(0-'TO HOP'!$M$42))</f>
        <v/>
      </c>
      <c r="C207" s="46" t="str">
        <f>IF($A207="","",'TO HOP'!$D$142+1.35*(0-'TO HOP'!$M$43))</f>
        <v/>
      </c>
      <c r="D207" s="46" t="str">
        <f>IF($A207="","",'TO HOP'!$E$142+1.35*(INDEX('LANE ENGINE'!$D$6:$D$45,38)-'TO HOP'!$M$44))</f>
        <v/>
      </c>
      <c r="E207" s="46" t="str">
        <f>IF($A207="","",'TO HOP'!$F$142+1.35*(INDEX('LANE ENGINE'!$E$6:$E$45,38)-'TO HOP'!$M$45))</f>
        <v/>
      </c>
      <c r="F207" s="46" t="str">
        <f>IF($A207="","",'TO HOP'!$G$142+1.35*(INDEX('LANE ENGINE'!$F$6:$F$45,38)-'TO HOP'!$M$46))</f>
        <v/>
      </c>
      <c r="G207" s="46" t="str">
        <f>IF($A207="","",'TO HOP'!$H$142+1.35*(0-'TO HOP'!$M$47))</f>
        <v/>
      </c>
      <c r="H207" s="46" t="str">
        <f>IF($A207="","",'TO HOP'!$I$142+1.35*(0-'TO HOP'!$M$48))</f>
        <v/>
      </c>
      <c r="I207" s="46" t="str">
        <f>IF($A207="","",'TO HOP'!$J$142+1.35*(INDEX('LANE ENGINE'!$D$6:$D$45,38)-'TO HOP'!$M$49))</f>
        <v/>
      </c>
      <c r="J207" s="46" t="str">
        <f>IF($A207="","",'TO HOP'!$K$142+1.35*(INDEX('LANE ENGINE'!$E$6:$E$45,38)-'TO HOP'!$M$50))</f>
        <v/>
      </c>
      <c r="K207" s="46" t="str">
        <f>IF($A207="","",'TO HOP'!$L$142+1.35*(INDEX('LANE ENGINE'!$G$6:$G$45,38)-'TO HOP'!$M$51))</f>
        <v/>
      </c>
      <c r="L207" s="40" t="s">
        <v>885</v>
      </c>
      <c r="M207" s="40">
        <v>38</v>
      </c>
    </row>
    <row r="208" spans="1:13" x14ac:dyDescent="0.3">
      <c r="A208" s="40" t="str">
        <f>IF(39&lt;=nLan,"CĐ V(a) max - "&amp;39&amp;" làn","")</f>
        <v/>
      </c>
      <c r="B208" s="46" t="str">
        <f>IF($A208="","",'TO HOP'!$C$142+1.35*(0-'TO HOP'!$M$42))</f>
        <v/>
      </c>
      <c r="C208" s="46" t="str">
        <f>IF($A208="","",'TO HOP'!$D$142+1.35*(0-'TO HOP'!$M$43))</f>
        <v/>
      </c>
      <c r="D208" s="46" t="str">
        <f>IF($A208="","",'TO HOP'!$E$142+1.35*(INDEX('LANE ENGINE'!$D$6:$D$45,39)-'TO HOP'!$M$44))</f>
        <v/>
      </c>
      <c r="E208" s="46" t="str">
        <f>IF($A208="","",'TO HOP'!$F$142+1.35*(INDEX('LANE ENGINE'!$E$6:$E$45,39)-'TO HOP'!$M$45))</f>
        <v/>
      </c>
      <c r="F208" s="46" t="str">
        <f>IF($A208="","",'TO HOP'!$G$142+1.35*(INDEX('LANE ENGINE'!$F$6:$F$45,39)-'TO HOP'!$M$46))</f>
        <v/>
      </c>
      <c r="G208" s="46" t="str">
        <f>IF($A208="","",'TO HOP'!$H$142+1.35*(0-'TO HOP'!$M$47))</f>
        <v/>
      </c>
      <c r="H208" s="46" t="str">
        <f>IF($A208="","",'TO HOP'!$I$142+1.35*(0-'TO HOP'!$M$48))</f>
        <v/>
      </c>
      <c r="I208" s="46" t="str">
        <f>IF($A208="","",'TO HOP'!$J$142+1.35*(INDEX('LANE ENGINE'!$D$6:$D$45,39)-'TO HOP'!$M$49))</f>
        <v/>
      </c>
      <c r="J208" s="46" t="str">
        <f>IF($A208="","",'TO HOP'!$K$142+1.35*(INDEX('LANE ENGINE'!$E$6:$E$45,39)-'TO HOP'!$M$50))</f>
        <v/>
      </c>
      <c r="K208" s="46" t="str">
        <f>IF($A208="","",'TO HOP'!$L$142+1.35*(INDEX('LANE ENGINE'!$G$6:$G$45,39)-'TO HOP'!$M$51))</f>
        <v/>
      </c>
      <c r="L208" s="40" t="s">
        <v>885</v>
      </c>
      <c r="M208" s="40">
        <v>39</v>
      </c>
    </row>
    <row r="209" spans="1:13" x14ac:dyDescent="0.3">
      <c r="A209" s="40" t="str">
        <f>IF(40&lt;=nLan,"CĐ V(a) max - "&amp;40&amp;" làn","")</f>
        <v/>
      </c>
      <c r="B209" s="46" t="str">
        <f>IF($A209="","",'TO HOP'!$C$142+1.35*(0-'TO HOP'!$M$42))</f>
        <v/>
      </c>
      <c r="C209" s="46" t="str">
        <f>IF($A209="","",'TO HOP'!$D$142+1.35*(0-'TO HOP'!$M$43))</f>
        <v/>
      </c>
      <c r="D209" s="46" t="str">
        <f>IF($A209="","",'TO HOP'!$E$142+1.35*(INDEX('LANE ENGINE'!$D$6:$D$45,40)-'TO HOP'!$M$44))</f>
        <v/>
      </c>
      <c r="E209" s="46" t="str">
        <f>IF($A209="","",'TO HOP'!$F$142+1.35*(INDEX('LANE ENGINE'!$E$6:$E$45,40)-'TO HOP'!$M$45))</f>
        <v/>
      </c>
      <c r="F209" s="46" t="str">
        <f>IF($A209="","",'TO HOP'!$G$142+1.35*(INDEX('LANE ENGINE'!$F$6:$F$45,40)-'TO HOP'!$M$46))</f>
        <v/>
      </c>
      <c r="G209" s="46" t="str">
        <f>IF($A209="","",'TO HOP'!$H$142+1.35*(0-'TO HOP'!$M$47))</f>
        <v/>
      </c>
      <c r="H209" s="46" t="str">
        <f>IF($A209="","",'TO HOP'!$I$142+1.35*(0-'TO HOP'!$M$48))</f>
        <v/>
      </c>
      <c r="I209" s="46" t="str">
        <f>IF($A209="","",'TO HOP'!$J$142+1.35*(INDEX('LANE ENGINE'!$D$6:$D$45,40)-'TO HOP'!$M$49))</f>
        <v/>
      </c>
      <c r="J209" s="46" t="str">
        <f>IF($A209="","",'TO HOP'!$K$142+1.35*(INDEX('LANE ENGINE'!$E$6:$E$45,40)-'TO HOP'!$M$50))</f>
        <v/>
      </c>
      <c r="K209" s="46" t="str">
        <f>IF($A209="","",'TO HOP'!$L$142+1.35*(INDEX('LANE ENGINE'!$G$6:$G$45,40)-'TO HOP'!$M$51))</f>
        <v/>
      </c>
      <c r="L209" s="40" t="s">
        <v>885</v>
      </c>
      <c r="M209" s="40">
        <v>40</v>
      </c>
    </row>
    <row r="210" spans="1:13" x14ac:dyDescent="0.3">
      <c r="A210" s="40" t="str">
        <f>IF(7&lt;=nLan,"CĐ V(b) min - "&amp;7&amp;" làn","")</f>
        <v/>
      </c>
      <c r="B210" s="46" t="str">
        <f>IF($A210="","",'TO HOP'!$C$148+1.35*(0-'TO HOP'!$M$42))</f>
        <v/>
      </c>
      <c r="C210" s="46" t="str">
        <f>IF($A210="","",'TO HOP'!$D$148+1.35*(0-'TO HOP'!$M$43))</f>
        <v/>
      </c>
      <c r="D210" s="46" t="str">
        <f>IF($A210="","",'TO HOP'!$E$148+1.35*(INDEX('LANE ENGINE'!$D$6:$D$45,7)-'TO HOP'!$M$44))</f>
        <v/>
      </c>
      <c r="E210" s="46" t="str">
        <f>IF($A210="","",'TO HOP'!$F$148+1.35*(INDEX('LANE ENGINE'!$E$6:$E$45,7)-'TO HOP'!$M$45))</f>
        <v/>
      </c>
      <c r="F210" s="46" t="str">
        <f>IF($A210="","",'TO HOP'!$G$148+1.35*(INDEX('LANE ENGINE'!$F$6:$F$45,7)-'TO HOP'!$M$46))</f>
        <v/>
      </c>
      <c r="G210" s="46" t="str">
        <f>IF($A210="","",'TO HOP'!$H$148+1.35*(0-'TO HOP'!$M$47))</f>
        <v/>
      </c>
      <c r="H210" s="46" t="str">
        <f>IF($A210="","",'TO HOP'!$I$148+1.35*(0-'TO HOP'!$M$48))</f>
        <v/>
      </c>
      <c r="I210" s="46" t="str">
        <f>IF($A210="","",'TO HOP'!$J$148+1.35*(INDEX('LANE ENGINE'!$D$6:$D$45,7)-'TO HOP'!$M$49))</f>
        <v/>
      </c>
      <c r="J210" s="46" t="str">
        <f>IF($A210="","",'TO HOP'!$K$148+1.35*(INDEX('LANE ENGINE'!$E$6:$E$45,7)-'TO HOP'!$M$50))</f>
        <v/>
      </c>
      <c r="K210" s="46" t="str">
        <f>IF($A210="","",'TO HOP'!$L$148+1.35*(INDEX('LANE ENGINE'!$G$6:$G$45,7)-'TO HOP'!$M$51))</f>
        <v/>
      </c>
      <c r="L210" s="40" t="s">
        <v>885</v>
      </c>
      <c r="M210" s="40">
        <v>7</v>
      </c>
    </row>
    <row r="211" spans="1:13" x14ac:dyDescent="0.3">
      <c r="A211" s="40" t="str">
        <f>IF(8&lt;=nLan,"CĐ V(b) min - "&amp;8&amp;" làn","")</f>
        <v/>
      </c>
      <c r="B211" s="46" t="str">
        <f>IF($A211="","",'TO HOP'!$C$148+1.35*(0-'TO HOP'!$M$42))</f>
        <v/>
      </c>
      <c r="C211" s="46" t="str">
        <f>IF($A211="","",'TO HOP'!$D$148+1.35*(0-'TO HOP'!$M$43))</f>
        <v/>
      </c>
      <c r="D211" s="46" t="str">
        <f>IF($A211="","",'TO HOP'!$E$148+1.35*(INDEX('LANE ENGINE'!$D$6:$D$45,8)-'TO HOP'!$M$44))</f>
        <v/>
      </c>
      <c r="E211" s="46" t="str">
        <f>IF($A211="","",'TO HOP'!$F$148+1.35*(INDEX('LANE ENGINE'!$E$6:$E$45,8)-'TO HOP'!$M$45))</f>
        <v/>
      </c>
      <c r="F211" s="46" t="str">
        <f>IF($A211="","",'TO HOP'!$G$148+1.35*(INDEX('LANE ENGINE'!$F$6:$F$45,8)-'TO HOP'!$M$46))</f>
        <v/>
      </c>
      <c r="G211" s="46" t="str">
        <f>IF($A211="","",'TO HOP'!$H$148+1.35*(0-'TO HOP'!$M$47))</f>
        <v/>
      </c>
      <c r="H211" s="46" t="str">
        <f>IF($A211="","",'TO HOP'!$I$148+1.35*(0-'TO HOP'!$M$48))</f>
        <v/>
      </c>
      <c r="I211" s="46" t="str">
        <f>IF($A211="","",'TO HOP'!$J$148+1.35*(INDEX('LANE ENGINE'!$D$6:$D$45,8)-'TO HOP'!$M$49))</f>
        <v/>
      </c>
      <c r="J211" s="46" t="str">
        <f>IF($A211="","",'TO HOP'!$K$148+1.35*(INDEX('LANE ENGINE'!$E$6:$E$45,8)-'TO HOP'!$M$50))</f>
        <v/>
      </c>
      <c r="K211" s="46" t="str">
        <f>IF($A211="","",'TO HOP'!$L$148+1.35*(INDEX('LANE ENGINE'!$G$6:$G$45,8)-'TO HOP'!$M$51))</f>
        <v/>
      </c>
      <c r="L211" s="40" t="s">
        <v>885</v>
      </c>
      <c r="M211" s="40">
        <v>8</v>
      </c>
    </row>
    <row r="212" spans="1:13" x14ac:dyDescent="0.3">
      <c r="A212" s="40" t="str">
        <f>IF(9&lt;=nLan,"CĐ V(b) min - "&amp;9&amp;" làn","")</f>
        <v/>
      </c>
      <c r="B212" s="46" t="str">
        <f>IF($A212="","",'TO HOP'!$C$148+1.35*(0-'TO HOP'!$M$42))</f>
        <v/>
      </c>
      <c r="C212" s="46" t="str">
        <f>IF($A212="","",'TO HOP'!$D$148+1.35*(0-'TO HOP'!$M$43))</f>
        <v/>
      </c>
      <c r="D212" s="46" t="str">
        <f>IF($A212="","",'TO HOP'!$E$148+1.35*(INDEX('LANE ENGINE'!$D$6:$D$45,9)-'TO HOP'!$M$44))</f>
        <v/>
      </c>
      <c r="E212" s="46" t="str">
        <f>IF($A212="","",'TO HOP'!$F$148+1.35*(INDEX('LANE ENGINE'!$E$6:$E$45,9)-'TO HOP'!$M$45))</f>
        <v/>
      </c>
      <c r="F212" s="46" t="str">
        <f>IF($A212="","",'TO HOP'!$G$148+1.35*(INDEX('LANE ENGINE'!$F$6:$F$45,9)-'TO HOP'!$M$46))</f>
        <v/>
      </c>
      <c r="G212" s="46" t="str">
        <f>IF($A212="","",'TO HOP'!$H$148+1.35*(0-'TO HOP'!$M$47))</f>
        <v/>
      </c>
      <c r="H212" s="46" t="str">
        <f>IF($A212="","",'TO HOP'!$I$148+1.35*(0-'TO HOP'!$M$48))</f>
        <v/>
      </c>
      <c r="I212" s="46" t="str">
        <f>IF($A212="","",'TO HOP'!$J$148+1.35*(INDEX('LANE ENGINE'!$D$6:$D$45,9)-'TO HOP'!$M$49))</f>
        <v/>
      </c>
      <c r="J212" s="46" t="str">
        <f>IF($A212="","",'TO HOP'!$K$148+1.35*(INDEX('LANE ENGINE'!$E$6:$E$45,9)-'TO HOP'!$M$50))</f>
        <v/>
      </c>
      <c r="K212" s="46" t="str">
        <f>IF($A212="","",'TO HOP'!$L$148+1.35*(INDEX('LANE ENGINE'!$G$6:$G$45,9)-'TO HOP'!$M$51))</f>
        <v/>
      </c>
      <c r="L212" s="40" t="s">
        <v>885</v>
      </c>
      <c r="M212" s="40">
        <v>9</v>
      </c>
    </row>
    <row r="213" spans="1:13" x14ac:dyDescent="0.3">
      <c r="A213" s="40" t="str">
        <f>IF(10&lt;=nLan,"CĐ V(b) min - "&amp;10&amp;" làn","")</f>
        <v/>
      </c>
      <c r="B213" s="46" t="str">
        <f>IF($A213="","",'TO HOP'!$C$148+1.35*(0-'TO HOP'!$M$42))</f>
        <v/>
      </c>
      <c r="C213" s="46" t="str">
        <f>IF($A213="","",'TO HOP'!$D$148+1.35*(0-'TO HOP'!$M$43))</f>
        <v/>
      </c>
      <c r="D213" s="46" t="str">
        <f>IF($A213="","",'TO HOP'!$E$148+1.35*(INDEX('LANE ENGINE'!$D$6:$D$45,10)-'TO HOP'!$M$44))</f>
        <v/>
      </c>
      <c r="E213" s="46" t="str">
        <f>IF($A213="","",'TO HOP'!$F$148+1.35*(INDEX('LANE ENGINE'!$E$6:$E$45,10)-'TO HOP'!$M$45))</f>
        <v/>
      </c>
      <c r="F213" s="46" t="str">
        <f>IF($A213="","",'TO HOP'!$G$148+1.35*(INDEX('LANE ENGINE'!$F$6:$F$45,10)-'TO HOP'!$M$46))</f>
        <v/>
      </c>
      <c r="G213" s="46" t="str">
        <f>IF($A213="","",'TO HOP'!$H$148+1.35*(0-'TO HOP'!$M$47))</f>
        <v/>
      </c>
      <c r="H213" s="46" t="str">
        <f>IF($A213="","",'TO HOP'!$I$148+1.35*(0-'TO HOP'!$M$48))</f>
        <v/>
      </c>
      <c r="I213" s="46" t="str">
        <f>IF($A213="","",'TO HOP'!$J$148+1.35*(INDEX('LANE ENGINE'!$D$6:$D$45,10)-'TO HOP'!$M$49))</f>
        <v/>
      </c>
      <c r="J213" s="46" t="str">
        <f>IF($A213="","",'TO HOP'!$K$148+1.35*(INDEX('LANE ENGINE'!$E$6:$E$45,10)-'TO HOP'!$M$50))</f>
        <v/>
      </c>
      <c r="K213" s="46" t="str">
        <f>IF($A213="","",'TO HOP'!$L$148+1.35*(INDEX('LANE ENGINE'!$G$6:$G$45,10)-'TO HOP'!$M$51))</f>
        <v/>
      </c>
      <c r="L213" s="40" t="s">
        <v>885</v>
      </c>
      <c r="M213" s="40">
        <v>10</v>
      </c>
    </row>
    <row r="214" spans="1:13" x14ac:dyDescent="0.3">
      <c r="A214" s="40" t="str">
        <f>IF(11&lt;=nLan,"CĐ V(b) min - "&amp;11&amp;" làn","")</f>
        <v/>
      </c>
      <c r="B214" s="46" t="str">
        <f>IF($A214="","",'TO HOP'!$C$148+1.35*(0-'TO HOP'!$M$42))</f>
        <v/>
      </c>
      <c r="C214" s="46" t="str">
        <f>IF($A214="","",'TO HOP'!$D$148+1.35*(0-'TO HOP'!$M$43))</f>
        <v/>
      </c>
      <c r="D214" s="46" t="str">
        <f>IF($A214="","",'TO HOP'!$E$148+1.35*(INDEX('LANE ENGINE'!$D$6:$D$45,11)-'TO HOP'!$M$44))</f>
        <v/>
      </c>
      <c r="E214" s="46" t="str">
        <f>IF($A214="","",'TO HOP'!$F$148+1.35*(INDEX('LANE ENGINE'!$E$6:$E$45,11)-'TO HOP'!$M$45))</f>
        <v/>
      </c>
      <c r="F214" s="46" t="str">
        <f>IF($A214="","",'TO HOP'!$G$148+1.35*(INDEX('LANE ENGINE'!$F$6:$F$45,11)-'TO HOP'!$M$46))</f>
        <v/>
      </c>
      <c r="G214" s="46" t="str">
        <f>IF($A214="","",'TO HOP'!$H$148+1.35*(0-'TO HOP'!$M$47))</f>
        <v/>
      </c>
      <c r="H214" s="46" t="str">
        <f>IF($A214="","",'TO HOP'!$I$148+1.35*(0-'TO HOP'!$M$48))</f>
        <v/>
      </c>
      <c r="I214" s="46" t="str">
        <f>IF($A214="","",'TO HOP'!$J$148+1.35*(INDEX('LANE ENGINE'!$D$6:$D$45,11)-'TO HOP'!$M$49))</f>
        <v/>
      </c>
      <c r="J214" s="46" t="str">
        <f>IF($A214="","",'TO HOP'!$K$148+1.35*(INDEX('LANE ENGINE'!$E$6:$E$45,11)-'TO HOP'!$M$50))</f>
        <v/>
      </c>
      <c r="K214" s="46" t="str">
        <f>IF($A214="","",'TO HOP'!$L$148+1.35*(INDEX('LANE ENGINE'!$G$6:$G$45,11)-'TO HOP'!$M$51))</f>
        <v/>
      </c>
      <c r="L214" s="40" t="s">
        <v>885</v>
      </c>
      <c r="M214" s="40">
        <v>11</v>
      </c>
    </row>
    <row r="215" spans="1:13" x14ac:dyDescent="0.3">
      <c r="A215" s="40" t="str">
        <f>IF(12&lt;=nLan,"CĐ V(b) min - "&amp;12&amp;" làn","")</f>
        <v/>
      </c>
      <c r="B215" s="46" t="str">
        <f>IF($A215="","",'TO HOP'!$C$148+1.35*(0-'TO HOP'!$M$42))</f>
        <v/>
      </c>
      <c r="C215" s="46" t="str">
        <f>IF($A215="","",'TO HOP'!$D$148+1.35*(0-'TO HOP'!$M$43))</f>
        <v/>
      </c>
      <c r="D215" s="46" t="str">
        <f>IF($A215="","",'TO HOP'!$E$148+1.35*(INDEX('LANE ENGINE'!$D$6:$D$45,12)-'TO HOP'!$M$44))</f>
        <v/>
      </c>
      <c r="E215" s="46" t="str">
        <f>IF($A215="","",'TO HOP'!$F$148+1.35*(INDEX('LANE ENGINE'!$E$6:$E$45,12)-'TO HOP'!$M$45))</f>
        <v/>
      </c>
      <c r="F215" s="46" t="str">
        <f>IF($A215="","",'TO HOP'!$G$148+1.35*(INDEX('LANE ENGINE'!$F$6:$F$45,12)-'TO HOP'!$M$46))</f>
        <v/>
      </c>
      <c r="G215" s="46" t="str">
        <f>IF($A215="","",'TO HOP'!$H$148+1.35*(0-'TO HOP'!$M$47))</f>
        <v/>
      </c>
      <c r="H215" s="46" t="str">
        <f>IF($A215="","",'TO HOP'!$I$148+1.35*(0-'TO HOP'!$M$48))</f>
        <v/>
      </c>
      <c r="I215" s="46" t="str">
        <f>IF($A215="","",'TO HOP'!$J$148+1.35*(INDEX('LANE ENGINE'!$D$6:$D$45,12)-'TO HOP'!$M$49))</f>
        <v/>
      </c>
      <c r="J215" s="46" t="str">
        <f>IF($A215="","",'TO HOP'!$K$148+1.35*(INDEX('LANE ENGINE'!$E$6:$E$45,12)-'TO HOP'!$M$50))</f>
        <v/>
      </c>
      <c r="K215" s="46" t="str">
        <f>IF($A215="","",'TO HOP'!$L$148+1.35*(INDEX('LANE ENGINE'!$G$6:$G$45,12)-'TO HOP'!$M$51))</f>
        <v/>
      </c>
      <c r="L215" s="40" t="s">
        <v>885</v>
      </c>
      <c r="M215" s="40">
        <v>12</v>
      </c>
    </row>
    <row r="216" spans="1:13" x14ac:dyDescent="0.3">
      <c r="A216" s="40" t="str">
        <f>IF(13&lt;=nLan,"CĐ V(b) min - "&amp;13&amp;" làn","")</f>
        <v/>
      </c>
      <c r="B216" s="46" t="str">
        <f>IF($A216="","",'TO HOP'!$C$148+1.35*(0-'TO HOP'!$M$42))</f>
        <v/>
      </c>
      <c r="C216" s="46" t="str">
        <f>IF($A216="","",'TO HOP'!$D$148+1.35*(0-'TO HOP'!$M$43))</f>
        <v/>
      </c>
      <c r="D216" s="46" t="str">
        <f>IF($A216="","",'TO HOP'!$E$148+1.35*(INDEX('LANE ENGINE'!$D$6:$D$45,13)-'TO HOP'!$M$44))</f>
        <v/>
      </c>
      <c r="E216" s="46" t="str">
        <f>IF($A216="","",'TO HOP'!$F$148+1.35*(INDEX('LANE ENGINE'!$E$6:$E$45,13)-'TO HOP'!$M$45))</f>
        <v/>
      </c>
      <c r="F216" s="46" t="str">
        <f>IF($A216="","",'TO HOP'!$G$148+1.35*(INDEX('LANE ENGINE'!$F$6:$F$45,13)-'TO HOP'!$M$46))</f>
        <v/>
      </c>
      <c r="G216" s="46" t="str">
        <f>IF($A216="","",'TO HOP'!$H$148+1.35*(0-'TO HOP'!$M$47))</f>
        <v/>
      </c>
      <c r="H216" s="46" t="str">
        <f>IF($A216="","",'TO HOP'!$I$148+1.35*(0-'TO HOP'!$M$48))</f>
        <v/>
      </c>
      <c r="I216" s="46" t="str">
        <f>IF($A216="","",'TO HOP'!$J$148+1.35*(INDEX('LANE ENGINE'!$D$6:$D$45,13)-'TO HOP'!$M$49))</f>
        <v/>
      </c>
      <c r="J216" s="46" t="str">
        <f>IF($A216="","",'TO HOP'!$K$148+1.35*(INDEX('LANE ENGINE'!$E$6:$E$45,13)-'TO HOP'!$M$50))</f>
        <v/>
      </c>
      <c r="K216" s="46" t="str">
        <f>IF($A216="","",'TO HOP'!$L$148+1.35*(INDEX('LANE ENGINE'!$G$6:$G$45,13)-'TO HOP'!$M$51))</f>
        <v/>
      </c>
      <c r="L216" s="40" t="s">
        <v>885</v>
      </c>
      <c r="M216" s="40">
        <v>13</v>
      </c>
    </row>
    <row r="217" spans="1:13" x14ac:dyDescent="0.3">
      <c r="A217" s="40" t="str">
        <f>IF(14&lt;=nLan,"CĐ V(b) min - "&amp;14&amp;" làn","")</f>
        <v/>
      </c>
      <c r="B217" s="46" t="str">
        <f>IF($A217="","",'TO HOP'!$C$148+1.35*(0-'TO HOP'!$M$42))</f>
        <v/>
      </c>
      <c r="C217" s="46" t="str">
        <f>IF($A217="","",'TO HOP'!$D$148+1.35*(0-'TO HOP'!$M$43))</f>
        <v/>
      </c>
      <c r="D217" s="46" t="str">
        <f>IF($A217="","",'TO HOP'!$E$148+1.35*(INDEX('LANE ENGINE'!$D$6:$D$45,14)-'TO HOP'!$M$44))</f>
        <v/>
      </c>
      <c r="E217" s="46" t="str">
        <f>IF($A217="","",'TO HOP'!$F$148+1.35*(INDEX('LANE ENGINE'!$E$6:$E$45,14)-'TO HOP'!$M$45))</f>
        <v/>
      </c>
      <c r="F217" s="46" t="str">
        <f>IF($A217="","",'TO HOP'!$G$148+1.35*(INDEX('LANE ENGINE'!$F$6:$F$45,14)-'TO HOP'!$M$46))</f>
        <v/>
      </c>
      <c r="G217" s="46" t="str">
        <f>IF($A217="","",'TO HOP'!$H$148+1.35*(0-'TO HOP'!$M$47))</f>
        <v/>
      </c>
      <c r="H217" s="46" t="str">
        <f>IF($A217="","",'TO HOP'!$I$148+1.35*(0-'TO HOP'!$M$48))</f>
        <v/>
      </c>
      <c r="I217" s="46" t="str">
        <f>IF($A217="","",'TO HOP'!$J$148+1.35*(INDEX('LANE ENGINE'!$D$6:$D$45,14)-'TO HOP'!$M$49))</f>
        <v/>
      </c>
      <c r="J217" s="46" t="str">
        <f>IF($A217="","",'TO HOP'!$K$148+1.35*(INDEX('LANE ENGINE'!$E$6:$E$45,14)-'TO HOP'!$M$50))</f>
        <v/>
      </c>
      <c r="K217" s="46" t="str">
        <f>IF($A217="","",'TO HOP'!$L$148+1.35*(INDEX('LANE ENGINE'!$G$6:$G$45,14)-'TO HOP'!$M$51))</f>
        <v/>
      </c>
      <c r="L217" s="40" t="s">
        <v>885</v>
      </c>
      <c r="M217" s="40">
        <v>14</v>
      </c>
    </row>
    <row r="218" spans="1:13" x14ac:dyDescent="0.3">
      <c r="A218" s="40" t="str">
        <f>IF(15&lt;=nLan,"CĐ V(b) min - "&amp;15&amp;" làn","")</f>
        <v/>
      </c>
      <c r="B218" s="46" t="str">
        <f>IF($A218="","",'TO HOP'!$C$148+1.35*(0-'TO HOP'!$M$42))</f>
        <v/>
      </c>
      <c r="C218" s="46" t="str">
        <f>IF($A218="","",'TO HOP'!$D$148+1.35*(0-'TO HOP'!$M$43))</f>
        <v/>
      </c>
      <c r="D218" s="46" t="str">
        <f>IF($A218="","",'TO HOP'!$E$148+1.35*(INDEX('LANE ENGINE'!$D$6:$D$45,15)-'TO HOP'!$M$44))</f>
        <v/>
      </c>
      <c r="E218" s="46" t="str">
        <f>IF($A218="","",'TO HOP'!$F$148+1.35*(INDEX('LANE ENGINE'!$E$6:$E$45,15)-'TO HOP'!$M$45))</f>
        <v/>
      </c>
      <c r="F218" s="46" t="str">
        <f>IF($A218="","",'TO HOP'!$G$148+1.35*(INDEX('LANE ENGINE'!$F$6:$F$45,15)-'TO HOP'!$M$46))</f>
        <v/>
      </c>
      <c r="G218" s="46" t="str">
        <f>IF($A218="","",'TO HOP'!$H$148+1.35*(0-'TO HOP'!$M$47))</f>
        <v/>
      </c>
      <c r="H218" s="46" t="str">
        <f>IF($A218="","",'TO HOP'!$I$148+1.35*(0-'TO HOP'!$M$48))</f>
        <v/>
      </c>
      <c r="I218" s="46" t="str">
        <f>IF($A218="","",'TO HOP'!$J$148+1.35*(INDEX('LANE ENGINE'!$D$6:$D$45,15)-'TO HOP'!$M$49))</f>
        <v/>
      </c>
      <c r="J218" s="46" t="str">
        <f>IF($A218="","",'TO HOP'!$K$148+1.35*(INDEX('LANE ENGINE'!$E$6:$E$45,15)-'TO HOP'!$M$50))</f>
        <v/>
      </c>
      <c r="K218" s="46" t="str">
        <f>IF($A218="","",'TO HOP'!$L$148+1.35*(INDEX('LANE ENGINE'!$G$6:$G$45,15)-'TO HOP'!$M$51))</f>
        <v/>
      </c>
      <c r="L218" s="40" t="s">
        <v>885</v>
      </c>
      <c r="M218" s="40">
        <v>15</v>
      </c>
    </row>
    <row r="219" spans="1:13" x14ac:dyDescent="0.3">
      <c r="A219" s="40" t="str">
        <f>IF(16&lt;=nLan,"CĐ V(b) min - "&amp;16&amp;" làn","")</f>
        <v/>
      </c>
      <c r="B219" s="46" t="str">
        <f>IF($A219="","",'TO HOP'!$C$148+1.35*(0-'TO HOP'!$M$42))</f>
        <v/>
      </c>
      <c r="C219" s="46" t="str">
        <f>IF($A219="","",'TO HOP'!$D$148+1.35*(0-'TO HOP'!$M$43))</f>
        <v/>
      </c>
      <c r="D219" s="46" t="str">
        <f>IF($A219="","",'TO HOP'!$E$148+1.35*(INDEX('LANE ENGINE'!$D$6:$D$45,16)-'TO HOP'!$M$44))</f>
        <v/>
      </c>
      <c r="E219" s="46" t="str">
        <f>IF($A219="","",'TO HOP'!$F$148+1.35*(INDEX('LANE ENGINE'!$E$6:$E$45,16)-'TO HOP'!$M$45))</f>
        <v/>
      </c>
      <c r="F219" s="46" t="str">
        <f>IF($A219="","",'TO HOP'!$G$148+1.35*(INDEX('LANE ENGINE'!$F$6:$F$45,16)-'TO HOP'!$M$46))</f>
        <v/>
      </c>
      <c r="G219" s="46" t="str">
        <f>IF($A219="","",'TO HOP'!$H$148+1.35*(0-'TO HOP'!$M$47))</f>
        <v/>
      </c>
      <c r="H219" s="46" t="str">
        <f>IF($A219="","",'TO HOP'!$I$148+1.35*(0-'TO HOP'!$M$48))</f>
        <v/>
      </c>
      <c r="I219" s="46" t="str">
        <f>IF($A219="","",'TO HOP'!$J$148+1.35*(INDEX('LANE ENGINE'!$D$6:$D$45,16)-'TO HOP'!$M$49))</f>
        <v/>
      </c>
      <c r="J219" s="46" t="str">
        <f>IF($A219="","",'TO HOP'!$K$148+1.35*(INDEX('LANE ENGINE'!$E$6:$E$45,16)-'TO HOP'!$M$50))</f>
        <v/>
      </c>
      <c r="K219" s="46" t="str">
        <f>IF($A219="","",'TO HOP'!$L$148+1.35*(INDEX('LANE ENGINE'!$G$6:$G$45,16)-'TO HOP'!$M$51))</f>
        <v/>
      </c>
      <c r="L219" s="40" t="s">
        <v>885</v>
      </c>
      <c r="M219" s="40">
        <v>16</v>
      </c>
    </row>
    <row r="220" spans="1:13" x14ac:dyDescent="0.3">
      <c r="A220" s="40" t="str">
        <f>IF(17&lt;=nLan,"CĐ V(b) min - "&amp;17&amp;" làn","")</f>
        <v/>
      </c>
      <c r="B220" s="46" t="str">
        <f>IF($A220="","",'TO HOP'!$C$148+1.35*(0-'TO HOP'!$M$42))</f>
        <v/>
      </c>
      <c r="C220" s="46" t="str">
        <f>IF($A220="","",'TO HOP'!$D$148+1.35*(0-'TO HOP'!$M$43))</f>
        <v/>
      </c>
      <c r="D220" s="46" t="str">
        <f>IF($A220="","",'TO HOP'!$E$148+1.35*(INDEX('LANE ENGINE'!$D$6:$D$45,17)-'TO HOP'!$M$44))</f>
        <v/>
      </c>
      <c r="E220" s="46" t="str">
        <f>IF($A220="","",'TO HOP'!$F$148+1.35*(INDEX('LANE ENGINE'!$E$6:$E$45,17)-'TO HOP'!$M$45))</f>
        <v/>
      </c>
      <c r="F220" s="46" t="str">
        <f>IF($A220="","",'TO HOP'!$G$148+1.35*(INDEX('LANE ENGINE'!$F$6:$F$45,17)-'TO HOP'!$M$46))</f>
        <v/>
      </c>
      <c r="G220" s="46" t="str">
        <f>IF($A220="","",'TO HOP'!$H$148+1.35*(0-'TO HOP'!$M$47))</f>
        <v/>
      </c>
      <c r="H220" s="46" t="str">
        <f>IF($A220="","",'TO HOP'!$I$148+1.35*(0-'TO HOP'!$M$48))</f>
        <v/>
      </c>
      <c r="I220" s="46" t="str">
        <f>IF($A220="","",'TO HOP'!$J$148+1.35*(INDEX('LANE ENGINE'!$D$6:$D$45,17)-'TO HOP'!$M$49))</f>
        <v/>
      </c>
      <c r="J220" s="46" t="str">
        <f>IF($A220="","",'TO HOP'!$K$148+1.35*(INDEX('LANE ENGINE'!$E$6:$E$45,17)-'TO HOP'!$M$50))</f>
        <v/>
      </c>
      <c r="K220" s="46" t="str">
        <f>IF($A220="","",'TO HOP'!$L$148+1.35*(INDEX('LANE ENGINE'!$G$6:$G$45,17)-'TO HOP'!$M$51))</f>
        <v/>
      </c>
      <c r="L220" s="40" t="s">
        <v>885</v>
      </c>
      <c r="M220" s="40">
        <v>17</v>
      </c>
    </row>
    <row r="221" spans="1:13" x14ac:dyDescent="0.3">
      <c r="A221" s="40" t="str">
        <f>IF(18&lt;=nLan,"CĐ V(b) min - "&amp;18&amp;" làn","")</f>
        <v/>
      </c>
      <c r="B221" s="46" t="str">
        <f>IF($A221="","",'TO HOP'!$C$148+1.35*(0-'TO HOP'!$M$42))</f>
        <v/>
      </c>
      <c r="C221" s="46" t="str">
        <f>IF($A221="","",'TO HOP'!$D$148+1.35*(0-'TO HOP'!$M$43))</f>
        <v/>
      </c>
      <c r="D221" s="46" t="str">
        <f>IF($A221="","",'TO HOP'!$E$148+1.35*(INDEX('LANE ENGINE'!$D$6:$D$45,18)-'TO HOP'!$M$44))</f>
        <v/>
      </c>
      <c r="E221" s="46" t="str">
        <f>IF($A221="","",'TO HOP'!$F$148+1.35*(INDEX('LANE ENGINE'!$E$6:$E$45,18)-'TO HOP'!$M$45))</f>
        <v/>
      </c>
      <c r="F221" s="46" t="str">
        <f>IF($A221="","",'TO HOP'!$G$148+1.35*(INDEX('LANE ENGINE'!$F$6:$F$45,18)-'TO HOP'!$M$46))</f>
        <v/>
      </c>
      <c r="G221" s="46" t="str">
        <f>IF($A221="","",'TO HOP'!$H$148+1.35*(0-'TO HOP'!$M$47))</f>
        <v/>
      </c>
      <c r="H221" s="46" t="str">
        <f>IF($A221="","",'TO HOP'!$I$148+1.35*(0-'TO HOP'!$M$48))</f>
        <v/>
      </c>
      <c r="I221" s="46" t="str">
        <f>IF($A221="","",'TO HOP'!$J$148+1.35*(INDEX('LANE ENGINE'!$D$6:$D$45,18)-'TO HOP'!$M$49))</f>
        <v/>
      </c>
      <c r="J221" s="46" t="str">
        <f>IF($A221="","",'TO HOP'!$K$148+1.35*(INDEX('LANE ENGINE'!$E$6:$E$45,18)-'TO HOP'!$M$50))</f>
        <v/>
      </c>
      <c r="K221" s="46" t="str">
        <f>IF($A221="","",'TO HOP'!$L$148+1.35*(INDEX('LANE ENGINE'!$G$6:$G$45,18)-'TO HOP'!$M$51))</f>
        <v/>
      </c>
      <c r="L221" s="40" t="s">
        <v>885</v>
      </c>
      <c r="M221" s="40">
        <v>18</v>
      </c>
    </row>
    <row r="222" spans="1:13" x14ac:dyDescent="0.3">
      <c r="A222" s="40" t="str">
        <f>IF(19&lt;=nLan,"CĐ V(b) min - "&amp;19&amp;" làn","")</f>
        <v/>
      </c>
      <c r="B222" s="46" t="str">
        <f>IF($A222="","",'TO HOP'!$C$148+1.35*(0-'TO HOP'!$M$42))</f>
        <v/>
      </c>
      <c r="C222" s="46" t="str">
        <f>IF($A222="","",'TO HOP'!$D$148+1.35*(0-'TO HOP'!$M$43))</f>
        <v/>
      </c>
      <c r="D222" s="46" t="str">
        <f>IF($A222="","",'TO HOP'!$E$148+1.35*(INDEX('LANE ENGINE'!$D$6:$D$45,19)-'TO HOP'!$M$44))</f>
        <v/>
      </c>
      <c r="E222" s="46" t="str">
        <f>IF($A222="","",'TO HOP'!$F$148+1.35*(INDEX('LANE ENGINE'!$E$6:$E$45,19)-'TO HOP'!$M$45))</f>
        <v/>
      </c>
      <c r="F222" s="46" t="str">
        <f>IF($A222="","",'TO HOP'!$G$148+1.35*(INDEX('LANE ENGINE'!$F$6:$F$45,19)-'TO HOP'!$M$46))</f>
        <v/>
      </c>
      <c r="G222" s="46" t="str">
        <f>IF($A222="","",'TO HOP'!$H$148+1.35*(0-'TO HOP'!$M$47))</f>
        <v/>
      </c>
      <c r="H222" s="46" t="str">
        <f>IF($A222="","",'TO HOP'!$I$148+1.35*(0-'TO HOP'!$M$48))</f>
        <v/>
      </c>
      <c r="I222" s="46" t="str">
        <f>IF($A222="","",'TO HOP'!$J$148+1.35*(INDEX('LANE ENGINE'!$D$6:$D$45,19)-'TO HOP'!$M$49))</f>
        <v/>
      </c>
      <c r="J222" s="46" t="str">
        <f>IF($A222="","",'TO HOP'!$K$148+1.35*(INDEX('LANE ENGINE'!$E$6:$E$45,19)-'TO HOP'!$M$50))</f>
        <v/>
      </c>
      <c r="K222" s="46" t="str">
        <f>IF($A222="","",'TO HOP'!$L$148+1.35*(INDEX('LANE ENGINE'!$G$6:$G$45,19)-'TO HOP'!$M$51))</f>
        <v/>
      </c>
      <c r="L222" s="40" t="s">
        <v>885</v>
      </c>
      <c r="M222" s="40">
        <v>19</v>
      </c>
    </row>
    <row r="223" spans="1:13" x14ac:dyDescent="0.3">
      <c r="A223" s="40" t="str">
        <f>IF(20&lt;=nLan,"CĐ V(b) min - "&amp;20&amp;" làn","")</f>
        <v/>
      </c>
      <c r="B223" s="46" t="str">
        <f>IF($A223="","",'TO HOP'!$C$148+1.35*(0-'TO HOP'!$M$42))</f>
        <v/>
      </c>
      <c r="C223" s="46" t="str">
        <f>IF($A223="","",'TO HOP'!$D$148+1.35*(0-'TO HOP'!$M$43))</f>
        <v/>
      </c>
      <c r="D223" s="46" t="str">
        <f>IF($A223="","",'TO HOP'!$E$148+1.35*(INDEX('LANE ENGINE'!$D$6:$D$45,20)-'TO HOP'!$M$44))</f>
        <v/>
      </c>
      <c r="E223" s="46" t="str">
        <f>IF($A223="","",'TO HOP'!$F$148+1.35*(INDEX('LANE ENGINE'!$E$6:$E$45,20)-'TO HOP'!$M$45))</f>
        <v/>
      </c>
      <c r="F223" s="46" t="str">
        <f>IF($A223="","",'TO HOP'!$G$148+1.35*(INDEX('LANE ENGINE'!$F$6:$F$45,20)-'TO HOP'!$M$46))</f>
        <v/>
      </c>
      <c r="G223" s="46" t="str">
        <f>IF($A223="","",'TO HOP'!$H$148+1.35*(0-'TO HOP'!$M$47))</f>
        <v/>
      </c>
      <c r="H223" s="46" t="str">
        <f>IF($A223="","",'TO HOP'!$I$148+1.35*(0-'TO HOP'!$M$48))</f>
        <v/>
      </c>
      <c r="I223" s="46" t="str">
        <f>IF($A223="","",'TO HOP'!$J$148+1.35*(INDEX('LANE ENGINE'!$D$6:$D$45,20)-'TO HOP'!$M$49))</f>
        <v/>
      </c>
      <c r="J223" s="46" t="str">
        <f>IF($A223="","",'TO HOP'!$K$148+1.35*(INDEX('LANE ENGINE'!$E$6:$E$45,20)-'TO HOP'!$M$50))</f>
        <v/>
      </c>
      <c r="K223" s="46" t="str">
        <f>IF($A223="","",'TO HOP'!$L$148+1.35*(INDEX('LANE ENGINE'!$G$6:$G$45,20)-'TO HOP'!$M$51))</f>
        <v/>
      </c>
      <c r="L223" s="40" t="s">
        <v>885</v>
      </c>
      <c r="M223" s="40">
        <v>20</v>
      </c>
    </row>
    <row r="224" spans="1:13" x14ac:dyDescent="0.3">
      <c r="A224" s="40" t="str">
        <f>IF(21&lt;=nLan,"CĐ V(b) min - "&amp;21&amp;" làn","")</f>
        <v/>
      </c>
      <c r="B224" s="46" t="str">
        <f>IF($A224="","",'TO HOP'!$C$148+1.35*(0-'TO HOP'!$M$42))</f>
        <v/>
      </c>
      <c r="C224" s="46" t="str">
        <f>IF($A224="","",'TO HOP'!$D$148+1.35*(0-'TO HOP'!$M$43))</f>
        <v/>
      </c>
      <c r="D224" s="46" t="str">
        <f>IF($A224="","",'TO HOP'!$E$148+1.35*(INDEX('LANE ENGINE'!$D$6:$D$45,21)-'TO HOP'!$M$44))</f>
        <v/>
      </c>
      <c r="E224" s="46" t="str">
        <f>IF($A224="","",'TO HOP'!$F$148+1.35*(INDEX('LANE ENGINE'!$E$6:$E$45,21)-'TO HOP'!$M$45))</f>
        <v/>
      </c>
      <c r="F224" s="46" t="str">
        <f>IF($A224="","",'TO HOP'!$G$148+1.35*(INDEX('LANE ENGINE'!$F$6:$F$45,21)-'TO HOP'!$M$46))</f>
        <v/>
      </c>
      <c r="G224" s="46" t="str">
        <f>IF($A224="","",'TO HOP'!$H$148+1.35*(0-'TO HOP'!$M$47))</f>
        <v/>
      </c>
      <c r="H224" s="46" t="str">
        <f>IF($A224="","",'TO HOP'!$I$148+1.35*(0-'TO HOP'!$M$48))</f>
        <v/>
      </c>
      <c r="I224" s="46" t="str">
        <f>IF($A224="","",'TO HOP'!$J$148+1.35*(INDEX('LANE ENGINE'!$D$6:$D$45,21)-'TO HOP'!$M$49))</f>
        <v/>
      </c>
      <c r="J224" s="46" t="str">
        <f>IF($A224="","",'TO HOP'!$K$148+1.35*(INDEX('LANE ENGINE'!$E$6:$E$45,21)-'TO HOP'!$M$50))</f>
        <v/>
      </c>
      <c r="K224" s="46" t="str">
        <f>IF($A224="","",'TO HOP'!$L$148+1.35*(INDEX('LANE ENGINE'!$G$6:$G$45,21)-'TO HOP'!$M$51))</f>
        <v/>
      </c>
      <c r="L224" s="40" t="s">
        <v>885</v>
      </c>
      <c r="M224" s="40">
        <v>21</v>
      </c>
    </row>
    <row r="225" spans="1:13" x14ac:dyDescent="0.3">
      <c r="A225" s="40" t="str">
        <f>IF(22&lt;=nLan,"CĐ V(b) min - "&amp;22&amp;" làn","")</f>
        <v/>
      </c>
      <c r="B225" s="46" t="str">
        <f>IF($A225="","",'TO HOP'!$C$148+1.35*(0-'TO HOP'!$M$42))</f>
        <v/>
      </c>
      <c r="C225" s="46" t="str">
        <f>IF($A225="","",'TO HOP'!$D$148+1.35*(0-'TO HOP'!$M$43))</f>
        <v/>
      </c>
      <c r="D225" s="46" t="str">
        <f>IF($A225="","",'TO HOP'!$E$148+1.35*(INDEX('LANE ENGINE'!$D$6:$D$45,22)-'TO HOP'!$M$44))</f>
        <v/>
      </c>
      <c r="E225" s="46" t="str">
        <f>IF($A225="","",'TO HOP'!$F$148+1.35*(INDEX('LANE ENGINE'!$E$6:$E$45,22)-'TO HOP'!$M$45))</f>
        <v/>
      </c>
      <c r="F225" s="46" t="str">
        <f>IF($A225="","",'TO HOP'!$G$148+1.35*(INDEX('LANE ENGINE'!$F$6:$F$45,22)-'TO HOP'!$M$46))</f>
        <v/>
      </c>
      <c r="G225" s="46" t="str">
        <f>IF($A225="","",'TO HOP'!$H$148+1.35*(0-'TO HOP'!$M$47))</f>
        <v/>
      </c>
      <c r="H225" s="46" t="str">
        <f>IF($A225="","",'TO HOP'!$I$148+1.35*(0-'TO HOP'!$M$48))</f>
        <v/>
      </c>
      <c r="I225" s="46" t="str">
        <f>IF($A225="","",'TO HOP'!$J$148+1.35*(INDEX('LANE ENGINE'!$D$6:$D$45,22)-'TO HOP'!$M$49))</f>
        <v/>
      </c>
      <c r="J225" s="46" t="str">
        <f>IF($A225="","",'TO HOP'!$K$148+1.35*(INDEX('LANE ENGINE'!$E$6:$E$45,22)-'TO HOP'!$M$50))</f>
        <v/>
      </c>
      <c r="K225" s="46" t="str">
        <f>IF($A225="","",'TO HOP'!$L$148+1.35*(INDEX('LANE ENGINE'!$G$6:$G$45,22)-'TO HOP'!$M$51))</f>
        <v/>
      </c>
      <c r="L225" s="40" t="s">
        <v>885</v>
      </c>
      <c r="M225" s="40">
        <v>22</v>
      </c>
    </row>
    <row r="226" spans="1:13" x14ac:dyDescent="0.3">
      <c r="A226" s="40" t="str">
        <f>IF(23&lt;=nLan,"CĐ V(b) min - "&amp;23&amp;" làn","")</f>
        <v/>
      </c>
      <c r="B226" s="46" t="str">
        <f>IF($A226="","",'TO HOP'!$C$148+1.35*(0-'TO HOP'!$M$42))</f>
        <v/>
      </c>
      <c r="C226" s="46" t="str">
        <f>IF($A226="","",'TO HOP'!$D$148+1.35*(0-'TO HOP'!$M$43))</f>
        <v/>
      </c>
      <c r="D226" s="46" t="str">
        <f>IF($A226="","",'TO HOP'!$E$148+1.35*(INDEX('LANE ENGINE'!$D$6:$D$45,23)-'TO HOP'!$M$44))</f>
        <v/>
      </c>
      <c r="E226" s="46" t="str">
        <f>IF($A226="","",'TO HOP'!$F$148+1.35*(INDEX('LANE ENGINE'!$E$6:$E$45,23)-'TO HOP'!$M$45))</f>
        <v/>
      </c>
      <c r="F226" s="46" t="str">
        <f>IF($A226="","",'TO HOP'!$G$148+1.35*(INDEX('LANE ENGINE'!$F$6:$F$45,23)-'TO HOP'!$M$46))</f>
        <v/>
      </c>
      <c r="G226" s="46" t="str">
        <f>IF($A226="","",'TO HOP'!$H$148+1.35*(0-'TO HOP'!$M$47))</f>
        <v/>
      </c>
      <c r="H226" s="46" t="str">
        <f>IF($A226="","",'TO HOP'!$I$148+1.35*(0-'TO HOP'!$M$48))</f>
        <v/>
      </c>
      <c r="I226" s="46" t="str">
        <f>IF($A226="","",'TO HOP'!$J$148+1.35*(INDEX('LANE ENGINE'!$D$6:$D$45,23)-'TO HOP'!$M$49))</f>
        <v/>
      </c>
      <c r="J226" s="46" t="str">
        <f>IF($A226="","",'TO HOP'!$K$148+1.35*(INDEX('LANE ENGINE'!$E$6:$E$45,23)-'TO HOP'!$M$50))</f>
        <v/>
      </c>
      <c r="K226" s="46" t="str">
        <f>IF($A226="","",'TO HOP'!$L$148+1.35*(INDEX('LANE ENGINE'!$G$6:$G$45,23)-'TO HOP'!$M$51))</f>
        <v/>
      </c>
      <c r="L226" s="40" t="s">
        <v>885</v>
      </c>
      <c r="M226" s="40">
        <v>23</v>
      </c>
    </row>
    <row r="227" spans="1:13" x14ac:dyDescent="0.3">
      <c r="A227" s="40" t="str">
        <f>IF(24&lt;=nLan,"CĐ V(b) min - "&amp;24&amp;" làn","")</f>
        <v/>
      </c>
      <c r="B227" s="46" t="str">
        <f>IF($A227="","",'TO HOP'!$C$148+1.35*(0-'TO HOP'!$M$42))</f>
        <v/>
      </c>
      <c r="C227" s="46" t="str">
        <f>IF($A227="","",'TO HOP'!$D$148+1.35*(0-'TO HOP'!$M$43))</f>
        <v/>
      </c>
      <c r="D227" s="46" t="str">
        <f>IF($A227="","",'TO HOP'!$E$148+1.35*(INDEX('LANE ENGINE'!$D$6:$D$45,24)-'TO HOP'!$M$44))</f>
        <v/>
      </c>
      <c r="E227" s="46" t="str">
        <f>IF($A227="","",'TO HOP'!$F$148+1.35*(INDEX('LANE ENGINE'!$E$6:$E$45,24)-'TO HOP'!$M$45))</f>
        <v/>
      </c>
      <c r="F227" s="46" t="str">
        <f>IF($A227="","",'TO HOP'!$G$148+1.35*(INDEX('LANE ENGINE'!$F$6:$F$45,24)-'TO HOP'!$M$46))</f>
        <v/>
      </c>
      <c r="G227" s="46" t="str">
        <f>IF($A227="","",'TO HOP'!$H$148+1.35*(0-'TO HOP'!$M$47))</f>
        <v/>
      </c>
      <c r="H227" s="46" t="str">
        <f>IF($A227="","",'TO HOP'!$I$148+1.35*(0-'TO HOP'!$M$48))</f>
        <v/>
      </c>
      <c r="I227" s="46" t="str">
        <f>IF($A227="","",'TO HOP'!$J$148+1.35*(INDEX('LANE ENGINE'!$D$6:$D$45,24)-'TO HOP'!$M$49))</f>
        <v/>
      </c>
      <c r="J227" s="46" t="str">
        <f>IF($A227="","",'TO HOP'!$K$148+1.35*(INDEX('LANE ENGINE'!$E$6:$E$45,24)-'TO HOP'!$M$50))</f>
        <v/>
      </c>
      <c r="K227" s="46" t="str">
        <f>IF($A227="","",'TO HOP'!$L$148+1.35*(INDEX('LANE ENGINE'!$G$6:$G$45,24)-'TO HOP'!$M$51))</f>
        <v/>
      </c>
      <c r="L227" s="40" t="s">
        <v>885</v>
      </c>
      <c r="M227" s="40">
        <v>24</v>
      </c>
    </row>
    <row r="228" spans="1:13" x14ac:dyDescent="0.3">
      <c r="A228" s="40" t="str">
        <f>IF(25&lt;=nLan,"CĐ V(b) min - "&amp;25&amp;" làn","")</f>
        <v/>
      </c>
      <c r="B228" s="46" t="str">
        <f>IF($A228="","",'TO HOP'!$C$148+1.35*(0-'TO HOP'!$M$42))</f>
        <v/>
      </c>
      <c r="C228" s="46" t="str">
        <f>IF($A228="","",'TO HOP'!$D$148+1.35*(0-'TO HOP'!$M$43))</f>
        <v/>
      </c>
      <c r="D228" s="46" t="str">
        <f>IF($A228="","",'TO HOP'!$E$148+1.35*(INDEX('LANE ENGINE'!$D$6:$D$45,25)-'TO HOP'!$M$44))</f>
        <v/>
      </c>
      <c r="E228" s="46" t="str">
        <f>IF($A228="","",'TO HOP'!$F$148+1.35*(INDEX('LANE ENGINE'!$E$6:$E$45,25)-'TO HOP'!$M$45))</f>
        <v/>
      </c>
      <c r="F228" s="46" t="str">
        <f>IF($A228="","",'TO HOP'!$G$148+1.35*(INDEX('LANE ENGINE'!$F$6:$F$45,25)-'TO HOP'!$M$46))</f>
        <v/>
      </c>
      <c r="G228" s="46" t="str">
        <f>IF($A228="","",'TO HOP'!$H$148+1.35*(0-'TO HOP'!$M$47))</f>
        <v/>
      </c>
      <c r="H228" s="46" t="str">
        <f>IF($A228="","",'TO HOP'!$I$148+1.35*(0-'TO HOP'!$M$48))</f>
        <v/>
      </c>
      <c r="I228" s="46" t="str">
        <f>IF($A228="","",'TO HOP'!$J$148+1.35*(INDEX('LANE ENGINE'!$D$6:$D$45,25)-'TO HOP'!$M$49))</f>
        <v/>
      </c>
      <c r="J228" s="46" t="str">
        <f>IF($A228="","",'TO HOP'!$K$148+1.35*(INDEX('LANE ENGINE'!$E$6:$E$45,25)-'TO HOP'!$M$50))</f>
        <v/>
      </c>
      <c r="K228" s="46" t="str">
        <f>IF($A228="","",'TO HOP'!$L$148+1.35*(INDEX('LANE ENGINE'!$G$6:$G$45,25)-'TO HOP'!$M$51))</f>
        <v/>
      </c>
      <c r="L228" s="40" t="s">
        <v>885</v>
      </c>
      <c r="M228" s="40">
        <v>25</v>
      </c>
    </row>
    <row r="229" spans="1:13" x14ac:dyDescent="0.3">
      <c r="A229" s="40" t="str">
        <f>IF(26&lt;=nLan,"CĐ V(b) min - "&amp;26&amp;" làn","")</f>
        <v/>
      </c>
      <c r="B229" s="46" t="str">
        <f>IF($A229="","",'TO HOP'!$C$148+1.35*(0-'TO HOP'!$M$42))</f>
        <v/>
      </c>
      <c r="C229" s="46" t="str">
        <f>IF($A229="","",'TO HOP'!$D$148+1.35*(0-'TO HOP'!$M$43))</f>
        <v/>
      </c>
      <c r="D229" s="46" t="str">
        <f>IF($A229="","",'TO HOP'!$E$148+1.35*(INDEX('LANE ENGINE'!$D$6:$D$45,26)-'TO HOP'!$M$44))</f>
        <v/>
      </c>
      <c r="E229" s="46" t="str">
        <f>IF($A229="","",'TO HOP'!$F$148+1.35*(INDEX('LANE ENGINE'!$E$6:$E$45,26)-'TO HOP'!$M$45))</f>
        <v/>
      </c>
      <c r="F229" s="46" t="str">
        <f>IF($A229="","",'TO HOP'!$G$148+1.35*(INDEX('LANE ENGINE'!$F$6:$F$45,26)-'TO HOP'!$M$46))</f>
        <v/>
      </c>
      <c r="G229" s="46" t="str">
        <f>IF($A229="","",'TO HOP'!$H$148+1.35*(0-'TO HOP'!$M$47))</f>
        <v/>
      </c>
      <c r="H229" s="46" t="str">
        <f>IF($A229="","",'TO HOP'!$I$148+1.35*(0-'TO HOP'!$M$48))</f>
        <v/>
      </c>
      <c r="I229" s="46" t="str">
        <f>IF($A229="","",'TO HOP'!$J$148+1.35*(INDEX('LANE ENGINE'!$D$6:$D$45,26)-'TO HOP'!$M$49))</f>
        <v/>
      </c>
      <c r="J229" s="46" t="str">
        <f>IF($A229="","",'TO HOP'!$K$148+1.35*(INDEX('LANE ENGINE'!$E$6:$E$45,26)-'TO HOP'!$M$50))</f>
        <v/>
      </c>
      <c r="K229" s="46" t="str">
        <f>IF($A229="","",'TO HOP'!$L$148+1.35*(INDEX('LANE ENGINE'!$G$6:$G$45,26)-'TO HOP'!$M$51))</f>
        <v/>
      </c>
      <c r="L229" s="40" t="s">
        <v>885</v>
      </c>
      <c r="M229" s="40">
        <v>26</v>
      </c>
    </row>
    <row r="230" spans="1:13" x14ac:dyDescent="0.3">
      <c r="A230" s="40" t="str">
        <f>IF(27&lt;=nLan,"CĐ V(b) min - "&amp;27&amp;" làn","")</f>
        <v/>
      </c>
      <c r="B230" s="46" t="str">
        <f>IF($A230="","",'TO HOP'!$C$148+1.35*(0-'TO HOP'!$M$42))</f>
        <v/>
      </c>
      <c r="C230" s="46" t="str">
        <f>IF($A230="","",'TO HOP'!$D$148+1.35*(0-'TO HOP'!$M$43))</f>
        <v/>
      </c>
      <c r="D230" s="46" t="str">
        <f>IF($A230="","",'TO HOP'!$E$148+1.35*(INDEX('LANE ENGINE'!$D$6:$D$45,27)-'TO HOP'!$M$44))</f>
        <v/>
      </c>
      <c r="E230" s="46" t="str">
        <f>IF($A230="","",'TO HOP'!$F$148+1.35*(INDEX('LANE ENGINE'!$E$6:$E$45,27)-'TO HOP'!$M$45))</f>
        <v/>
      </c>
      <c r="F230" s="46" t="str">
        <f>IF($A230="","",'TO HOP'!$G$148+1.35*(INDEX('LANE ENGINE'!$F$6:$F$45,27)-'TO HOP'!$M$46))</f>
        <v/>
      </c>
      <c r="G230" s="46" t="str">
        <f>IF($A230="","",'TO HOP'!$H$148+1.35*(0-'TO HOP'!$M$47))</f>
        <v/>
      </c>
      <c r="H230" s="46" t="str">
        <f>IF($A230="","",'TO HOP'!$I$148+1.35*(0-'TO HOP'!$M$48))</f>
        <v/>
      </c>
      <c r="I230" s="46" t="str">
        <f>IF($A230="","",'TO HOP'!$J$148+1.35*(INDEX('LANE ENGINE'!$D$6:$D$45,27)-'TO HOP'!$M$49))</f>
        <v/>
      </c>
      <c r="J230" s="46" t="str">
        <f>IF($A230="","",'TO HOP'!$K$148+1.35*(INDEX('LANE ENGINE'!$E$6:$E$45,27)-'TO HOP'!$M$50))</f>
        <v/>
      </c>
      <c r="K230" s="46" t="str">
        <f>IF($A230="","",'TO HOP'!$L$148+1.35*(INDEX('LANE ENGINE'!$G$6:$G$45,27)-'TO HOP'!$M$51))</f>
        <v/>
      </c>
      <c r="L230" s="40" t="s">
        <v>885</v>
      </c>
      <c r="M230" s="40">
        <v>27</v>
      </c>
    </row>
    <row r="231" spans="1:13" x14ac:dyDescent="0.3">
      <c r="A231" s="40" t="str">
        <f>IF(28&lt;=nLan,"CĐ V(b) min - "&amp;28&amp;" làn","")</f>
        <v/>
      </c>
      <c r="B231" s="46" t="str">
        <f>IF($A231="","",'TO HOP'!$C$148+1.35*(0-'TO HOP'!$M$42))</f>
        <v/>
      </c>
      <c r="C231" s="46" t="str">
        <f>IF($A231="","",'TO HOP'!$D$148+1.35*(0-'TO HOP'!$M$43))</f>
        <v/>
      </c>
      <c r="D231" s="46" t="str">
        <f>IF($A231="","",'TO HOP'!$E$148+1.35*(INDEX('LANE ENGINE'!$D$6:$D$45,28)-'TO HOP'!$M$44))</f>
        <v/>
      </c>
      <c r="E231" s="46" t="str">
        <f>IF($A231="","",'TO HOP'!$F$148+1.35*(INDEX('LANE ENGINE'!$E$6:$E$45,28)-'TO HOP'!$M$45))</f>
        <v/>
      </c>
      <c r="F231" s="46" t="str">
        <f>IF($A231="","",'TO HOP'!$G$148+1.35*(INDEX('LANE ENGINE'!$F$6:$F$45,28)-'TO HOP'!$M$46))</f>
        <v/>
      </c>
      <c r="G231" s="46" t="str">
        <f>IF($A231="","",'TO HOP'!$H$148+1.35*(0-'TO HOP'!$M$47))</f>
        <v/>
      </c>
      <c r="H231" s="46" t="str">
        <f>IF($A231="","",'TO HOP'!$I$148+1.35*(0-'TO HOP'!$M$48))</f>
        <v/>
      </c>
      <c r="I231" s="46" t="str">
        <f>IF($A231="","",'TO HOP'!$J$148+1.35*(INDEX('LANE ENGINE'!$D$6:$D$45,28)-'TO HOP'!$M$49))</f>
        <v/>
      </c>
      <c r="J231" s="46" t="str">
        <f>IF($A231="","",'TO HOP'!$K$148+1.35*(INDEX('LANE ENGINE'!$E$6:$E$45,28)-'TO HOP'!$M$50))</f>
        <v/>
      </c>
      <c r="K231" s="46" t="str">
        <f>IF($A231="","",'TO HOP'!$L$148+1.35*(INDEX('LANE ENGINE'!$G$6:$G$45,28)-'TO HOP'!$M$51))</f>
        <v/>
      </c>
      <c r="L231" s="40" t="s">
        <v>885</v>
      </c>
      <c r="M231" s="40">
        <v>28</v>
      </c>
    </row>
    <row r="232" spans="1:13" x14ac:dyDescent="0.3">
      <c r="A232" s="40" t="str">
        <f>IF(29&lt;=nLan,"CĐ V(b) min - "&amp;29&amp;" làn","")</f>
        <v/>
      </c>
      <c r="B232" s="46" t="str">
        <f>IF($A232="","",'TO HOP'!$C$148+1.35*(0-'TO HOP'!$M$42))</f>
        <v/>
      </c>
      <c r="C232" s="46" t="str">
        <f>IF($A232="","",'TO HOP'!$D$148+1.35*(0-'TO HOP'!$M$43))</f>
        <v/>
      </c>
      <c r="D232" s="46" t="str">
        <f>IF($A232="","",'TO HOP'!$E$148+1.35*(INDEX('LANE ENGINE'!$D$6:$D$45,29)-'TO HOP'!$M$44))</f>
        <v/>
      </c>
      <c r="E232" s="46" t="str">
        <f>IF($A232="","",'TO HOP'!$F$148+1.35*(INDEX('LANE ENGINE'!$E$6:$E$45,29)-'TO HOP'!$M$45))</f>
        <v/>
      </c>
      <c r="F232" s="46" t="str">
        <f>IF($A232="","",'TO HOP'!$G$148+1.35*(INDEX('LANE ENGINE'!$F$6:$F$45,29)-'TO HOP'!$M$46))</f>
        <v/>
      </c>
      <c r="G232" s="46" t="str">
        <f>IF($A232="","",'TO HOP'!$H$148+1.35*(0-'TO HOP'!$M$47))</f>
        <v/>
      </c>
      <c r="H232" s="46" t="str">
        <f>IF($A232="","",'TO HOP'!$I$148+1.35*(0-'TO HOP'!$M$48))</f>
        <v/>
      </c>
      <c r="I232" s="46" t="str">
        <f>IF($A232="","",'TO HOP'!$J$148+1.35*(INDEX('LANE ENGINE'!$D$6:$D$45,29)-'TO HOP'!$M$49))</f>
        <v/>
      </c>
      <c r="J232" s="46" t="str">
        <f>IF($A232="","",'TO HOP'!$K$148+1.35*(INDEX('LANE ENGINE'!$E$6:$E$45,29)-'TO HOP'!$M$50))</f>
        <v/>
      </c>
      <c r="K232" s="46" t="str">
        <f>IF($A232="","",'TO HOP'!$L$148+1.35*(INDEX('LANE ENGINE'!$G$6:$G$45,29)-'TO HOP'!$M$51))</f>
        <v/>
      </c>
      <c r="L232" s="40" t="s">
        <v>885</v>
      </c>
      <c r="M232" s="40">
        <v>29</v>
      </c>
    </row>
    <row r="233" spans="1:13" x14ac:dyDescent="0.3">
      <c r="A233" s="40" t="str">
        <f>IF(30&lt;=nLan,"CĐ V(b) min - "&amp;30&amp;" làn","")</f>
        <v/>
      </c>
      <c r="B233" s="46" t="str">
        <f>IF($A233="","",'TO HOP'!$C$148+1.35*(0-'TO HOP'!$M$42))</f>
        <v/>
      </c>
      <c r="C233" s="46" t="str">
        <f>IF($A233="","",'TO HOP'!$D$148+1.35*(0-'TO HOP'!$M$43))</f>
        <v/>
      </c>
      <c r="D233" s="46" t="str">
        <f>IF($A233="","",'TO HOP'!$E$148+1.35*(INDEX('LANE ENGINE'!$D$6:$D$45,30)-'TO HOP'!$M$44))</f>
        <v/>
      </c>
      <c r="E233" s="46" t="str">
        <f>IF($A233="","",'TO HOP'!$F$148+1.35*(INDEX('LANE ENGINE'!$E$6:$E$45,30)-'TO HOP'!$M$45))</f>
        <v/>
      </c>
      <c r="F233" s="46" t="str">
        <f>IF($A233="","",'TO HOP'!$G$148+1.35*(INDEX('LANE ENGINE'!$F$6:$F$45,30)-'TO HOP'!$M$46))</f>
        <v/>
      </c>
      <c r="G233" s="46" t="str">
        <f>IF($A233="","",'TO HOP'!$H$148+1.35*(0-'TO HOP'!$M$47))</f>
        <v/>
      </c>
      <c r="H233" s="46" t="str">
        <f>IF($A233="","",'TO HOP'!$I$148+1.35*(0-'TO HOP'!$M$48))</f>
        <v/>
      </c>
      <c r="I233" s="46" t="str">
        <f>IF($A233="","",'TO HOP'!$J$148+1.35*(INDEX('LANE ENGINE'!$D$6:$D$45,30)-'TO HOP'!$M$49))</f>
        <v/>
      </c>
      <c r="J233" s="46" t="str">
        <f>IF($A233="","",'TO HOP'!$K$148+1.35*(INDEX('LANE ENGINE'!$E$6:$E$45,30)-'TO HOP'!$M$50))</f>
        <v/>
      </c>
      <c r="K233" s="46" t="str">
        <f>IF($A233="","",'TO HOP'!$L$148+1.35*(INDEX('LANE ENGINE'!$G$6:$G$45,30)-'TO HOP'!$M$51))</f>
        <v/>
      </c>
      <c r="L233" s="40" t="s">
        <v>885</v>
      </c>
      <c r="M233" s="40">
        <v>30</v>
      </c>
    </row>
    <row r="234" spans="1:13" x14ac:dyDescent="0.3">
      <c r="A234" s="40" t="str">
        <f>IF(31&lt;=nLan,"CĐ V(b) min - "&amp;31&amp;" làn","")</f>
        <v/>
      </c>
      <c r="B234" s="46" t="str">
        <f>IF($A234="","",'TO HOP'!$C$148+1.35*(0-'TO HOP'!$M$42))</f>
        <v/>
      </c>
      <c r="C234" s="46" t="str">
        <f>IF($A234="","",'TO HOP'!$D$148+1.35*(0-'TO HOP'!$M$43))</f>
        <v/>
      </c>
      <c r="D234" s="46" t="str">
        <f>IF($A234="","",'TO HOP'!$E$148+1.35*(INDEX('LANE ENGINE'!$D$6:$D$45,31)-'TO HOP'!$M$44))</f>
        <v/>
      </c>
      <c r="E234" s="46" t="str">
        <f>IF($A234="","",'TO HOP'!$F$148+1.35*(INDEX('LANE ENGINE'!$E$6:$E$45,31)-'TO HOP'!$M$45))</f>
        <v/>
      </c>
      <c r="F234" s="46" t="str">
        <f>IF($A234="","",'TO HOP'!$G$148+1.35*(INDEX('LANE ENGINE'!$F$6:$F$45,31)-'TO HOP'!$M$46))</f>
        <v/>
      </c>
      <c r="G234" s="46" t="str">
        <f>IF($A234="","",'TO HOP'!$H$148+1.35*(0-'TO HOP'!$M$47))</f>
        <v/>
      </c>
      <c r="H234" s="46" t="str">
        <f>IF($A234="","",'TO HOP'!$I$148+1.35*(0-'TO HOP'!$M$48))</f>
        <v/>
      </c>
      <c r="I234" s="46" t="str">
        <f>IF($A234="","",'TO HOP'!$J$148+1.35*(INDEX('LANE ENGINE'!$D$6:$D$45,31)-'TO HOP'!$M$49))</f>
        <v/>
      </c>
      <c r="J234" s="46" t="str">
        <f>IF($A234="","",'TO HOP'!$K$148+1.35*(INDEX('LANE ENGINE'!$E$6:$E$45,31)-'TO HOP'!$M$50))</f>
        <v/>
      </c>
      <c r="K234" s="46" t="str">
        <f>IF($A234="","",'TO HOP'!$L$148+1.35*(INDEX('LANE ENGINE'!$G$6:$G$45,31)-'TO HOP'!$M$51))</f>
        <v/>
      </c>
      <c r="L234" s="40" t="s">
        <v>885</v>
      </c>
      <c r="M234" s="40">
        <v>31</v>
      </c>
    </row>
    <row r="235" spans="1:13" x14ac:dyDescent="0.3">
      <c r="A235" s="40" t="str">
        <f>IF(32&lt;=nLan,"CĐ V(b) min - "&amp;32&amp;" làn","")</f>
        <v/>
      </c>
      <c r="B235" s="46" t="str">
        <f>IF($A235="","",'TO HOP'!$C$148+1.35*(0-'TO HOP'!$M$42))</f>
        <v/>
      </c>
      <c r="C235" s="46" t="str">
        <f>IF($A235="","",'TO HOP'!$D$148+1.35*(0-'TO HOP'!$M$43))</f>
        <v/>
      </c>
      <c r="D235" s="46" t="str">
        <f>IF($A235="","",'TO HOP'!$E$148+1.35*(INDEX('LANE ENGINE'!$D$6:$D$45,32)-'TO HOP'!$M$44))</f>
        <v/>
      </c>
      <c r="E235" s="46" t="str">
        <f>IF($A235="","",'TO HOP'!$F$148+1.35*(INDEX('LANE ENGINE'!$E$6:$E$45,32)-'TO HOP'!$M$45))</f>
        <v/>
      </c>
      <c r="F235" s="46" t="str">
        <f>IF($A235="","",'TO HOP'!$G$148+1.35*(INDEX('LANE ENGINE'!$F$6:$F$45,32)-'TO HOP'!$M$46))</f>
        <v/>
      </c>
      <c r="G235" s="46" t="str">
        <f>IF($A235="","",'TO HOP'!$H$148+1.35*(0-'TO HOP'!$M$47))</f>
        <v/>
      </c>
      <c r="H235" s="46" t="str">
        <f>IF($A235="","",'TO HOP'!$I$148+1.35*(0-'TO HOP'!$M$48))</f>
        <v/>
      </c>
      <c r="I235" s="46" t="str">
        <f>IF($A235="","",'TO HOP'!$J$148+1.35*(INDEX('LANE ENGINE'!$D$6:$D$45,32)-'TO HOP'!$M$49))</f>
        <v/>
      </c>
      <c r="J235" s="46" t="str">
        <f>IF($A235="","",'TO HOP'!$K$148+1.35*(INDEX('LANE ENGINE'!$E$6:$E$45,32)-'TO HOP'!$M$50))</f>
        <v/>
      </c>
      <c r="K235" s="46" t="str">
        <f>IF($A235="","",'TO HOP'!$L$148+1.35*(INDEX('LANE ENGINE'!$G$6:$G$45,32)-'TO HOP'!$M$51))</f>
        <v/>
      </c>
      <c r="L235" s="40" t="s">
        <v>885</v>
      </c>
      <c r="M235" s="40">
        <v>32</v>
      </c>
    </row>
    <row r="236" spans="1:13" x14ac:dyDescent="0.3">
      <c r="A236" s="40" t="str">
        <f>IF(33&lt;=nLan,"CĐ V(b) min - "&amp;33&amp;" làn","")</f>
        <v/>
      </c>
      <c r="B236" s="46" t="str">
        <f>IF($A236="","",'TO HOP'!$C$148+1.35*(0-'TO HOP'!$M$42))</f>
        <v/>
      </c>
      <c r="C236" s="46" t="str">
        <f>IF($A236="","",'TO HOP'!$D$148+1.35*(0-'TO HOP'!$M$43))</f>
        <v/>
      </c>
      <c r="D236" s="46" t="str">
        <f>IF($A236="","",'TO HOP'!$E$148+1.35*(INDEX('LANE ENGINE'!$D$6:$D$45,33)-'TO HOP'!$M$44))</f>
        <v/>
      </c>
      <c r="E236" s="46" t="str">
        <f>IF($A236="","",'TO HOP'!$F$148+1.35*(INDEX('LANE ENGINE'!$E$6:$E$45,33)-'TO HOP'!$M$45))</f>
        <v/>
      </c>
      <c r="F236" s="46" t="str">
        <f>IF($A236="","",'TO HOP'!$G$148+1.35*(INDEX('LANE ENGINE'!$F$6:$F$45,33)-'TO HOP'!$M$46))</f>
        <v/>
      </c>
      <c r="G236" s="46" t="str">
        <f>IF($A236="","",'TO HOP'!$H$148+1.35*(0-'TO HOP'!$M$47))</f>
        <v/>
      </c>
      <c r="H236" s="46" t="str">
        <f>IF($A236="","",'TO HOP'!$I$148+1.35*(0-'TO HOP'!$M$48))</f>
        <v/>
      </c>
      <c r="I236" s="46" t="str">
        <f>IF($A236="","",'TO HOP'!$J$148+1.35*(INDEX('LANE ENGINE'!$D$6:$D$45,33)-'TO HOP'!$M$49))</f>
        <v/>
      </c>
      <c r="J236" s="46" t="str">
        <f>IF($A236="","",'TO HOP'!$K$148+1.35*(INDEX('LANE ENGINE'!$E$6:$E$45,33)-'TO HOP'!$M$50))</f>
        <v/>
      </c>
      <c r="K236" s="46" t="str">
        <f>IF($A236="","",'TO HOP'!$L$148+1.35*(INDEX('LANE ENGINE'!$G$6:$G$45,33)-'TO HOP'!$M$51))</f>
        <v/>
      </c>
      <c r="L236" s="40" t="s">
        <v>885</v>
      </c>
      <c r="M236" s="40">
        <v>33</v>
      </c>
    </row>
    <row r="237" spans="1:13" x14ac:dyDescent="0.3">
      <c r="A237" s="40" t="str">
        <f>IF(34&lt;=nLan,"CĐ V(b) min - "&amp;34&amp;" làn","")</f>
        <v/>
      </c>
      <c r="B237" s="46" t="str">
        <f>IF($A237="","",'TO HOP'!$C$148+1.35*(0-'TO HOP'!$M$42))</f>
        <v/>
      </c>
      <c r="C237" s="46" t="str">
        <f>IF($A237="","",'TO HOP'!$D$148+1.35*(0-'TO HOP'!$M$43))</f>
        <v/>
      </c>
      <c r="D237" s="46" t="str">
        <f>IF($A237="","",'TO HOP'!$E$148+1.35*(INDEX('LANE ENGINE'!$D$6:$D$45,34)-'TO HOP'!$M$44))</f>
        <v/>
      </c>
      <c r="E237" s="46" t="str">
        <f>IF($A237="","",'TO HOP'!$F$148+1.35*(INDEX('LANE ENGINE'!$E$6:$E$45,34)-'TO HOP'!$M$45))</f>
        <v/>
      </c>
      <c r="F237" s="46" t="str">
        <f>IF($A237="","",'TO HOP'!$G$148+1.35*(INDEX('LANE ENGINE'!$F$6:$F$45,34)-'TO HOP'!$M$46))</f>
        <v/>
      </c>
      <c r="G237" s="46" t="str">
        <f>IF($A237="","",'TO HOP'!$H$148+1.35*(0-'TO HOP'!$M$47))</f>
        <v/>
      </c>
      <c r="H237" s="46" t="str">
        <f>IF($A237="","",'TO HOP'!$I$148+1.35*(0-'TO HOP'!$M$48))</f>
        <v/>
      </c>
      <c r="I237" s="46" t="str">
        <f>IF($A237="","",'TO HOP'!$J$148+1.35*(INDEX('LANE ENGINE'!$D$6:$D$45,34)-'TO HOP'!$M$49))</f>
        <v/>
      </c>
      <c r="J237" s="46" t="str">
        <f>IF($A237="","",'TO HOP'!$K$148+1.35*(INDEX('LANE ENGINE'!$E$6:$E$45,34)-'TO HOP'!$M$50))</f>
        <v/>
      </c>
      <c r="K237" s="46" t="str">
        <f>IF($A237="","",'TO HOP'!$L$148+1.35*(INDEX('LANE ENGINE'!$G$6:$G$45,34)-'TO HOP'!$M$51))</f>
        <v/>
      </c>
      <c r="L237" s="40" t="s">
        <v>885</v>
      </c>
      <c r="M237" s="40">
        <v>34</v>
      </c>
    </row>
    <row r="238" spans="1:13" x14ac:dyDescent="0.3">
      <c r="A238" s="40" t="str">
        <f>IF(35&lt;=nLan,"CĐ V(b) min - "&amp;35&amp;" làn","")</f>
        <v/>
      </c>
      <c r="B238" s="46" t="str">
        <f>IF($A238="","",'TO HOP'!$C$148+1.35*(0-'TO HOP'!$M$42))</f>
        <v/>
      </c>
      <c r="C238" s="46" t="str">
        <f>IF($A238="","",'TO HOP'!$D$148+1.35*(0-'TO HOP'!$M$43))</f>
        <v/>
      </c>
      <c r="D238" s="46" t="str">
        <f>IF($A238="","",'TO HOP'!$E$148+1.35*(INDEX('LANE ENGINE'!$D$6:$D$45,35)-'TO HOP'!$M$44))</f>
        <v/>
      </c>
      <c r="E238" s="46" t="str">
        <f>IF($A238="","",'TO HOP'!$F$148+1.35*(INDEX('LANE ENGINE'!$E$6:$E$45,35)-'TO HOP'!$M$45))</f>
        <v/>
      </c>
      <c r="F238" s="46" t="str">
        <f>IF($A238="","",'TO HOP'!$G$148+1.35*(INDEX('LANE ENGINE'!$F$6:$F$45,35)-'TO HOP'!$M$46))</f>
        <v/>
      </c>
      <c r="G238" s="46" t="str">
        <f>IF($A238="","",'TO HOP'!$H$148+1.35*(0-'TO HOP'!$M$47))</f>
        <v/>
      </c>
      <c r="H238" s="46" t="str">
        <f>IF($A238="","",'TO HOP'!$I$148+1.35*(0-'TO HOP'!$M$48))</f>
        <v/>
      </c>
      <c r="I238" s="46" t="str">
        <f>IF($A238="","",'TO HOP'!$J$148+1.35*(INDEX('LANE ENGINE'!$D$6:$D$45,35)-'TO HOP'!$M$49))</f>
        <v/>
      </c>
      <c r="J238" s="46" t="str">
        <f>IF($A238="","",'TO HOP'!$K$148+1.35*(INDEX('LANE ENGINE'!$E$6:$E$45,35)-'TO HOP'!$M$50))</f>
        <v/>
      </c>
      <c r="K238" s="46" t="str">
        <f>IF($A238="","",'TO HOP'!$L$148+1.35*(INDEX('LANE ENGINE'!$G$6:$G$45,35)-'TO HOP'!$M$51))</f>
        <v/>
      </c>
      <c r="L238" s="40" t="s">
        <v>885</v>
      </c>
      <c r="M238" s="40">
        <v>35</v>
      </c>
    </row>
    <row r="239" spans="1:13" x14ac:dyDescent="0.3">
      <c r="A239" s="40" t="str">
        <f>IF(36&lt;=nLan,"CĐ V(b) min - "&amp;36&amp;" làn","")</f>
        <v/>
      </c>
      <c r="B239" s="46" t="str">
        <f>IF($A239="","",'TO HOP'!$C$148+1.35*(0-'TO HOP'!$M$42))</f>
        <v/>
      </c>
      <c r="C239" s="46" t="str">
        <f>IF($A239="","",'TO HOP'!$D$148+1.35*(0-'TO HOP'!$M$43))</f>
        <v/>
      </c>
      <c r="D239" s="46" t="str">
        <f>IF($A239="","",'TO HOP'!$E$148+1.35*(INDEX('LANE ENGINE'!$D$6:$D$45,36)-'TO HOP'!$M$44))</f>
        <v/>
      </c>
      <c r="E239" s="46" t="str">
        <f>IF($A239="","",'TO HOP'!$F$148+1.35*(INDEX('LANE ENGINE'!$E$6:$E$45,36)-'TO HOP'!$M$45))</f>
        <v/>
      </c>
      <c r="F239" s="46" t="str">
        <f>IF($A239="","",'TO HOP'!$G$148+1.35*(INDEX('LANE ENGINE'!$F$6:$F$45,36)-'TO HOP'!$M$46))</f>
        <v/>
      </c>
      <c r="G239" s="46" t="str">
        <f>IF($A239="","",'TO HOP'!$H$148+1.35*(0-'TO HOP'!$M$47))</f>
        <v/>
      </c>
      <c r="H239" s="46" t="str">
        <f>IF($A239="","",'TO HOP'!$I$148+1.35*(0-'TO HOP'!$M$48))</f>
        <v/>
      </c>
      <c r="I239" s="46" t="str">
        <f>IF($A239="","",'TO HOP'!$J$148+1.35*(INDEX('LANE ENGINE'!$D$6:$D$45,36)-'TO HOP'!$M$49))</f>
        <v/>
      </c>
      <c r="J239" s="46" t="str">
        <f>IF($A239="","",'TO HOP'!$K$148+1.35*(INDEX('LANE ENGINE'!$E$6:$E$45,36)-'TO HOP'!$M$50))</f>
        <v/>
      </c>
      <c r="K239" s="46" t="str">
        <f>IF($A239="","",'TO HOP'!$L$148+1.35*(INDEX('LANE ENGINE'!$G$6:$G$45,36)-'TO HOP'!$M$51))</f>
        <v/>
      </c>
      <c r="L239" s="40" t="s">
        <v>885</v>
      </c>
      <c r="M239" s="40">
        <v>36</v>
      </c>
    </row>
    <row r="240" spans="1:13" x14ac:dyDescent="0.3">
      <c r="A240" s="40" t="str">
        <f>IF(37&lt;=nLan,"CĐ V(b) min - "&amp;37&amp;" làn","")</f>
        <v/>
      </c>
      <c r="B240" s="46" t="str">
        <f>IF($A240="","",'TO HOP'!$C$148+1.35*(0-'TO HOP'!$M$42))</f>
        <v/>
      </c>
      <c r="C240" s="46" t="str">
        <f>IF($A240="","",'TO HOP'!$D$148+1.35*(0-'TO HOP'!$M$43))</f>
        <v/>
      </c>
      <c r="D240" s="46" t="str">
        <f>IF($A240="","",'TO HOP'!$E$148+1.35*(INDEX('LANE ENGINE'!$D$6:$D$45,37)-'TO HOP'!$M$44))</f>
        <v/>
      </c>
      <c r="E240" s="46" t="str">
        <f>IF($A240="","",'TO HOP'!$F$148+1.35*(INDEX('LANE ENGINE'!$E$6:$E$45,37)-'TO HOP'!$M$45))</f>
        <v/>
      </c>
      <c r="F240" s="46" t="str">
        <f>IF($A240="","",'TO HOP'!$G$148+1.35*(INDEX('LANE ENGINE'!$F$6:$F$45,37)-'TO HOP'!$M$46))</f>
        <v/>
      </c>
      <c r="G240" s="46" t="str">
        <f>IF($A240="","",'TO HOP'!$H$148+1.35*(0-'TO HOP'!$M$47))</f>
        <v/>
      </c>
      <c r="H240" s="46" t="str">
        <f>IF($A240="","",'TO HOP'!$I$148+1.35*(0-'TO HOP'!$M$48))</f>
        <v/>
      </c>
      <c r="I240" s="46" t="str">
        <f>IF($A240="","",'TO HOP'!$J$148+1.35*(INDEX('LANE ENGINE'!$D$6:$D$45,37)-'TO HOP'!$M$49))</f>
        <v/>
      </c>
      <c r="J240" s="46" t="str">
        <f>IF($A240="","",'TO HOP'!$K$148+1.35*(INDEX('LANE ENGINE'!$E$6:$E$45,37)-'TO HOP'!$M$50))</f>
        <v/>
      </c>
      <c r="K240" s="46" t="str">
        <f>IF($A240="","",'TO HOP'!$L$148+1.35*(INDEX('LANE ENGINE'!$G$6:$G$45,37)-'TO HOP'!$M$51))</f>
        <v/>
      </c>
      <c r="L240" s="40" t="s">
        <v>885</v>
      </c>
      <c r="M240" s="40">
        <v>37</v>
      </c>
    </row>
    <row r="241" spans="1:13" x14ac:dyDescent="0.3">
      <c r="A241" s="40" t="str">
        <f>IF(38&lt;=nLan,"CĐ V(b) min - "&amp;38&amp;" làn","")</f>
        <v/>
      </c>
      <c r="B241" s="46" t="str">
        <f>IF($A241="","",'TO HOP'!$C$148+1.35*(0-'TO HOP'!$M$42))</f>
        <v/>
      </c>
      <c r="C241" s="46" t="str">
        <f>IF($A241="","",'TO HOP'!$D$148+1.35*(0-'TO HOP'!$M$43))</f>
        <v/>
      </c>
      <c r="D241" s="46" t="str">
        <f>IF($A241="","",'TO HOP'!$E$148+1.35*(INDEX('LANE ENGINE'!$D$6:$D$45,38)-'TO HOP'!$M$44))</f>
        <v/>
      </c>
      <c r="E241" s="46" t="str">
        <f>IF($A241="","",'TO HOP'!$F$148+1.35*(INDEX('LANE ENGINE'!$E$6:$E$45,38)-'TO HOP'!$M$45))</f>
        <v/>
      </c>
      <c r="F241" s="46" t="str">
        <f>IF($A241="","",'TO HOP'!$G$148+1.35*(INDEX('LANE ENGINE'!$F$6:$F$45,38)-'TO HOP'!$M$46))</f>
        <v/>
      </c>
      <c r="G241" s="46" t="str">
        <f>IF($A241="","",'TO HOP'!$H$148+1.35*(0-'TO HOP'!$M$47))</f>
        <v/>
      </c>
      <c r="H241" s="46" t="str">
        <f>IF($A241="","",'TO HOP'!$I$148+1.35*(0-'TO HOP'!$M$48))</f>
        <v/>
      </c>
      <c r="I241" s="46" t="str">
        <f>IF($A241="","",'TO HOP'!$J$148+1.35*(INDEX('LANE ENGINE'!$D$6:$D$45,38)-'TO HOP'!$M$49))</f>
        <v/>
      </c>
      <c r="J241" s="46" t="str">
        <f>IF($A241="","",'TO HOP'!$K$148+1.35*(INDEX('LANE ENGINE'!$E$6:$E$45,38)-'TO HOP'!$M$50))</f>
        <v/>
      </c>
      <c r="K241" s="46" t="str">
        <f>IF($A241="","",'TO HOP'!$L$148+1.35*(INDEX('LANE ENGINE'!$G$6:$G$45,38)-'TO HOP'!$M$51))</f>
        <v/>
      </c>
      <c r="L241" s="40" t="s">
        <v>885</v>
      </c>
      <c r="M241" s="40">
        <v>38</v>
      </c>
    </row>
    <row r="242" spans="1:13" x14ac:dyDescent="0.3">
      <c r="A242" s="40" t="str">
        <f>IF(39&lt;=nLan,"CĐ V(b) min - "&amp;39&amp;" làn","")</f>
        <v/>
      </c>
      <c r="B242" s="46" t="str">
        <f>IF($A242="","",'TO HOP'!$C$148+1.35*(0-'TO HOP'!$M$42))</f>
        <v/>
      </c>
      <c r="C242" s="46" t="str">
        <f>IF($A242="","",'TO HOP'!$D$148+1.35*(0-'TO HOP'!$M$43))</f>
        <v/>
      </c>
      <c r="D242" s="46" t="str">
        <f>IF($A242="","",'TO HOP'!$E$148+1.35*(INDEX('LANE ENGINE'!$D$6:$D$45,39)-'TO HOP'!$M$44))</f>
        <v/>
      </c>
      <c r="E242" s="46" t="str">
        <f>IF($A242="","",'TO HOP'!$F$148+1.35*(INDEX('LANE ENGINE'!$E$6:$E$45,39)-'TO HOP'!$M$45))</f>
        <v/>
      </c>
      <c r="F242" s="46" t="str">
        <f>IF($A242="","",'TO HOP'!$G$148+1.35*(INDEX('LANE ENGINE'!$F$6:$F$45,39)-'TO HOP'!$M$46))</f>
        <v/>
      </c>
      <c r="G242" s="46" t="str">
        <f>IF($A242="","",'TO HOP'!$H$148+1.35*(0-'TO HOP'!$M$47))</f>
        <v/>
      </c>
      <c r="H242" s="46" t="str">
        <f>IF($A242="","",'TO HOP'!$I$148+1.35*(0-'TO HOP'!$M$48))</f>
        <v/>
      </c>
      <c r="I242" s="46" t="str">
        <f>IF($A242="","",'TO HOP'!$J$148+1.35*(INDEX('LANE ENGINE'!$D$6:$D$45,39)-'TO HOP'!$M$49))</f>
        <v/>
      </c>
      <c r="J242" s="46" t="str">
        <f>IF($A242="","",'TO HOP'!$K$148+1.35*(INDEX('LANE ENGINE'!$E$6:$E$45,39)-'TO HOP'!$M$50))</f>
        <v/>
      </c>
      <c r="K242" s="46" t="str">
        <f>IF($A242="","",'TO HOP'!$L$148+1.35*(INDEX('LANE ENGINE'!$G$6:$G$45,39)-'TO HOP'!$M$51))</f>
        <v/>
      </c>
      <c r="L242" s="40" t="s">
        <v>885</v>
      </c>
      <c r="M242" s="40">
        <v>39</v>
      </c>
    </row>
    <row r="243" spans="1:13" x14ac:dyDescent="0.3">
      <c r="A243" s="40" t="str">
        <f>IF(40&lt;=nLan,"CĐ V(b) min - "&amp;40&amp;" làn","")</f>
        <v/>
      </c>
      <c r="B243" s="46" t="str">
        <f>IF($A243="","",'TO HOP'!$C$148+1.35*(0-'TO HOP'!$M$42))</f>
        <v/>
      </c>
      <c r="C243" s="46" t="str">
        <f>IF($A243="","",'TO HOP'!$D$148+1.35*(0-'TO HOP'!$M$43))</f>
        <v/>
      </c>
      <c r="D243" s="46" t="str">
        <f>IF($A243="","",'TO HOP'!$E$148+1.35*(INDEX('LANE ENGINE'!$D$6:$D$45,40)-'TO HOP'!$M$44))</f>
        <v/>
      </c>
      <c r="E243" s="46" t="str">
        <f>IF($A243="","",'TO HOP'!$F$148+1.35*(INDEX('LANE ENGINE'!$E$6:$E$45,40)-'TO HOP'!$M$45))</f>
        <v/>
      </c>
      <c r="F243" s="46" t="str">
        <f>IF($A243="","",'TO HOP'!$G$148+1.35*(INDEX('LANE ENGINE'!$F$6:$F$45,40)-'TO HOP'!$M$46))</f>
        <v/>
      </c>
      <c r="G243" s="46" t="str">
        <f>IF($A243="","",'TO HOP'!$H$148+1.35*(0-'TO HOP'!$M$47))</f>
        <v/>
      </c>
      <c r="H243" s="46" t="str">
        <f>IF($A243="","",'TO HOP'!$I$148+1.35*(0-'TO HOP'!$M$48))</f>
        <v/>
      </c>
      <c r="I243" s="46" t="str">
        <f>IF($A243="","",'TO HOP'!$J$148+1.35*(INDEX('LANE ENGINE'!$D$6:$D$45,40)-'TO HOP'!$M$49))</f>
        <v/>
      </c>
      <c r="J243" s="46" t="str">
        <f>IF($A243="","",'TO HOP'!$K$148+1.35*(INDEX('LANE ENGINE'!$E$6:$E$45,40)-'TO HOP'!$M$50))</f>
        <v/>
      </c>
      <c r="K243" s="46" t="str">
        <f>IF($A243="","",'TO HOP'!$L$148+1.35*(INDEX('LANE ENGINE'!$G$6:$G$45,40)-'TO HOP'!$M$51))</f>
        <v/>
      </c>
      <c r="L243" s="40" t="s">
        <v>885</v>
      </c>
      <c r="M243" s="40">
        <v>40</v>
      </c>
    </row>
  </sheetData>
  <mergeCells count="3">
    <mergeCell ref="A1:M1"/>
    <mergeCell ref="A2:M2"/>
    <mergeCell ref="A4:M4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H243"/>
  <sheetViews>
    <sheetView showGridLines="0" workbookViewId="0"/>
  </sheetViews>
  <sheetFormatPr defaultRowHeight="14.4" x14ac:dyDescent="0.3"/>
  <cols>
    <col min="1" max="1" width="48" customWidth="1"/>
    <col min="2" max="2" width="14" customWidth="1"/>
    <col min="3" max="8" width="16" customWidth="1"/>
  </cols>
  <sheetData>
    <row r="1" spans="1:8" ht="28.05" customHeight="1" x14ac:dyDescent="0.3">
      <c r="A1" s="90" t="s">
        <v>886</v>
      </c>
      <c r="B1" s="90"/>
      <c r="C1" s="90"/>
      <c r="D1" s="90"/>
      <c r="E1" s="90"/>
      <c r="F1" s="90"/>
      <c r="G1" s="90"/>
      <c r="H1" s="90"/>
    </row>
    <row r="2" spans="1:8" ht="34.049999999999997" customHeight="1" x14ac:dyDescent="0.3">
      <c r="A2" s="91" t="s">
        <v>887</v>
      </c>
      <c r="B2" s="91"/>
      <c r="C2" s="91"/>
      <c r="D2" s="91"/>
      <c r="E2" s="91"/>
      <c r="F2" s="91"/>
      <c r="G2" s="91"/>
      <c r="H2" s="91"/>
    </row>
    <row r="4" spans="1:8" ht="22.05" customHeight="1" x14ac:dyDescent="0.3">
      <c r="A4" s="81" t="s">
        <v>888</v>
      </c>
      <c r="B4" s="81"/>
      <c r="C4" s="81"/>
      <c r="D4" s="81"/>
      <c r="E4" s="81"/>
      <c r="F4" s="81"/>
      <c r="G4" s="81"/>
      <c r="H4" s="81"/>
    </row>
    <row r="5" spans="1:8" x14ac:dyDescent="0.3">
      <c r="A5" s="43" t="s">
        <v>445</v>
      </c>
      <c r="B5" s="43" t="s">
        <v>883</v>
      </c>
      <c r="C5" s="43" t="s">
        <v>889</v>
      </c>
      <c r="D5" s="43" t="s">
        <v>890</v>
      </c>
      <c r="E5" s="43" t="s">
        <v>891</v>
      </c>
      <c r="F5" s="43" t="s">
        <v>892</v>
      </c>
      <c r="G5" s="43" t="s">
        <v>893</v>
      </c>
      <c r="H5" s="43" t="s">
        <v>894</v>
      </c>
    </row>
    <row r="6" spans="1:8" x14ac:dyDescent="0.3">
      <c r="A6" s="40" t="str">
        <f>'TO HOP NLAN'!A6</f>
        <v/>
      </c>
      <c r="B6" s="40" t="str">
        <f>'TO HOP NLAN'!L6</f>
        <v>SERVICE</v>
      </c>
      <c r="C6" s="46">
        <f>IF(A6="",0,MAX(IF('TS-PILE'!$B$56="",-1E+99,'TO HOP NLAN'!D6/ncoc+IF(SUMSQ('TS-PILE'!$E$56:$E$75)=0,0,'TO HOP NLAN'!E6*'TS-PILE'!$E$56/SUMSQ('TS-PILE'!$E$56:$E$75))+IF(SUMSQ('TS-PILE'!$D$56:$D$75)=0,0,'TO HOP NLAN'!F6*'TS-PILE'!$D$56/SUMSQ('TS-PILE'!$D$56:$D$75))),IF('TS-PILE'!$B$57="",-1E+99,'TO HOP NLAN'!D6/ncoc+IF(SUMSQ('TS-PILE'!$E$56:$E$75)=0,0,'TO HOP NLAN'!E6*'TS-PILE'!$E$57/SUMSQ('TS-PILE'!$E$56:$E$75))+IF(SUMSQ('TS-PILE'!$D$56:$D$75)=0,0,'TO HOP NLAN'!F6*'TS-PILE'!$D$57/SUMSQ('TS-PILE'!$D$56:$D$75))),IF('TS-PILE'!$B$58="",-1E+99,'TO HOP NLAN'!D6/ncoc+IF(SUMSQ('TS-PILE'!$E$56:$E$75)=0,0,'TO HOP NLAN'!E6*'TS-PILE'!$E$58/SUMSQ('TS-PILE'!$E$56:$E$75))+IF(SUMSQ('TS-PILE'!$D$56:$D$75)=0,0,'TO HOP NLAN'!F6*'TS-PILE'!$D$58/SUMSQ('TS-PILE'!$D$56:$D$75))),IF('TS-PILE'!$B$59="",-1E+99,'TO HOP NLAN'!D6/ncoc+IF(SUMSQ('TS-PILE'!$E$56:$E$75)=0,0,'TO HOP NLAN'!E6*'TS-PILE'!$E$59/SUMSQ('TS-PILE'!$E$56:$E$75))+IF(SUMSQ('TS-PILE'!$D$56:$D$75)=0,0,'TO HOP NLAN'!F6*'TS-PILE'!$D$59/SUMSQ('TS-PILE'!$D$56:$D$75))),IF('TS-PILE'!$B$60="",-1E+99,'TO HOP NLAN'!D6/ncoc+IF(SUMSQ('TS-PILE'!$E$56:$E$75)=0,0,'TO HOP NLAN'!E6*'TS-PILE'!$E$60/SUMSQ('TS-PILE'!$E$56:$E$75))+IF(SUMSQ('TS-PILE'!$D$56:$D$75)=0,0,'TO HOP NLAN'!F6*'TS-PILE'!$D$60/SUMSQ('TS-PILE'!$D$56:$D$75))),IF('TS-PILE'!$B$61="",-1E+99,'TO HOP NLAN'!D6/ncoc+IF(SUMSQ('TS-PILE'!$E$56:$E$75)=0,0,'TO HOP NLAN'!E6*'TS-PILE'!$E$61/SUMSQ('TS-PILE'!$E$56:$E$75))+IF(SUMSQ('TS-PILE'!$D$56:$D$75)=0,0,'TO HOP NLAN'!F6*'TS-PILE'!$D$61/SUMSQ('TS-PILE'!$D$56:$D$75))),IF('TS-PILE'!$B$62="",-1E+99,'TO HOP NLAN'!D6/ncoc+IF(SUMSQ('TS-PILE'!$E$56:$E$75)=0,0,'TO HOP NLAN'!E6*'TS-PILE'!$E$62/SUMSQ('TS-PILE'!$E$56:$E$75))+IF(SUMSQ('TS-PILE'!$D$56:$D$75)=0,0,'TO HOP NLAN'!F6*'TS-PILE'!$D$62/SUMSQ('TS-PILE'!$D$56:$D$75))),IF('TS-PILE'!$B$63="",-1E+99,'TO HOP NLAN'!D6/ncoc+IF(SUMSQ('TS-PILE'!$E$56:$E$75)=0,0,'TO HOP NLAN'!E6*'TS-PILE'!$E$63/SUMSQ('TS-PILE'!$E$56:$E$75))+IF(SUMSQ('TS-PILE'!$D$56:$D$75)=0,0,'TO HOP NLAN'!F6*'TS-PILE'!$D$63/SUMSQ('TS-PILE'!$D$56:$D$75))),IF('TS-PILE'!$B$64="",-1E+99,'TO HOP NLAN'!D6/ncoc+IF(SUMSQ('TS-PILE'!$E$56:$E$75)=0,0,'TO HOP NLAN'!E6*'TS-PILE'!$E$64/SUMSQ('TS-PILE'!$E$56:$E$75))+IF(SUMSQ('TS-PILE'!$D$56:$D$75)=0,0,'TO HOP NLAN'!F6*'TS-PILE'!$D$64/SUMSQ('TS-PILE'!$D$56:$D$75))),IF('TS-PILE'!$B$65="",-1E+99,'TO HOP NLAN'!D6/ncoc+IF(SUMSQ('TS-PILE'!$E$56:$E$75)=0,0,'TO HOP NLAN'!E6*'TS-PILE'!$E$65/SUMSQ('TS-PILE'!$E$56:$E$75))+IF(SUMSQ('TS-PILE'!$D$56:$D$75)=0,0,'TO HOP NLAN'!F6*'TS-PILE'!$D$65/SUMSQ('TS-PILE'!$D$56:$D$75))),IF('TS-PILE'!$B$66="",-1E+99,'TO HOP NLAN'!D6/ncoc+IF(SUMSQ('TS-PILE'!$E$56:$E$75)=0,0,'TO HOP NLAN'!E6*'TS-PILE'!$E$66/SUMSQ('TS-PILE'!$E$56:$E$75))+IF(SUMSQ('TS-PILE'!$D$56:$D$75)=0,0,'TO HOP NLAN'!F6*'TS-PILE'!$D$66/SUMSQ('TS-PILE'!$D$56:$D$75))),IF('TS-PILE'!$B$67="",-1E+99,'TO HOP NLAN'!D6/ncoc+IF(SUMSQ('TS-PILE'!$E$56:$E$75)=0,0,'TO HOP NLAN'!E6*'TS-PILE'!$E$67/SUMSQ('TS-PILE'!$E$56:$E$75))+IF(SUMSQ('TS-PILE'!$D$56:$D$75)=0,0,'TO HOP NLAN'!F6*'TS-PILE'!$D$67/SUMSQ('TS-PILE'!$D$56:$D$75))),IF('TS-PILE'!$B$68="",-1E+99,'TO HOP NLAN'!D6/ncoc+IF(SUMSQ('TS-PILE'!$E$56:$E$75)=0,0,'TO HOP NLAN'!E6*'TS-PILE'!$E$68/SUMSQ('TS-PILE'!$E$56:$E$75))+IF(SUMSQ('TS-PILE'!$D$56:$D$75)=0,0,'TO HOP NLAN'!F6*'TS-PILE'!$D$68/SUMSQ('TS-PILE'!$D$56:$D$75))),IF('TS-PILE'!$B$69="",-1E+99,'TO HOP NLAN'!D6/ncoc+IF(SUMSQ('TS-PILE'!$E$56:$E$75)=0,0,'TO HOP NLAN'!E6*'TS-PILE'!$E$69/SUMSQ('TS-PILE'!$E$56:$E$75))+IF(SUMSQ('TS-PILE'!$D$56:$D$75)=0,0,'TO HOP NLAN'!F6*'TS-PILE'!$D$69/SUMSQ('TS-PILE'!$D$56:$D$75))),IF('TS-PILE'!$B$70="",-1E+99,'TO HOP NLAN'!D6/ncoc+IF(SUMSQ('TS-PILE'!$E$56:$E$75)=0,0,'TO HOP NLAN'!E6*'TS-PILE'!$E$70/SUMSQ('TS-PILE'!$E$56:$E$75))+IF(SUMSQ('TS-PILE'!$D$56:$D$75)=0,0,'TO HOP NLAN'!F6*'TS-PILE'!$D$70/SUMSQ('TS-PILE'!$D$56:$D$75))),IF('TS-PILE'!$B$71="",-1E+99,'TO HOP NLAN'!D6/ncoc+IF(SUMSQ('TS-PILE'!$E$56:$E$75)=0,0,'TO HOP NLAN'!E6*'TS-PILE'!$E$71/SUMSQ('TS-PILE'!$E$56:$E$75))+IF(SUMSQ('TS-PILE'!$D$56:$D$75)=0,0,'TO HOP NLAN'!F6*'TS-PILE'!$D$71/SUMSQ('TS-PILE'!$D$56:$D$75))),IF('TS-PILE'!$B$72="",-1E+99,'TO HOP NLAN'!D6/ncoc+IF(SUMSQ('TS-PILE'!$E$56:$E$75)=0,0,'TO HOP NLAN'!E6*'TS-PILE'!$E$72/SUMSQ('TS-PILE'!$E$56:$E$75))+IF(SUMSQ('TS-PILE'!$D$56:$D$75)=0,0,'TO HOP NLAN'!F6*'TS-PILE'!$D$72/SUMSQ('TS-PILE'!$D$56:$D$75))),IF('TS-PILE'!$B$73="",-1E+99,'TO HOP NLAN'!D6/ncoc+IF(SUMSQ('TS-PILE'!$E$56:$E$75)=0,0,'TO HOP NLAN'!E6*'TS-PILE'!$E$73/SUMSQ('TS-PILE'!$E$56:$E$75))+IF(SUMSQ('TS-PILE'!$D$56:$D$75)=0,0,'TO HOP NLAN'!F6*'TS-PILE'!$D$73/SUMSQ('TS-PILE'!$D$56:$D$75))),IF('TS-PILE'!$B$74="",-1E+99,'TO HOP NLAN'!D6/ncoc+IF(SUMSQ('TS-PILE'!$E$56:$E$75)=0,0,'TO HOP NLAN'!E6*'TS-PILE'!$E$74/SUMSQ('TS-PILE'!$E$56:$E$75))+IF(SUMSQ('TS-PILE'!$D$56:$D$75)=0,0,'TO HOP NLAN'!F6*'TS-PILE'!$D$74/SUMSQ('TS-PILE'!$D$56:$D$75))),IF('TS-PILE'!$B$75="",-1E+99,'TO HOP NLAN'!D6/ncoc+IF(SUMSQ('TS-PILE'!$E$56:$E$75)=0,0,'TO HOP NLAN'!E6*'TS-PILE'!$E$75/SUMSQ('TS-PILE'!$E$56:$E$75))+IF(SUMSQ('TS-PILE'!$D$56:$D$75)=0,0,'TO HOP NLAN'!F6*'TS-PILE'!$D$75/SUMSQ('TS-PILE'!$D$56:$D$75)))))</f>
        <v>0</v>
      </c>
      <c r="D6" s="46">
        <f>IF(A6="",0,MIN(IF('TS-PILE'!$B$56="",1E+99,'TO HOP NLAN'!D6/ncoc+IF(SUMSQ('TS-PILE'!$E$56:$E$75)=0,0,'TO HOP NLAN'!E6*'TS-PILE'!$E$56/SUMSQ('TS-PILE'!$E$56:$E$75))+IF(SUMSQ('TS-PILE'!$D$56:$D$75)=0,0,'TO HOP NLAN'!F6*'TS-PILE'!$D$56/SUMSQ('TS-PILE'!$D$56:$D$75))),IF('TS-PILE'!$B$57="",1E+99,'TO HOP NLAN'!D6/ncoc+IF(SUMSQ('TS-PILE'!$E$56:$E$75)=0,0,'TO HOP NLAN'!E6*'TS-PILE'!$E$57/SUMSQ('TS-PILE'!$E$56:$E$75))+IF(SUMSQ('TS-PILE'!$D$56:$D$75)=0,0,'TO HOP NLAN'!F6*'TS-PILE'!$D$57/SUMSQ('TS-PILE'!$D$56:$D$75))),IF('TS-PILE'!$B$58="",1E+99,'TO HOP NLAN'!D6/ncoc+IF(SUMSQ('TS-PILE'!$E$56:$E$75)=0,0,'TO HOP NLAN'!E6*'TS-PILE'!$E$58/SUMSQ('TS-PILE'!$E$56:$E$75))+IF(SUMSQ('TS-PILE'!$D$56:$D$75)=0,0,'TO HOP NLAN'!F6*'TS-PILE'!$D$58/SUMSQ('TS-PILE'!$D$56:$D$75))),IF('TS-PILE'!$B$59="",1E+99,'TO HOP NLAN'!D6/ncoc+IF(SUMSQ('TS-PILE'!$E$56:$E$75)=0,0,'TO HOP NLAN'!E6*'TS-PILE'!$E$59/SUMSQ('TS-PILE'!$E$56:$E$75))+IF(SUMSQ('TS-PILE'!$D$56:$D$75)=0,0,'TO HOP NLAN'!F6*'TS-PILE'!$D$59/SUMSQ('TS-PILE'!$D$56:$D$75))),IF('TS-PILE'!$B$60="",1E+99,'TO HOP NLAN'!D6/ncoc+IF(SUMSQ('TS-PILE'!$E$56:$E$75)=0,0,'TO HOP NLAN'!E6*'TS-PILE'!$E$60/SUMSQ('TS-PILE'!$E$56:$E$75))+IF(SUMSQ('TS-PILE'!$D$56:$D$75)=0,0,'TO HOP NLAN'!F6*'TS-PILE'!$D$60/SUMSQ('TS-PILE'!$D$56:$D$75))),IF('TS-PILE'!$B$61="",1E+99,'TO HOP NLAN'!D6/ncoc+IF(SUMSQ('TS-PILE'!$E$56:$E$75)=0,0,'TO HOP NLAN'!E6*'TS-PILE'!$E$61/SUMSQ('TS-PILE'!$E$56:$E$75))+IF(SUMSQ('TS-PILE'!$D$56:$D$75)=0,0,'TO HOP NLAN'!F6*'TS-PILE'!$D$61/SUMSQ('TS-PILE'!$D$56:$D$75))),IF('TS-PILE'!$B$62="",1E+99,'TO HOP NLAN'!D6/ncoc+IF(SUMSQ('TS-PILE'!$E$56:$E$75)=0,0,'TO HOP NLAN'!E6*'TS-PILE'!$E$62/SUMSQ('TS-PILE'!$E$56:$E$75))+IF(SUMSQ('TS-PILE'!$D$56:$D$75)=0,0,'TO HOP NLAN'!F6*'TS-PILE'!$D$62/SUMSQ('TS-PILE'!$D$56:$D$75))),IF('TS-PILE'!$B$63="",1E+99,'TO HOP NLAN'!D6/ncoc+IF(SUMSQ('TS-PILE'!$E$56:$E$75)=0,0,'TO HOP NLAN'!E6*'TS-PILE'!$E$63/SUMSQ('TS-PILE'!$E$56:$E$75))+IF(SUMSQ('TS-PILE'!$D$56:$D$75)=0,0,'TO HOP NLAN'!F6*'TS-PILE'!$D$63/SUMSQ('TS-PILE'!$D$56:$D$75))),IF('TS-PILE'!$B$64="",1E+99,'TO HOP NLAN'!D6/ncoc+IF(SUMSQ('TS-PILE'!$E$56:$E$75)=0,0,'TO HOP NLAN'!E6*'TS-PILE'!$E$64/SUMSQ('TS-PILE'!$E$56:$E$75))+IF(SUMSQ('TS-PILE'!$D$56:$D$75)=0,0,'TO HOP NLAN'!F6*'TS-PILE'!$D$64/SUMSQ('TS-PILE'!$D$56:$D$75))),IF('TS-PILE'!$B$65="",1E+99,'TO HOP NLAN'!D6/ncoc+IF(SUMSQ('TS-PILE'!$E$56:$E$75)=0,0,'TO HOP NLAN'!E6*'TS-PILE'!$E$65/SUMSQ('TS-PILE'!$E$56:$E$75))+IF(SUMSQ('TS-PILE'!$D$56:$D$75)=0,0,'TO HOP NLAN'!F6*'TS-PILE'!$D$65/SUMSQ('TS-PILE'!$D$56:$D$75))),IF('TS-PILE'!$B$66="",1E+99,'TO HOP NLAN'!D6/ncoc+IF(SUMSQ('TS-PILE'!$E$56:$E$75)=0,0,'TO HOP NLAN'!E6*'TS-PILE'!$E$66/SUMSQ('TS-PILE'!$E$56:$E$75))+IF(SUMSQ('TS-PILE'!$D$56:$D$75)=0,0,'TO HOP NLAN'!F6*'TS-PILE'!$D$66/SUMSQ('TS-PILE'!$D$56:$D$75))),IF('TS-PILE'!$B$67="",1E+99,'TO HOP NLAN'!D6/ncoc+IF(SUMSQ('TS-PILE'!$E$56:$E$75)=0,0,'TO HOP NLAN'!E6*'TS-PILE'!$E$67/SUMSQ('TS-PILE'!$E$56:$E$75))+IF(SUMSQ('TS-PILE'!$D$56:$D$75)=0,0,'TO HOP NLAN'!F6*'TS-PILE'!$D$67/SUMSQ('TS-PILE'!$D$56:$D$75))),IF('TS-PILE'!$B$68="",1E+99,'TO HOP NLAN'!D6/ncoc+IF(SUMSQ('TS-PILE'!$E$56:$E$75)=0,0,'TO HOP NLAN'!E6*'TS-PILE'!$E$68/SUMSQ('TS-PILE'!$E$56:$E$75))+IF(SUMSQ('TS-PILE'!$D$56:$D$75)=0,0,'TO HOP NLAN'!F6*'TS-PILE'!$D$68/SUMSQ('TS-PILE'!$D$56:$D$75))),IF('TS-PILE'!$B$69="",1E+99,'TO HOP NLAN'!D6/ncoc+IF(SUMSQ('TS-PILE'!$E$56:$E$75)=0,0,'TO HOP NLAN'!E6*'TS-PILE'!$E$69/SUMSQ('TS-PILE'!$E$56:$E$75))+IF(SUMSQ('TS-PILE'!$D$56:$D$75)=0,0,'TO HOP NLAN'!F6*'TS-PILE'!$D$69/SUMSQ('TS-PILE'!$D$56:$D$75))),IF('TS-PILE'!$B$70="",1E+99,'TO HOP NLAN'!D6/ncoc+IF(SUMSQ('TS-PILE'!$E$56:$E$75)=0,0,'TO HOP NLAN'!E6*'TS-PILE'!$E$70/SUMSQ('TS-PILE'!$E$56:$E$75))+IF(SUMSQ('TS-PILE'!$D$56:$D$75)=0,0,'TO HOP NLAN'!F6*'TS-PILE'!$D$70/SUMSQ('TS-PILE'!$D$56:$D$75))),IF('TS-PILE'!$B$71="",1E+99,'TO HOP NLAN'!D6/ncoc+IF(SUMSQ('TS-PILE'!$E$56:$E$75)=0,0,'TO HOP NLAN'!E6*'TS-PILE'!$E$71/SUMSQ('TS-PILE'!$E$56:$E$75))+IF(SUMSQ('TS-PILE'!$D$56:$D$75)=0,0,'TO HOP NLAN'!F6*'TS-PILE'!$D$71/SUMSQ('TS-PILE'!$D$56:$D$75))),IF('TS-PILE'!$B$72="",1E+99,'TO HOP NLAN'!D6/ncoc+IF(SUMSQ('TS-PILE'!$E$56:$E$75)=0,0,'TO HOP NLAN'!E6*'TS-PILE'!$E$72/SUMSQ('TS-PILE'!$E$56:$E$75))+IF(SUMSQ('TS-PILE'!$D$56:$D$75)=0,0,'TO HOP NLAN'!F6*'TS-PILE'!$D$72/SUMSQ('TS-PILE'!$D$56:$D$75))),IF('TS-PILE'!$B$73="",1E+99,'TO HOP NLAN'!D6/ncoc+IF(SUMSQ('TS-PILE'!$E$56:$E$75)=0,0,'TO HOP NLAN'!E6*'TS-PILE'!$E$73/SUMSQ('TS-PILE'!$E$56:$E$75))+IF(SUMSQ('TS-PILE'!$D$56:$D$75)=0,0,'TO HOP NLAN'!F6*'TS-PILE'!$D$73/SUMSQ('TS-PILE'!$D$56:$D$75))),IF('TS-PILE'!$B$74="",1E+99,'TO HOP NLAN'!D6/ncoc+IF(SUMSQ('TS-PILE'!$E$56:$E$75)=0,0,'TO HOP NLAN'!E6*'TS-PILE'!$E$74/SUMSQ('TS-PILE'!$E$56:$E$75))+IF(SUMSQ('TS-PILE'!$D$56:$D$75)=0,0,'TO HOP NLAN'!F6*'TS-PILE'!$D$74/SUMSQ('TS-PILE'!$D$56:$D$75))),IF('TS-PILE'!$B$75="",1E+99,'TO HOP NLAN'!D6/ncoc+IF(SUMSQ('TS-PILE'!$E$56:$E$75)=0,0,'TO HOP NLAN'!E6*'TS-PILE'!$E$75/SUMSQ('TS-PILE'!$E$56:$E$75))+IF(SUMSQ('TS-PILE'!$D$56:$D$75)=0,0,'TO HOP NLAN'!F6*'TS-PILE'!$D$75/SUMSQ('TS-PILE'!$D$56:$D$75)))))</f>
        <v>0</v>
      </c>
      <c r="E6" s="46">
        <f t="shared" ref="E6:E69" si="0">IF(AND(A6&lt;&gt;"",B6="SERVICE"),C6,-1E+99)</f>
        <v>-9.9999999999999997E+98</v>
      </c>
      <c r="F6" s="46">
        <f t="shared" ref="F6:F69" si="1">IF(AND(A6&lt;&gt;"",B6="SERVICE"),D6,1E+99)</f>
        <v>9.9999999999999997E+98</v>
      </c>
      <c r="G6" s="46">
        <f t="shared" ref="G6:G69" si="2">IF(AND(A6&lt;&gt;"",B6="STRENGTH"),C6,-1E+99)</f>
        <v>-9.9999999999999997E+98</v>
      </c>
      <c r="H6" s="46">
        <f t="shared" ref="H6:H69" si="3">IF(AND(A6&lt;&gt;"",B6="STRENGTH"),D6,1E+99)</f>
        <v>9.9999999999999997E+98</v>
      </c>
    </row>
    <row r="7" spans="1:8" x14ac:dyDescent="0.3">
      <c r="A7" s="40" t="str">
        <f>'TO HOP NLAN'!A7</f>
        <v/>
      </c>
      <c r="B7" s="40" t="str">
        <f>'TO HOP NLAN'!L7</f>
        <v>SERVICE</v>
      </c>
      <c r="C7" s="46">
        <f>IF(A7="",0,MAX(IF('TS-PILE'!$B$56="",-1E+99,'TO HOP NLAN'!D7/ncoc+IF(SUMSQ('TS-PILE'!$E$56:$E$75)=0,0,'TO HOP NLAN'!E7*'TS-PILE'!$E$56/SUMSQ('TS-PILE'!$E$56:$E$75))+IF(SUMSQ('TS-PILE'!$D$56:$D$75)=0,0,'TO HOP NLAN'!F7*'TS-PILE'!$D$56/SUMSQ('TS-PILE'!$D$56:$D$75))),IF('TS-PILE'!$B$57="",-1E+99,'TO HOP NLAN'!D7/ncoc+IF(SUMSQ('TS-PILE'!$E$56:$E$75)=0,0,'TO HOP NLAN'!E7*'TS-PILE'!$E$57/SUMSQ('TS-PILE'!$E$56:$E$75))+IF(SUMSQ('TS-PILE'!$D$56:$D$75)=0,0,'TO HOP NLAN'!F7*'TS-PILE'!$D$57/SUMSQ('TS-PILE'!$D$56:$D$75))),IF('TS-PILE'!$B$58="",-1E+99,'TO HOP NLAN'!D7/ncoc+IF(SUMSQ('TS-PILE'!$E$56:$E$75)=0,0,'TO HOP NLAN'!E7*'TS-PILE'!$E$58/SUMSQ('TS-PILE'!$E$56:$E$75))+IF(SUMSQ('TS-PILE'!$D$56:$D$75)=0,0,'TO HOP NLAN'!F7*'TS-PILE'!$D$58/SUMSQ('TS-PILE'!$D$56:$D$75))),IF('TS-PILE'!$B$59="",-1E+99,'TO HOP NLAN'!D7/ncoc+IF(SUMSQ('TS-PILE'!$E$56:$E$75)=0,0,'TO HOP NLAN'!E7*'TS-PILE'!$E$59/SUMSQ('TS-PILE'!$E$56:$E$75))+IF(SUMSQ('TS-PILE'!$D$56:$D$75)=0,0,'TO HOP NLAN'!F7*'TS-PILE'!$D$59/SUMSQ('TS-PILE'!$D$56:$D$75))),IF('TS-PILE'!$B$60="",-1E+99,'TO HOP NLAN'!D7/ncoc+IF(SUMSQ('TS-PILE'!$E$56:$E$75)=0,0,'TO HOP NLAN'!E7*'TS-PILE'!$E$60/SUMSQ('TS-PILE'!$E$56:$E$75))+IF(SUMSQ('TS-PILE'!$D$56:$D$75)=0,0,'TO HOP NLAN'!F7*'TS-PILE'!$D$60/SUMSQ('TS-PILE'!$D$56:$D$75))),IF('TS-PILE'!$B$61="",-1E+99,'TO HOP NLAN'!D7/ncoc+IF(SUMSQ('TS-PILE'!$E$56:$E$75)=0,0,'TO HOP NLAN'!E7*'TS-PILE'!$E$61/SUMSQ('TS-PILE'!$E$56:$E$75))+IF(SUMSQ('TS-PILE'!$D$56:$D$75)=0,0,'TO HOP NLAN'!F7*'TS-PILE'!$D$61/SUMSQ('TS-PILE'!$D$56:$D$75))),IF('TS-PILE'!$B$62="",-1E+99,'TO HOP NLAN'!D7/ncoc+IF(SUMSQ('TS-PILE'!$E$56:$E$75)=0,0,'TO HOP NLAN'!E7*'TS-PILE'!$E$62/SUMSQ('TS-PILE'!$E$56:$E$75))+IF(SUMSQ('TS-PILE'!$D$56:$D$75)=0,0,'TO HOP NLAN'!F7*'TS-PILE'!$D$62/SUMSQ('TS-PILE'!$D$56:$D$75))),IF('TS-PILE'!$B$63="",-1E+99,'TO HOP NLAN'!D7/ncoc+IF(SUMSQ('TS-PILE'!$E$56:$E$75)=0,0,'TO HOP NLAN'!E7*'TS-PILE'!$E$63/SUMSQ('TS-PILE'!$E$56:$E$75))+IF(SUMSQ('TS-PILE'!$D$56:$D$75)=0,0,'TO HOP NLAN'!F7*'TS-PILE'!$D$63/SUMSQ('TS-PILE'!$D$56:$D$75))),IF('TS-PILE'!$B$64="",-1E+99,'TO HOP NLAN'!D7/ncoc+IF(SUMSQ('TS-PILE'!$E$56:$E$75)=0,0,'TO HOP NLAN'!E7*'TS-PILE'!$E$64/SUMSQ('TS-PILE'!$E$56:$E$75))+IF(SUMSQ('TS-PILE'!$D$56:$D$75)=0,0,'TO HOP NLAN'!F7*'TS-PILE'!$D$64/SUMSQ('TS-PILE'!$D$56:$D$75))),IF('TS-PILE'!$B$65="",-1E+99,'TO HOP NLAN'!D7/ncoc+IF(SUMSQ('TS-PILE'!$E$56:$E$75)=0,0,'TO HOP NLAN'!E7*'TS-PILE'!$E$65/SUMSQ('TS-PILE'!$E$56:$E$75))+IF(SUMSQ('TS-PILE'!$D$56:$D$75)=0,0,'TO HOP NLAN'!F7*'TS-PILE'!$D$65/SUMSQ('TS-PILE'!$D$56:$D$75))),IF('TS-PILE'!$B$66="",-1E+99,'TO HOP NLAN'!D7/ncoc+IF(SUMSQ('TS-PILE'!$E$56:$E$75)=0,0,'TO HOP NLAN'!E7*'TS-PILE'!$E$66/SUMSQ('TS-PILE'!$E$56:$E$75))+IF(SUMSQ('TS-PILE'!$D$56:$D$75)=0,0,'TO HOP NLAN'!F7*'TS-PILE'!$D$66/SUMSQ('TS-PILE'!$D$56:$D$75))),IF('TS-PILE'!$B$67="",-1E+99,'TO HOP NLAN'!D7/ncoc+IF(SUMSQ('TS-PILE'!$E$56:$E$75)=0,0,'TO HOP NLAN'!E7*'TS-PILE'!$E$67/SUMSQ('TS-PILE'!$E$56:$E$75))+IF(SUMSQ('TS-PILE'!$D$56:$D$75)=0,0,'TO HOP NLAN'!F7*'TS-PILE'!$D$67/SUMSQ('TS-PILE'!$D$56:$D$75))),IF('TS-PILE'!$B$68="",-1E+99,'TO HOP NLAN'!D7/ncoc+IF(SUMSQ('TS-PILE'!$E$56:$E$75)=0,0,'TO HOP NLAN'!E7*'TS-PILE'!$E$68/SUMSQ('TS-PILE'!$E$56:$E$75))+IF(SUMSQ('TS-PILE'!$D$56:$D$75)=0,0,'TO HOP NLAN'!F7*'TS-PILE'!$D$68/SUMSQ('TS-PILE'!$D$56:$D$75))),IF('TS-PILE'!$B$69="",-1E+99,'TO HOP NLAN'!D7/ncoc+IF(SUMSQ('TS-PILE'!$E$56:$E$75)=0,0,'TO HOP NLAN'!E7*'TS-PILE'!$E$69/SUMSQ('TS-PILE'!$E$56:$E$75))+IF(SUMSQ('TS-PILE'!$D$56:$D$75)=0,0,'TO HOP NLAN'!F7*'TS-PILE'!$D$69/SUMSQ('TS-PILE'!$D$56:$D$75))),IF('TS-PILE'!$B$70="",-1E+99,'TO HOP NLAN'!D7/ncoc+IF(SUMSQ('TS-PILE'!$E$56:$E$75)=0,0,'TO HOP NLAN'!E7*'TS-PILE'!$E$70/SUMSQ('TS-PILE'!$E$56:$E$75))+IF(SUMSQ('TS-PILE'!$D$56:$D$75)=0,0,'TO HOP NLAN'!F7*'TS-PILE'!$D$70/SUMSQ('TS-PILE'!$D$56:$D$75))),IF('TS-PILE'!$B$71="",-1E+99,'TO HOP NLAN'!D7/ncoc+IF(SUMSQ('TS-PILE'!$E$56:$E$75)=0,0,'TO HOP NLAN'!E7*'TS-PILE'!$E$71/SUMSQ('TS-PILE'!$E$56:$E$75))+IF(SUMSQ('TS-PILE'!$D$56:$D$75)=0,0,'TO HOP NLAN'!F7*'TS-PILE'!$D$71/SUMSQ('TS-PILE'!$D$56:$D$75))),IF('TS-PILE'!$B$72="",-1E+99,'TO HOP NLAN'!D7/ncoc+IF(SUMSQ('TS-PILE'!$E$56:$E$75)=0,0,'TO HOP NLAN'!E7*'TS-PILE'!$E$72/SUMSQ('TS-PILE'!$E$56:$E$75))+IF(SUMSQ('TS-PILE'!$D$56:$D$75)=0,0,'TO HOP NLAN'!F7*'TS-PILE'!$D$72/SUMSQ('TS-PILE'!$D$56:$D$75))),IF('TS-PILE'!$B$73="",-1E+99,'TO HOP NLAN'!D7/ncoc+IF(SUMSQ('TS-PILE'!$E$56:$E$75)=0,0,'TO HOP NLAN'!E7*'TS-PILE'!$E$73/SUMSQ('TS-PILE'!$E$56:$E$75))+IF(SUMSQ('TS-PILE'!$D$56:$D$75)=0,0,'TO HOP NLAN'!F7*'TS-PILE'!$D$73/SUMSQ('TS-PILE'!$D$56:$D$75))),IF('TS-PILE'!$B$74="",-1E+99,'TO HOP NLAN'!D7/ncoc+IF(SUMSQ('TS-PILE'!$E$56:$E$75)=0,0,'TO HOP NLAN'!E7*'TS-PILE'!$E$74/SUMSQ('TS-PILE'!$E$56:$E$75))+IF(SUMSQ('TS-PILE'!$D$56:$D$75)=0,0,'TO HOP NLAN'!F7*'TS-PILE'!$D$74/SUMSQ('TS-PILE'!$D$56:$D$75))),IF('TS-PILE'!$B$75="",-1E+99,'TO HOP NLAN'!D7/ncoc+IF(SUMSQ('TS-PILE'!$E$56:$E$75)=0,0,'TO HOP NLAN'!E7*'TS-PILE'!$E$75/SUMSQ('TS-PILE'!$E$56:$E$75))+IF(SUMSQ('TS-PILE'!$D$56:$D$75)=0,0,'TO HOP NLAN'!F7*'TS-PILE'!$D$75/SUMSQ('TS-PILE'!$D$56:$D$75)))))</f>
        <v>0</v>
      </c>
      <c r="D7" s="46">
        <f>IF(A7="",0,MIN(IF('TS-PILE'!$B$56="",1E+99,'TO HOP NLAN'!D7/ncoc+IF(SUMSQ('TS-PILE'!$E$56:$E$75)=0,0,'TO HOP NLAN'!E7*'TS-PILE'!$E$56/SUMSQ('TS-PILE'!$E$56:$E$75))+IF(SUMSQ('TS-PILE'!$D$56:$D$75)=0,0,'TO HOP NLAN'!F7*'TS-PILE'!$D$56/SUMSQ('TS-PILE'!$D$56:$D$75))),IF('TS-PILE'!$B$57="",1E+99,'TO HOP NLAN'!D7/ncoc+IF(SUMSQ('TS-PILE'!$E$56:$E$75)=0,0,'TO HOP NLAN'!E7*'TS-PILE'!$E$57/SUMSQ('TS-PILE'!$E$56:$E$75))+IF(SUMSQ('TS-PILE'!$D$56:$D$75)=0,0,'TO HOP NLAN'!F7*'TS-PILE'!$D$57/SUMSQ('TS-PILE'!$D$56:$D$75))),IF('TS-PILE'!$B$58="",1E+99,'TO HOP NLAN'!D7/ncoc+IF(SUMSQ('TS-PILE'!$E$56:$E$75)=0,0,'TO HOP NLAN'!E7*'TS-PILE'!$E$58/SUMSQ('TS-PILE'!$E$56:$E$75))+IF(SUMSQ('TS-PILE'!$D$56:$D$75)=0,0,'TO HOP NLAN'!F7*'TS-PILE'!$D$58/SUMSQ('TS-PILE'!$D$56:$D$75))),IF('TS-PILE'!$B$59="",1E+99,'TO HOP NLAN'!D7/ncoc+IF(SUMSQ('TS-PILE'!$E$56:$E$75)=0,0,'TO HOP NLAN'!E7*'TS-PILE'!$E$59/SUMSQ('TS-PILE'!$E$56:$E$75))+IF(SUMSQ('TS-PILE'!$D$56:$D$75)=0,0,'TO HOP NLAN'!F7*'TS-PILE'!$D$59/SUMSQ('TS-PILE'!$D$56:$D$75))),IF('TS-PILE'!$B$60="",1E+99,'TO HOP NLAN'!D7/ncoc+IF(SUMSQ('TS-PILE'!$E$56:$E$75)=0,0,'TO HOP NLAN'!E7*'TS-PILE'!$E$60/SUMSQ('TS-PILE'!$E$56:$E$75))+IF(SUMSQ('TS-PILE'!$D$56:$D$75)=0,0,'TO HOP NLAN'!F7*'TS-PILE'!$D$60/SUMSQ('TS-PILE'!$D$56:$D$75))),IF('TS-PILE'!$B$61="",1E+99,'TO HOP NLAN'!D7/ncoc+IF(SUMSQ('TS-PILE'!$E$56:$E$75)=0,0,'TO HOP NLAN'!E7*'TS-PILE'!$E$61/SUMSQ('TS-PILE'!$E$56:$E$75))+IF(SUMSQ('TS-PILE'!$D$56:$D$75)=0,0,'TO HOP NLAN'!F7*'TS-PILE'!$D$61/SUMSQ('TS-PILE'!$D$56:$D$75))),IF('TS-PILE'!$B$62="",1E+99,'TO HOP NLAN'!D7/ncoc+IF(SUMSQ('TS-PILE'!$E$56:$E$75)=0,0,'TO HOP NLAN'!E7*'TS-PILE'!$E$62/SUMSQ('TS-PILE'!$E$56:$E$75))+IF(SUMSQ('TS-PILE'!$D$56:$D$75)=0,0,'TO HOP NLAN'!F7*'TS-PILE'!$D$62/SUMSQ('TS-PILE'!$D$56:$D$75))),IF('TS-PILE'!$B$63="",1E+99,'TO HOP NLAN'!D7/ncoc+IF(SUMSQ('TS-PILE'!$E$56:$E$75)=0,0,'TO HOP NLAN'!E7*'TS-PILE'!$E$63/SUMSQ('TS-PILE'!$E$56:$E$75))+IF(SUMSQ('TS-PILE'!$D$56:$D$75)=0,0,'TO HOP NLAN'!F7*'TS-PILE'!$D$63/SUMSQ('TS-PILE'!$D$56:$D$75))),IF('TS-PILE'!$B$64="",1E+99,'TO HOP NLAN'!D7/ncoc+IF(SUMSQ('TS-PILE'!$E$56:$E$75)=0,0,'TO HOP NLAN'!E7*'TS-PILE'!$E$64/SUMSQ('TS-PILE'!$E$56:$E$75))+IF(SUMSQ('TS-PILE'!$D$56:$D$75)=0,0,'TO HOP NLAN'!F7*'TS-PILE'!$D$64/SUMSQ('TS-PILE'!$D$56:$D$75))),IF('TS-PILE'!$B$65="",1E+99,'TO HOP NLAN'!D7/ncoc+IF(SUMSQ('TS-PILE'!$E$56:$E$75)=0,0,'TO HOP NLAN'!E7*'TS-PILE'!$E$65/SUMSQ('TS-PILE'!$E$56:$E$75))+IF(SUMSQ('TS-PILE'!$D$56:$D$75)=0,0,'TO HOP NLAN'!F7*'TS-PILE'!$D$65/SUMSQ('TS-PILE'!$D$56:$D$75))),IF('TS-PILE'!$B$66="",1E+99,'TO HOP NLAN'!D7/ncoc+IF(SUMSQ('TS-PILE'!$E$56:$E$75)=0,0,'TO HOP NLAN'!E7*'TS-PILE'!$E$66/SUMSQ('TS-PILE'!$E$56:$E$75))+IF(SUMSQ('TS-PILE'!$D$56:$D$75)=0,0,'TO HOP NLAN'!F7*'TS-PILE'!$D$66/SUMSQ('TS-PILE'!$D$56:$D$75))),IF('TS-PILE'!$B$67="",1E+99,'TO HOP NLAN'!D7/ncoc+IF(SUMSQ('TS-PILE'!$E$56:$E$75)=0,0,'TO HOP NLAN'!E7*'TS-PILE'!$E$67/SUMSQ('TS-PILE'!$E$56:$E$75))+IF(SUMSQ('TS-PILE'!$D$56:$D$75)=0,0,'TO HOP NLAN'!F7*'TS-PILE'!$D$67/SUMSQ('TS-PILE'!$D$56:$D$75))),IF('TS-PILE'!$B$68="",1E+99,'TO HOP NLAN'!D7/ncoc+IF(SUMSQ('TS-PILE'!$E$56:$E$75)=0,0,'TO HOP NLAN'!E7*'TS-PILE'!$E$68/SUMSQ('TS-PILE'!$E$56:$E$75))+IF(SUMSQ('TS-PILE'!$D$56:$D$75)=0,0,'TO HOP NLAN'!F7*'TS-PILE'!$D$68/SUMSQ('TS-PILE'!$D$56:$D$75))),IF('TS-PILE'!$B$69="",1E+99,'TO HOP NLAN'!D7/ncoc+IF(SUMSQ('TS-PILE'!$E$56:$E$75)=0,0,'TO HOP NLAN'!E7*'TS-PILE'!$E$69/SUMSQ('TS-PILE'!$E$56:$E$75))+IF(SUMSQ('TS-PILE'!$D$56:$D$75)=0,0,'TO HOP NLAN'!F7*'TS-PILE'!$D$69/SUMSQ('TS-PILE'!$D$56:$D$75))),IF('TS-PILE'!$B$70="",1E+99,'TO HOP NLAN'!D7/ncoc+IF(SUMSQ('TS-PILE'!$E$56:$E$75)=0,0,'TO HOP NLAN'!E7*'TS-PILE'!$E$70/SUMSQ('TS-PILE'!$E$56:$E$75))+IF(SUMSQ('TS-PILE'!$D$56:$D$75)=0,0,'TO HOP NLAN'!F7*'TS-PILE'!$D$70/SUMSQ('TS-PILE'!$D$56:$D$75))),IF('TS-PILE'!$B$71="",1E+99,'TO HOP NLAN'!D7/ncoc+IF(SUMSQ('TS-PILE'!$E$56:$E$75)=0,0,'TO HOP NLAN'!E7*'TS-PILE'!$E$71/SUMSQ('TS-PILE'!$E$56:$E$75))+IF(SUMSQ('TS-PILE'!$D$56:$D$75)=0,0,'TO HOP NLAN'!F7*'TS-PILE'!$D$71/SUMSQ('TS-PILE'!$D$56:$D$75))),IF('TS-PILE'!$B$72="",1E+99,'TO HOP NLAN'!D7/ncoc+IF(SUMSQ('TS-PILE'!$E$56:$E$75)=0,0,'TO HOP NLAN'!E7*'TS-PILE'!$E$72/SUMSQ('TS-PILE'!$E$56:$E$75))+IF(SUMSQ('TS-PILE'!$D$56:$D$75)=0,0,'TO HOP NLAN'!F7*'TS-PILE'!$D$72/SUMSQ('TS-PILE'!$D$56:$D$75))),IF('TS-PILE'!$B$73="",1E+99,'TO HOP NLAN'!D7/ncoc+IF(SUMSQ('TS-PILE'!$E$56:$E$75)=0,0,'TO HOP NLAN'!E7*'TS-PILE'!$E$73/SUMSQ('TS-PILE'!$E$56:$E$75))+IF(SUMSQ('TS-PILE'!$D$56:$D$75)=0,0,'TO HOP NLAN'!F7*'TS-PILE'!$D$73/SUMSQ('TS-PILE'!$D$56:$D$75))),IF('TS-PILE'!$B$74="",1E+99,'TO HOP NLAN'!D7/ncoc+IF(SUMSQ('TS-PILE'!$E$56:$E$75)=0,0,'TO HOP NLAN'!E7*'TS-PILE'!$E$74/SUMSQ('TS-PILE'!$E$56:$E$75))+IF(SUMSQ('TS-PILE'!$D$56:$D$75)=0,0,'TO HOP NLAN'!F7*'TS-PILE'!$D$74/SUMSQ('TS-PILE'!$D$56:$D$75))),IF('TS-PILE'!$B$75="",1E+99,'TO HOP NLAN'!D7/ncoc+IF(SUMSQ('TS-PILE'!$E$56:$E$75)=0,0,'TO HOP NLAN'!E7*'TS-PILE'!$E$75/SUMSQ('TS-PILE'!$E$56:$E$75))+IF(SUMSQ('TS-PILE'!$D$56:$D$75)=0,0,'TO HOP NLAN'!F7*'TS-PILE'!$D$75/SUMSQ('TS-PILE'!$D$56:$D$75)))))</f>
        <v>0</v>
      </c>
      <c r="E7" s="46">
        <f t="shared" si="0"/>
        <v>-9.9999999999999997E+98</v>
      </c>
      <c r="F7" s="46">
        <f t="shared" si="1"/>
        <v>9.9999999999999997E+98</v>
      </c>
      <c r="G7" s="46">
        <f t="shared" si="2"/>
        <v>-9.9999999999999997E+98</v>
      </c>
      <c r="H7" s="46">
        <f t="shared" si="3"/>
        <v>9.9999999999999997E+98</v>
      </c>
    </row>
    <row r="8" spans="1:8" x14ac:dyDescent="0.3">
      <c r="A8" s="40" t="str">
        <f>'TO HOP NLAN'!A8</f>
        <v/>
      </c>
      <c r="B8" s="40" t="str">
        <f>'TO HOP NLAN'!L8</f>
        <v>SERVICE</v>
      </c>
      <c r="C8" s="46">
        <f>IF(A8="",0,MAX(IF('TS-PILE'!$B$56="",-1E+99,'TO HOP NLAN'!D8/ncoc+IF(SUMSQ('TS-PILE'!$E$56:$E$75)=0,0,'TO HOP NLAN'!E8*'TS-PILE'!$E$56/SUMSQ('TS-PILE'!$E$56:$E$75))+IF(SUMSQ('TS-PILE'!$D$56:$D$75)=0,0,'TO HOP NLAN'!F8*'TS-PILE'!$D$56/SUMSQ('TS-PILE'!$D$56:$D$75))),IF('TS-PILE'!$B$57="",-1E+99,'TO HOP NLAN'!D8/ncoc+IF(SUMSQ('TS-PILE'!$E$56:$E$75)=0,0,'TO HOP NLAN'!E8*'TS-PILE'!$E$57/SUMSQ('TS-PILE'!$E$56:$E$75))+IF(SUMSQ('TS-PILE'!$D$56:$D$75)=0,0,'TO HOP NLAN'!F8*'TS-PILE'!$D$57/SUMSQ('TS-PILE'!$D$56:$D$75))),IF('TS-PILE'!$B$58="",-1E+99,'TO HOP NLAN'!D8/ncoc+IF(SUMSQ('TS-PILE'!$E$56:$E$75)=0,0,'TO HOP NLAN'!E8*'TS-PILE'!$E$58/SUMSQ('TS-PILE'!$E$56:$E$75))+IF(SUMSQ('TS-PILE'!$D$56:$D$75)=0,0,'TO HOP NLAN'!F8*'TS-PILE'!$D$58/SUMSQ('TS-PILE'!$D$56:$D$75))),IF('TS-PILE'!$B$59="",-1E+99,'TO HOP NLAN'!D8/ncoc+IF(SUMSQ('TS-PILE'!$E$56:$E$75)=0,0,'TO HOP NLAN'!E8*'TS-PILE'!$E$59/SUMSQ('TS-PILE'!$E$56:$E$75))+IF(SUMSQ('TS-PILE'!$D$56:$D$75)=0,0,'TO HOP NLAN'!F8*'TS-PILE'!$D$59/SUMSQ('TS-PILE'!$D$56:$D$75))),IF('TS-PILE'!$B$60="",-1E+99,'TO HOP NLAN'!D8/ncoc+IF(SUMSQ('TS-PILE'!$E$56:$E$75)=0,0,'TO HOP NLAN'!E8*'TS-PILE'!$E$60/SUMSQ('TS-PILE'!$E$56:$E$75))+IF(SUMSQ('TS-PILE'!$D$56:$D$75)=0,0,'TO HOP NLAN'!F8*'TS-PILE'!$D$60/SUMSQ('TS-PILE'!$D$56:$D$75))),IF('TS-PILE'!$B$61="",-1E+99,'TO HOP NLAN'!D8/ncoc+IF(SUMSQ('TS-PILE'!$E$56:$E$75)=0,0,'TO HOP NLAN'!E8*'TS-PILE'!$E$61/SUMSQ('TS-PILE'!$E$56:$E$75))+IF(SUMSQ('TS-PILE'!$D$56:$D$75)=0,0,'TO HOP NLAN'!F8*'TS-PILE'!$D$61/SUMSQ('TS-PILE'!$D$56:$D$75))),IF('TS-PILE'!$B$62="",-1E+99,'TO HOP NLAN'!D8/ncoc+IF(SUMSQ('TS-PILE'!$E$56:$E$75)=0,0,'TO HOP NLAN'!E8*'TS-PILE'!$E$62/SUMSQ('TS-PILE'!$E$56:$E$75))+IF(SUMSQ('TS-PILE'!$D$56:$D$75)=0,0,'TO HOP NLAN'!F8*'TS-PILE'!$D$62/SUMSQ('TS-PILE'!$D$56:$D$75))),IF('TS-PILE'!$B$63="",-1E+99,'TO HOP NLAN'!D8/ncoc+IF(SUMSQ('TS-PILE'!$E$56:$E$75)=0,0,'TO HOP NLAN'!E8*'TS-PILE'!$E$63/SUMSQ('TS-PILE'!$E$56:$E$75))+IF(SUMSQ('TS-PILE'!$D$56:$D$75)=0,0,'TO HOP NLAN'!F8*'TS-PILE'!$D$63/SUMSQ('TS-PILE'!$D$56:$D$75))),IF('TS-PILE'!$B$64="",-1E+99,'TO HOP NLAN'!D8/ncoc+IF(SUMSQ('TS-PILE'!$E$56:$E$75)=0,0,'TO HOP NLAN'!E8*'TS-PILE'!$E$64/SUMSQ('TS-PILE'!$E$56:$E$75))+IF(SUMSQ('TS-PILE'!$D$56:$D$75)=0,0,'TO HOP NLAN'!F8*'TS-PILE'!$D$64/SUMSQ('TS-PILE'!$D$56:$D$75))),IF('TS-PILE'!$B$65="",-1E+99,'TO HOP NLAN'!D8/ncoc+IF(SUMSQ('TS-PILE'!$E$56:$E$75)=0,0,'TO HOP NLAN'!E8*'TS-PILE'!$E$65/SUMSQ('TS-PILE'!$E$56:$E$75))+IF(SUMSQ('TS-PILE'!$D$56:$D$75)=0,0,'TO HOP NLAN'!F8*'TS-PILE'!$D$65/SUMSQ('TS-PILE'!$D$56:$D$75))),IF('TS-PILE'!$B$66="",-1E+99,'TO HOP NLAN'!D8/ncoc+IF(SUMSQ('TS-PILE'!$E$56:$E$75)=0,0,'TO HOP NLAN'!E8*'TS-PILE'!$E$66/SUMSQ('TS-PILE'!$E$56:$E$75))+IF(SUMSQ('TS-PILE'!$D$56:$D$75)=0,0,'TO HOP NLAN'!F8*'TS-PILE'!$D$66/SUMSQ('TS-PILE'!$D$56:$D$75))),IF('TS-PILE'!$B$67="",-1E+99,'TO HOP NLAN'!D8/ncoc+IF(SUMSQ('TS-PILE'!$E$56:$E$75)=0,0,'TO HOP NLAN'!E8*'TS-PILE'!$E$67/SUMSQ('TS-PILE'!$E$56:$E$75))+IF(SUMSQ('TS-PILE'!$D$56:$D$75)=0,0,'TO HOP NLAN'!F8*'TS-PILE'!$D$67/SUMSQ('TS-PILE'!$D$56:$D$75))),IF('TS-PILE'!$B$68="",-1E+99,'TO HOP NLAN'!D8/ncoc+IF(SUMSQ('TS-PILE'!$E$56:$E$75)=0,0,'TO HOP NLAN'!E8*'TS-PILE'!$E$68/SUMSQ('TS-PILE'!$E$56:$E$75))+IF(SUMSQ('TS-PILE'!$D$56:$D$75)=0,0,'TO HOP NLAN'!F8*'TS-PILE'!$D$68/SUMSQ('TS-PILE'!$D$56:$D$75))),IF('TS-PILE'!$B$69="",-1E+99,'TO HOP NLAN'!D8/ncoc+IF(SUMSQ('TS-PILE'!$E$56:$E$75)=0,0,'TO HOP NLAN'!E8*'TS-PILE'!$E$69/SUMSQ('TS-PILE'!$E$56:$E$75))+IF(SUMSQ('TS-PILE'!$D$56:$D$75)=0,0,'TO HOP NLAN'!F8*'TS-PILE'!$D$69/SUMSQ('TS-PILE'!$D$56:$D$75))),IF('TS-PILE'!$B$70="",-1E+99,'TO HOP NLAN'!D8/ncoc+IF(SUMSQ('TS-PILE'!$E$56:$E$75)=0,0,'TO HOP NLAN'!E8*'TS-PILE'!$E$70/SUMSQ('TS-PILE'!$E$56:$E$75))+IF(SUMSQ('TS-PILE'!$D$56:$D$75)=0,0,'TO HOP NLAN'!F8*'TS-PILE'!$D$70/SUMSQ('TS-PILE'!$D$56:$D$75))),IF('TS-PILE'!$B$71="",-1E+99,'TO HOP NLAN'!D8/ncoc+IF(SUMSQ('TS-PILE'!$E$56:$E$75)=0,0,'TO HOP NLAN'!E8*'TS-PILE'!$E$71/SUMSQ('TS-PILE'!$E$56:$E$75))+IF(SUMSQ('TS-PILE'!$D$56:$D$75)=0,0,'TO HOP NLAN'!F8*'TS-PILE'!$D$71/SUMSQ('TS-PILE'!$D$56:$D$75))),IF('TS-PILE'!$B$72="",-1E+99,'TO HOP NLAN'!D8/ncoc+IF(SUMSQ('TS-PILE'!$E$56:$E$75)=0,0,'TO HOP NLAN'!E8*'TS-PILE'!$E$72/SUMSQ('TS-PILE'!$E$56:$E$75))+IF(SUMSQ('TS-PILE'!$D$56:$D$75)=0,0,'TO HOP NLAN'!F8*'TS-PILE'!$D$72/SUMSQ('TS-PILE'!$D$56:$D$75))),IF('TS-PILE'!$B$73="",-1E+99,'TO HOP NLAN'!D8/ncoc+IF(SUMSQ('TS-PILE'!$E$56:$E$75)=0,0,'TO HOP NLAN'!E8*'TS-PILE'!$E$73/SUMSQ('TS-PILE'!$E$56:$E$75))+IF(SUMSQ('TS-PILE'!$D$56:$D$75)=0,0,'TO HOP NLAN'!F8*'TS-PILE'!$D$73/SUMSQ('TS-PILE'!$D$56:$D$75))),IF('TS-PILE'!$B$74="",-1E+99,'TO HOP NLAN'!D8/ncoc+IF(SUMSQ('TS-PILE'!$E$56:$E$75)=0,0,'TO HOP NLAN'!E8*'TS-PILE'!$E$74/SUMSQ('TS-PILE'!$E$56:$E$75))+IF(SUMSQ('TS-PILE'!$D$56:$D$75)=0,0,'TO HOP NLAN'!F8*'TS-PILE'!$D$74/SUMSQ('TS-PILE'!$D$56:$D$75))),IF('TS-PILE'!$B$75="",-1E+99,'TO HOP NLAN'!D8/ncoc+IF(SUMSQ('TS-PILE'!$E$56:$E$75)=0,0,'TO HOP NLAN'!E8*'TS-PILE'!$E$75/SUMSQ('TS-PILE'!$E$56:$E$75))+IF(SUMSQ('TS-PILE'!$D$56:$D$75)=0,0,'TO HOP NLAN'!F8*'TS-PILE'!$D$75/SUMSQ('TS-PILE'!$D$56:$D$75)))))</f>
        <v>0</v>
      </c>
      <c r="D8" s="46">
        <f>IF(A8="",0,MIN(IF('TS-PILE'!$B$56="",1E+99,'TO HOP NLAN'!D8/ncoc+IF(SUMSQ('TS-PILE'!$E$56:$E$75)=0,0,'TO HOP NLAN'!E8*'TS-PILE'!$E$56/SUMSQ('TS-PILE'!$E$56:$E$75))+IF(SUMSQ('TS-PILE'!$D$56:$D$75)=0,0,'TO HOP NLAN'!F8*'TS-PILE'!$D$56/SUMSQ('TS-PILE'!$D$56:$D$75))),IF('TS-PILE'!$B$57="",1E+99,'TO HOP NLAN'!D8/ncoc+IF(SUMSQ('TS-PILE'!$E$56:$E$75)=0,0,'TO HOP NLAN'!E8*'TS-PILE'!$E$57/SUMSQ('TS-PILE'!$E$56:$E$75))+IF(SUMSQ('TS-PILE'!$D$56:$D$75)=0,0,'TO HOP NLAN'!F8*'TS-PILE'!$D$57/SUMSQ('TS-PILE'!$D$56:$D$75))),IF('TS-PILE'!$B$58="",1E+99,'TO HOP NLAN'!D8/ncoc+IF(SUMSQ('TS-PILE'!$E$56:$E$75)=0,0,'TO HOP NLAN'!E8*'TS-PILE'!$E$58/SUMSQ('TS-PILE'!$E$56:$E$75))+IF(SUMSQ('TS-PILE'!$D$56:$D$75)=0,0,'TO HOP NLAN'!F8*'TS-PILE'!$D$58/SUMSQ('TS-PILE'!$D$56:$D$75))),IF('TS-PILE'!$B$59="",1E+99,'TO HOP NLAN'!D8/ncoc+IF(SUMSQ('TS-PILE'!$E$56:$E$75)=0,0,'TO HOP NLAN'!E8*'TS-PILE'!$E$59/SUMSQ('TS-PILE'!$E$56:$E$75))+IF(SUMSQ('TS-PILE'!$D$56:$D$75)=0,0,'TO HOP NLAN'!F8*'TS-PILE'!$D$59/SUMSQ('TS-PILE'!$D$56:$D$75))),IF('TS-PILE'!$B$60="",1E+99,'TO HOP NLAN'!D8/ncoc+IF(SUMSQ('TS-PILE'!$E$56:$E$75)=0,0,'TO HOP NLAN'!E8*'TS-PILE'!$E$60/SUMSQ('TS-PILE'!$E$56:$E$75))+IF(SUMSQ('TS-PILE'!$D$56:$D$75)=0,0,'TO HOP NLAN'!F8*'TS-PILE'!$D$60/SUMSQ('TS-PILE'!$D$56:$D$75))),IF('TS-PILE'!$B$61="",1E+99,'TO HOP NLAN'!D8/ncoc+IF(SUMSQ('TS-PILE'!$E$56:$E$75)=0,0,'TO HOP NLAN'!E8*'TS-PILE'!$E$61/SUMSQ('TS-PILE'!$E$56:$E$75))+IF(SUMSQ('TS-PILE'!$D$56:$D$75)=0,0,'TO HOP NLAN'!F8*'TS-PILE'!$D$61/SUMSQ('TS-PILE'!$D$56:$D$75))),IF('TS-PILE'!$B$62="",1E+99,'TO HOP NLAN'!D8/ncoc+IF(SUMSQ('TS-PILE'!$E$56:$E$75)=0,0,'TO HOP NLAN'!E8*'TS-PILE'!$E$62/SUMSQ('TS-PILE'!$E$56:$E$75))+IF(SUMSQ('TS-PILE'!$D$56:$D$75)=0,0,'TO HOP NLAN'!F8*'TS-PILE'!$D$62/SUMSQ('TS-PILE'!$D$56:$D$75))),IF('TS-PILE'!$B$63="",1E+99,'TO HOP NLAN'!D8/ncoc+IF(SUMSQ('TS-PILE'!$E$56:$E$75)=0,0,'TO HOP NLAN'!E8*'TS-PILE'!$E$63/SUMSQ('TS-PILE'!$E$56:$E$75))+IF(SUMSQ('TS-PILE'!$D$56:$D$75)=0,0,'TO HOP NLAN'!F8*'TS-PILE'!$D$63/SUMSQ('TS-PILE'!$D$56:$D$75))),IF('TS-PILE'!$B$64="",1E+99,'TO HOP NLAN'!D8/ncoc+IF(SUMSQ('TS-PILE'!$E$56:$E$75)=0,0,'TO HOP NLAN'!E8*'TS-PILE'!$E$64/SUMSQ('TS-PILE'!$E$56:$E$75))+IF(SUMSQ('TS-PILE'!$D$56:$D$75)=0,0,'TO HOP NLAN'!F8*'TS-PILE'!$D$64/SUMSQ('TS-PILE'!$D$56:$D$75))),IF('TS-PILE'!$B$65="",1E+99,'TO HOP NLAN'!D8/ncoc+IF(SUMSQ('TS-PILE'!$E$56:$E$75)=0,0,'TO HOP NLAN'!E8*'TS-PILE'!$E$65/SUMSQ('TS-PILE'!$E$56:$E$75))+IF(SUMSQ('TS-PILE'!$D$56:$D$75)=0,0,'TO HOP NLAN'!F8*'TS-PILE'!$D$65/SUMSQ('TS-PILE'!$D$56:$D$75))),IF('TS-PILE'!$B$66="",1E+99,'TO HOP NLAN'!D8/ncoc+IF(SUMSQ('TS-PILE'!$E$56:$E$75)=0,0,'TO HOP NLAN'!E8*'TS-PILE'!$E$66/SUMSQ('TS-PILE'!$E$56:$E$75))+IF(SUMSQ('TS-PILE'!$D$56:$D$75)=0,0,'TO HOP NLAN'!F8*'TS-PILE'!$D$66/SUMSQ('TS-PILE'!$D$56:$D$75))),IF('TS-PILE'!$B$67="",1E+99,'TO HOP NLAN'!D8/ncoc+IF(SUMSQ('TS-PILE'!$E$56:$E$75)=0,0,'TO HOP NLAN'!E8*'TS-PILE'!$E$67/SUMSQ('TS-PILE'!$E$56:$E$75))+IF(SUMSQ('TS-PILE'!$D$56:$D$75)=0,0,'TO HOP NLAN'!F8*'TS-PILE'!$D$67/SUMSQ('TS-PILE'!$D$56:$D$75))),IF('TS-PILE'!$B$68="",1E+99,'TO HOP NLAN'!D8/ncoc+IF(SUMSQ('TS-PILE'!$E$56:$E$75)=0,0,'TO HOP NLAN'!E8*'TS-PILE'!$E$68/SUMSQ('TS-PILE'!$E$56:$E$75))+IF(SUMSQ('TS-PILE'!$D$56:$D$75)=0,0,'TO HOP NLAN'!F8*'TS-PILE'!$D$68/SUMSQ('TS-PILE'!$D$56:$D$75))),IF('TS-PILE'!$B$69="",1E+99,'TO HOP NLAN'!D8/ncoc+IF(SUMSQ('TS-PILE'!$E$56:$E$75)=0,0,'TO HOP NLAN'!E8*'TS-PILE'!$E$69/SUMSQ('TS-PILE'!$E$56:$E$75))+IF(SUMSQ('TS-PILE'!$D$56:$D$75)=0,0,'TO HOP NLAN'!F8*'TS-PILE'!$D$69/SUMSQ('TS-PILE'!$D$56:$D$75))),IF('TS-PILE'!$B$70="",1E+99,'TO HOP NLAN'!D8/ncoc+IF(SUMSQ('TS-PILE'!$E$56:$E$75)=0,0,'TO HOP NLAN'!E8*'TS-PILE'!$E$70/SUMSQ('TS-PILE'!$E$56:$E$75))+IF(SUMSQ('TS-PILE'!$D$56:$D$75)=0,0,'TO HOP NLAN'!F8*'TS-PILE'!$D$70/SUMSQ('TS-PILE'!$D$56:$D$75))),IF('TS-PILE'!$B$71="",1E+99,'TO HOP NLAN'!D8/ncoc+IF(SUMSQ('TS-PILE'!$E$56:$E$75)=0,0,'TO HOP NLAN'!E8*'TS-PILE'!$E$71/SUMSQ('TS-PILE'!$E$56:$E$75))+IF(SUMSQ('TS-PILE'!$D$56:$D$75)=0,0,'TO HOP NLAN'!F8*'TS-PILE'!$D$71/SUMSQ('TS-PILE'!$D$56:$D$75))),IF('TS-PILE'!$B$72="",1E+99,'TO HOP NLAN'!D8/ncoc+IF(SUMSQ('TS-PILE'!$E$56:$E$75)=0,0,'TO HOP NLAN'!E8*'TS-PILE'!$E$72/SUMSQ('TS-PILE'!$E$56:$E$75))+IF(SUMSQ('TS-PILE'!$D$56:$D$75)=0,0,'TO HOP NLAN'!F8*'TS-PILE'!$D$72/SUMSQ('TS-PILE'!$D$56:$D$75))),IF('TS-PILE'!$B$73="",1E+99,'TO HOP NLAN'!D8/ncoc+IF(SUMSQ('TS-PILE'!$E$56:$E$75)=0,0,'TO HOP NLAN'!E8*'TS-PILE'!$E$73/SUMSQ('TS-PILE'!$E$56:$E$75))+IF(SUMSQ('TS-PILE'!$D$56:$D$75)=0,0,'TO HOP NLAN'!F8*'TS-PILE'!$D$73/SUMSQ('TS-PILE'!$D$56:$D$75))),IF('TS-PILE'!$B$74="",1E+99,'TO HOP NLAN'!D8/ncoc+IF(SUMSQ('TS-PILE'!$E$56:$E$75)=0,0,'TO HOP NLAN'!E8*'TS-PILE'!$E$74/SUMSQ('TS-PILE'!$E$56:$E$75))+IF(SUMSQ('TS-PILE'!$D$56:$D$75)=0,0,'TO HOP NLAN'!F8*'TS-PILE'!$D$74/SUMSQ('TS-PILE'!$D$56:$D$75))),IF('TS-PILE'!$B$75="",1E+99,'TO HOP NLAN'!D8/ncoc+IF(SUMSQ('TS-PILE'!$E$56:$E$75)=0,0,'TO HOP NLAN'!E8*'TS-PILE'!$E$75/SUMSQ('TS-PILE'!$E$56:$E$75))+IF(SUMSQ('TS-PILE'!$D$56:$D$75)=0,0,'TO HOP NLAN'!F8*'TS-PILE'!$D$75/SUMSQ('TS-PILE'!$D$56:$D$75)))))</f>
        <v>0</v>
      </c>
      <c r="E8" s="46">
        <f t="shared" si="0"/>
        <v>-9.9999999999999997E+98</v>
      </c>
      <c r="F8" s="46">
        <f t="shared" si="1"/>
        <v>9.9999999999999997E+98</v>
      </c>
      <c r="G8" s="46">
        <f t="shared" si="2"/>
        <v>-9.9999999999999997E+98</v>
      </c>
      <c r="H8" s="46">
        <f t="shared" si="3"/>
        <v>9.9999999999999997E+98</v>
      </c>
    </row>
    <row r="9" spans="1:8" x14ac:dyDescent="0.3">
      <c r="A9" s="40" t="str">
        <f>'TO HOP NLAN'!A9</f>
        <v/>
      </c>
      <c r="B9" s="40" t="str">
        <f>'TO HOP NLAN'!L9</f>
        <v>SERVICE</v>
      </c>
      <c r="C9" s="46">
        <f>IF(A9="",0,MAX(IF('TS-PILE'!$B$56="",-1E+99,'TO HOP NLAN'!D9/ncoc+IF(SUMSQ('TS-PILE'!$E$56:$E$75)=0,0,'TO HOP NLAN'!E9*'TS-PILE'!$E$56/SUMSQ('TS-PILE'!$E$56:$E$75))+IF(SUMSQ('TS-PILE'!$D$56:$D$75)=0,0,'TO HOP NLAN'!F9*'TS-PILE'!$D$56/SUMSQ('TS-PILE'!$D$56:$D$75))),IF('TS-PILE'!$B$57="",-1E+99,'TO HOP NLAN'!D9/ncoc+IF(SUMSQ('TS-PILE'!$E$56:$E$75)=0,0,'TO HOP NLAN'!E9*'TS-PILE'!$E$57/SUMSQ('TS-PILE'!$E$56:$E$75))+IF(SUMSQ('TS-PILE'!$D$56:$D$75)=0,0,'TO HOP NLAN'!F9*'TS-PILE'!$D$57/SUMSQ('TS-PILE'!$D$56:$D$75))),IF('TS-PILE'!$B$58="",-1E+99,'TO HOP NLAN'!D9/ncoc+IF(SUMSQ('TS-PILE'!$E$56:$E$75)=0,0,'TO HOP NLAN'!E9*'TS-PILE'!$E$58/SUMSQ('TS-PILE'!$E$56:$E$75))+IF(SUMSQ('TS-PILE'!$D$56:$D$75)=0,0,'TO HOP NLAN'!F9*'TS-PILE'!$D$58/SUMSQ('TS-PILE'!$D$56:$D$75))),IF('TS-PILE'!$B$59="",-1E+99,'TO HOP NLAN'!D9/ncoc+IF(SUMSQ('TS-PILE'!$E$56:$E$75)=0,0,'TO HOP NLAN'!E9*'TS-PILE'!$E$59/SUMSQ('TS-PILE'!$E$56:$E$75))+IF(SUMSQ('TS-PILE'!$D$56:$D$75)=0,0,'TO HOP NLAN'!F9*'TS-PILE'!$D$59/SUMSQ('TS-PILE'!$D$56:$D$75))),IF('TS-PILE'!$B$60="",-1E+99,'TO HOP NLAN'!D9/ncoc+IF(SUMSQ('TS-PILE'!$E$56:$E$75)=0,0,'TO HOP NLAN'!E9*'TS-PILE'!$E$60/SUMSQ('TS-PILE'!$E$56:$E$75))+IF(SUMSQ('TS-PILE'!$D$56:$D$75)=0,0,'TO HOP NLAN'!F9*'TS-PILE'!$D$60/SUMSQ('TS-PILE'!$D$56:$D$75))),IF('TS-PILE'!$B$61="",-1E+99,'TO HOP NLAN'!D9/ncoc+IF(SUMSQ('TS-PILE'!$E$56:$E$75)=0,0,'TO HOP NLAN'!E9*'TS-PILE'!$E$61/SUMSQ('TS-PILE'!$E$56:$E$75))+IF(SUMSQ('TS-PILE'!$D$56:$D$75)=0,0,'TO HOP NLAN'!F9*'TS-PILE'!$D$61/SUMSQ('TS-PILE'!$D$56:$D$75))),IF('TS-PILE'!$B$62="",-1E+99,'TO HOP NLAN'!D9/ncoc+IF(SUMSQ('TS-PILE'!$E$56:$E$75)=0,0,'TO HOP NLAN'!E9*'TS-PILE'!$E$62/SUMSQ('TS-PILE'!$E$56:$E$75))+IF(SUMSQ('TS-PILE'!$D$56:$D$75)=0,0,'TO HOP NLAN'!F9*'TS-PILE'!$D$62/SUMSQ('TS-PILE'!$D$56:$D$75))),IF('TS-PILE'!$B$63="",-1E+99,'TO HOP NLAN'!D9/ncoc+IF(SUMSQ('TS-PILE'!$E$56:$E$75)=0,0,'TO HOP NLAN'!E9*'TS-PILE'!$E$63/SUMSQ('TS-PILE'!$E$56:$E$75))+IF(SUMSQ('TS-PILE'!$D$56:$D$75)=0,0,'TO HOP NLAN'!F9*'TS-PILE'!$D$63/SUMSQ('TS-PILE'!$D$56:$D$75))),IF('TS-PILE'!$B$64="",-1E+99,'TO HOP NLAN'!D9/ncoc+IF(SUMSQ('TS-PILE'!$E$56:$E$75)=0,0,'TO HOP NLAN'!E9*'TS-PILE'!$E$64/SUMSQ('TS-PILE'!$E$56:$E$75))+IF(SUMSQ('TS-PILE'!$D$56:$D$75)=0,0,'TO HOP NLAN'!F9*'TS-PILE'!$D$64/SUMSQ('TS-PILE'!$D$56:$D$75))),IF('TS-PILE'!$B$65="",-1E+99,'TO HOP NLAN'!D9/ncoc+IF(SUMSQ('TS-PILE'!$E$56:$E$75)=0,0,'TO HOP NLAN'!E9*'TS-PILE'!$E$65/SUMSQ('TS-PILE'!$E$56:$E$75))+IF(SUMSQ('TS-PILE'!$D$56:$D$75)=0,0,'TO HOP NLAN'!F9*'TS-PILE'!$D$65/SUMSQ('TS-PILE'!$D$56:$D$75))),IF('TS-PILE'!$B$66="",-1E+99,'TO HOP NLAN'!D9/ncoc+IF(SUMSQ('TS-PILE'!$E$56:$E$75)=0,0,'TO HOP NLAN'!E9*'TS-PILE'!$E$66/SUMSQ('TS-PILE'!$E$56:$E$75))+IF(SUMSQ('TS-PILE'!$D$56:$D$75)=0,0,'TO HOP NLAN'!F9*'TS-PILE'!$D$66/SUMSQ('TS-PILE'!$D$56:$D$75))),IF('TS-PILE'!$B$67="",-1E+99,'TO HOP NLAN'!D9/ncoc+IF(SUMSQ('TS-PILE'!$E$56:$E$75)=0,0,'TO HOP NLAN'!E9*'TS-PILE'!$E$67/SUMSQ('TS-PILE'!$E$56:$E$75))+IF(SUMSQ('TS-PILE'!$D$56:$D$75)=0,0,'TO HOP NLAN'!F9*'TS-PILE'!$D$67/SUMSQ('TS-PILE'!$D$56:$D$75))),IF('TS-PILE'!$B$68="",-1E+99,'TO HOP NLAN'!D9/ncoc+IF(SUMSQ('TS-PILE'!$E$56:$E$75)=0,0,'TO HOP NLAN'!E9*'TS-PILE'!$E$68/SUMSQ('TS-PILE'!$E$56:$E$75))+IF(SUMSQ('TS-PILE'!$D$56:$D$75)=0,0,'TO HOP NLAN'!F9*'TS-PILE'!$D$68/SUMSQ('TS-PILE'!$D$56:$D$75))),IF('TS-PILE'!$B$69="",-1E+99,'TO HOP NLAN'!D9/ncoc+IF(SUMSQ('TS-PILE'!$E$56:$E$75)=0,0,'TO HOP NLAN'!E9*'TS-PILE'!$E$69/SUMSQ('TS-PILE'!$E$56:$E$75))+IF(SUMSQ('TS-PILE'!$D$56:$D$75)=0,0,'TO HOP NLAN'!F9*'TS-PILE'!$D$69/SUMSQ('TS-PILE'!$D$56:$D$75))),IF('TS-PILE'!$B$70="",-1E+99,'TO HOP NLAN'!D9/ncoc+IF(SUMSQ('TS-PILE'!$E$56:$E$75)=0,0,'TO HOP NLAN'!E9*'TS-PILE'!$E$70/SUMSQ('TS-PILE'!$E$56:$E$75))+IF(SUMSQ('TS-PILE'!$D$56:$D$75)=0,0,'TO HOP NLAN'!F9*'TS-PILE'!$D$70/SUMSQ('TS-PILE'!$D$56:$D$75))),IF('TS-PILE'!$B$71="",-1E+99,'TO HOP NLAN'!D9/ncoc+IF(SUMSQ('TS-PILE'!$E$56:$E$75)=0,0,'TO HOP NLAN'!E9*'TS-PILE'!$E$71/SUMSQ('TS-PILE'!$E$56:$E$75))+IF(SUMSQ('TS-PILE'!$D$56:$D$75)=0,0,'TO HOP NLAN'!F9*'TS-PILE'!$D$71/SUMSQ('TS-PILE'!$D$56:$D$75))),IF('TS-PILE'!$B$72="",-1E+99,'TO HOP NLAN'!D9/ncoc+IF(SUMSQ('TS-PILE'!$E$56:$E$75)=0,0,'TO HOP NLAN'!E9*'TS-PILE'!$E$72/SUMSQ('TS-PILE'!$E$56:$E$75))+IF(SUMSQ('TS-PILE'!$D$56:$D$75)=0,0,'TO HOP NLAN'!F9*'TS-PILE'!$D$72/SUMSQ('TS-PILE'!$D$56:$D$75))),IF('TS-PILE'!$B$73="",-1E+99,'TO HOP NLAN'!D9/ncoc+IF(SUMSQ('TS-PILE'!$E$56:$E$75)=0,0,'TO HOP NLAN'!E9*'TS-PILE'!$E$73/SUMSQ('TS-PILE'!$E$56:$E$75))+IF(SUMSQ('TS-PILE'!$D$56:$D$75)=0,0,'TO HOP NLAN'!F9*'TS-PILE'!$D$73/SUMSQ('TS-PILE'!$D$56:$D$75))),IF('TS-PILE'!$B$74="",-1E+99,'TO HOP NLAN'!D9/ncoc+IF(SUMSQ('TS-PILE'!$E$56:$E$75)=0,0,'TO HOP NLAN'!E9*'TS-PILE'!$E$74/SUMSQ('TS-PILE'!$E$56:$E$75))+IF(SUMSQ('TS-PILE'!$D$56:$D$75)=0,0,'TO HOP NLAN'!F9*'TS-PILE'!$D$74/SUMSQ('TS-PILE'!$D$56:$D$75))),IF('TS-PILE'!$B$75="",-1E+99,'TO HOP NLAN'!D9/ncoc+IF(SUMSQ('TS-PILE'!$E$56:$E$75)=0,0,'TO HOP NLAN'!E9*'TS-PILE'!$E$75/SUMSQ('TS-PILE'!$E$56:$E$75))+IF(SUMSQ('TS-PILE'!$D$56:$D$75)=0,0,'TO HOP NLAN'!F9*'TS-PILE'!$D$75/SUMSQ('TS-PILE'!$D$56:$D$75)))))</f>
        <v>0</v>
      </c>
      <c r="D9" s="46">
        <f>IF(A9="",0,MIN(IF('TS-PILE'!$B$56="",1E+99,'TO HOP NLAN'!D9/ncoc+IF(SUMSQ('TS-PILE'!$E$56:$E$75)=0,0,'TO HOP NLAN'!E9*'TS-PILE'!$E$56/SUMSQ('TS-PILE'!$E$56:$E$75))+IF(SUMSQ('TS-PILE'!$D$56:$D$75)=0,0,'TO HOP NLAN'!F9*'TS-PILE'!$D$56/SUMSQ('TS-PILE'!$D$56:$D$75))),IF('TS-PILE'!$B$57="",1E+99,'TO HOP NLAN'!D9/ncoc+IF(SUMSQ('TS-PILE'!$E$56:$E$75)=0,0,'TO HOP NLAN'!E9*'TS-PILE'!$E$57/SUMSQ('TS-PILE'!$E$56:$E$75))+IF(SUMSQ('TS-PILE'!$D$56:$D$75)=0,0,'TO HOP NLAN'!F9*'TS-PILE'!$D$57/SUMSQ('TS-PILE'!$D$56:$D$75))),IF('TS-PILE'!$B$58="",1E+99,'TO HOP NLAN'!D9/ncoc+IF(SUMSQ('TS-PILE'!$E$56:$E$75)=0,0,'TO HOP NLAN'!E9*'TS-PILE'!$E$58/SUMSQ('TS-PILE'!$E$56:$E$75))+IF(SUMSQ('TS-PILE'!$D$56:$D$75)=0,0,'TO HOP NLAN'!F9*'TS-PILE'!$D$58/SUMSQ('TS-PILE'!$D$56:$D$75))),IF('TS-PILE'!$B$59="",1E+99,'TO HOP NLAN'!D9/ncoc+IF(SUMSQ('TS-PILE'!$E$56:$E$75)=0,0,'TO HOP NLAN'!E9*'TS-PILE'!$E$59/SUMSQ('TS-PILE'!$E$56:$E$75))+IF(SUMSQ('TS-PILE'!$D$56:$D$75)=0,0,'TO HOP NLAN'!F9*'TS-PILE'!$D$59/SUMSQ('TS-PILE'!$D$56:$D$75))),IF('TS-PILE'!$B$60="",1E+99,'TO HOP NLAN'!D9/ncoc+IF(SUMSQ('TS-PILE'!$E$56:$E$75)=0,0,'TO HOP NLAN'!E9*'TS-PILE'!$E$60/SUMSQ('TS-PILE'!$E$56:$E$75))+IF(SUMSQ('TS-PILE'!$D$56:$D$75)=0,0,'TO HOP NLAN'!F9*'TS-PILE'!$D$60/SUMSQ('TS-PILE'!$D$56:$D$75))),IF('TS-PILE'!$B$61="",1E+99,'TO HOP NLAN'!D9/ncoc+IF(SUMSQ('TS-PILE'!$E$56:$E$75)=0,0,'TO HOP NLAN'!E9*'TS-PILE'!$E$61/SUMSQ('TS-PILE'!$E$56:$E$75))+IF(SUMSQ('TS-PILE'!$D$56:$D$75)=0,0,'TO HOP NLAN'!F9*'TS-PILE'!$D$61/SUMSQ('TS-PILE'!$D$56:$D$75))),IF('TS-PILE'!$B$62="",1E+99,'TO HOP NLAN'!D9/ncoc+IF(SUMSQ('TS-PILE'!$E$56:$E$75)=0,0,'TO HOP NLAN'!E9*'TS-PILE'!$E$62/SUMSQ('TS-PILE'!$E$56:$E$75))+IF(SUMSQ('TS-PILE'!$D$56:$D$75)=0,0,'TO HOP NLAN'!F9*'TS-PILE'!$D$62/SUMSQ('TS-PILE'!$D$56:$D$75))),IF('TS-PILE'!$B$63="",1E+99,'TO HOP NLAN'!D9/ncoc+IF(SUMSQ('TS-PILE'!$E$56:$E$75)=0,0,'TO HOP NLAN'!E9*'TS-PILE'!$E$63/SUMSQ('TS-PILE'!$E$56:$E$75))+IF(SUMSQ('TS-PILE'!$D$56:$D$75)=0,0,'TO HOP NLAN'!F9*'TS-PILE'!$D$63/SUMSQ('TS-PILE'!$D$56:$D$75))),IF('TS-PILE'!$B$64="",1E+99,'TO HOP NLAN'!D9/ncoc+IF(SUMSQ('TS-PILE'!$E$56:$E$75)=0,0,'TO HOP NLAN'!E9*'TS-PILE'!$E$64/SUMSQ('TS-PILE'!$E$56:$E$75))+IF(SUMSQ('TS-PILE'!$D$56:$D$75)=0,0,'TO HOP NLAN'!F9*'TS-PILE'!$D$64/SUMSQ('TS-PILE'!$D$56:$D$75))),IF('TS-PILE'!$B$65="",1E+99,'TO HOP NLAN'!D9/ncoc+IF(SUMSQ('TS-PILE'!$E$56:$E$75)=0,0,'TO HOP NLAN'!E9*'TS-PILE'!$E$65/SUMSQ('TS-PILE'!$E$56:$E$75))+IF(SUMSQ('TS-PILE'!$D$56:$D$75)=0,0,'TO HOP NLAN'!F9*'TS-PILE'!$D$65/SUMSQ('TS-PILE'!$D$56:$D$75))),IF('TS-PILE'!$B$66="",1E+99,'TO HOP NLAN'!D9/ncoc+IF(SUMSQ('TS-PILE'!$E$56:$E$75)=0,0,'TO HOP NLAN'!E9*'TS-PILE'!$E$66/SUMSQ('TS-PILE'!$E$56:$E$75))+IF(SUMSQ('TS-PILE'!$D$56:$D$75)=0,0,'TO HOP NLAN'!F9*'TS-PILE'!$D$66/SUMSQ('TS-PILE'!$D$56:$D$75))),IF('TS-PILE'!$B$67="",1E+99,'TO HOP NLAN'!D9/ncoc+IF(SUMSQ('TS-PILE'!$E$56:$E$75)=0,0,'TO HOP NLAN'!E9*'TS-PILE'!$E$67/SUMSQ('TS-PILE'!$E$56:$E$75))+IF(SUMSQ('TS-PILE'!$D$56:$D$75)=0,0,'TO HOP NLAN'!F9*'TS-PILE'!$D$67/SUMSQ('TS-PILE'!$D$56:$D$75))),IF('TS-PILE'!$B$68="",1E+99,'TO HOP NLAN'!D9/ncoc+IF(SUMSQ('TS-PILE'!$E$56:$E$75)=0,0,'TO HOP NLAN'!E9*'TS-PILE'!$E$68/SUMSQ('TS-PILE'!$E$56:$E$75))+IF(SUMSQ('TS-PILE'!$D$56:$D$75)=0,0,'TO HOP NLAN'!F9*'TS-PILE'!$D$68/SUMSQ('TS-PILE'!$D$56:$D$75))),IF('TS-PILE'!$B$69="",1E+99,'TO HOP NLAN'!D9/ncoc+IF(SUMSQ('TS-PILE'!$E$56:$E$75)=0,0,'TO HOP NLAN'!E9*'TS-PILE'!$E$69/SUMSQ('TS-PILE'!$E$56:$E$75))+IF(SUMSQ('TS-PILE'!$D$56:$D$75)=0,0,'TO HOP NLAN'!F9*'TS-PILE'!$D$69/SUMSQ('TS-PILE'!$D$56:$D$75))),IF('TS-PILE'!$B$70="",1E+99,'TO HOP NLAN'!D9/ncoc+IF(SUMSQ('TS-PILE'!$E$56:$E$75)=0,0,'TO HOP NLAN'!E9*'TS-PILE'!$E$70/SUMSQ('TS-PILE'!$E$56:$E$75))+IF(SUMSQ('TS-PILE'!$D$56:$D$75)=0,0,'TO HOP NLAN'!F9*'TS-PILE'!$D$70/SUMSQ('TS-PILE'!$D$56:$D$75))),IF('TS-PILE'!$B$71="",1E+99,'TO HOP NLAN'!D9/ncoc+IF(SUMSQ('TS-PILE'!$E$56:$E$75)=0,0,'TO HOP NLAN'!E9*'TS-PILE'!$E$71/SUMSQ('TS-PILE'!$E$56:$E$75))+IF(SUMSQ('TS-PILE'!$D$56:$D$75)=0,0,'TO HOP NLAN'!F9*'TS-PILE'!$D$71/SUMSQ('TS-PILE'!$D$56:$D$75))),IF('TS-PILE'!$B$72="",1E+99,'TO HOP NLAN'!D9/ncoc+IF(SUMSQ('TS-PILE'!$E$56:$E$75)=0,0,'TO HOP NLAN'!E9*'TS-PILE'!$E$72/SUMSQ('TS-PILE'!$E$56:$E$75))+IF(SUMSQ('TS-PILE'!$D$56:$D$75)=0,0,'TO HOP NLAN'!F9*'TS-PILE'!$D$72/SUMSQ('TS-PILE'!$D$56:$D$75))),IF('TS-PILE'!$B$73="",1E+99,'TO HOP NLAN'!D9/ncoc+IF(SUMSQ('TS-PILE'!$E$56:$E$75)=0,0,'TO HOP NLAN'!E9*'TS-PILE'!$E$73/SUMSQ('TS-PILE'!$E$56:$E$75))+IF(SUMSQ('TS-PILE'!$D$56:$D$75)=0,0,'TO HOP NLAN'!F9*'TS-PILE'!$D$73/SUMSQ('TS-PILE'!$D$56:$D$75))),IF('TS-PILE'!$B$74="",1E+99,'TO HOP NLAN'!D9/ncoc+IF(SUMSQ('TS-PILE'!$E$56:$E$75)=0,0,'TO HOP NLAN'!E9*'TS-PILE'!$E$74/SUMSQ('TS-PILE'!$E$56:$E$75))+IF(SUMSQ('TS-PILE'!$D$56:$D$75)=0,0,'TO HOP NLAN'!F9*'TS-PILE'!$D$74/SUMSQ('TS-PILE'!$D$56:$D$75))),IF('TS-PILE'!$B$75="",1E+99,'TO HOP NLAN'!D9/ncoc+IF(SUMSQ('TS-PILE'!$E$56:$E$75)=0,0,'TO HOP NLAN'!E9*'TS-PILE'!$E$75/SUMSQ('TS-PILE'!$E$56:$E$75))+IF(SUMSQ('TS-PILE'!$D$56:$D$75)=0,0,'TO HOP NLAN'!F9*'TS-PILE'!$D$75/SUMSQ('TS-PILE'!$D$56:$D$75)))))</f>
        <v>0</v>
      </c>
      <c r="E9" s="46">
        <f t="shared" si="0"/>
        <v>-9.9999999999999997E+98</v>
      </c>
      <c r="F9" s="46">
        <f t="shared" si="1"/>
        <v>9.9999999999999997E+98</v>
      </c>
      <c r="G9" s="46">
        <f t="shared" si="2"/>
        <v>-9.9999999999999997E+98</v>
      </c>
      <c r="H9" s="46">
        <f t="shared" si="3"/>
        <v>9.9999999999999997E+98</v>
      </c>
    </row>
    <row r="10" spans="1:8" x14ac:dyDescent="0.3">
      <c r="A10" s="40" t="str">
        <f>'TO HOP NLAN'!A10</f>
        <v/>
      </c>
      <c r="B10" s="40" t="str">
        <f>'TO HOP NLAN'!L10</f>
        <v>SERVICE</v>
      </c>
      <c r="C10" s="46">
        <f>IF(A10="",0,MAX(IF('TS-PILE'!$B$56="",-1E+99,'TO HOP NLAN'!D10/ncoc+IF(SUMSQ('TS-PILE'!$E$56:$E$75)=0,0,'TO HOP NLAN'!E10*'TS-PILE'!$E$56/SUMSQ('TS-PILE'!$E$56:$E$75))+IF(SUMSQ('TS-PILE'!$D$56:$D$75)=0,0,'TO HOP NLAN'!F10*'TS-PILE'!$D$56/SUMSQ('TS-PILE'!$D$56:$D$75))),IF('TS-PILE'!$B$57="",-1E+99,'TO HOP NLAN'!D10/ncoc+IF(SUMSQ('TS-PILE'!$E$56:$E$75)=0,0,'TO HOP NLAN'!E10*'TS-PILE'!$E$57/SUMSQ('TS-PILE'!$E$56:$E$75))+IF(SUMSQ('TS-PILE'!$D$56:$D$75)=0,0,'TO HOP NLAN'!F10*'TS-PILE'!$D$57/SUMSQ('TS-PILE'!$D$56:$D$75))),IF('TS-PILE'!$B$58="",-1E+99,'TO HOP NLAN'!D10/ncoc+IF(SUMSQ('TS-PILE'!$E$56:$E$75)=0,0,'TO HOP NLAN'!E10*'TS-PILE'!$E$58/SUMSQ('TS-PILE'!$E$56:$E$75))+IF(SUMSQ('TS-PILE'!$D$56:$D$75)=0,0,'TO HOP NLAN'!F10*'TS-PILE'!$D$58/SUMSQ('TS-PILE'!$D$56:$D$75))),IF('TS-PILE'!$B$59="",-1E+99,'TO HOP NLAN'!D10/ncoc+IF(SUMSQ('TS-PILE'!$E$56:$E$75)=0,0,'TO HOP NLAN'!E10*'TS-PILE'!$E$59/SUMSQ('TS-PILE'!$E$56:$E$75))+IF(SUMSQ('TS-PILE'!$D$56:$D$75)=0,0,'TO HOP NLAN'!F10*'TS-PILE'!$D$59/SUMSQ('TS-PILE'!$D$56:$D$75))),IF('TS-PILE'!$B$60="",-1E+99,'TO HOP NLAN'!D10/ncoc+IF(SUMSQ('TS-PILE'!$E$56:$E$75)=0,0,'TO HOP NLAN'!E10*'TS-PILE'!$E$60/SUMSQ('TS-PILE'!$E$56:$E$75))+IF(SUMSQ('TS-PILE'!$D$56:$D$75)=0,0,'TO HOP NLAN'!F10*'TS-PILE'!$D$60/SUMSQ('TS-PILE'!$D$56:$D$75))),IF('TS-PILE'!$B$61="",-1E+99,'TO HOP NLAN'!D10/ncoc+IF(SUMSQ('TS-PILE'!$E$56:$E$75)=0,0,'TO HOP NLAN'!E10*'TS-PILE'!$E$61/SUMSQ('TS-PILE'!$E$56:$E$75))+IF(SUMSQ('TS-PILE'!$D$56:$D$75)=0,0,'TO HOP NLAN'!F10*'TS-PILE'!$D$61/SUMSQ('TS-PILE'!$D$56:$D$75))),IF('TS-PILE'!$B$62="",-1E+99,'TO HOP NLAN'!D10/ncoc+IF(SUMSQ('TS-PILE'!$E$56:$E$75)=0,0,'TO HOP NLAN'!E10*'TS-PILE'!$E$62/SUMSQ('TS-PILE'!$E$56:$E$75))+IF(SUMSQ('TS-PILE'!$D$56:$D$75)=0,0,'TO HOP NLAN'!F10*'TS-PILE'!$D$62/SUMSQ('TS-PILE'!$D$56:$D$75))),IF('TS-PILE'!$B$63="",-1E+99,'TO HOP NLAN'!D10/ncoc+IF(SUMSQ('TS-PILE'!$E$56:$E$75)=0,0,'TO HOP NLAN'!E10*'TS-PILE'!$E$63/SUMSQ('TS-PILE'!$E$56:$E$75))+IF(SUMSQ('TS-PILE'!$D$56:$D$75)=0,0,'TO HOP NLAN'!F10*'TS-PILE'!$D$63/SUMSQ('TS-PILE'!$D$56:$D$75))),IF('TS-PILE'!$B$64="",-1E+99,'TO HOP NLAN'!D10/ncoc+IF(SUMSQ('TS-PILE'!$E$56:$E$75)=0,0,'TO HOP NLAN'!E10*'TS-PILE'!$E$64/SUMSQ('TS-PILE'!$E$56:$E$75))+IF(SUMSQ('TS-PILE'!$D$56:$D$75)=0,0,'TO HOP NLAN'!F10*'TS-PILE'!$D$64/SUMSQ('TS-PILE'!$D$56:$D$75))),IF('TS-PILE'!$B$65="",-1E+99,'TO HOP NLAN'!D10/ncoc+IF(SUMSQ('TS-PILE'!$E$56:$E$75)=0,0,'TO HOP NLAN'!E10*'TS-PILE'!$E$65/SUMSQ('TS-PILE'!$E$56:$E$75))+IF(SUMSQ('TS-PILE'!$D$56:$D$75)=0,0,'TO HOP NLAN'!F10*'TS-PILE'!$D$65/SUMSQ('TS-PILE'!$D$56:$D$75))),IF('TS-PILE'!$B$66="",-1E+99,'TO HOP NLAN'!D10/ncoc+IF(SUMSQ('TS-PILE'!$E$56:$E$75)=0,0,'TO HOP NLAN'!E10*'TS-PILE'!$E$66/SUMSQ('TS-PILE'!$E$56:$E$75))+IF(SUMSQ('TS-PILE'!$D$56:$D$75)=0,0,'TO HOP NLAN'!F10*'TS-PILE'!$D$66/SUMSQ('TS-PILE'!$D$56:$D$75))),IF('TS-PILE'!$B$67="",-1E+99,'TO HOP NLAN'!D10/ncoc+IF(SUMSQ('TS-PILE'!$E$56:$E$75)=0,0,'TO HOP NLAN'!E10*'TS-PILE'!$E$67/SUMSQ('TS-PILE'!$E$56:$E$75))+IF(SUMSQ('TS-PILE'!$D$56:$D$75)=0,0,'TO HOP NLAN'!F10*'TS-PILE'!$D$67/SUMSQ('TS-PILE'!$D$56:$D$75))),IF('TS-PILE'!$B$68="",-1E+99,'TO HOP NLAN'!D10/ncoc+IF(SUMSQ('TS-PILE'!$E$56:$E$75)=0,0,'TO HOP NLAN'!E10*'TS-PILE'!$E$68/SUMSQ('TS-PILE'!$E$56:$E$75))+IF(SUMSQ('TS-PILE'!$D$56:$D$75)=0,0,'TO HOP NLAN'!F10*'TS-PILE'!$D$68/SUMSQ('TS-PILE'!$D$56:$D$75))),IF('TS-PILE'!$B$69="",-1E+99,'TO HOP NLAN'!D10/ncoc+IF(SUMSQ('TS-PILE'!$E$56:$E$75)=0,0,'TO HOP NLAN'!E10*'TS-PILE'!$E$69/SUMSQ('TS-PILE'!$E$56:$E$75))+IF(SUMSQ('TS-PILE'!$D$56:$D$75)=0,0,'TO HOP NLAN'!F10*'TS-PILE'!$D$69/SUMSQ('TS-PILE'!$D$56:$D$75))),IF('TS-PILE'!$B$70="",-1E+99,'TO HOP NLAN'!D10/ncoc+IF(SUMSQ('TS-PILE'!$E$56:$E$75)=0,0,'TO HOP NLAN'!E10*'TS-PILE'!$E$70/SUMSQ('TS-PILE'!$E$56:$E$75))+IF(SUMSQ('TS-PILE'!$D$56:$D$75)=0,0,'TO HOP NLAN'!F10*'TS-PILE'!$D$70/SUMSQ('TS-PILE'!$D$56:$D$75))),IF('TS-PILE'!$B$71="",-1E+99,'TO HOP NLAN'!D10/ncoc+IF(SUMSQ('TS-PILE'!$E$56:$E$75)=0,0,'TO HOP NLAN'!E10*'TS-PILE'!$E$71/SUMSQ('TS-PILE'!$E$56:$E$75))+IF(SUMSQ('TS-PILE'!$D$56:$D$75)=0,0,'TO HOP NLAN'!F10*'TS-PILE'!$D$71/SUMSQ('TS-PILE'!$D$56:$D$75))),IF('TS-PILE'!$B$72="",-1E+99,'TO HOP NLAN'!D10/ncoc+IF(SUMSQ('TS-PILE'!$E$56:$E$75)=0,0,'TO HOP NLAN'!E10*'TS-PILE'!$E$72/SUMSQ('TS-PILE'!$E$56:$E$75))+IF(SUMSQ('TS-PILE'!$D$56:$D$75)=0,0,'TO HOP NLAN'!F10*'TS-PILE'!$D$72/SUMSQ('TS-PILE'!$D$56:$D$75))),IF('TS-PILE'!$B$73="",-1E+99,'TO HOP NLAN'!D10/ncoc+IF(SUMSQ('TS-PILE'!$E$56:$E$75)=0,0,'TO HOP NLAN'!E10*'TS-PILE'!$E$73/SUMSQ('TS-PILE'!$E$56:$E$75))+IF(SUMSQ('TS-PILE'!$D$56:$D$75)=0,0,'TO HOP NLAN'!F10*'TS-PILE'!$D$73/SUMSQ('TS-PILE'!$D$56:$D$75))),IF('TS-PILE'!$B$74="",-1E+99,'TO HOP NLAN'!D10/ncoc+IF(SUMSQ('TS-PILE'!$E$56:$E$75)=0,0,'TO HOP NLAN'!E10*'TS-PILE'!$E$74/SUMSQ('TS-PILE'!$E$56:$E$75))+IF(SUMSQ('TS-PILE'!$D$56:$D$75)=0,0,'TO HOP NLAN'!F10*'TS-PILE'!$D$74/SUMSQ('TS-PILE'!$D$56:$D$75))),IF('TS-PILE'!$B$75="",-1E+99,'TO HOP NLAN'!D10/ncoc+IF(SUMSQ('TS-PILE'!$E$56:$E$75)=0,0,'TO HOP NLAN'!E10*'TS-PILE'!$E$75/SUMSQ('TS-PILE'!$E$56:$E$75))+IF(SUMSQ('TS-PILE'!$D$56:$D$75)=0,0,'TO HOP NLAN'!F10*'TS-PILE'!$D$75/SUMSQ('TS-PILE'!$D$56:$D$75)))))</f>
        <v>0</v>
      </c>
      <c r="D10" s="46">
        <f>IF(A10="",0,MIN(IF('TS-PILE'!$B$56="",1E+99,'TO HOP NLAN'!D10/ncoc+IF(SUMSQ('TS-PILE'!$E$56:$E$75)=0,0,'TO HOP NLAN'!E10*'TS-PILE'!$E$56/SUMSQ('TS-PILE'!$E$56:$E$75))+IF(SUMSQ('TS-PILE'!$D$56:$D$75)=0,0,'TO HOP NLAN'!F10*'TS-PILE'!$D$56/SUMSQ('TS-PILE'!$D$56:$D$75))),IF('TS-PILE'!$B$57="",1E+99,'TO HOP NLAN'!D10/ncoc+IF(SUMSQ('TS-PILE'!$E$56:$E$75)=0,0,'TO HOP NLAN'!E10*'TS-PILE'!$E$57/SUMSQ('TS-PILE'!$E$56:$E$75))+IF(SUMSQ('TS-PILE'!$D$56:$D$75)=0,0,'TO HOP NLAN'!F10*'TS-PILE'!$D$57/SUMSQ('TS-PILE'!$D$56:$D$75))),IF('TS-PILE'!$B$58="",1E+99,'TO HOP NLAN'!D10/ncoc+IF(SUMSQ('TS-PILE'!$E$56:$E$75)=0,0,'TO HOP NLAN'!E10*'TS-PILE'!$E$58/SUMSQ('TS-PILE'!$E$56:$E$75))+IF(SUMSQ('TS-PILE'!$D$56:$D$75)=0,0,'TO HOP NLAN'!F10*'TS-PILE'!$D$58/SUMSQ('TS-PILE'!$D$56:$D$75))),IF('TS-PILE'!$B$59="",1E+99,'TO HOP NLAN'!D10/ncoc+IF(SUMSQ('TS-PILE'!$E$56:$E$75)=0,0,'TO HOP NLAN'!E10*'TS-PILE'!$E$59/SUMSQ('TS-PILE'!$E$56:$E$75))+IF(SUMSQ('TS-PILE'!$D$56:$D$75)=0,0,'TO HOP NLAN'!F10*'TS-PILE'!$D$59/SUMSQ('TS-PILE'!$D$56:$D$75))),IF('TS-PILE'!$B$60="",1E+99,'TO HOP NLAN'!D10/ncoc+IF(SUMSQ('TS-PILE'!$E$56:$E$75)=0,0,'TO HOP NLAN'!E10*'TS-PILE'!$E$60/SUMSQ('TS-PILE'!$E$56:$E$75))+IF(SUMSQ('TS-PILE'!$D$56:$D$75)=0,0,'TO HOP NLAN'!F10*'TS-PILE'!$D$60/SUMSQ('TS-PILE'!$D$56:$D$75))),IF('TS-PILE'!$B$61="",1E+99,'TO HOP NLAN'!D10/ncoc+IF(SUMSQ('TS-PILE'!$E$56:$E$75)=0,0,'TO HOP NLAN'!E10*'TS-PILE'!$E$61/SUMSQ('TS-PILE'!$E$56:$E$75))+IF(SUMSQ('TS-PILE'!$D$56:$D$75)=0,0,'TO HOP NLAN'!F10*'TS-PILE'!$D$61/SUMSQ('TS-PILE'!$D$56:$D$75))),IF('TS-PILE'!$B$62="",1E+99,'TO HOP NLAN'!D10/ncoc+IF(SUMSQ('TS-PILE'!$E$56:$E$75)=0,0,'TO HOP NLAN'!E10*'TS-PILE'!$E$62/SUMSQ('TS-PILE'!$E$56:$E$75))+IF(SUMSQ('TS-PILE'!$D$56:$D$75)=0,0,'TO HOP NLAN'!F10*'TS-PILE'!$D$62/SUMSQ('TS-PILE'!$D$56:$D$75))),IF('TS-PILE'!$B$63="",1E+99,'TO HOP NLAN'!D10/ncoc+IF(SUMSQ('TS-PILE'!$E$56:$E$75)=0,0,'TO HOP NLAN'!E10*'TS-PILE'!$E$63/SUMSQ('TS-PILE'!$E$56:$E$75))+IF(SUMSQ('TS-PILE'!$D$56:$D$75)=0,0,'TO HOP NLAN'!F10*'TS-PILE'!$D$63/SUMSQ('TS-PILE'!$D$56:$D$75))),IF('TS-PILE'!$B$64="",1E+99,'TO HOP NLAN'!D10/ncoc+IF(SUMSQ('TS-PILE'!$E$56:$E$75)=0,0,'TO HOP NLAN'!E10*'TS-PILE'!$E$64/SUMSQ('TS-PILE'!$E$56:$E$75))+IF(SUMSQ('TS-PILE'!$D$56:$D$75)=0,0,'TO HOP NLAN'!F10*'TS-PILE'!$D$64/SUMSQ('TS-PILE'!$D$56:$D$75))),IF('TS-PILE'!$B$65="",1E+99,'TO HOP NLAN'!D10/ncoc+IF(SUMSQ('TS-PILE'!$E$56:$E$75)=0,0,'TO HOP NLAN'!E10*'TS-PILE'!$E$65/SUMSQ('TS-PILE'!$E$56:$E$75))+IF(SUMSQ('TS-PILE'!$D$56:$D$75)=0,0,'TO HOP NLAN'!F10*'TS-PILE'!$D$65/SUMSQ('TS-PILE'!$D$56:$D$75))),IF('TS-PILE'!$B$66="",1E+99,'TO HOP NLAN'!D10/ncoc+IF(SUMSQ('TS-PILE'!$E$56:$E$75)=0,0,'TO HOP NLAN'!E10*'TS-PILE'!$E$66/SUMSQ('TS-PILE'!$E$56:$E$75))+IF(SUMSQ('TS-PILE'!$D$56:$D$75)=0,0,'TO HOP NLAN'!F10*'TS-PILE'!$D$66/SUMSQ('TS-PILE'!$D$56:$D$75))),IF('TS-PILE'!$B$67="",1E+99,'TO HOP NLAN'!D10/ncoc+IF(SUMSQ('TS-PILE'!$E$56:$E$75)=0,0,'TO HOP NLAN'!E10*'TS-PILE'!$E$67/SUMSQ('TS-PILE'!$E$56:$E$75))+IF(SUMSQ('TS-PILE'!$D$56:$D$75)=0,0,'TO HOP NLAN'!F10*'TS-PILE'!$D$67/SUMSQ('TS-PILE'!$D$56:$D$75))),IF('TS-PILE'!$B$68="",1E+99,'TO HOP NLAN'!D10/ncoc+IF(SUMSQ('TS-PILE'!$E$56:$E$75)=0,0,'TO HOP NLAN'!E10*'TS-PILE'!$E$68/SUMSQ('TS-PILE'!$E$56:$E$75))+IF(SUMSQ('TS-PILE'!$D$56:$D$75)=0,0,'TO HOP NLAN'!F10*'TS-PILE'!$D$68/SUMSQ('TS-PILE'!$D$56:$D$75))),IF('TS-PILE'!$B$69="",1E+99,'TO HOP NLAN'!D10/ncoc+IF(SUMSQ('TS-PILE'!$E$56:$E$75)=0,0,'TO HOP NLAN'!E10*'TS-PILE'!$E$69/SUMSQ('TS-PILE'!$E$56:$E$75))+IF(SUMSQ('TS-PILE'!$D$56:$D$75)=0,0,'TO HOP NLAN'!F10*'TS-PILE'!$D$69/SUMSQ('TS-PILE'!$D$56:$D$75))),IF('TS-PILE'!$B$70="",1E+99,'TO HOP NLAN'!D10/ncoc+IF(SUMSQ('TS-PILE'!$E$56:$E$75)=0,0,'TO HOP NLAN'!E10*'TS-PILE'!$E$70/SUMSQ('TS-PILE'!$E$56:$E$75))+IF(SUMSQ('TS-PILE'!$D$56:$D$75)=0,0,'TO HOP NLAN'!F10*'TS-PILE'!$D$70/SUMSQ('TS-PILE'!$D$56:$D$75))),IF('TS-PILE'!$B$71="",1E+99,'TO HOP NLAN'!D10/ncoc+IF(SUMSQ('TS-PILE'!$E$56:$E$75)=0,0,'TO HOP NLAN'!E10*'TS-PILE'!$E$71/SUMSQ('TS-PILE'!$E$56:$E$75))+IF(SUMSQ('TS-PILE'!$D$56:$D$75)=0,0,'TO HOP NLAN'!F10*'TS-PILE'!$D$71/SUMSQ('TS-PILE'!$D$56:$D$75))),IF('TS-PILE'!$B$72="",1E+99,'TO HOP NLAN'!D10/ncoc+IF(SUMSQ('TS-PILE'!$E$56:$E$75)=0,0,'TO HOP NLAN'!E10*'TS-PILE'!$E$72/SUMSQ('TS-PILE'!$E$56:$E$75))+IF(SUMSQ('TS-PILE'!$D$56:$D$75)=0,0,'TO HOP NLAN'!F10*'TS-PILE'!$D$72/SUMSQ('TS-PILE'!$D$56:$D$75))),IF('TS-PILE'!$B$73="",1E+99,'TO HOP NLAN'!D10/ncoc+IF(SUMSQ('TS-PILE'!$E$56:$E$75)=0,0,'TO HOP NLAN'!E10*'TS-PILE'!$E$73/SUMSQ('TS-PILE'!$E$56:$E$75))+IF(SUMSQ('TS-PILE'!$D$56:$D$75)=0,0,'TO HOP NLAN'!F10*'TS-PILE'!$D$73/SUMSQ('TS-PILE'!$D$56:$D$75))),IF('TS-PILE'!$B$74="",1E+99,'TO HOP NLAN'!D10/ncoc+IF(SUMSQ('TS-PILE'!$E$56:$E$75)=0,0,'TO HOP NLAN'!E10*'TS-PILE'!$E$74/SUMSQ('TS-PILE'!$E$56:$E$75))+IF(SUMSQ('TS-PILE'!$D$56:$D$75)=0,0,'TO HOP NLAN'!F10*'TS-PILE'!$D$74/SUMSQ('TS-PILE'!$D$56:$D$75))),IF('TS-PILE'!$B$75="",1E+99,'TO HOP NLAN'!D10/ncoc+IF(SUMSQ('TS-PILE'!$E$56:$E$75)=0,0,'TO HOP NLAN'!E10*'TS-PILE'!$E$75/SUMSQ('TS-PILE'!$E$56:$E$75))+IF(SUMSQ('TS-PILE'!$D$56:$D$75)=0,0,'TO HOP NLAN'!F10*'TS-PILE'!$D$75/SUMSQ('TS-PILE'!$D$56:$D$75)))))</f>
        <v>0</v>
      </c>
      <c r="E10" s="46">
        <f t="shared" si="0"/>
        <v>-9.9999999999999997E+98</v>
      </c>
      <c r="F10" s="46">
        <f t="shared" si="1"/>
        <v>9.9999999999999997E+98</v>
      </c>
      <c r="G10" s="46">
        <f t="shared" si="2"/>
        <v>-9.9999999999999997E+98</v>
      </c>
      <c r="H10" s="46">
        <f t="shared" si="3"/>
        <v>9.9999999999999997E+98</v>
      </c>
    </row>
    <row r="11" spans="1:8" x14ac:dyDescent="0.3">
      <c r="A11" s="40" t="str">
        <f>'TO HOP NLAN'!A11</f>
        <v/>
      </c>
      <c r="B11" s="40" t="str">
        <f>'TO HOP NLAN'!L11</f>
        <v>SERVICE</v>
      </c>
      <c r="C11" s="46">
        <f>IF(A11="",0,MAX(IF('TS-PILE'!$B$56="",-1E+99,'TO HOP NLAN'!D11/ncoc+IF(SUMSQ('TS-PILE'!$E$56:$E$75)=0,0,'TO HOP NLAN'!E11*'TS-PILE'!$E$56/SUMSQ('TS-PILE'!$E$56:$E$75))+IF(SUMSQ('TS-PILE'!$D$56:$D$75)=0,0,'TO HOP NLAN'!F11*'TS-PILE'!$D$56/SUMSQ('TS-PILE'!$D$56:$D$75))),IF('TS-PILE'!$B$57="",-1E+99,'TO HOP NLAN'!D11/ncoc+IF(SUMSQ('TS-PILE'!$E$56:$E$75)=0,0,'TO HOP NLAN'!E11*'TS-PILE'!$E$57/SUMSQ('TS-PILE'!$E$56:$E$75))+IF(SUMSQ('TS-PILE'!$D$56:$D$75)=0,0,'TO HOP NLAN'!F11*'TS-PILE'!$D$57/SUMSQ('TS-PILE'!$D$56:$D$75))),IF('TS-PILE'!$B$58="",-1E+99,'TO HOP NLAN'!D11/ncoc+IF(SUMSQ('TS-PILE'!$E$56:$E$75)=0,0,'TO HOP NLAN'!E11*'TS-PILE'!$E$58/SUMSQ('TS-PILE'!$E$56:$E$75))+IF(SUMSQ('TS-PILE'!$D$56:$D$75)=0,0,'TO HOP NLAN'!F11*'TS-PILE'!$D$58/SUMSQ('TS-PILE'!$D$56:$D$75))),IF('TS-PILE'!$B$59="",-1E+99,'TO HOP NLAN'!D11/ncoc+IF(SUMSQ('TS-PILE'!$E$56:$E$75)=0,0,'TO HOP NLAN'!E11*'TS-PILE'!$E$59/SUMSQ('TS-PILE'!$E$56:$E$75))+IF(SUMSQ('TS-PILE'!$D$56:$D$75)=0,0,'TO HOP NLAN'!F11*'TS-PILE'!$D$59/SUMSQ('TS-PILE'!$D$56:$D$75))),IF('TS-PILE'!$B$60="",-1E+99,'TO HOP NLAN'!D11/ncoc+IF(SUMSQ('TS-PILE'!$E$56:$E$75)=0,0,'TO HOP NLAN'!E11*'TS-PILE'!$E$60/SUMSQ('TS-PILE'!$E$56:$E$75))+IF(SUMSQ('TS-PILE'!$D$56:$D$75)=0,0,'TO HOP NLAN'!F11*'TS-PILE'!$D$60/SUMSQ('TS-PILE'!$D$56:$D$75))),IF('TS-PILE'!$B$61="",-1E+99,'TO HOP NLAN'!D11/ncoc+IF(SUMSQ('TS-PILE'!$E$56:$E$75)=0,0,'TO HOP NLAN'!E11*'TS-PILE'!$E$61/SUMSQ('TS-PILE'!$E$56:$E$75))+IF(SUMSQ('TS-PILE'!$D$56:$D$75)=0,0,'TO HOP NLAN'!F11*'TS-PILE'!$D$61/SUMSQ('TS-PILE'!$D$56:$D$75))),IF('TS-PILE'!$B$62="",-1E+99,'TO HOP NLAN'!D11/ncoc+IF(SUMSQ('TS-PILE'!$E$56:$E$75)=0,0,'TO HOP NLAN'!E11*'TS-PILE'!$E$62/SUMSQ('TS-PILE'!$E$56:$E$75))+IF(SUMSQ('TS-PILE'!$D$56:$D$75)=0,0,'TO HOP NLAN'!F11*'TS-PILE'!$D$62/SUMSQ('TS-PILE'!$D$56:$D$75))),IF('TS-PILE'!$B$63="",-1E+99,'TO HOP NLAN'!D11/ncoc+IF(SUMSQ('TS-PILE'!$E$56:$E$75)=0,0,'TO HOP NLAN'!E11*'TS-PILE'!$E$63/SUMSQ('TS-PILE'!$E$56:$E$75))+IF(SUMSQ('TS-PILE'!$D$56:$D$75)=0,0,'TO HOP NLAN'!F11*'TS-PILE'!$D$63/SUMSQ('TS-PILE'!$D$56:$D$75))),IF('TS-PILE'!$B$64="",-1E+99,'TO HOP NLAN'!D11/ncoc+IF(SUMSQ('TS-PILE'!$E$56:$E$75)=0,0,'TO HOP NLAN'!E11*'TS-PILE'!$E$64/SUMSQ('TS-PILE'!$E$56:$E$75))+IF(SUMSQ('TS-PILE'!$D$56:$D$75)=0,0,'TO HOP NLAN'!F11*'TS-PILE'!$D$64/SUMSQ('TS-PILE'!$D$56:$D$75))),IF('TS-PILE'!$B$65="",-1E+99,'TO HOP NLAN'!D11/ncoc+IF(SUMSQ('TS-PILE'!$E$56:$E$75)=0,0,'TO HOP NLAN'!E11*'TS-PILE'!$E$65/SUMSQ('TS-PILE'!$E$56:$E$75))+IF(SUMSQ('TS-PILE'!$D$56:$D$75)=0,0,'TO HOP NLAN'!F11*'TS-PILE'!$D$65/SUMSQ('TS-PILE'!$D$56:$D$75))),IF('TS-PILE'!$B$66="",-1E+99,'TO HOP NLAN'!D11/ncoc+IF(SUMSQ('TS-PILE'!$E$56:$E$75)=0,0,'TO HOP NLAN'!E11*'TS-PILE'!$E$66/SUMSQ('TS-PILE'!$E$56:$E$75))+IF(SUMSQ('TS-PILE'!$D$56:$D$75)=0,0,'TO HOP NLAN'!F11*'TS-PILE'!$D$66/SUMSQ('TS-PILE'!$D$56:$D$75))),IF('TS-PILE'!$B$67="",-1E+99,'TO HOP NLAN'!D11/ncoc+IF(SUMSQ('TS-PILE'!$E$56:$E$75)=0,0,'TO HOP NLAN'!E11*'TS-PILE'!$E$67/SUMSQ('TS-PILE'!$E$56:$E$75))+IF(SUMSQ('TS-PILE'!$D$56:$D$75)=0,0,'TO HOP NLAN'!F11*'TS-PILE'!$D$67/SUMSQ('TS-PILE'!$D$56:$D$75))),IF('TS-PILE'!$B$68="",-1E+99,'TO HOP NLAN'!D11/ncoc+IF(SUMSQ('TS-PILE'!$E$56:$E$75)=0,0,'TO HOP NLAN'!E11*'TS-PILE'!$E$68/SUMSQ('TS-PILE'!$E$56:$E$75))+IF(SUMSQ('TS-PILE'!$D$56:$D$75)=0,0,'TO HOP NLAN'!F11*'TS-PILE'!$D$68/SUMSQ('TS-PILE'!$D$56:$D$75))),IF('TS-PILE'!$B$69="",-1E+99,'TO HOP NLAN'!D11/ncoc+IF(SUMSQ('TS-PILE'!$E$56:$E$75)=0,0,'TO HOP NLAN'!E11*'TS-PILE'!$E$69/SUMSQ('TS-PILE'!$E$56:$E$75))+IF(SUMSQ('TS-PILE'!$D$56:$D$75)=0,0,'TO HOP NLAN'!F11*'TS-PILE'!$D$69/SUMSQ('TS-PILE'!$D$56:$D$75))),IF('TS-PILE'!$B$70="",-1E+99,'TO HOP NLAN'!D11/ncoc+IF(SUMSQ('TS-PILE'!$E$56:$E$75)=0,0,'TO HOP NLAN'!E11*'TS-PILE'!$E$70/SUMSQ('TS-PILE'!$E$56:$E$75))+IF(SUMSQ('TS-PILE'!$D$56:$D$75)=0,0,'TO HOP NLAN'!F11*'TS-PILE'!$D$70/SUMSQ('TS-PILE'!$D$56:$D$75))),IF('TS-PILE'!$B$71="",-1E+99,'TO HOP NLAN'!D11/ncoc+IF(SUMSQ('TS-PILE'!$E$56:$E$75)=0,0,'TO HOP NLAN'!E11*'TS-PILE'!$E$71/SUMSQ('TS-PILE'!$E$56:$E$75))+IF(SUMSQ('TS-PILE'!$D$56:$D$75)=0,0,'TO HOP NLAN'!F11*'TS-PILE'!$D$71/SUMSQ('TS-PILE'!$D$56:$D$75))),IF('TS-PILE'!$B$72="",-1E+99,'TO HOP NLAN'!D11/ncoc+IF(SUMSQ('TS-PILE'!$E$56:$E$75)=0,0,'TO HOP NLAN'!E11*'TS-PILE'!$E$72/SUMSQ('TS-PILE'!$E$56:$E$75))+IF(SUMSQ('TS-PILE'!$D$56:$D$75)=0,0,'TO HOP NLAN'!F11*'TS-PILE'!$D$72/SUMSQ('TS-PILE'!$D$56:$D$75))),IF('TS-PILE'!$B$73="",-1E+99,'TO HOP NLAN'!D11/ncoc+IF(SUMSQ('TS-PILE'!$E$56:$E$75)=0,0,'TO HOP NLAN'!E11*'TS-PILE'!$E$73/SUMSQ('TS-PILE'!$E$56:$E$75))+IF(SUMSQ('TS-PILE'!$D$56:$D$75)=0,0,'TO HOP NLAN'!F11*'TS-PILE'!$D$73/SUMSQ('TS-PILE'!$D$56:$D$75))),IF('TS-PILE'!$B$74="",-1E+99,'TO HOP NLAN'!D11/ncoc+IF(SUMSQ('TS-PILE'!$E$56:$E$75)=0,0,'TO HOP NLAN'!E11*'TS-PILE'!$E$74/SUMSQ('TS-PILE'!$E$56:$E$75))+IF(SUMSQ('TS-PILE'!$D$56:$D$75)=0,0,'TO HOP NLAN'!F11*'TS-PILE'!$D$74/SUMSQ('TS-PILE'!$D$56:$D$75))),IF('TS-PILE'!$B$75="",-1E+99,'TO HOP NLAN'!D11/ncoc+IF(SUMSQ('TS-PILE'!$E$56:$E$75)=0,0,'TO HOP NLAN'!E11*'TS-PILE'!$E$75/SUMSQ('TS-PILE'!$E$56:$E$75))+IF(SUMSQ('TS-PILE'!$D$56:$D$75)=0,0,'TO HOP NLAN'!F11*'TS-PILE'!$D$75/SUMSQ('TS-PILE'!$D$56:$D$75)))))</f>
        <v>0</v>
      </c>
      <c r="D11" s="46">
        <f>IF(A11="",0,MIN(IF('TS-PILE'!$B$56="",1E+99,'TO HOP NLAN'!D11/ncoc+IF(SUMSQ('TS-PILE'!$E$56:$E$75)=0,0,'TO HOP NLAN'!E11*'TS-PILE'!$E$56/SUMSQ('TS-PILE'!$E$56:$E$75))+IF(SUMSQ('TS-PILE'!$D$56:$D$75)=0,0,'TO HOP NLAN'!F11*'TS-PILE'!$D$56/SUMSQ('TS-PILE'!$D$56:$D$75))),IF('TS-PILE'!$B$57="",1E+99,'TO HOP NLAN'!D11/ncoc+IF(SUMSQ('TS-PILE'!$E$56:$E$75)=0,0,'TO HOP NLAN'!E11*'TS-PILE'!$E$57/SUMSQ('TS-PILE'!$E$56:$E$75))+IF(SUMSQ('TS-PILE'!$D$56:$D$75)=0,0,'TO HOP NLAN'!F11*'TS-PILE'!$D$57/SUMSQ('TS-PILE'!$D$56:$D$75))),IF('TS-PILE'!$B$58="",1E+99,'TO HOP NLAN'!D11/ncoc+IF(SUMSQ('TS-PILE'!$E$56:$E$75)=0,0,'TO HOP NLAN'!E11*'TS-PILE'!$E$58/SUMSQ('TS-PILE'!$E$56:$E$75))+IF(SUMSQ('TS-PILE'!$D$56:$D$75)=0,0,'TO HOP NLAN'!F11*'TS-PILE'!$D$58/SUMSQ('TS-PILE'!$D$56:$D$75))),IF('TS-PILE'!$B$59="",1E+99,'TO HOP NLAN'!D11/ncoc+IF(SUMSQ('TS-PILE'!$E$56:$E$75)=0,0,'TO HOP NLAN'!E11*'TS-PILE'!$E$59/SUMSQ('TS-PILE'!$E$56:$E$75))+IF(SUMSQ('TS-PILE'!$D$56:$D$75)=0,0,'TO HOP NLAN'!F11*'TS-PILE'!$D$59/SUMSQ('TS-PILE'!$D$56:$D$75))),IF('TS-PILE'!$B$60="",1E+99,'TO HOP NLAN'!D11/ncoc+IF(SUMSQ('TS-PILE'!$E$56:$E$75)=0,0,'TO HOP NLAN'!E11*'TS-PILE'!$E$60/SUMSQ('TS-PILE'!$E$56:$E$75))+IF(SUMSQ('TS-PILE'!$D$56:$D$75)=0,0,'TO HOP NLAN'!F11*'TS-PILE'!$D$60/SUMSQ('TS-PILE'!$D$56:$D$75))),IF('TS-PILE'!$B$61="",1E+99,'TO HOP NLAN'!D11/ncoc+IF(SUMSQ('TS-PILE'!$E$56:$E$75)=0,0,'TO HOP NLAN'!E11*'TS-PILE'!$E$61/SUMSQ('TS-PILE'!$E$56:$E$75))+IF(SUMSQ('TS-PILE'!$D$56:$D$75)=0,0,'TO HOP NLAN'!F11*'TS-PILE'!$D$61/SUMSQ('TS-PILE'!$D$56:$D$75))),IF('TS-PILE'!$B$62="",1E+99,'TO HOP NLAN'!D11/ncoc+IF(SUMSQ('TS-PILE'!$E$56:$E$75)=0,0,'TO HOP NLAN'!E11*'TS-PILE'!$E$62/SUMSQ('TS-PILE'!$E$56:$E$75))+IF(SUMSQ('TS-PILE'!$D$56:$D$75)=0,0,'TO HOP NLAN'!F11*'TS-PILE'!$D$62/SUMSQ('TS-PILE'!$D$56:$D$75))),IF('TS-PILE'!$B$63="",1E+99,'TO HOP NLAN'!D11/ncoc+IF(SUMSQ('TS-PILE'!$E$56:$E$75)=0,0,'TO HOP NLAN'!E11*'TS-PILE'!$E$63/SUMSQ('TS-PILE'!$E$56:$E$75))+IF(SUMSQ('TS-PILE'!$D$56:$D$75)=0,0,'TO HOP NLAN'!F11*'TS-PILE'!$D$63/SUMSQ('TS-PILE'!$D$56:$D$75))),IF('TS-PILE'!$B$64="",1E+99,'TO HOP NLAN'!D11/ncoc+IF(SUMSQ('TS-PILE'!$E$56:$E$75)=0,0,'TO HOP NLAN'!E11*'TS-PILE'!$E$64/SUMSQ('TS-PILE'!$E$56:$E$75))+IF(SUMSQ('TS-PILE'!$D$56:$D$75)=0,0,'TO HOP NLAN'!F11*'TS-PILE'!$D$64/SUMSQ('TS-PILE'!$D$56:$D$75))),IF('TS-PILE'!$B$65="",1E+99,'TO HOP NLAN'!D11/ncoc+IF(SUMSQ('TS-PILE'!$E$56:$E$75)=0,0,'TO HOP NLAN'!E11*'TS-PILE'!$E$65/SUMSQ('TS-PILE'!$E$56:$E$75))+IF(SUMSQ('TS-PILE'!$D$56:$D$75)=0,0,'TO HOP NLAN'!F11*'TS-PILE'!$D$65/SUMSQ('TS-PILE'!$D$56:$D$75))),IF('TS-PILE'!$B$66="",1E+99,'TO HOP NLAN'!D11/ncoc+IF(SUMSQ('TS-PILE'!$E$56:$E$75)=0,0,'TO HOP NLAN'!E11*'TS-PILE'!$E$66/SUMSQ('TS-PILE'!$E$56:$E$75))+IF(SUMSQ('TS-PILE'!$D$56:$D$75)=0,0,'TO HOP NLAN'!F11*'TS-PILE'!$D$66/SUMSQ('TS-PILE'!$D$56:$D$75))),IF('TS-PILE'!$B$67="",1E+99,'TO HOP NLAN'!D11/ncoc+IF(SUMSQ('TS-PILE'!$E$56:$E$75)=0,0,'TO HOP NLAN'!E11*'TS-PILE'!$E$67/SUMSQ('TS-PILE'!$E$56:$E$75))+IF(SUMSQ('TS-PILE'!$D$56:$D$75)=0,0,'TO HOP NLAN'!F11*'TS-PILE'!$D$67/SUMSQ('TS-PILE'!$D$56:$D$75))),IF('TS-PILE'!$B$68="",1E+99,'TO HOP NLAN'!D11/ncoc+IF(SUMSQ('TS-PILE'!$E$56:$E$75)=0,0,'TO HOP NLAN'!E11*'TS-PILE'!$E$68/SUMSQ('TS-PILE'!$E$56:$E$75))+IF(SUMSQ('TS-PILE'!$D$56:$D$75)=0,0,'TO HOP NLAN'!F11*'TS-PILE'!$D$68/SUMSQ('TS-PILE'!$D$56:$D$75))),IF('TS-PILE'!$B$69="",1E+99,'TO HOP NLAN'!D11/ncoc+IF(SUMSQ('TS-PILE'!$E$56:$E$75)=0,0,'TO HOP NLAN'!E11*'TS-PILE'!$E$69/SUMSQ('TS-PILE'!$E$56:$E$75))+IF(SUMSQ('TS-PILE'!$D$56:$D$75)=0,0,'TO HOP NLAN'!F11*'TS-PILE'!$D$69/SUMSQ('TS-PILE'!$D$56:$D$75))),IF('TS-PILE'!$B$70="",1E+99,'TO HOP NLAN'!D11/ncoc+IF(SUMSQ('TS-PILE'!$E$56:$E$75)=0,0,'TO HOP NLAN'!E11*'TS-PILE'!$E$70/SUMSQ('TS-PILE'!$E$56:$E$75))+IF(SUMSQ('TS-PILE'!$D$56:$D$75)=0,0,'TO HOP NLAN'!F11*'TS-PILE'!$D$70/SUMSQ('TS-PILE'!$D$56:$D$75))),IF('TS-PILE'!$B$71="",1E+99,'TO HOP NLAN'!D11/ncoc+IF(SUMSQ('TS-PILE'!$E$56:$E$75)=0,0,'TO HOP NLAN'!E11*'TS-PILE'!$E$71/SUMSQ('TS-PILE'!$E$56:$E$75))+IF(SUMSQ('TS-PILE'!$D$56:$D$75)=0,0,'TO HOP NLAN'!F11*'TS-PILE'!$D$71/SUMSQ('TS-PILE'!$D$56:$D$75))),IF('TS-PILE'!$B$72="",1E+99,'TO HOP NLAN'!D11/ncoc+IF(SUMSQ('TS-PILE'!$E$56:$E$75)=0,0,'TO HOP NLAN'!E11*'TS-PILE'!$E$72/SUMSQ('TS-PILE'!$E$56:$E$75))+IF(SUMSQ('TS-PILE'!$D$56:$D$75)=0,0,'TO HOP NLAN'!F11*'TS-PILE'!$D$72/SUMSQ('TS-PILE'!$D$56:$D$75))),IF('TS-PILE'!$B$73="",1E+99,'TO HOP NLAN'!D11/ncoc+IF(SUMSQ('TS-PILE'!$E$56:$E$75)=0,0,'TO HOP NLAN'!E11*'TS-PILE'!$E$73/SUMSQ('TS-PILE'!$E$56:$E$75))+IF(SUMSQ('TS-PILE'!$D$56:$D$75)=0,0,'TO HOP NLAN'!F11*'TS-PILE'!$D$73/SUMSQ('TS-PILE'!$D$56:$D$75))),IF('TS-PILE'!$B$74="",1E+99,'TO HOP NLAN'!D11/ncoc+IF(SUMSQ('TS-PILE'!$E$56:$E$75)=0,0,'TO HOP NLAN'!E11*'TS-PILE'!$E$74/SUMSQ('TS-PILE'!$E$56:$E$75))+IF(SUMSQ('TS-PILE'!$D$56:$D$75)=0,0,'TO HOP NLAN'!F11*'TS-PILE'!$D$74/SUMSQ('TS-PILE'!$D$56:$D$75))),IF('TS-PILE'!$B$75="",1E+99,'TO HOP NLAN'!D11/ncoc+IF(SUMSQ('TS-PILE'!$E$56:$E$75)=0,0,'TO HOP NLAN'!E11*'TS-PILE'!$E$75/SUMSQ('TS-PILE'!$E$56:$E$75))+IF(SUMSQ('TS-PILE'!$D$56:$D$75)=0,0,'TO HOP NLAN'!F11*'TS-PILE'!$D$75/SUMSQ('TS-PILE'!$D$56:$D$75)))))</f>
        <v>0</v>
      </c>
      <c r="E11" s="46">
        <f t="shared" si="0"/>
        <v>-9.9999999999999997E+98</v>
      </c>
      <c r="F11" s="46">
        <f t="shared" si="1"/>
        <v>9.9999999999999997E+98</v>
      </c>
      <c r="G11" s="46">
        <f t="shared" si="2"/>
        <v>-9.9999999999999997E+98</v>
      </c>
      <c r="H11" s="46">
        <f t="shared" si="3"/>
        <v>9.9999999999999997E+98</v>
      </c>
    </row>
    <row r="12" spans="1:8" x14ac:dyDescent="0.3">
      <c r="A12" s="40" t="str">
        <f>'TO HOP NLAN'!A12</f>
        <v/>
      </c>
      <c r="B12" s="40" t="str">
        <f>'TO HOP NLAN'!L12</f>
        <v>SERVICE</v>
      </c>
      <c r="C12" s="46">
        <f>IF(A12="",0,MAX(IF('TS-PILE'!$B$56="",-1E+99,'TO HOP NLAN'!D12/ncoc+IF(SUMSQ('TS-PILE'!$E$56:$E$75)=0,0,'TO HOP NLAN'!E12*'TS-PILE'!$E$56/SUMSQ('TS-PILE'!$E$56:$E$75))+IF(SUMSQ('TS-PILE'!$D$56:$D$75)=0,0,'TO HOP NLAN'!F12*'TS-PILE'!$D$56/SUMSQ('TS-PILE'!$D$56:$D$75))),IF('TS-PILE'!$B$57="",-1E+99,'TO HOP NLAN'!D12/ncoc+IF(SUMSQ('TS-PILE'!$E$56:$E$75)=0,0,'TO HOP NLAN'!E12*'TS-PILE'!$E$57/SUMSQ('TS-PILE'!$E$56:$E$75))+IF(SUMSQ('TS-PILE'!$D$56:$D$75)=0,0,'TO HOP NLAN'!F12*'TS-PILE'!$D$57/SUMSQ('TS-PILE'!$D$56:$D$75))),IF('TS-PILE'!$B$58="",-1E+99,'TO HOP NLAN'!D12/ncoc+IF(SUMSQ('TS-PILE'!$E$56:$E$75)=0,0,'TO HOP NLAN'!E12*'TS-PILE'!$E$58/SUMSQ('TS-PILE'!$E$56:$E$75))+IF(SUMSQ('TS-PILE'!$D$56:$D$75)=0,0,'TO HOP NLAN'!F12*'TS-PILE'!$D$58/SUMSQ('TS-PILE'!$D$56:$D$75))),IF('TS-PILE'!$B$59="",-1E+99,'TO HOP NLAN'!D12/ncoc+IF(SUMSQ('TS-PILE'!$E$56:$E$75)=0,0,'TO HOP NLAN'!E12*'TS-PILE'!$E$59/SUMSQ('TS-PILE'!$E$56:$E$75))+IF(SUMSQ('TS-PILE'!$D$56:$D$75)=0,0,'TO HOP NLAN'!F12*'TS-PILE'!$D$59/SUMSQ('TS-PILE'!$D$56:$D$75))),IF('TS-PILE'!$B$60="",-1E+99,'TO HOP NLAN'!D12/ncoc+IF(SUMSQ('TS-PILE'!$E$56:$E$75)=0,0,'TO HOP NLAN'!E12*'TS-PILE'!$E$60/SUMSQ('TS-PILE'!$E$56:$E$75))+IF(SUMSQ('TS-PILE'!$D$56:$D$75)=0,0,'TO HOP NLAN'!F12*'TS-PILE'!$D$60/SUMSQ('TS-PILE'!$D$56:$D$75))),IF('TS-PILE'!$B$61="",-1E+99,'TO HOP NLAN'!D12/ncoc+IF(SUMSQ('TS-PILE'!$E$56:$E$75)=0,0,'TO HOP NLAN'!E12*'TS-PILE'!$E$61/SUMSQ('TS-PILE'!$E$56:$E$75))+IF(SUMSQ('TS-PILE'!$D$56:$D$75)=0,0,'TO HOP NLAN'!F12*'TS-PILE'!$D$61/SUMSQ('TS-PILE'!$D$56:$D$75))),IF('TS-PILE'!$B$62="",-1E+99,'TO HOP NLAN'!D12/ncoc+IF(SUMSQ('TS-PILE'!$E$56:$E$75)=0,0,'TO HOP NLAN'!E12*'TS-PILE'!$E$62/SUMSQ('TS-PILE'!$E$56:$E$75))+IF(SUMSQ('TS-PILE'!$D$56:$D$75)=0,0,'TO HOP NLAN'!F12*'TS-PILE'!$D$62/SUMSQ('TS-PILE'!$D$56:$D$75))),IF('TS-PILE'!$B$63="",-1E+99,'TO HOP NLAN'!D12/ncoc+IF(SUMSQ('TS-PILE'!$E$56:$E$75)=0,0,'TO HOP NLAN'!E12*'TS-PILE'!$E$63/SUMSQ('TS-PILE'!$E$56:$E$75))+IF(SUMSQ('TS-PILE'!$D$56:$D$75)=0,0,'TO HOP NLAN'!F12*'TS-PILE'!$D$63/SUMSQ('TS-PILE'!$D$56:$D$75))),IF('TS-PILE'!$B$64="",-1E+99,'TO HOP NLAN'!D12/ncoc+IF(SUMSQ('TS-PILE'!$E$56:$E$75)=0,0,'TO HOP NLAN'!E12*'TS-PILE'!$E$64/SUMSQ('TS-PILE'!$E$56:$E$75))+IF(SUMSQ('TS-PILE'!$D$56:$D$75)=0,0,'TO HOP NLAN'!F12*'TS-PILE'!$D$64/SUMSQ('TS-PILE'!$D$56:$D$75))),IF('TS-PILE'!$B$65="",-1E+99,'TO HOP NLAN'!D12/ncoc+IF(SUMSQ('TS-PILE'!$E$56:$E$75)=0,0,'TO HOP NLAN'!E12*'TS-PILE'!$E$65/SUMSQ('TS-PILE'!$E$56:$E$75))+IF(SUMSQ('TS-PILE'!$D$56:$D$75)=0,0,'TO HOP NLAN'!F12*'TS-PILE'!$D$65/SUMSQ('TS-PILE'!$D$56:$D$75))),IF('TS-PILE'!$B$66="",-1E+99,'TO HOP NLAN'!D12/ncoc+IF(SUMSQ('TS-PILE'!$E$56:$E$75)=0,0,'TO HOP NLAN'!E12*'TS-PILE'!$E$66/SUMSQ('TS-PILE'!$E$56:$E$75))+IF(SUMSQ('TS-PILE'!$D$56:$D$75)=0,0,'TO HOP NLAN'!F12*'TS-PILE'!$D$66/SUMSQ('TS-PILE'!$D$56:$D$75))),IF('TS-PILE'!$B$67="",-1E+99,'TO HOP NLAN'!D12/ncoc+IF(SUMSQ('TS-PILE'!$E$56:$E$75)=0,0,'TO HOP NLAN'!E12*'TS-PILE'!$E$67/SUMSQ('TS-PILE'!$E$56:$E$75))+IF(SUMSQ('TS-PILE'!$D$56:$D$75)=0,0,'TO HOP NLAN'!F12*'TS-PILE'!$D$67/SUMSQ('TS-PILE'!$D$56:$D$75))),IF('TS-PILE'!$B$68="",-1E+99,'TO HOP NLAN'!D12/ncoc+IF(SUMSQ('TS-PILE'!$E$56:$E$75)=0,0,'TO HOP NLAN'!E12*'TS-PILE'!$E$68/SUMSQ('TS-PILE'!$E$56:$E$75))+IF(SUMSQ('TS-PILE'!$D$56:$D$75)=0,0,'TO HOP NLAN'!F12*'TS-PILE'!$D$68/SUMSQ('TS-PILE'!$D$56:$D$75))),IF('TS-PILE'!$B$69="",-1E+99,'TO HOP NLAN'!D12/ncoc+IF(SUMSQ('TS-PILE'!$E$56:$E$75)=0,0,'TO HOP NLAN'!E12*'TS-PILE'!$E$69/SUMSQ('TS-PILE'!$E$56:$E$75))+IF(SUMSQ('TS-PILE'!$D$56:$D$75)=0,0,'TO HOP NLAN'!F12*'TS-PILE'!$D$69/SUMSQ('TS-PILE'!$D$56:$D$75))),IF('TS-PILE'!$B$70="",-1E+99,'TO HOP NLAN'!D12/ncoc+IF(SUMSQ('TS-PILE'!$E$56:$E$75)=0,0,'TO HOP NLAN'!E12*'TS-PILE'!$E$70/SUMSQ('TS-PILE'!$E$56:$E$75))+IF(SUMSQ('TS-PILE'!$D$56:$D$75)=0,0,'TO HOP NLAN'!F12*'TS-PILE'!$D$70/SUMSQ('TS-PILE'!$D$56:$D$75))),IF('TS-PILE'!$B$71="",-1E+99,'TO HOP NLAN'!D12/ncoc+IF(SUMSQ('TS-PILE'!$E$56:$E$75)=0,0,'TO HOP NLAN'!E12*'TS-PILE'!$E$71/SUMSQ('TS-PILE'!$E$56:$E$75))+IF(SUMSQ('TS-PILE'!$D$56:$D$75)=0,0,'TO HOP NLAN'!F12*'TS-PILE'!$D$71/SUMSQ('TS-PILE'!$D$56:$D$75))),IF('TS-PILE'!$B$72="",-1E+99,'TO HOP NLAN'!D12/ncoc+IF(SUMSQ('TS-PILE'!$E$56:$E$75)=0,0,'TO HOP NLAN'!E12*'TS-PILE'!$E$72/SUMSQ('TS-PILE'!$E$56:$E$75))+IF(SUMSQ('TS-PILE'!$D$56:$D$75)=0,0,'TO HOP NLAN'!F12*'TS-PILE'!$D$72/SUMSQ('TS-PILE'!$D$56:$D$75))),IF('TS-PILE'!$B$73="",-1E+99,'TO HOP NLAN'!D12/ncoc+IF(SUMSQ('TS-PILE'!$E$56:$E$75)=0,0,'TO HOP NLAN'!E12*'TS-PILE'!$E$73/SUMSQ('TS-PILE'!$E$56:$E$75))+IF(SUMSQ('TS-PILE'!$D$56:$D$75)=0,0,'TO HOP NLAN'!F12*'TS-PILE'!$D$73/SUMSQ('TS-PILE'!$D$56:$D$75))),IF('TS-PILE'!$B$74="",-1E+99,'TO HOP NLAN'!D12/ncoc+IF(SUMSQ('TS-PILE'!$E$56:$E$75)=0,0,'TO HOP NLAN'!E12*'TS-PILE'!$E$74/SUMSQ('TS-PILE'!$E$56:$E$75))+IF(SUMSQ('TS-PILE'!$D$56:$D$75)=0,0,'TO HOP NLAN'!F12*'TS-PILE'!$D$74/SUMSQ('TS-PILE'!$D$56:$D$75))),IF('TS-PILE'!$B$75="",-1E+99,'TO HOP NLAN'!D12/ncoc+IF(SUMSQ('TS-PILE'!$E$56:$E$75)=0,0,'TO HOP NLAN'!E12*'TS-PILE'!$E$75/SUMSQ('TS-PILE'!$E$56:$E$75))+IF(SUMSQ('TS-PILE'!$D$56:$D$75)=0,0,'TO HOP NLAN'!F12*'TS-PILE'!$D$75/SUMSQ('TS-PILE'!$D$56:$D$75)))))</f>
        <v>0</v>
      </c>
      <c r="D12" s="46">
        <f>IF(A12="",0,MIN(IF('TS-PILE'!$B$56="",1E+99,'TO HOP NLAN'!D12/ncoc+IF(SUMSQ('TS-PILE'!$E$56:$E$75)=0,0,'TO HOP NLAN'!E12*'TS-PILE'!$E$56/SUMSQ('TS-PILE'!$E$56:$E$75))+IF(SUMSQ('TS-PILE'!$D$56:$D$75)=0,0,'TO HOP NLAN'!F12*'TS-PILE'!$D$56/SUMSQ('TS-PILE'!$D$56:$D$75))),IF('TS-PILE'!$B$57="",1E+99,'TO HOP NLAN'!D12/ncoc+IF(SUMSQ('TS-PILE'!$E$56:$E$75)=0,0,'TO HOP NLAN'!E12*'TS-PILE'!$E$57/SUMSQ('TS-PILE'!$E$56:$E$75))+IF(SUMSQ('TS-PILE'!$D$56:$D$75)=0,0,'TO HOP NLAN'!F12*'TS-PILE'!$D$57/SUMSQ('TS-PILE'!$D$56:$D$75))),IF('TS-PILE'!$B$58="",1E+99,'TO HOP NLAN'!D12/ncoc+IF(SUMSQ('TS-PILE'!$E$56:$E$75)=0,0,'TO HOP NLAN'!E12*'TS-PILE'!$E$58/SUMSQ('TS-PILE'!$E$56:$E$75))+IF(SUMSQ('TS-PILE'!$D$56:$D$75)=0,0,'TO HOP NLAN'!F12*'TS-PILE'!$D$58/SUMSQ('TS-PILE'!$D$56:$D$75))),IF('TS-PILE'!$B$59="",1E+99,'TO HOP NLAN'!D12/ncoc+IF(SUMSQ('TS-PILE'!$E$56:$E$75)=0,0,'TO HOP NLAN'!E12*'TS-PILE'!$E$59/SUMSQ('TS-PILE'!$E$56:$E$75))+IF(SUMSQ('TS-PILE'!$D$56:$D$75)=0,0,'TO HOP NLAN'!F12*'TS-PILE'!$D$59/SUMSQ('TS-PILE'!$D$56:$D$75))),IF('TS-PILE'!$B$60="",1E+99,'TO HOP NLAN'!D12/ncoc+IF(SUMSQ('TS-PILE'!$E$56:$E$75)=0,0,'TO HOP NLAN'!E12*'TS-PILE'!$E$60/SUMSQ('TS-PILE'!$E$56:$E$75))+IF(SUMSQ('TS-PILE'!$D$56:$D$75)=0,0,'TO HOP NLAN'!F12*'TS-PILE'!$D$60/SUMSQ('TS-PILE'!$D$56:$D$75))),IF('TS-PILE'!$B$61="",1E+99,'TO HOP NLAN'!D12/ncoc+IF(SUMSQ('TS-PILE'!$E$56:$E$75)=0,0,'TO HOP NLAN'!E12*'TS-PILE'!$E$61/SUMSQ('TS-PILE'!$E$56:$E$75))+IF(SUMSQ('TS-PILE'!$D$56:$D$75)=0,0,'TO HOP NLAN'!F12*'TS-PILE'!$D$61/SUMSQ('TS-PILE'!$D$56:$D$75))),IF('TS-PILE'!$B$62="",1E+99,'TO HOP NLAN'!D12/ncoc+IF(SUMSQ('TS-PILE'!$E$56:$E$75)=0,0,'TO HOP NLAN'!E12*'TS-PILE'!$E$62/SUMSQ('TS-PILE'!$E$56:$E$75))+IF(SUMSQ('TS-PILE'!$D$56:$D$75)=0,0,'TO HOP NLAN'!F12*'TS-PILE'!$D$62/SUMSQ('TS-PILE'!$D$56:$D$75))),IF('TS-PILE'!$B$63="",1E+99,'TO HOP NLAN'!D12/ncoc+IF(SUMSQ('TS-PILE'!$E$56:$E$75)=0,0,'TO HOP NLAN'!E12*'TS-PILE'!$E$63/SUMSQ('TS-PILE'!$E$56:$E$75))+IF(SUMSQ('TS-PILE'!$D$56:$D$75)=0,0,'TO HOP NLAN'!F12*'TS-PILE'!$D$63/SUMSQ('TS-PILE'!$D$56:$D$75))),IF('TS-PILE'!$B$64="",1E+99,'TO HOP NLAN'!D12/ncoc+IF(SUMSQ('TS-PILE'!$E$56:$E$75)=0,0,'TO HOP NLAN'!E12*'TS-PILE'!$E$64/SUMSQ('TS-PILE'!$E$56:$E$75))+IF(SUMSQ('TS-PILE'!$D$56:$D$75)=0,0,'TO HOP NLAN'!F12*'TS-PILE'!$D$64/SUMSQ('TS-PILE'!$D$56:$D$75))),IF('TS-PILE'!$B$65="",1E+99,'TO HOP NLAN'!D12/ncoc+IF(SUMSQ('TS-PILE'!$E$56:$E$75)=0,0,'TO HOP NLAN'!E12*'TS-PILE'!$E$65/SUMSQ('TS-PILE'!$E$56:$E$75))+IF(SUMSQ('TS-PILE'!$D$56:$D$75)=0,0,'TO HOP NLAN'!F12*'TS-PILE'!$D$65/SUMSQ('TS-PILE'!$D$56:$D$75))),IF('TS-PILE'!$B$66="",1E+99,'TO HOP NLAN'!D12/ncoc+IF(SUMSQ('TS-PILE'!$E$56:$E$75)=0,0,'TO HOP NLAN'!E12*'TS-PILE'!$E$66/SUMSQ('TS-PILE'!$E$56:$E$75))+IF(SUMSQ('TS-PILE'!$D$56:$D$75)=0,0,'TO HOP NLAN'!F12*'TS-PILE'!$D$66/SUMSQ('TS-PILE'!$D$56:$D$75))),IF('TS-PILE'!$B$67="",1E+99,'TO HOP NLAN'!D12/ncoc+IF(SUMSQ('TS-PILE'!$E$56:$E$75)=0,0,'TO HOP NLAN'!E12*'TS-PILE'!$E$67/SUMSQ('TS-PILE'!$E$56:$E$75))+IF(SUMSQ('TS-PILE'!$D$56:$D$75)=0,0,'TO HOP NLAN'!F12*'TS-PILE'!$D$67/SUMSQ('TS-PILE'!$D$56:$D$75))),IF('TS-PILE'!$B$68="",1E+99,'TO HOP NLAN'!D12/ncoc+IF(SUMSQ('TS-PILE'!$E$56:$E$75)=0,0,'TO HOP NLAN'!E12*'TS-PILE'!$E$68/SUMSQ('TS-PILE'!$E$56:$E$75))+IF(SUMSQ('TS-PILE'!$D$56:$D$75)=0,0,'TO HOP NLAN'!F12*'TS-PILE'!$D$68/SUMSQ('TS-PILE'!$D$56:$D$75))),IF('TS-PILE'!$B$69="",1E+99,'TO HOP NLAN'!D12/ncoc+IF(SUMSQ('TS-PILE'!$E$56:$E$75)=0,0,'TO HOP NLAN'!E12*'TS-PILE'!$E$69/SUMSQ('TS-PILE'!$E$56:$E$75))+IF(SUMSQ('TS-PILE'!$D$56:$D$75)=0,0,'TO HOP NLAN'!F12*'TS-PILE'!$D$69/SUMSQ('TS-PILE'!$D$56:$D$75))),IF('TS-PILE'!$B$70="",1E+99,'TO HOP NLAN'!D12/ncoc+IF(SUMSQ('TS-PILE'!$E$56:$E$75)=0,0,'TO HOP NLAN'!E12*'TS-PILE'!$E$70/SUMSQ('TS-PILE'!$E$56:$E$75))+IF(SUMSQ('TS-PILE'!$D$56:$D$75)=0,0,'TO HOP NLAN'!F12*'TS-PILE'!$D$70/SUMSQ('TS-PILE'!$D$56:$D$75))),IF('TS-PILE'!$B$71="",1E+99,'TO HOP NLAN'!D12/ncoc+IF(SUMSQ('TS-PILE'!$E$56:$E$75)=0,0,'TO HOP NLAN'!E12*'TS-PILE'!$E$71/SUMSQ('TS-PILE'!$E$56:$E$75))+IF(SUMSQ('TS-PILE'!$D$56:$D$75)=0,0,'TO HOP NLAN'!F12*'TS-PILE'!$D$71/SUMSQ('TS-PILE'!$D$56:$D$75))),IF('TS-PILE'!$B$72="",1E+99,'TO HOP NLAN'!D12/ncoc+IF(SUMSQ('TS-PILE'!$E$56:$E$75)=0,0,'TO HOP NLAN'!E12*'TS-PILE'!$E$72/SUMSQ('TS-PILE'!$E$56:$E$75))+IF(SUMSQ('TS-PILE'!$D$56:$D$75)=0,0,'TO HOP NLAN'!F12*'TS-PILE'!$D$72/SUMSQ('TS-PILE'!$D$56:$D$75))),IF('TS-PILE'!$B$73="",1E+99,'TO HOP NLAN'!D12/ncoc+IF(SUMSQ('TS-PILE'!$E$56:$E$75)=0,0,'TO HOP NLAN'!E12*'TS-PILE'!$E$73/SUMSQ('TS-PILE'!$E$56:$E$75))+IF(SUMSQ('TS-PILE'!$D$56:$D$75)=0,0,'TO HOP NLAN'!F12*'TS-PILE'!$D$73/SUMSQ('TS-PILE'!$D$56:$D$75))),IF('TS-PILE'!$B$74="",1E+99,'TO HOP NLAN'!D12/ncoc+IF(SUMSQ('TS-PILE'!$E$56:$E$75)=0,0,'TO HOP NLAN'!E12*'TS-PILE'!$E$74/SUMSQ('TS-PILE'!$E$56:$E$75))+IF(SUMSQ('TS-PILE'!$D$56:$D$75)=0,0,'TO HOP NLAN'!F12*'TS-PILE'!$D$74/SUMSQ('TS-PILE'!$D$56:$D$75))),IF('TS-PILE'!$B$75="",1E+99,'TO HOP NLAN'!D12/ncoc+IF(SUMSQ('TS-PILE'!$E$56:$E$75)=0,0,'TO HOP NLAN'!E12*'TS-PILE'!$E$75/SUMSQ('TS-PILE'!$E$56:$E$75))+IF(SUMSQ('TS-PILE'!$D$56:$D$75)=0,0,'TO HOP NLAN'!F12*'TS-PILE'!$D$75/SUMSQ('TS-PILE'!$D$56:$D$75)))))</f>
        <v>0</v>
      </c>
      <c r="E12" s="46">
        <f t="shared" si="0"/>
        <v>-9.9999999999999997E+98</v>
      </c>
      <c r="F12" s="46">
        <f t="shared" si="1"/>
        <v>9.9999999999999997E+98</v>
      </c>
      <c r="G12" s="46">
        <f t="shared" si="2"/>
        <v>-9.9999999999999997E+98</v>
      </c>
      <c r="H12" s="46">
        <f t="shared" si="3"/>
        <v>9.9999999999999997E+98</v>
      </c>
    </row>
    <row r="13" spans="1:8" x14ac:dyDescent="0.3">
      <c r="A13" s="40" t="str">
        <f>'TO HOP NLAN'!A13</f>
        <v/>
      </c>
      <c r="B13" s="40" t="str">
        <f>'TO HOP NLAN'!L13</f>
        <v>SERVICE</v>
      </c>
      <c r="C13" s="46">
        <f>IF(A13="",0,MAX(IF('TS-PILE'!$B$56="",-1E+99,'TO HOP NLAN'!D13/ncoc+IF(SUMSQ('TS-PILE'!$E$56:$E$75)=0,0,'TO HOP NLAN'!E13*'TS-PILE'!$E$56/SUMSQ('TS-PILE'!$E$56:$E$75))+IF(SUMSQ('TS-PILE'!$D$56:$D$75)=0,0,'TO HOP NLAN'!F13*'TS-PILE'!$D$56/SUMSQ('TS-PILE'!$D$56:$D$75))),IF('TS-PILE'!$B$57="",-1E+99,'TO HOP NLAN'!D13/ncoc+IF(SUMSQ('TS-PILE'!$E$56:$E$75)=0,0,'TO HOP NLAN'!E13*'TS-PILE'!$E$57/SUMSQ('TS-PILE'!$E$56:$E$75))+IF(SUMSQ('TS-PILE'!$D$56:$D$75)=0,0,'TO HOP NLAN'!F13*'TS-PILE'!$D$57/SUMSQ('TS-PILE'!$D$56:$D$75))),IF('TS-PILE'!$B$58="",-1E+99,'TO HOP NLAN'!D13/ncoc+IF(SUMSQ('TS-PILE'!$E$56:$E$75)=0,0,'TO HOP NLAN'!E13*'TS-PILE'!$E$58/SUMSQ('TS-PILE'!$E$56:$E$75))+IF(SUMSQ('TS-PILE'!$D$56:$D$75)=0,0,'TO HOP NLAN'!F13*'TS-PILE'!$D$58/SUMSQ('TS-PILE'!$D$56:$D$75))),IF('TS-PILE'!$B$59="",-1E+99,'TO HOP NLAN'!D13/ncoc+IF(SUMSQ('TS-PILE'!$E$56:$E$75)=0,0,'TO HOP NLAN'!E13*'TS-PILE'!$E$59/SUMSQ('TS-PILE'!$E$56:$E$75))+IF(SUMSQ('TS-PILE'!$D$56:$D$75)=0,0,'TO HOP NLAN'!F13*'TS-PILE'!$D$59/SUMSQ('TS-PILE'!$D$56:$D$75))),IF('TS-PILE'!$B$60="",-1E+99,'TO HOP NLAN'!D13/ncoc+IF(SUMSQ('TS-PILE'!$E$56:$E$75)=0,0,'TO HOP NLAN'!E13*'TS-PILE'!$E$60/SUMSQ('TS-PILE'!$E$56:$E$75))+IF(SUMSQ('TS-PILE'!$D$56:$D$75)=0,0,'TO HOP NLAN'!F13*'TS-PILE'!$D$60/SUMSQ('TS-PILE'!$D$56:$D$75))),IF('TS-PILE'!$B$61="",-1E+99,'TO HOP NLAN'!D13/ncoc+IF(SUMSQ('TS-PILE'!$E$56:$E$75)=0,0,'TO HOP NLAN'!E13*'TS-PILE'!$E$61/SUMSQ('TS-PILE'!$E$56:$E$75))+IF(SUMSQ('TS-PILE'!$D$56:$D$75)=0,0,'TO HOP NLAN'!F13*'TS-PILE'!$D$61/SUMSQ('TS-PILE'!$D$56:$D$75))),IF('TS-PILE'!$B$62="",-1E+99,'TO HOP NLAN'!D13/ncoc+IF(SUMSQ('TS-PILE'!$E$56:$E$75)=0,0,'TO HOP NLAN'!E13*'TS-PILE'!$E$62/SUMSQ('TS-PILE'!$E$56:$E$75))+IF(SUMSQ('TS-PILE'!$D$56:$D$75)=0,0,'TO HOP NLAN'!F13*'TS-PILE'!$D$62/SUMSQ('TS-PILE'!$D$56:$D$75))),IF('TS-PILE'!$B$63="",-1E+99,'TO HOP NLAN'!D13/ncoc+IF(SUMSQ('TS-PILE'!$E$56:$E$75)=0,0,'TO HOP NLAN'!E13*'TS-PILE'!$E$63/SUMSQ('TS-PILE'!$E$56:$E$75))+IF(SUMSQ('TS-PILE'!$D$56:$D$75)=0,0,'TO HOP NLAN'!F13*'TS-PILE'!$D$63/SUMSQ('TS-PILE'!$D$56:$D$75))),IF('TS-PILE'!$B$64="",-1E+99,'TO HOP NLAN'!D13/ncoc+IF(SUMSQ('TS-PILE'!$E$56:$E$75)=0,0,'TO HOP NLAN'!E13*'TS-PILE'!$E$64/SUMSQ('TS-PILE'!$E$56:$E$75))+IF(SUMSQ('TS-PILE'!$D$56:$D$75)=0,0,'TO HOP NLAN'!F13*'TS-PILE'!$D$64/SUMSQ('TS-PILE'!$D$56:$D$75))),IF('TS-PILE'!$B$65="",-1E+99,'TO HOP NLAN'!D13/ncoc+IF(SUMSQ('TS-PILE'!$E$56:$E$75)=0,0,'TO HOP NLAN'!E13*'TS-PILE'!$E$65/SUMSQ('TS-PILE'!$E$56:$E$75))+IF(SUMSQ('TS-PILE'!$D$56:$D$75)=0,0,'TO HOP NLAN'!F13*'TS-PILE'!$D$65/SUMSQ('TS-PILE'!$D$56:$D$75))),IF('TS-PILE'!$B$66="",-1E+99,'TO HOP NLAN'!D13/ncoc+IF(SUMSQ('TS-PILE'!$E$56:$E$75)=0,0,'TO HOP NLAN'!E13*'TS-PILE'!$E$66/SUMSQ('TS-PILE'!$E$56:$E$75))+IF(SUMSQ('TS-PILE'!$D$56:$D$75)=0,0,'TO HOP NLAN'!F13*'TS-PILE'!$D$66/SUMSQ('TS-PILE'!$D$56:$D$75))),IF('TS-PILE'!$B$67="",-1E+99,'TO HOP NLAN'!D13/ncoc+IF(SUMSQ('TS-PILE'!$E$56:$E$75)=0,0,'TO HOP NLAN'!E13*'TS-PILE'!$E$67/SUMSQ('TS-PILE'!$E$56:$E$75))+IF(SUMSQ('TS-PILE'!$D$56:$D$75)=0,0,'TO HOP NLAN'!F13*'TS-PILE'!$D$67/SUMSQ('TS-PILE'!$D$56:$D$75))),IF('TS-PILE'!$B$68="",-1E+99,'TO HOP NLAN'!D13/ncoc+IF(SUMSQ('TS-PILE'!$E$56:$E$75)=0,0,'TO HOP NLAN'!E13*'TS-PILE'!$E$68/SUMSQ('TS-PILE'!$E$56:$E$75))+IF(SUMSQ('TS-PILE'!$D$56:$D$75)=0,0,'TO HOP NLAN'!F13*'TS-PILE'!$D$68/SUMSQ('TS-PILE'!$D$56:$D$75))),IF('TS-PILE'!$B$69="",-1E+99,'TO HOP NLAN'!D13/ncoc+IF(SUMSQ('TS-PILE'!$E$56:$E$75)=0,0,'TO HOP NLAN'!E13*'TS-PILE'!$E$69/SUMSQ('TS-PILE'!$E$56:$E$75))+IF(SUMSQ('TS-PILE'!$D$56:$D$75)=0,0,'TO HOP NLAN'!F13*'TS-PILE'!$D$69/SUMSQ('TS-PILE'!$D$56:$D$75))),IF('TS-PILE'!$B$70="",-1E+99,'TO HOP NLAN'!D13/ncoc+IF(SUMSQ('TS-PILE'!$E$56:$E$75)=0,0,'TO HOP NLAN'!E13*'TS-PILE'!$E$70/SUMSQ('TS-PILE'!$E$56:$E$75))+IF(SUMSQ('TS-PILE'!$D$56:$D$75)=0,0,'TO HOP NLAN'!F13*'TS-PILE'!$D$70/SUMSQ('TS-PILE'!$D$56:$D$75))),IF('TS-PILE'!$B$71="",-1E+99,'TO HOP NLAN'!D13/ncoc+IF(SUMSQ('TS-PILE'!$E$56:$E$75)=0,0,'TO HOP NLAN'!E13*'TS-PILE'!$E$71/SUMSQ('TS-PILE'!$E$56:$E$75))+IF(SUMSQ('TS-PILE'!$D$56:$D$75)=0,0,'TO HOP NLAN'!F13*'TS-PILE'!$D$71/SUMSQ('TS-PILE'!$D$56:$D$75))),IF('TS-PILE'!$B$72="",-1E+99,'TO HOP NLAN'!D13/ncoc+IF(SUMSQ('TS-PILE'!$E$56:$E$75)=0,0,'TO HOP NLAN'!E13*'TS-PILE'!$E$72/SUMSQ('TS-PILE'!$E$56:$E$75))+IF(SUMSQ('TS-PILE'!$D$56:$D$75)=0,0,'TO HOP NLAN'!F13*'TS-PILE'!$D$72/SUMSQ('TS-PILE'!$D$56:$D$75))),IF('TS-PILE'!$B$73="",-1E+99,'TO HOP NLAN'!D13/ncoc+IF(SUMSQ('TS-PILE'!$E$56:$E$75)=0,0,'TO HOP NLAN'!E13*'TS-PILE'!$E$73/SUMSQ('TS-PILE'!$E$56:$E$75))+IF(SUMSQ('TS-PILE'!$D$56:$D$75)=0,0,'TO HOP NLAN'!F13*'TS-PILE'!$D$73/SUMSQ('TS-PILE'!$D$56:$D$75))),IF('TS-PILE'!$B$74="",-1E+99,'TO HOP NLAN'!D13/ncoc+IF(SUMSQ('TS-PILE'!$E$56:$E$75)=0,0,'TO HOP NLAN'!E13*'TS-PILE'!$E$74/SUMSQ('TS-PILE'!$E$56:$E$75))+IF(SUMSQ('TS-PILE'!$D$56:$D$75)=0,0,'TO HOP NLAN'!F13*'TS-PILE'!$D$74/SUMSQ('TS-PILE'!$D$56:$D$75))),IF('TS-PILE'!$B$75="",-1E+99,'TO HOP NLAN'!D13/ncoc+IF(SUMSQ('TS-PILE'!$E$56:$E$75)=0,0,'TO HOP NLAN'!E13*'TS-PILE'!$E$75/SUMSQ('TS-PILE'!$E$56:$E$75))+IF(SUMSQ('TS-PILE'!$D$56:$D$75)=0,0,'TO HOP NLAN'!F13*'TS-PILE'!$D$75/SUMSQ('TS-PILE'!$D$56:$D$75)))))</f>
        <v>0</v>
      </c>
      <c r="D13" s="46">
        <f>IF(A13="",0,MIN(IF('TS-PILE'!$B$56="",1E+99,'TO HOP NLAN'!D13/ncoc+IF(SUMSQ('TS-PILE'!$E$56:$E$75)=0,0,'TO HOP NLAN'!E13*'TS-PILE'!$E$56/SUMSQ('TS-PILE'!$E$56:$E$75))+IF(SUMSQ('TS-PILE'!$D$56:$D$75)=0,0,'TO HOP NLAN'!F13*'TS-PILE'!$D$56/SUMSQ('TS-PILE'!$D$56:$D$75))),IF('TS-PILE'!$B$57="",1E+99,'TO HOP NLAN'!D13/ncoc+IF(SUMSQ('TS-PILE'!$E$56:$E$75)=0,0,'TO HOP NLAN'!E13*'TS-PILE'!$E$57/SUMSQ('TS-PILE'!$E$56:$E$75))+IF(SUMSQ('TS-PILE'!$D$56:$D$75)=0,0,'TO HOP NLAN'!F13*'TS-PILE'!$D$57/SUMSQ('TS-PILE'!$D$56:$D$75))),IF('TS-PILE'!$B$58="",1E+99,'TO HOP NLAN'!D13/ncoc+IF(SUMSQ('TS-PILE'!$E$56:$E$75)=0,0,'TO HOP NLAN'!E13*'TS-PILE'!$E$58/SUMSQ('TS-PILE'!$E$56:$E$75))+IF(SUMSQ('TS-PILE'!$D$56:$D$75)=0,0,'TO HOP NLAN'!F13*'TS-PILE'!$D$58/SUMSQ('TS-PILE'!$D$56:$D$75))),IF('TS-PILE'!$B$59="",1E+99,'TO HOP NLAN'!D13/ncoc+IF(SUMSQ('TS-PILE'!$E$56:$E$75)=0,0,'TO HOP NLAN'!E13*'TS-PILE'!$E$59/SUMSQ('TS-PILE'!$E$56:$E$75))+IF(SUMSQ('TS-PILE'!$D$56:$D$75)=0,0,'TO HOP NLAN'!F13*'TS-PILE'!$D$59/SUMSQ('TS-PILE'!$D$56:$D$75))),IF('TS-PILE'!$B$60="",1E+99,'TO HOP NLAN'!D13/ncoc+IF(SUMSQ('TS-PILE'!$E$56:$E$75)=0,0,'TO HOP NLAN'!E13*'TS-PILE'!$E$60/SUMSQ('TS-PILE'!$E$56:$E$75))+IF(SUMSQ('TS-PILE'!$D$56:$D$75)=0,0,'TO HOP NLAN'!F13*'TS-PILE'!$D$60/SUMSQ('TS-PILE'!$D$56:$D$75))),IF('TS-PILE'!$B$61="",1E+99,'TO HOP NLAN'!D13/ncoc+IF(SUMSQ('TS-PILE'!$E$56:$E$75)=0,0,'TO HOP NLAN'!E13*'TS-PILE'!$E$61/SUMSQ('TS-PILE'!$E$56:$E$75))+IF(SUMSQ('TS-PILE'!$D$56:$D$75)=0,0,'TO HOP NLAN'!F13*'TS-PILE'!$D$61/SUMSQ('TS-PILE'!$D$56:$D$75))),IF('TS-PILE'!$B$62="",1E+99,'TO HOP NLAN'!D13/ncoc+IF(SUMSQ('TS-PILE'!$E$56:$E$75)=0,0,'TO HOP NLAN'!E13*'TS-PILE'!$E$62/SUMSQ('TS-PILE'!$E$56:$E$75))+IF(SUMSQ('TS-PILE'!$D$56:$D$75)=0,0,'TO HOP NLAN'!F13*'TS-PILE'!$D$62/SUMSQ('TS-PILE'!$D$56:$D$75))),IF('TS-PILE'!$B$63="",1E+99,'TO HOP NLAN'!D13/ncoc+IF(SUMSQ('TS-PILE'!$E$56:$E$75)=0,0,'TO HOP NLAN'!E13*'TS-PILE'!$E$63/SUMSQ('TS-PILE'!$E$56:$E$75))+IF(SUMSQ('TS-PILE'!$D$56:$D$75)=0,0,'TO HOP NLAN'!F13*'TS-PILE'!$D$63/SUMSQ('TS-PILE'!$D$56:$D$75))),IF('TS-PILE'!$B$64="",1E+99,'TO HOP NLAN'!D13/ncoc+IF(SUMSQ('TS-PILE'!$E$56:$E$75)=0,0,'TO HOP NLAN'!E13*'TS-PILE'!$E$64/SUMSQ('TS-PILE'!$E$56:$E$75))+IF(SUMSQ('TS-PILE'!$D$56:$D$75)=0,0,'TO HOP NLAN'!F13*'TS-PILE'!$D$64/SUMSQ('TS-PILE'!$D$56:$D$75))),IF('TS-PILE'!$B$65="",1E+99,'TO HOP NLAN'!D13/ncoc+IF(SUMSQ('TS-PILE'!$E$56:$E$75)=0,0,'TO HOP NLAN'!E13*'TS-PILE'!$E$65/SUMSQ('TS-PILE'!$E$56:$E$75))+IF(SUMSQ('TS-PILE'!$D$56:$D$75)=0,0,'TO HOP NLAN'!F13*'TS-PILE'!$D$65/SUMSQ('TS-PILE'!$D$56:$D$75))),IF('TS-PILE'!$B$66="",1E+99,'TO HOP NLAN'!D13/ncoc+IF(SUMSQ('TS-PILE'!$E$56:$E$75)=0,0,'TO HOP NLAN'!E13*'TS-PILE'!$E$66/SUMSQ('TS-PILE'!$E$56:$E$75))+IF(SUMSQ('TS-PILE'!$D$56:$D$75)=0,0,'TO HOP NLAN'!F13*'TS-PILE'!$D$66/SUMSQ('TS-PILE'!$D$56:$D$75))),IF('TS-PILE'!$B$67="",1E+99,'TO HOP NLAN'!D13/ncoc+IF(SUMSQ('TS-PILE'!$E$56:$E$75)=0,0,'TO HOP NLAN'!E13*'TS-PILE'!$E$67/SUMSQ('TS-PILE'!$E$56:$E$75))+IF(SUMSQ('TS-PILE'!$D$56:$D$75)=0,0,'TO HOP NLAN'!F13*'TS-PILE'!$D$67/SUMSQ('TS-PILE'!$D$56:$D$75))),IF('TS-PILE'!$B$68="",1E+99,'TO HOP NLAN'!D13/ncoc+IF(SUMSQ('TS-PILE'!$E$56:$E$75)=0,0,'TO HOP NLAN'!E13*'TS-PILE'!$E$68/SUMSQ('TS-PILE'!$E$56:$E$75))+IF(SUMSQ('TS-PILE'!$D$56:$D$75)=0,0,'TO HOP NLAN'!F13*'TS-PILE'!$D$68/SUMSQ('TS-PILE'!$D$56:$D$75))),IF('TS-PILE'!$B$69="",1E+99,'TO HOP NLAN'!D13/ncoc+IF(SUMSQ('TS-PILE'!$E$56:$E$75)=0,0,'TO HOP NLAN'!E13*'TS-PILE'!$E$69/SUMSQ('TS-PILE'!$E$56:$E$75))+IF(SUMSQ('TS-PILE'!$D$56:$D$75)=0,0,'TO HOP NLAN'!F13*'TS-PILE'!$D$69/SUMSQ('TS-PILE'!$D$56:$D$75))),IF('TS-PILE'!$B$70="",1E+99,'TO HOP NLAN'!D13/ncoc+IF(SUMSQ('TS-PILE'!$E$56:$E$75)=0,0,'TO HOP NLAN'!E13*'TS-PILE'!$E$70/SUMSQ('TS-PILE'!$E$56:$E$75))+IF(SUMSQ('TS-PILE'!$D$56:$D$75)=0,0,'TO HOP NLAN'!F13*'TS-PILE'!$D$70/SUMSQ('TS-PILE'!$D$56:$D$75))),IF('TS-PILE'!$B$71="",1E+99,'TO HOP NLAN'!D13/ncoc+IF(SUMSQ('TS-PILE'!$E$56:$E$75)=0,0,'TO HOP NLAN'!E13*'TS-PILE'!$E$71/SUMSQ('TS-PILE'!$E$56:$E$75))+IF(SUMSQ('TS-PILE'!$D$56:$D$75)=0,0,'TO HOP NLAN'!F13*'TS-PILE'!$D$71/SUMSQ('TS-PILE'!$D$56:$D$75))),IF('TS-PILE'!$B$72="",1E+99,'TO HOP NLAN'!D13/ncoc+IF(SUMSQ('TS-PILE'!$E$56:$E$75)=0,0,'TO HOP NLAN'!E13*'TS-PILE'!$E$72/SUMSQ('TS-PILE'!$E$56:$E$75))+IF(SUMSQ('TS-PILE'!$D$56:$D$75)=0,0,'TO HOP NLAN'!F13*'TS-PILE'!$D$72/SUMSQ('TS-PILE'!$D$56:$D$75))),IF('TS-PILE'!$B$73="",1E+99,'TO HOP NLAN'!D13/ncoc+IF(SUMSQ('TS-PILE'!$E$56:$E$75)=0,0,'TO HOP NLAN'!E13*'TS-PILE'!$E$73/SUMSQ('TS-PILE'!$E$56:$E$75))+IF(SUMSQ('TS-PILE'!$D$56:$D$75)=0,0,'TO HOP NLAN'!F13*'TS-PILE'!$D$73/SUMSQ('TS-PILE'!$D$56:$D$75))),IF('TS-PILE'!$B$74="",1E+99,'TO HOP NLAN'!D13/ncoc+IF(SUMSQ('TS-PILE'!$E$56:$E$75)=0,0,'TO HOP NLAN'!E13*'TS-PILE'!$E$74/SUMSQ('TS-PILE'!$E$56:$E$75))+IF(SUMSQ('TS-PILE'!$D$56:$D$75)=0,0,'TO HOP NLAN'!F13*'TS-PILE'!$D$74/SUMSQ('TS-PILE'!$D$56:$D$75))),IF('TS-PILE'!$B$75="",1E+99,'TO HOP NLAN'!D13/ncoc+IF(SUMSQ('TS-PILE'!$E$56:$E$75)=0,0,'TO HOP NLAN'!E13*'TS-PILE'!$E$75/SUMSQ('TS-PILE'!$E$56:$E$75))+IF(SUMSQ('TS-PILE'!$D$56:$D$75)=0,0,'TO HOP NLAN'!F13*'TS-PILE'!$D$75/SUMSQ('TS-PILE'!$D$56:$D$75)))))</f>
        <v>0</v>
      </c>
      <c r="E13" s="46">
        <f t="shared" si="0"/>
        <v>-9.9999999999999997E+98</v>
      </c>
      <c r="F13" s="46">
        <f t="shared" si="1"/>
        <v>9.9999999999999997E+98</v>
      </c>
      <c r="G13" s="46">
        <f t="shared" si="2"/>
        <v>-9.9999999999999997E+98</v>
      </c>
      <c r="H13" s="46">
        <f t="shared" si="3"/>
        <v>9.9999999999999997E+98</v>
      </c>
    </row>
    <row r="14" spans="1:8" x14ac:dyDescent="0.3">
      <c r="A14" s="40" t="str">
        <f>'TO HOP NLAN'!A14</f>
        <v/>
      </c>
      <c r="B14" s="40" t="str">
        <f>'TO HOP NLAN'!L14</f>
        <v>SERVICE</v>
      </c>
      <c r="C14" s="46">
        <f>IF(A14="",0,MAX(IF('TS-PILE'!$B$56="",-1E+99,'TO HOP NLAN'!D14/ncoc+IF(SUMSQ('TS-PILE'!$E$56:$E$75)=0,0,'TO HOP NLAN'!E14*'TS-PILE'!$E$56/SUMSQ('TS-PILE'!$E$56:$E$75))+IF(SUMSQ('TS-PILE'!$D$56:$D$75)=0,0,'TO HOP NLAN'!F14*'TS-PILE'!$D$56/SUMSQ('TS-PILE'!$D$56:$D$75))),IF('TS-PILE'!$B$57="",-1E+99,'TO HOP NLAN'!D14/ncoc+IF(SUMSQ('TS-PILE'!$E$56:$E$75)=0,0,'TO HOP NLAN'!E14*'TS-PILE'!$E$57/SUMSQ('TS-PILE'!$E$56:$E$75))+IF(SUMSQ('TS-PILE'!$D$56:$D$75)=0,0,'TO HOP NLAN'!F14*'TS-PILE'!$D$57/SUMSQ('TS-PILE'!$D$56:$D$75))),IF('TS-PILE'!$B$58="",-1E+99,'TO HOP NLAN'!D14/ncoc+IF(SUMSQ('TS-PILE'!$E$56:$E$75)=0,0,'TO HOP NLAN'!E14*'TS-PILE'!$E$58/SUMSQ('TS-PILE'!$E$56:$E$75))+IF(SUMSQ('TS-PILE'!$D$56:$D$75)=0,0,'TO HOP NLAN'!F14*'TS-PILE'!$D$58/SUMSQ('TS-PILE'!$D$56:$D$75))),IF('TS-PILE'!$B$59="",-1E+99,'TO HOP NLAN'!D14/ncoc+IF(SUMSQ('TS-PILE'!$E$56:$E$75)=0,0,'TO HOP NLAN'!E14*'TS-PILE'!$E$59/SUMSQ('TS-PILE'!$E$56:$E$75))+IF(SUMSQ('TS-PILE'!$D$56:$D$75)=0,0,'TO HOP NLAN'!F14*'TS-PILE'!$D$59/SUMSQ('TS-PILE'!$D$56:$D$75))),IF('TS-PILE'!$B$60="",-1E+99,'TO HOP NLAN'!D14/ncoc+IF(SUMSQ('TS-PILE'!$E$56:$E$75)=0,0,'TO HOP NLAN'!E14*'TS-PILE'!$E$60/SUMSQ('TS-PILE'!$E$56:$E$75))+IF(SUMSQ('TS-PILE'!$D$56:$D$75)=0,0,'TO HOP NLAN'!F14*'TS-PILE'!$D$60/SUMSQ('TS-PILE'!$D$56:$D$75))),IF('TS-PILE'!$B$61="",-1E+99,'TO HOP NLAN'!D14/ncoc+IF(SUMSQ('TS-PILE'!$E$56:$E$75)=0,0,'TO HOP NLAN'!E14*'TS-PILE'!$E$61/SUMSQ('TS-PILE'!$E$56:$E$75))+IF(SUMSQ('TS-PILE'!$D$56:$D$75)=0,0,'TO HOP NLAN'!F14*'TS-PILE'!$D$61/SUMSQ('TS-PILE'!$D$56:$D$75))),IF('TS-PILE'!$B$62="",-1E+99,'TO HOP NLAN'!D14/ncoc+IF(SUMSQ('TS-PILE'!$E$56:$E$75)=0,0,'TO HOP NLAN'!E14*'TS-PILE'!$E$62/SUMSQ('TS-PILE'!$E$56:$E$75))+IF(SUMSQ('TS-PILE'!$D$56:$D$75)=0,0,'TO HOP NLAN'!F14*'TS-PILE'!$D$62/SUMSQ('TS-PILE'!$D$56:$D$75))),IF('TS-PILE'!$B$63="",-1E+99,'TO HOP NLAN'!D14/ncoc+IF(SUMSQ('TS-PILE'!$E$56:$E$75)=0,0,'TO HOP NLAN'!E14*'TS-PILE'!$E$63/SUMSQ('TS-PILE'!$E$56:$E$75))+IF(SUMSQ('TS-PILE'!$D$56:$D$75)=0,0,'TO HOP NLAN'!F14*'TS-PILE'!$D$63/SUMSQ('TS-PILE'!$D$56:$D$75))),IF('TS-PILE'!$B$64="",-1E+99,'TO HOP NLAN'!D14/ncoc+IF(SUMSQ('TS-PILE'!$E$56:$E$75)=0,0,'TO HOP NLAN'!E14*'TS-PILE'!$E$64/SUMSQ('TS-PILE'!$E$56:$E$75))+IF(SUMSQ('TS-PILE'!$D$56:$D$75)=0,0,'TO HOP NLAN'!F14*'TS-PILE'!$D$64/SUMSQ('TS-PILE'!$D$56:$D$75))),IF('TS-PILE'!$B$65="",-1E+99,'TO HOP NLAN'!D14/ncoc+IF(SUMSQ('TS-PILE'!$E$56:$E$75)=0,0,'TO HOP NLAN'!E14*'TS-PILE'!$E$65/SUMSQ('TS-PILE'!$E$56:$E$75))+IF(SUMSQ('TS-PILE'!$D$56:$D$75)=0,0,'TO HOP NLAN'!F14*'TS-PILE'!$D$65/SUMSQ('TS-PILE'!$D$56:$D$75))),IF('TS-PILE'!$B$66="",-1E+99,'TO HOP NLAN'!D14/ncoc+IF(SUMSQ('TS-PILE'!$E$56:$E$75)=0,0,'TO HOP NLAN'!E14*'TS-PILE'!$E$66/SUMSQ('TS-PILE'!$E$56:$E$75))+IF(SUMSQ('TS-PILE'!$D$56:$D$75)=0,0,'TO HOP NLAN'!F14*'TS-PILE'!$D$66/SUMSQ('TS-PILE'!$D$56:$D$75))),IF('TS-PILE'!$B$67="",-1E+99,'TO HOP NLAN'!D14/ncoc+IF(SUMSQ('TS-PILE'!$E$56:$E$75)=0,0,'TO HOP NLAN'!E14*'TS-PILE'!$E$67/SUMSQ('TS-PILE'!$E$56:$E$75))+IF(SUMSQ('TS-PILE'!$D$56:$D$75)=0,0,'TO HOP NLAN'!F14*'TS-PILE'!$D$67/SUMSQ('TS-PILE'!$D$56:$D$75))),IF('TS-PILE'!$B$68="",-1E+99,'TO HOP NLAN'!D14/ncoc+IF(SUMSQ('TS-PILE'!$E$56:$E$75)=0,0,'TO HOP NLAN'!E14*'TS-PILE'!$E$68/SUMSQ('TS-PILE'!$E$56:$E$75))+IF(SUMSQ('TS-PILE'!$D$56:$D$75)=0,0,'TO HOP NLAN'!F14*'TS-PILE'!$D$68/SUMSQ('TS-PILE'!$D$56:$D$75))),IF('TS-PILE'!$B$69="",-1E+99,'TO HOP NLAN'!D14/ncoc+IF(SUMSQ('TS-PILE'!$E$56:$E$75)=0,0,'TO HOP NLAN'!E14*'TS-PILE'!$E$69/SUMSQ('TS-PILE'!$E$56:$E$75))+IF(SUMSQ('TS-PILE'!$D$56:$D$75)=0,0,'TO HOP NLAN'!F14*'TS-PILE'!$D$69/SUMSQ('TS-PILE'!$D$56:$D$75))),IF('TS-PILE'!$B$70="",-1E+99,'TO HOP NLAN'!D14/ncoc+IF(SUMSQ('TS-PILE'!$E$56:$E$75)=0,0,'TO HOP NLAN'!E14*'TS-PILE'!$E$70/SUMSQ('TS-PILE'!$E$56:$E$75))+IF(SUMSQ('TS-PILE'!$D$56:$D$75)=0,0,'TO HOP NLAN'!F14*'TS-PILE'!$D$70/SUMSQ('TS-PILE'!$D$56:$D$75))),IF('TS-PILE'!$B$71="",-1E+99,'TO HOP NLAN'!D14/ncoc+IF(SUMSQ('TS-PILE'!$E$56:$E$75)=0,0,'TO HOP NLAN'!E14*'TS-PILE'!$E$71/SUMSQ('TS-PILE'!$E$56:$E$75))+IF(SUMSQ('TS-PILE'!$D$56:$D$75)=0,0,'TO HOP NLAN'!F14*'TS-PILE'!$D$71/SUMSQ('TS-PILE'!$D$56:$D$75))),IF('TS-PILE'!$B$72="",-1E+99,'TO HOP NLAN'!D14/ncoc+IF(SUMSQ('TS-PILE'!$E$56:$E$75)=0,0,'TO HOP NLAN'!E14*'TS-PILE'!$E$72/SUMSQ('TS-PILE'!$E$56:$E$75))+IF(SUMSQ('TS-PILE'!$D$56:$D$75)=0,0,'TO HOP NLAN'!F14*'TS-PILE'!$D$72/SUMSQ('TS-PILE'!$D$56:$D$75))),IF('TS-PILE'!$B$73="",-1E+99,'TO HOP NLAN'!D14/ncoc+IF(SUMSQ('TS-PILE'!$E$56:$E$75)=0,0,'TO HOP NLAN'!E14*'TS-PILE'!$E$73/SUMSQ('TS-PILE'!$E$56:$E$75))+IF(SUMSQ('TS-PILE'!$D$56:$D$75)=0,0,'TO HOP NLAN'!F14*'TS-PILE'!$D$73/SUMSQ('TS-PILE'!$D$56:$D$75))),IF('TS-PILE'!$B$74="",-1E+99,'TO HOP NLAN'!D14/ncoc+IF(SUMSQ('TS-PILE'!$E$56:$E$75)=0,0,'TO HOP NLAN'!E14*'TS-PILE'!$E$74/SUMSQ('TS-PILE'!$E$56:$E$75))+IF(SUMSQ('TS-PILE'!$D$56:$D$75)=0,0,'TO HOP NLAN'!F14*'TS-PILE'!$D$74/SUMSQ('TS-PILE'!$D$56:$D$75))),IF('TS-PILE'!$B$75="",-1E+99,'TO HOP NLAN'!D14/ncoc+IF(SUMSQ('TS-PILE'!$E$56:$E$75)=0,0,'TO HOP NLAN'!E14*'TS-PILE'!$E$75/SUMSQ('TS-PILE'!$E$56:$E$75))+IF(SUMSQ('TS-PILE'!$D$56:$D$75)=0,0,'TO HOP NLAN'!F14*'TS-PILE'!$D$75/SUMSQ('TS-PILE'!$D$56:$D$75)))))</f>
        <v>0</v>
      </c>
      <c r="D14" s="46">
        <f>IF(A14="",0,MIN(IF('TS-PILE'!$B$56="",1E+99,'TO HOP NLAN'!D14/ncoc+IF(SUMSQ('TS-PILE'!$E$56:$E$75)=0,0,'TO HOP NLAN'!E14*'TS-PILE'!$E$56/SUMSQ('TS-PILE'!$E$56:$E$75))+IF(SUMSQ('TS-PILE'!$D$56:$D$75)=0,0,'TO HOP NLAN'!F14*'TS-PILE'!$D$56/SUMSQ('TS-PILE'!$D$56:$D$75))),IF('TS-PILE'!$B$57="",1E+99,'TO HOP NLAN'!D14/ncoc+IF(SUMSQ('TS-PILE'!$E$56:$E$75)=0,0,'TO HOP NLAN'!E14*'TS-PILE'!$E$57/SUMSQ('TS-PILE'!$E$56:$E$75))+IF(SUMSQ('TS-PILE'!$D$56:$D$75)=0,0,'TO HOP NLAN'!F14*'TS-PILE'!$D$57/SUMSQ('TS-PILE'!$D$56:$D$75))),IF('TS-PILE'!$B$58="",1E+99,'TO HOP NLAN'!D14/ncoc+IF(SUMSQ('TS-PILE'!$E$56:$E$75)=0,0,'TO HOP NLAN'!E14*'TS-PILE'!$E$58/SUMSQ('TS-PILE'!$E$56:$E$75))+IF(SUMSQ('TS-PILE'!$D$56:$D$75)=0,0,'TO HOP NLAN'!F14*'TS-PILE'!$D$58/SUMSQ('TS-PILE'!$D$56:$D$75))),IF('TS-PILE'!$B$59="",1E+99,'TO HOP NLAN'!D14/ncoc+IF(SUMSQ('TS-PILE'!$E$56:$E$75)=0,0,'TO HOP NLAN'!E14*'TS-PILE'!$E$59/SUMSQ('TS-PILE'!$E$56:$E$75))+IF(SUMSQ('TS-PILE'!$D$56:$D$75)=0,0,'TO HOP NLAN'!F14*'TS-PILE'!$D$59/SUMSQ('TS-PILE'!$D$56:$D$75))),IF('TS-PILE'!$B$60="",1E+99,'TO HOP NLAN'!D14/ncoc+IF(SUMSQ('TS-PILE'!$E$56:$E$75)=0,0,'TO HOP NLAN'!E14*'TS-PILE'!$E$60/SUMSQ('TS-PILE'!$E$56:$E$75))+IF(SUMSQ('TS-PILE'!$D$56:$D$75)=0,0,'TO HOP NLAN'!F14*'TS-PILE'!$D$60/SUMSQ('TS-PILE'!$D$56:$D$75))),IF('TS-PILE'!$B$61="",1E+99,'TO HOP NLAN'!D14/ncoc+IF(SUMSQ('TS-PILE'!$E$56:$E$75)=0,0,'TO HOP NLAN'!E14*'TS-PILE'!$E$61/SUMSQ('TS-PILE'!$E$56:$E$75))+IF(SUMSQ('TS-PILE'!$D$56:$D$75)=0,0,'TO HOP NLAN'!F14*'TS-PILE'!$D$61/SUMSQ('TS-PILE'!$D$56:$D$75))),IF('TS-PILE'!$B$62="",1E+99,'TO HOP NLAN'!D14/ncoc+IF(SUMSQ('TS-PILE'!$E$56:$E$75)=0,0,'TO HOP NLAN'!E14*'TS-PILE'!$E$62/SUMSQ('TS-PILE'!$E$56:$E$75))+IF(SUMSQ('TS-PILE'!$D$56:$D$75)=0,0,'TO HOP NLAN'!F14*'TS-PILE'!$D$62/SUMSQ('TS-PILE'!$D$56:$D$75))),IF('TS-PILE'!$B$63="",1E+99,'TO HOP NLAN'!D14/ncoc+IF(SUMSQ('TS-PILE'!$E$56:$E$75)=0,0,'TO HOP NLAN'!E14*'TS-PILE'!$E$63/SUMSQ('TS-PILE'!$E$56:$E$75))+IF(SUMSQ('TS-PILE'!$D$56:$D$75)=0,0,'TO HOP NLAN'!F14*'TS-PILE'!$D$63/SUMSQ('TS-PILE'!$D$56:$D$75))),IF('TS-PILE'!$B$64="",1E+99,'TO HOP NLAN'!D14/ncoc+IF(SUMSQ('TS-PILE'!$E$56:$E$75)=0,0,'TO HOP NLAN'!E14*'TS-PILE'!$E$64/SUMSQ('TS-PILE'!$E$56:$E$75))+IF(SUMSQ('TS-PILE'!$D$56:$D$75)=0,0,'TO HOP NLAN'!F14*'TS-PILE'!$D$64/SUMSQ('TS-PILE'!$D$56:$D$75))),IF('TS-PILE'!$B$65="",1E+99,'TO HOP NLAN'!D14/ncoc+IF(SUMSQ('TS-PILE'!$E$56:$E$75)=0,0,'TO HOP NLAN'!E14*'TS-PILE'!$E$65/SUMSQ('TS-PILE'!$E$56:$E$75))+IF(SUMSQ('TS-PILE'!$D$56:$D$75)=0,0,'TO HOP NLAN'!F14*'TS-PILE'!$D$65/SUMSQ('TS-PILE'!$D$56:$D$75))),IF('TS-PILE'!$B$66="",1E+99,'TO HOP NLAN'!D14/ncoc+IF(SUMSQ('TS-PILE'!$E$56:$E$75)=0,0,'TO HOP NLAN'!E14*'TS-PILE'!$E$66/SUMSQ('TS-PILE'!$E$56:$E$75))+IF(SUMSQ('TS-PILE'!$D$56:$D$75)=0,0,'TO HOP NLAN'!F14*'TS-PILE'!$D$66/SUMSQ('TS-PILE'!$D$56:$D$75))),IF('TS-PILE'!$B$67="",1E+99,'TO HOP NLAN'!D14/ncoc+IF(SUMSQ('TS-PILE'!$E$56:$E$75)=0,0,'TO HOP NLAN'!E14*'TS-PILE'!$E$67/SUMSQ('TS-PILE'!$E$56:$E$75))+IF(SUMSQ('TS-PILE'!$D$56:$D$75)=0,0,'TO HOP NLAN'!F14*'TS-PILE'!$D$67/SUMSQ('TS-PILE'!$D$56:$D$75))),IF('TS-PILE'!$B$68="",1E+99,'TO HOP NLAN'!D14/ncoc+IF(SUMSQ('TS-PILE'!$E$56:$E$75)=0,0,'TO HOP NLAN'!E14*'TS-PILE'!$E$68/SUMSQ('TS-PILE'!$E$56:$E$75))+IF(SUMSQ('TS-PILE'!$D$56:$D$75)=0,0,'TO HOP NLAN'!F14*'TS-PILE'!$D$68/SUMSQ('TS-PILE'!$D$56:$D$75))),IF('TS-PILE'!$B$69="",1E+99,'TO HOP NLAN'!D14/ncoc+IF(SUMSQ('TS-PILE'!$E$56:$E$75)=0,0,'TO HOP NLAN'!E14*'TS-PILE'!$E$69/SUMSQ('TS-PILE'!$E$56:$E$75))+IF(SUMSQ('TS-PILE'!$D$56:$D$75)=0,0,'TO HOP NLAN'!F14*'TS-PILE'!$D$69/SUMSQ('TS-PILE'!$D$56:$D$75))),IF('TS-PILE'!$B$70="",1E+99,'TO HOP NLAN'!D14/ncoc+IF(SUMSQ('TS-PILE'!$E$56:$E$75)=0,0,'TO HOP NLAN'!E14*'TS-PILE'!$E$70/SUMSQ('TS-PILE'!$E$56:$E$75))+IF(SUMSQ('TS-PILE'!$D$56:$D$75)=0,0,'TO HOP NLAN'!F14*'TS-PILE'!$D$70/SUMSQ('TS-PILE'!$D$56:$D$75))),IF('TS-PILE'!$B$71="",1E+99,'TO HOP NLAN'!D14/ncoc+IF(SUMSQ('TS-PILE'!$E$56:$E$75)=0,0,'TO HOP NLAN'!E14*'TS-PILE'!$E$71/SUMSQ('TS-PILE'!$E$56:$E$75))+IF(SUMSQ('TS-PILE'!$D$56:$D$75)=0,0,'TO HOP NLAN'!F14*'TS-PILE'!$D$71/SUMSQ('TS-PILE'!$D$56:$D$75))),IF('TS-PILE'!$B$72="",1E+99,'TO HOP NLAN'!D14/ncoc+IF(SUMSQ('TS-PILE'!$E$56:$E$75)=0,0,'TO HOP NLAN'!E14*'TS-PILE'!$E$72/SUMSQ('TS-PILE'!$E$56:$E$75))+IF(SUMSQ('TS-PILE'!$D$56:$D$75)=0,0,'TO HOP NLAN'!F14*'TS-PILE'!$D$72/SUMSQ('TS-PILE'!$D$56:$D$75))),IF('TS-PILE'!$B$73="",1E+99,'TO HOP NLAN'!D14/ncoc+IF(SUMSQ('TS-PILE'!$E$56:$E$75)=0,0,'TO HOP NLAN'!E14*'TS-PILE'!$E$73/SUMSQ('TS-PILE'!$E$56:$E$75))+IF(SUMSQ('TS-PILE'!$D$56:$D$75)=0,0,'TO HOP NLAN'!F14*'TS-PILE'!$D$73/SUMSQ('TS-PILE'!$D$56:$D$75))),IF('TS-PILE'!$B$74="",1E+99,'TO HOP NLAN'!D14/ncoc+IF(SUMSQ('TS-PILE'!$E$56:$E$75)=0,0,'TO HOP NLAN'!E14*'TS-PILE'!$E$74/SUMSQ('TS-PILE'!$E$56:$E$75))+IF(SUMSQ('TS-PILE'!$D$56:$D$75)=0,0,'TO HOP NLAN'!F14*'TS-PILE'!$D$74/SUMSQ('TS-PILE'!$D$56:$D$75))),IF('TS-PILE'!$B$75="",1E+99,'TO HOP NLAN'!D14/ncoc+IF(SUMSQ('TS-PILE'!$E$56:$E$75)=0,0,'TO HOP NLAN'!E14*'TS-PILE'!$E$75/SUMSQ('TS-PILE'!$E$56:$E$75))+IF(SUMSQ('TS-PILE'!$D$56:$D$75)=0,0,'TO HOP NLAN'!F14*'TS-PILE'!$D$75/SUMSQ('TS-PILE'!$D$56:$D$75)))))</f>
        <v>0</v>
      </c>
      <c r="E14" s="46">
        <f t="shared" si="0"/>
        <v>-9.9999999999999997E+98</v>
      </c>
      <c r="F14" s="46">
        <f t="shared" si="1"/>
        <v>9.9999999999999997E+98</v>
      </c>
      <c r="G14" s="46">
        <f t="shared" si="2"/>
        <v>-9.9999999999999997E+98</v>
      </c>
      <c r="H14" s="46">
        <f t="shared" si="3"/>
        <v>9.9999999999999997E+98</v>
      </c>
    </row>
    <row r="15" spans="1:8" x14ac:dyDescent="0.3">
      <c r="A15" s="40" t="str">
        <f>'TO HOP NLAN'!A15</f>
        <v/>
      </c>
      <c r="B15" s="40" t="str">
        <f>'TO HOP NLAN'!L15</f>
        <v>SERVICE</v>
      </c>
      <c r="C15" s="46">
        <f>IF(A15="",0,MAX(IF('TS-PILE'!$B$56="",-1E+99,'TO HOP NLAN'!D15/ncoc+IF(SUMSQ('TS-PILE'!$E$56:$E$75)=0,0,'TO HOP NLAN'!E15*'TS-PILE'!$E$56/SUMSQ('TS-PILE'!$E$56:$E$75))+IF(SUMSQ('TS-PILE'!$D$56:$D$75)=0,0,'TO HOP NLAN'!F15*'TS-PILE'!$D$56/SUMSQ('TS-PILE'!$D$56:$D$75))),IF('TS-PILE'!$B$57="",-1E+99,'TO HOP NLAN'!D15/ncoc+IF(SUMSQ('TS-PILE'!$E$56:$E$75)=0,0,'TO HOP NLAN'!E15*'TS-PILE'!$E$57/SUMSQ('TS-PILE'!$E$56:$E$75))+IF(SUMSQ('TS-PILE'!$D$56:$D$75)=0,0,'TO HOP NLAN'!F15*'TS-PILE'!$D$57/SUMSQ('TS-PILE'!$D$56:$D$75))),IF('TS-PILE'!$B$58="",-1E+99,'TO HOP NLAN'!D15/ncoc+IF(SUMSQ('TS-PILE'!$E$56:$E$75)=0,0,'TO HOP NLAN'!E15*'TS-PILE'!$E$58/SUMSQ('TS-PILE'!$E$56:$E$75))+IF(SUMSQ('TS-PILE'!$D$56:$D$75)=0,0,'TO HOP NLAN'!F15*'TS-PILE'!$D$58/SUMSQ('TS-PILE'!$D$56:$D$75))),IF('TS-PILE'!$B$59="",-1E+99,'TO HOP NLAN'!D15/ncoc+IF(SUMSQ('TS-PILE'!$E$56:$E$75)=0,0,'TO HOP NLAN'!E15*'TS-PILE'!$E$59/SUMSQ('TS-PILE'!$E$56:$E$75))+IF(SUMSQ('TS-PILE'!$D$56:$D$75)=0,0,'TO HOP NLAN'!F15*'TS-PILE'!$D$59/SUMSQ('TS-PILE'!$D$56:$D$75))),IF('TS-PILE'!$B$60="",-1E+99,'TO HOP NLAN'!D15/ncoc+IF(SUMSQ('TS-PILE'!$E$56:$E$75)=0,0,'TO HOP NLAN'!E15*'TS-PILE'!$E$60/SUMSQ('TS-PILE'!$E$56:$E$75))+IF(SUMSQ('TS-PILE'!$D$56:$D$75)=0,0,'TO HOP NLAN'!F15*'TS-PILE'!$D$60/SUMSQ('TS-PILE'!$D$56:$D$75))),IF('TS-PILE'!$B$61="",-1E+99,'TO HOP NLAN'!D15/ncoc+IF(SUMSQ('TS-PILE'!$E$56:$E$75)=0,0,'TO HOP NLAN'!E15*'TS-PILE'!$E$61/SUMSQ('TS-PILE'!$E$56:$E$75))+IF(SUMSQ('TS-PILE'!$D$56:$D$75)=0,0,'TO HOP NLAN'!F15*'TS-PILE'!$D$61/SUMSQ('TS-PILE'!$D$56:$D$75))),IF('TS-PILE'!$B$62="",-1E+99,'TO HOP NLAN'!D15/ncoc+IF(SUMSQ('TS-PILE'!$E$56:$E$75)=0,0,'TO HOP NLAN'!E15*'TS-PILE'!$E$62/SUMSQ('TS-PILE'!$E$56:$E$75))+IF(SUMSQ('TS-PILE'!$D$56:$D$75)=0,0,'TO HOP NLAN'!F15*'TS-PILE'!$D$62/SUMSQ('TS-PILE'!$D$56:$D$75))),IF('TS-PILE'!$B$63="",-1E+99,'TO HOP NLAN'!D15/ncoc+IF(SUMSQ('TS-PILE'!$E$56:$E$75)=0,0,'TO HOP NLAN'!E15*'TS-PILE'!$E$63/SUMSQ('TS-PILE'!$E$56:$E$75))+IF(SUMSQ('TS-PILE'!$D$56:$D$75)=0,0,'TO HOP NLAN'!F15*'TS-PILE'!$D$63/SUMSQ('TS-PILE'!$D$56:$D$75))),IF('TS-PILE'!$B$64="",-1E+99,'TO HOP NLAN'!D15/ncoc+IF(SUMSQ('TS-PILE'!$E$56:$E$75)=0,0,'TO HOP NLAN'!E15*'TS-PILE'!$E$64/SUMSQ('TS-PILE'!$E$56:$E$75))+IF(SUMSQ('TS-PILE'!$D$56:$D$75)=0,0,'TO HOP NLAN'!F15*'TS-PILE'!$D$64/SUMSQ('TS-PILE'!$D$56:$D$75))),IF('TS-PILE'!$B$65="",-1E+99,'TO HOP NLAN'!D15/ncoc+IF(SUMSQ('TS-PILE'!$E$56:$E$75)=0,0,'TO HOP NLAN'!E15*'TS-PILE'!$E$65/SUMSQ('TS-PILE'!$E$56:$E$75))+IF(SUMSQ('TS-PILE'!$D$56:$D$75)=0,0,'TO HOP NLAN'!F15*'TS-PILE'!$D$65/SUMSQ('TS-PILE'!$D$56:$D$75))),IF('TS-PILE'!$B$66="",-1E+99,'TO HOP NLAN'!D15/ncoc+IF(SUMSQ('TS-PILE'!$E$56:$E$75)=0,0,'TO HOP NLAN'!E15*'TS-PILE'!$E$66/SUMSQ('TS-PILE'!$E$56:$E$75))+IF(SUMSQ('TS-PILE'!$D$56:$D$75)=0,0,'TO HOP NLAN'!F15*'TS-PILE'!$D$66/SUMSQ('TS-PILE'!$D$56:$D$75))),IF('TS-PILE'!$B$67="",-1E+99,'TO HOP NLAN'!D15/ncoc+IF(SUMSQ('TS-PILE'!$E$56:$E$75)=0,0,'TO HOP NLAN'!E15*'TS-PILE'!$E$67/SUMSQ('TS-PILE'!$E$56:$E$75))+IF(SUMSQ('TS-PILE'!$D$56:$D$75)=0,0,'TO HOP NLAN'!F15*'TS-PILE'!$D$67/SUMSQ('TS-PILE'!$D$56:$D$75))),IF('TS-PILE'!$B$68="",-1E+99,'TO HOP NLAN'!D15/ncoc+IF(SUMSQ('TS-PILE'!$E$56:$E$75)=0,0,'TO HOP NLAN'!E15*'TS-PILE'!$E$68/SUMSQ('TS-PILE'!$E$56:$E$75))+IF(SUMSQ('TS-PILE'!$D$56:$D$75)=0,0,'TO HOP NLAN'!F15*'TS-PILE'!$D$68/SUMSQ('TS-PILE'!$D$56:$D$75))),IF('TS-PILE'!$B$69="",-1E+99,'TO HOP NLAN'!D15/ncoc+IF(SUMSQ('TS-PILE'!$E$56:$E$75)=0,0,'TO HOP NLAN'!E15*'TS-PILE'!$E$69/SUMSQ('TS-PILE'!$E$56:$E$75))+IF(SUMSQ('TS-PILE'!$D$56:$D$75)=0,0,'TO HOP NLAN'!F15*'TS-PILE'!$D$69/SUMSQ('TS-PILE'!$D$56:$D$75))),IF('TS-PILE'!$B$70="",-1E+99,'TO HOP NLAN'!D15/ncoc+IF(SUMSQ('TS-PILE'!$E$56:$E$75)=0,0,'TO HOP NLAN'!E15*'TS-PILE'!$E$70/SUMSQ('TS-PILE'!$E$56:$E$75))+IF(SUMSQ('TS-PILE'!$D$56:$D$75)=0,0,'TO HOP NLAN'!F15*'TS-PILE'!$D$70/SUMSQ('TS-PILE'!$D$56:$D$75))),IF('TS-PILE'!$B$71="",-1E+99,'TO HOP NLAN'!D15/ncoc+IF(SUMSQ('TS-PILE'!$E$56:$E$75)=0,0,'TO HOP NLAN'!E15*'TS-PILE'!$E$71/SUMSQ('TS-PILE'!$E$56:$E$75))+IF(SUMSQ('TS-PILE'!$D$56:$D$75)=0,0,'TO HOP NLAN'!F15*'TS-PILE'!$D$71/SUMSQ('TS-PILE'!$D$56:$D$75))),IF('TS-PILE'!$B$72="",-1E+99,'TO HOP NLAN'!D15/ncoc+IF(SUMSQ('TS-PILE'!$E$56:$E$75)=0,0,'TO HOP NLAN'!E15*'TS-PILE'!$E$72/SUMSQ('TS-PILE'!$E$56:$E$75))+IF(SUMSQ('TS-PILE'!$D$56:$D$75)=0,0,'TO HOP NLAN'!F15*'TS-PILE'!$D$72/SUMSQ('TS-PILE'!$D$56:$D$75))),IF('TS-PILE'!$B$73="",-1E+99,'TO HOP NLAN'!D15/ncoc+IF(SUMSQ('TS-PILE'!$E$56:$E$75)=0,0,'TO HOP NLAN'!E15*'TS-PILE'!$E$73/SUMSQ('TS-PILE'!$E$56:$E$75))+IF(SUMSQ('TS-PILE'!$D$56:$D$75)=0,0,'TO HOP NLAN'!F15*'TS-PILE'!$D$73/SUMSQ('TS-PILE'!$D$56:$D$75))),IF('TS-PILE'!$B$74="",-1E+99,'TO HOP NLAN'!D15/ncoc+IF(SUMSQ('TS-PILE'!$E$56:$E$75)=0,0,'TO HOP NLAN'!E15*'TS-PILE'!$E$74/SUMSQ('TS-PILE'!$E$56:$E$75))+IF(SUMSQ('TS-PILE'!$D$56:$D$75)=0,0,'TO HOP NLAN'!F15*'TS-PILE'!$D$74/SUMSQ('TS-PILE'!$D$56:$D$75))),IF('TS-PILE'!$B$75="",-1E+99,'TO HOP NLAN'!D15/ncoc+IF(SUMSQ('TS-PILE'!$E$56:$E$75)=0,0,'TO HOP NLAN'!E15*'TS-PILE'!$E$75/SUMSQ('TS-PILE'!$E$56:$E$75))+IF(SUMSQ('TS-PILE'!$D$56:$D$75)=0,0,'TO HOP NLAN'!F15*'TS-PILE'!$D$75/SUMSQ('TS-PILE'!$D$56:$D$75)))))</f>
        <v>0</v>
      </c>
      <c r="D15" s="46">
        <f>IF(A15="",0,MIN(IF('TS-PILE'!$B$56="",1E+99,'TO HOP NLAN'!D15/ncoc+IF(SUMSQ('TS-PILE'!$E$56:$E$75)=0,0,'TO HOP NLAN'!E15*'TS-PILE'!$E$56/SUMSQ('TS-PILE'!$E$56:$E$75))+IF(SUMSQ('TS-PILE'!$D$56:$D$75)=0,0,'TO HOP NLAN'!F15*'TS-PILE'!$D$56/SUMSQ('TS-PILE'!$D$56:$D$75))),IF('TS-PILE'!$B$57="",1E+99,'TO HOP NLAN'!D15/ncoc+IF(SUMSQ('TS-PILE'!$E$56:$E$75)=0,0,'TO HOP NLAN'!E15*'TS-PILE'!$E$57/SUMSQ('TS-PILE'!$E$56:$E$75))+IF(SUMSQ('TS-PILE'!$D$56:$D$75)=0,0,'TO HOP NLAN'!F15*'TS-PILE'!$D$57/SUMSQ('TS-PILE'!$D$56:$D$75))),IF('TS-PILE'!$B$58="",1E+99,'TO HOP NLAN'!D15/ncoc+IF(SUMSQ('TS-PILE'!$E$56:$E$75)=0,0,'TO HOP NLAN'!E15*'TS-PILE'!$E$58/SUMSQ('TS-PILE'!$E$56:$E$75))+IF(SUMSQ('TS-PILE'!$D$56:$D$75)=0,0,'TO HOP NLAN'!F15*'TS-PILE'!$D$58/SUMSQ('TS-PILE'!$D$56:$D$75))),IF('TS-PILE'!$B$59="",1E+99,'TO HOP NLAN'!D15/ncoc+IF(SUMSQ('TS-PILE'!$E$56:$E$75)=0,0,'TO HOP NLAN'!E15*'TS-PILE'!$E$59/SUMSQ('TS-PILE'!$E$56:$E$75))+IF(SUMSQ('TS-PILE'!$D$56:$D$75)=0,0,'TO HOP NLAN'!F15*'TS-PILE'!$D$59/SUMSQ('TS-PILE'!$D$56:$D$75))),IF('TS-PILE'!$B$60="",1E+99,'TO HOP NLAN'!D15/ncoc+IF(SUMSQ('TS-PILE'!$E$56:$E$75)=0,0,'TO HOP NLAN'!E15*'TS-PILE'!$E$60/SUMSQ('TS-PILE'!$E$56:$E$75))+IF(SUMSQ('TS-PILE'!$D$56:$D$75)=0,0,'TO HOP NLAN'!F15*'TS-PILE'!$D$60/SUMSQ('TS-PILE'!$D$56:$D$75))),IF('TS-PILE'!$B$61="",1E+99,'TO HOP NLAN'!D15/ncoc+IF(SUMSQ('TS-PILE'!$E$56:$E$75)=0,0,'TO HOP NLAN'!E15*'TS-PILE'!$E$61/SUMSQ('TS-PILE'!$E$56:$E$75))+IF(SUMSQ('TS-PILE'!$D$56:$D$75)=0,0,'TO HOP NLAN'!F15*'TS-PILE'!$D$61/SUMSQ('TS-PILE'!$D$56:$D$75))),IF('TS-PILE'!$B$62="",1E+99,'TO HOP NLAN'!D15/ncoc+IF(SUMSQ('TS-PILE'!$E$56:$E$75)=0,0,'TO HOP NLAN'!E15*'TS-PILE'!$E$62/SUMSQ('TS-PILE'!$E$56:$E$75))+IF(SUMSQ('TS-PILE'!$D$56:$D$75)=0,0,'TO HOP NLAN'!F15*'TS-PILE'!$D$62/SUMSQ('TS-PILE'!$D$56:$D$75))),IF('TS-PILE'!$B$63="",1E+99,'TO HOP NLAN'!D15/ncoc+IF(SUMSQ('TS-PILE'!$E$56:$E$75)=0,0,'TO HOP NLAN'!E15*'TS-PILE'!$E$63/SUMSQ('TS-PILE'!$E$56:$E$75))+IF(SUMSQ('TS-PILE'!$D$56:$D$75)=0,0,'TO HOP NLAN'!F15*'TS-PILE'!$D$63/SUMSQ('TS-PILE'!$D$56:$D$75))),IF('TS-PILE'!$B$64="",1E+99,'TO HOP NLAN'!D15/ncoc+IF(SUMSQ('TS-PILE'!$E$56:$E$75)=0,0,'TO HOP NLAN'!E15*'TS-PILE'!$E$64/SUMSQ('TS-PILE'!$E$56:$E$75))+IF(SUMSQ('TS-PILE'!$D$56:$D$75)=0,0,'TO HOP NLAN'!F15*'TS-PILE'!$D$64/SUMSQ('TS-PILE'!$D$56:$D$75))),IF('TS-PILE'!$B$65="",1E+99,'TO HOP NLAN'!D15/ncoc+IF(SUMSQ('TS-PILE'!$E$56:$E$75)=0,0,'TO HOP NLAN'!E15*'TS-PILE'!$E$65/SUMSQ('TS-PILE'!$E$56:$E$75))+IF(SUMSQ('TS-PILE'!$D$56:$D$75)=0,0,'TO HOP NLAN'!F15*'TS-PILE'!$D$65/SUMSQ('TS-PILE'!$D$56:$D$75))),IF('TS-PILE'!$B$66="",1E+99,'TO HOP NLAN'!D15/ncoc+IF(SUMSQ('TS-PILE'!$E$56:$E$75)=0,0,'TO HOP NLAN'!E15*'TS-PILE'!$E$66/SUMSQ('TS-PILE'!$E$56:$E$75))+IF(SUMSQ('TS-PILE'!$D$56:$D$75)=0,0,'TO HOP NLAN'!F15*'TS-PILE'!$D$66/SUMSQ('TS-PILE'!$D$56:$D$75))),IF('TS-PILE'!$B$67="",1E+99,'TO HOP NLAN'!D15/ncoc+IF(SUMSQ('TS-PILE'!$E$56:$E$75)=0,0,'TO HOP NLAN'!E15*'TS-PILE'!$E$67/SUMSQ('TS-PILE'!$E$56:$E$75))+IF(SUMSQ('TS-PILE'!$D$56:$D$75)=0,0,'TO HOP NLAN'!F15*'TS-PILE'!$D$67/SUMSQ('TS-PILE'!$D$56:$D$75))),IF('TS-PILE'!$B$68="",1E+99,'TO HOP NLAN'!D15/ncoc+IF(SUMSQ('TS-PILE'!$E$56:$E$75)=0,0,'TO HOP NLAN'!E15*'TS-PILE'!$E$68/SUMSQ('TS-PILE'!$E$56:$E$75))+IF(SUMSQ('TS-PILE'!$D$56:$D$75)=0,0,'TO HOP NLAN'!F15*'TS-PILE'!$D$68/SUMSQ('TS-PILE'!$D$56:$D$75))),IF('TS-PILE'!$B$69="",1E+99,'TO HOP NLAN'!D15/ncoc+IF(SUMSQ('TS-PILE'!$E$56:$E$75)=0,0,'TO HOP NLAN'!E15*'TS-PILE'!$E$69/SUMSQ('TS-PILE'!$E$56:$E$75))+IF(SUMSQ('TS-PILE'!$D$56:$D$75)=0,0,'TO HOP NLAN'!F15*'TS-PILE'!$D$69/SUMSQ('TS-PILE'!$D$56:$D$75))),IF('TS-PILE'!$B$70="",1E+99,'TO HOP NLAN'!D15/ncoc+IF(SUMSQ('TS-PILE'!$E$56:$E$75)=0,0,'TO HOP NLAN'!E15*'TS-PILE'!$E$70/SUMSQ('TS-PILE'!$E$56:$E$75))+IF(SUMSQ('TS-PILE'!$D$56:$D$75)=0,0,'TO HOP NLAN'!F15*'TS-PILE'!$D$70/SUMSQ('TS-PILE'!$D$56:$D$75))),IF('TS-PILE'!$B$71="",1E+99,'TO HOP NLAN'!D15/ncoc+IF(SUMSQ('TS-PILE'!$E$56:$E$75)=0,0,'TO HOP NLAN'!E15*'TS-PILE'!$E$71/SUMSQ('TS-PILE'!$E$56:$E$75))+IF(SUMSQ('TS-PILE'!$D$56:$D$75)=0,0,'TO HOP NLAN'!F15*'TS-PILE'!$D$71/SUMSQ('TS-PILE'!$D$56:$D$75))),IF('TS-PILE'!$B$72="",1E+99,'TO HOP NLAN'!D15/ncoc+IF(SUMSQ('TS-PILE'!$E$56:$E$75)=0,0,'TO HOP NLAN'!E15*'TS-PILE'!$E$72/SUMSQ('TS-PILE'!$E$56:$E$75))+IF(SUMSQ('TS-PILE'!$D$56:$D$75)=0,0,'TO HOP NLAN'!F15*'TS-PILE'!$D$72/SUMSQ('TS-PILE'!$D$56:$D$75))),IF('TS-PILE'!$B$73="",1E+99,'TO HOP NLAN'!D15/ncoc+IF(SUMSQ('TS-PILE'!$E$56:$E$75)=0,0,'TO HOP NLAN'!E15*'TS-PILE'!$E$73/SUMSQ('TS-PILE'!$E$56:$E$75))+IF(SUMSQ('TS-PILE'!$D$56:$D$75)=0,0,'TO HOP NLAN'!F15*'TS-PILE'!$D$73/SUMSQ('TS-PILE'!$D$56:$D$75))),IF('TS-PILE'!$B$74="",1E+99,'TO HOP NLAN'!D15/ncoc+IF(SUMSQ('TS-PILE'!$E$56:$E$75)=0,0,'TO HOP NLAN'!E15*'TS-PILE'!$E$74/SUMSQ('TS-PILE'!$E$56:$E$75))+IF(SUMSQ('TS-PILE'!$D$56:$D$75)=0,0,'TO HOP NLAN'!F15*'TS-PILE'!$D$74/SUMSQ('TS-PILE'!$D$56:$D$75))),IF('TS-PILE'!$B$75="",1E+99,'TO HOP NLAN'!D15/ncoc+IF(SUMSQ('TS-PILE'!$E$56:$E$75)=0,0,'TO HOP NLAN'!E15*'TS-PILE'!$E$75/SUMSQ('TS-PILE'!$E$56:$E$75))+IF(SUMSQ('TS-PILE'!$D$56:$D$75)=0,0,'TO HOP NLAN'!F15*'TS-PILE'!$D$75/SUMSQ('TS-PILE'!$D$56:$D$75)))))</f>
        <v>0</v>
      </c>
      <c r="E15" s="46">
        <f t="shared" si="0"/>
        <v>-9.9999999999999997E+98</v>
      </c>
      <c r="F15" s="46">
        <f t="shared" si="1"/>
        <v>9.9999999999999997E+98</v>
      </c>
      <c r="G15" s="46">
        <f t="shared" si="2"/>
        <v>-9.9999999999999997E+98</v>
      </c>
      <c r="H15" s="46">
        <f t="shared" si="3"/>
        <v>9.9999999999999997E+98</v>
      </c>
    </row>
    <row r="16" spans="1:8" x14ac:dyDescent="0.3">
      <c r="A16" s="40" t="str">
        <f>'TO HOP NLAN'!A16</f>
        <v/>
      </c>
      <c r="B16" s="40" t="str">
        <f>'TO HOP NLAN'!L16</f>
        <v>SERVICE</v>
      </c>
      <c r="C16" s="46">
        <f>IF(A16="",0,MAX(IF('TS-PILE'!$B$56="",-1E+99,'TO HOP NLAN'!D16/ncoc+IF(SUMSQ('TS-PILE'!$E$56:$E$75)=0,0,'TO HOP NLAN'!E16*'TS-PILE'!$E$56/SUMSQ('TS-PILE'!$E$56:$E$75))+IF(SUMSQ('TS-PILE'!$D$56:$D$75)=0,0,'TO HOP NLAN'!F16*'TS-PILE'!$D$56/SUMSQ('TS-PILE'!$D$56:$D$75))),IF('TS-PILE'!$B$57="",-1E+99,'TO HOP NLAN'!D16/ncoc+IF(SUMSQ('TS-PILE'!$E$56:$E$75)=0,0,'TO HOP NLAN'!E16*'TS-PILE'!$E$57/SUMSQ('TS-PILE'!$E$56:$E$75))+IF(SUMSQ('TS-PILE'!$D$56:$D$75)=0,0,'TO HOP NLAN'!F16*'TS-PILE'!$D$57/SUMSQ('TS-PILE'!$D$56:$D$75))),IF('TS-PILE'!$B$58="",-1E+99,'TO HOP NLAN'!D16/ncoc+IF(SUMSQ('TS-PILE'!$E$56:$E$75)=0,0,'TO HOP NLAN'!E16*'TS-PILE'!$E$58/SUMSQ('TS-PILE'!$E$56:$E$75))+IF(SUMSQ('TS-PILE'!$D$56:$D$75)=0,0,'TO HOP NLAN'!F16*'TS-PILE'!$D$58/SUMSQ('TS-PILE'!$D$56:$D$75))),IF('TS-PILE'!$B$59="",-1E+99,'TO HOP NLAN'!D16/ncoc+IF(SUMSQ('TS-PILE'!$E$56:$E$75)=0,0,'TO HOP NLAN'!E16*'TS-PILE'!$E$59/SUMSQ('TS-PILE'!$E$56:$E$75))+IF(SUMSQ('TS-PILE'!$D$56:$D$75)=0,0,'TO HOP NLAN'!F16*'TS-PILE'!$D$59/SUMSQ('TS-PILE'!$D$56:$D$75))),IF('TS-PILE'!$B$60="",-1E+99,'TO HOP NLAN'!D16/ncoc+IF(SUMSQ('TS-PILE'!$E$56:$E$75)=0,0,'TO HOP NLAN'!E16*'TS-PILE'!$E$60/SUMSQ('TS-PILE'!$E$56:$E$75))+IF(SUMSQ('TS-PILE'!$D$56:$D$75)=0,0,'TO HOP NLAN'!F16*'TS-PILE'!$D$60/SUMSQ('TS-PILE'!$D$56:$D$75))),IF('TS-PILE'!$B$61="",-1E+99,'TO HOP NLAN'!D16/ncoc+IF(SUMSQ('TS-PILE'!$E$56:$E$75)=0,0,'TO HOP NLAN'!E16*'TS-PILE'!$E$61/SUMSQ('TS-PILE'!$E$56:$E$75))+IF(SUMSQ('TS-PILE'!$D$56:$D$75)=0,0,'TO HOP NLAN'!F16*'TS-PILE'!$D$61/SUMSQ('TS-PILE'!$D$56:$D$75))),IF('TS-PILE'!$B$62="",-1E+99,'TO HOP NLAN'!D16/ncoc+IF(SUMSQ('TS-PILE'!$E$56:$E$75)=0,0,'TO HOP NLAN'!E16*'TS-PILE'!$E$62/SUMSQ('TS-PILE'!$E$56:$E$75))+IF(SUMSQ('TS-PILE'!$D$56:$D$75)=0,0,'TO HOP NLAN'!F16*'TS-PILE'!$D$62/SUMSQ('TS-PILE'!$D$56:$D$75))),IF('TS-PILE'!$B$63="",-1E+99,'TO HOP NLAN'!D16/ncoc+IF(SUMSQ('TS-PILE'!$E$56:$E$75)=0,0,'TO HOP NLAN'!E16*'TS-PILE'!$E$63/SUMSQ('TS-PILE'!$E$56:$E$75))+IF(SUMSQ('TS-PILE'!$D$56:$D$75)=0,0,'TO HOP NLAN'!F16*'TS-PILE'!$D$63/SUMSQ('TS-PILE'!$D$56:$D$75))),IF('TS-PILE'!$B$64="",-1E+99,'TO HOP NLAN'!D16/ncoc+IF(SUMSQ('TS-PILE'!$E$56:$E$75)=0,0,'TO HOP NLAN'!E16*'TS-PILE'!$E$64/SUMSQ('TS-PILE'!$E$56:$E$75))+IF(SUMSQ('TS-PILE'!$D$56:$D$75)=0,0,'TO HOP NLAN'!F16*'TS-PILE'!$D$64/SUMSQ('TS-PILE'!$D$56:$D$75))),IF('TS-PILE'!$B$65="",-1E+99,'TO HOP NLAN'!D16/ncoc+IF(SUMSQ('TS-PILE'!$E$56:$E$75)=0,0,'TO HOP NLAN'!E16*'TS-PILE'!$E$65/SUMSQ('TS-PILE'!$E$56:$E$75))+IF(SUMSQ('TS-PILE'!$D$56:$D$75)=0,0,'TO HOP NLAN'!F16*'TS-PILE'!$D$65/SUMSQ('TS-PILE'!$D$56:$D$75))),IF('TS-PILE'!$B$66="",-1E+99,'TO HOP NLAN'!D16/ncoc+IF(SUMSQ('TS-PILE'!$E$56:$E$75)=0,0,'TO HOP NLAN'!E16*'TS-PILE'!$E$66/SUMSQ('TS-PILE'!$E$56:$E$75))+IF(SUMSQ('TS-PILE'!$D$56:$D$75)=0,0,'TO HOP NLAN'!F16*'TS-PILE'!$D$66/SUMSQ('TS-PILE'!$D$56:$D$75))),IF('TS-PILE'!$B$67="",-1E+99,'TO HOP NLAN'!D16/ncoc+IF(SUMSQ('TS-PILE'!$E$56:$E$75)=0,0,'TO HOP NLAN'!E16*'TS-PILE'!$E$67/SUMSQ('TS-PILE'!$E$56:$E$75))+IF(SUMSQ('TS-PILE'!$D$56:$D$75)=0,0,'TO HOP NLAN'!F16*'TS-PILE'!$D$67/SUMSQ('TS-PILE'!$D$56:$D$75))),IF('TS-PILE'!$B$68="",-1E+99,'TO HOP NLAN'!D16/ncoc+IF(SUMSQ('TS-PILE'!$E$56:$E$75)=0,0,'TO HOP NLAN'!E16*'TS-PILE'!$E$68/SUMSQ('TS-PILE'!$E$56:$E$75))+IF(SUMSQ('TS-PILE'!$D$56:$D$75)=0,0,'TO HOP NLAN'!F16*'TS-PILE'!$D$68/SUMSQ('TS-PILE'!$D$56:$D$75))),IF('TS-PILE'!$B$69="",-1E+99,'TO HOP NLAN'!D16/ncoc+IF(SUMSQ('TS-PILE'!$E$56:$E$75)=0,0,'TO HOP NLAN'!E16*'TS-PILE'!$E$69/SUMSQ('TS-PILE'!$E$56:$E$75))+IF(SUMSQ('TS-PILE'!$D$56:$D$75)=0,0,'TO HOP NLAN'!F16*'TS-PILE'!$D$69/SUMSQ('TS-PILE'!$D$56:$D$75))),IF('TS-PILE'!$B$70="",-1E+99,'TO HOP NLAN'!D16/ncoc+IF(SUMSQ('TS-PILE'!$E$56:$E$75)=0,0,'TO HOP NLAN'!E16*'TS-PILE'!$E$70/SUMSQ('TS-PILE'!$E$56:$E$75))+IF(SUMSQ('TS-PILE'!$D$56:$D$75)=0,0,'TO HOP NLAN'!F16*'TS-PILE'!$D$70/SUMSQ('TS-PILE'!$D$56:$D$75))),IF('TS-PILE'!$B$71="",-1E+99,'TO HOP NLAN'!D16/ncoc+IF(SUMSQ('TS-PILE'!$E$56:$E$75)=0,0,'TO HOP NLAN'!E16*'TS-PILE'!$E$71/SUMSQ('TS-PILE'!$E$56:$E$75))+IF(SUMSQ('TS-PILE'!$D$56:$D$75)=0,0,'TO HOP NLAN'!F16*'TS-PILE'!$D$71/SUMSQ('TS-PILE'!$D$56:$D$75))),IF('TS-PILE'!$B$72="",-1E+99,'TO HOP NLAN'!D16/ncoc+IF(SUMSQ('TS-PILE'!$E$56:$E$75)=0,0,'TO HOP NLAN'!E16*'TS-PILE'!$E$72/SUMSQ('TS-PILE'!$E$56:$E$75))+IF(SUMSQ('TS-PILE'!$D$56:$D$75)=0,0,'TO HOP NLAN'!F16*'TS-PILE'!$D$72/SUMSQ('TS-PILE'!$D$56:$D$75))),IF('TS-PILE'!$B$73="",-1E+99,'TO HOP NLAN'!D16/ncoc+IF(SUMSQ('TS-PILE'!$E$56:$E$75)=0,0,'TO HOP NLAN'!E16*'TS-PILE'!$E$73/SUMSQ('TS-PILE'!$E$56:$E$75))+IF(SUMSQ('TS-PILE'!$D$56:$D$75)=0,0,'TO HOP NLAN'!F16*'TS-PILE'!$D$73/SUMSQ('TS-PILE'!$D$56:$D$75))),IF('TS-PILE'!$B$74="",-1E+99,'TO HOP NLAN'!D16/ncoc+IF(SUMSQ('TS-PILE'!$E$56:$E$75)=0,0,'TO HOP NLAN'!E16*'TS-PILE'!$E$74/SUMSQ('TS-PILE'!$E$56:$E$75))+IF(SUMSQ('TS-PILE'!$D$56:$D$75)=0,0,'TO HOP NLAN'!F16*'TS-PILE'!$D$74/SUMSQ('TS-PILE'!$D$56:$D$75))),IF('TS-PILE'!$B$75="",-1E+99,'TO HOP NLAN'!D16/ncoc+IF(SUMSQ('TS-PILE'!$E$56:$E$75)=0,0,'TO HOP NLAN'!E16*'TS-PILE'!$E$75/SUMSQ('TS-PILE'!$E$56:$E$75))+IF(SUMSQ('TS-PILE'!$D$56:$D$75)=0,0,'TO HOP NLAN'!F16*'TS-PILE'!$D$75/SUMSQ('TS-PILE'!$D$56:$D$75)))))</f>
        <v>0</v>
      </c>
      <c r="D16" s="46">
        <f>IF(A16="",0,MIN(IF('TS-PILE'!$B$56="",1E+99,'TO HOP NLAN'!D16/ncoc+IF(SUMSQ('TS-PILE'!$E$56:$E$75)=0,0,'TO HOP NLAN'!E16*'TS-PILE'!$E$56/SUMSQ('TS-PILE'!$E$56:$E$75))+IF(SUMSQ('TS-PILE'!$D$56:$D$75)=0,0,'TO HOP NLAN'!F16*'TS-PILE'!$D$56/SUMSQ('TS-PILE'!$D$56:$D$75))),IF('TS-PILE'!$B$57="",1E+99,'TO HOP NLAN'!D16/ncoc+IF(SUMSQ('TS-PILE'!$E$56:$E$75)=0,0,'TO HOP NLAN'!E16*'TS-PILE'!$E$57/SUMSQ('TS-PILE'!$E$56:$E$75))+IF(SUMSQ('TS-PILE'!$D$56:$D$75)=0,0,'TO HOP NLAN'!F16*'TS-PILE'!$D$57/SUMSQ('TS-PILE'!$D$56:$D$75))),IF('TS-PILE'!$B$58="",1E+99,'TO HOP NLAN'!D16/ncoc+IF(SUMSQ('TS-PILE'!$E$56:$E$75)=0,0,'TO HOP NLAN'!E16*'TS-PILE'!$E$58/SUMSQ('TS-PILE'!$E$56:$E$75))+IF(SUMSQ('TS-PILE'!$D$56:$D$75)=0,0,'TO HOP NLAN'!F16*'TS-PILE'!$D$58/SUMSQ('TS-PILE'!$D$56:$D$75))),IF('TS-PILE'!$B$59="",1E+99,'TO HOP NLAN'!D16/ncoc+IF(SUMSQ('TS-PILE'!$E$56:$E$75)=0,0,'TO HOP NLAN'!E16*'TS-PILE'!$E$59/SUMSQ('TS-PILE'!$E$56:$E$75))+IF(SUMSQ('TS-PILE'!$D$56:$D$75)=0,0,'TO HOP NLAN'!F16*'TS-PILE'!$D$59/SUMSQ('TS-PILE'!$D$56:$D$75))),IF('TS-PILE'!$B$60="",1E+99,'TO HOP NLAN'!D16/ncoc+IF(SUMSQ('TS-PILE'!$E$56:$E$75)=0,0,'TO HOP NLAN'!E16*'TS-PILE'!$E$60/SUMSQ('TS-PILE'!$E$56:$E$75))+IF(SUMSQ('TS-PILE'!$D$56:$D$75)=0,0,'TO HOP NLAN'!F16*'TS-PILE'!$D$60/SUMSQ('TS-PILE'!$D$56:$D$75))),IF('TS-PILE'!$B$61="",1E+99,'TO HOP NLAN'!D16/ncoc+IF(SUMSQ('TS-PILE'!$E$56:$E$75)=0,0,'TO HOP NLAN'!E16*'TS-PILE'!$E$61/SUMSQ('TS-PILE'!$E$56:$E$75))+IF(SUMSQ('TS-PILE'!$D$56:$D$75)=0,0,'TO HOP NLAN'!F16*'TS-PILE'!$D$61/SUMSQ('TS-PILE'!$D$56:$D$75))),IF('TS-PILE'!$B$62="",1E+99,'TO HOP NLAN'!D16/ncoc+IF(SUMSQ('TS-PILE'!$E$56:$E$75)=0,0,'TO HOP NLAN'!E16*'TS-PILE'!$E$62/SUMSQ('TS-PILE'!$E$56:$E$75))+IF(SUMSQ('TS-PILE'!$D$56:$D$75)=0,0,'TO HOP NLAN'!F16*'TS-PILE'!$D$62/SUMSQ('TS-PILE'!$D$56:$D$75))),IF('TS-PILE'!$B$63="",1E+99,'TO HOP NLAN'!D16/ncoc+IF(SUMSQ('TS-PILE'!$E$56:$E$75)=0,0,'TO HOP NLAN'!E16*'TS-PILE'!$E$63/SUMSQ('TS-PILE'!$E$56:$E$75))+IF(SUMSQ('TS-PILE'!$D$56:$D$75)=0,0,'TO HOP NLAN'!F16*'TS-PILE'!$D$63/SUMSQ('TS-PILE'!$D$56:$D$75))),IF('TS-PILE'!$B$64="",1E+99,'TO HOP NLAN'!D16/ncoc+IF(SUMSQ('TS-PILE'!$E$56:$E$75)=0,0,'TO HOP NLAN'!E16*'TS-PILE'!$E$64/SUMSQ('TS-PILE'!$E$56:$E$75))+IF(SUMSQ('TS-PILE'!$D$56:$D$75)=0,0,'TO HOP NLAN'!F16*'TS-PILE'!$D$64/SUMSQ('TS-PILE'!$D$56:$D$75))),IF('TS-PILE'!$B$65="",1E+99,'TO HOP NLAN'!D16/ncoc+IF(SUMSQ('TS-PILE'!$E$56:$E$75)=0,0,'TO HOP NLAN'!E16*'TS-PILE'!$E$65/SUMSQ('TS-PILE'!$E$56:$E$75))+IF(SUMSQ('TS-PILE'!$D$56:$D$75)=0,0,'TO HOP NLAN'!F16*'TS-PILE'!$D$65/SUMSQ('TS-PILE'!$D$56:$D$75))),IF('TS-PILE'!$B$66="",1E+99,'TO HOP NLAN'!D16/ncoc+IF(SUMSQ('TS-PILE'!$E$56:$E$75)=0,0,'TO HOP NLAN'!E16*'TS-PILE'!$E$66/SUMSQ('TS-PILE'!$E$56:$E$75))+IF(SUMSQ('TS-PILE'!$D$56:$D$75)=0,0,'TO HOP NLAN'!F16*'TS-PILE'!$D$66/SUMSQ('TS-PILE'!$D$56:$D$75))),IF('TS-PILE'!$B$67="",1E+99,'TO HOP NLAN'!D16/ncoc+IF(SUMSQ('TS-PILE'!$E$56:$E$75)=0,0,'TO HOP NLAN'!E16*'TS-PILE'!$E$67/SUMSQ('TS-PILE'!$E$56:$E$75))+IF(SUMSQ('TS-PILE'!$D$56:$D$75)=0,0,'TO HOP NLAN'!F16*'TS-PILE'!$D$67/SUMSQ('TS-PILE'!$D$56:$D$75))),IF('TS-PILE'!$B$68="",1E+99,'TO HOP NLAN'!D16/ncoc+IF(SUMSQ('TS-PILE'!$E$56:$E$75)=0,0,'TO HOP NLAN'!E16*'TS-PILE'!$E$68/SUMSQ('TS-PILE'!$E$56:$E$75))+IF(SUMSQ('TS-PILE'!$D$56:$D$75)=0,0,'TO HOP NLAN'!F16*'TS-PILE'!$D$68/SUMSQ('TS-PILE'!$D$56:$D$75))),IF('TS-PILE'!$B$69="",1E+99,'TO HOP NLAN'!D16/ncoc+IF(SUMSQ('TS-PILE'!$E$56:$E$75)=0,0,'TO HOP NLAN'!E16*'TS-PILE'!$E$69/SUMSQ('TS-PILE'!$E$56:$E$75))+IF(SUMSQ('TS-PILE'!$D$56:$D$75)=0,0,'TO HOP NLAN'!F16*'TS-PILE'!$D$69/SUMSQ('TS-PILE'!$D$56:$D$75))),IF('TS-PILE'!$B$70="",1E+99,'TO HOP NLAN'!D16/ncoc+IF(SUMSQ('TS-PILE'!$E$56:$E$75)=0,0,'TO HOP NLAN'!E16*'TS-PILE'!$E$70/SUMSQ('TS-PILE'!$E$56:$E$75))+IF(SUMSQ('TS-PILE'!$D$56:$D$75)=0,0,'TO HOP NLAN'!F16*'TS-PILE'!$D$70/SUMSQ('TS-PILE'!$D$56:$D$75))),IF('TS-PILE'!$B$71="",1E+99,'TO HOP NLAN'!D16/ncoc+IF(SUMSQ('TS-PILE'!$E$56:$E$75)=0,0,'TO HOP NLAN'!E16*'TS-PILE'!$E$71/SUMSQ('TS-PILE'!$E$56:$E$75))+IF(SUMSQ('TS-PILE'!$D$56:$D$75)=0,0,'TO HOP NLAN'!F16*'TS-PILE'!$D$71/SUMSQ('TS-PILE'!$D$56:$D$75))),IF('TS-PILE'!$B$72="",1E+99,'TO HOP NLAN'!D16/ncoc+IF(SUMSQ('TS-PILE'!$E$56:$E$75)=0,0,'TO HOP NLAN'!E16*'TS-PILE'!$E$72/SUMSQ('TS-PILE'!$E$56:$E$75))+IF(SUMSQ('TS-PILE'!$D$56:$D$75)=0,0,'TO HOP NLAN'!F16*'TS-PILE'!$D$72/SUMSQ('TS-PILE'!$D$56:$D$75))),IF('TS-PILE'!$B$73="",1E+99,'TO HOP NLAN'!D16/ncoc+IF(SUMSQ('TS-PILE'!$E$56:$E$75)=0,0,'TO HOP NLAN'!E16*'TS-PILE'!$E$73/SUMSQ('TS-PILE'!$E$56:$E$75))+IF(SUMSQ('TS-PILE'!$D$56:$D$75)=0,0,'TO HOP NLAN'!F16*'TS-PILE'!$D$73/SUMSQ('TS-PILE'!$D$56:$D$75))),IF('TS-PILE'!$B$74="",1E+99,'TO HOP NLAN'!D16/ncoc+IF(SUMSQ('TS-PILE'!$E$56:$E$75)=0,0,'TO HOP NLAN'!E16*'TS-PILE'!$E$74/SUMSQ('TS-PILE'!$E$56:$E$75))+IF(SUMSQ('TS-PILE'!$D$56:$D$75)=0,0,'TO HOP NLAN'!F16*'TS-PILE'!$D$74/SUMSQ('TS-PILE'!$D$56:$D$75))),IF('TS-PILE'!$B$75="",1E+99,'TO HOP NLAN'!D16/ncoc+IF(SUMSQ('TS-PILE'!$E$56:$E$75)=0,0,'TO HOP NLAN'!E16*'TS-PILE'!$E$75/SUMSQ('TS-PILE'!$E$56:$E$75))+IF(SUMSQ('TS-PILE'!$D$56:$D$75)=0,0,'TO HOP NLAN'!F16*'TS-PILE'!$D$75/SUMSQ('TS-PILE'!$D$56:$D$75)))))</f>
        <v>0</v>
      </c>
      <c r="E16" s="46">
        <f t="shared" si="0"/>
        <v>-9.9999999999999997E+98</v>
      </c>
      <c r="F16" s="46">
        <f t="shared" si="1"/>
        <v>9.9999999999999997E+98</v>
      </c>
      <c r="G16" s="46">
        <f t="shared" si="2"/>
        <v>-9.9999999999999997E+98</v>
      </c>
      <c r="H16" s="46">
        <f t="shared" si="3"/>
        <v>9.9999999999999997E+98</v>
      </c>
    </row>
    <row r="17" spans="1:8" x14ac:dyDescent="0.3">
      <c r="A17" s="40" t="str">
        <f>'TO HOP NLAN'!A17</f>
        <v/>
      </c>
      <c r="B17" s="40" t="str">
        <f>'TO HOP NLAN'!L17</f>
        <v>SERVICE</v>
      </c>
      <c r="C17" s="46">
        <f>IF(A17="",0,MAX(IF('TS-PILE'!$B$56="",-1E+99,'TO HOP NLAN'!D17/ncoc+IF(SUMSQ('TS-PILE'!$E$56:$E$75)=0,0,'TO HOP NLAN'!E17*'TS-PILE'!$E$56/SUMSQ('TS-PILE'!$E$56:$E$75))+IF(SUMSQ('TS-PILE'!$D$56:$D$75)=0,0,'TO HOP NLAN'!F17*'TS-PILE'!$D$56/SUMSQ('TS-PILE'!$D$56:$D$75))),IF('TS-PILE'!$B$57="",-1E+99,'TO HOP NLAN'!D17/ncoc+IF(SUMSQ('TS-PILE'!$E$56:$E$75)=0,0,'TO HOP NLAN'!E17*'TS-PILE'!$E$57/SUMSQ('TS-PILE'!$E$56:$E$75))+IF(SUMSQ('TS-PILE'!$D$56:$D$75)=0,0,'TO HOP NLAN'!F17*'TS-PILE'!$D$57/SUMSQ('TS-PILE'!$D$56:$D$75))),IF('TS-PILE'!$B$58="",-1E+99,'TO HOP NLAN'!D17/ncoc+IF(SUMSQ('TS-PILE'!$E$56:$E$75)=0,0,'TO HOP NLAN'!E17*'TS-PILE'!$E$58/SUMSQ('TS-PILE'!$E$56:$E$75))+IF(SUMSQ('TS-PILE'!$D$56:$D$75)=0,0,'TO HOP NLAN'!F17*'TS-PILE'!$D$58/SUMSQ('TS-PILE'!$D$56:$D$75))),IF('TS-PILE'!$B$59="",-1E+99,'TO HOP NLAN'!D17/ncoc+IF(SUMSQ('TS-PILE'!$E$56:$E$75)=0,0,'TO HOP NLAN'!E17*'TS-PILE'!$E$59/SUMSQ('TS-PILE'!$E$56:$E$75))+IF(SUMSQ('TS-PILE'!$D$56:$D$75)=0,0,'TO HOP NLAN'!F17*'TS-PILE'!$D$59/SUMSQ('TS-PILE'!$D$56:$D$75))),IF('TS-PILE'!$B$60="",-1E+99,'TO HOP NLAN'!D17/ncoc+IF(SUMSQ('TS-PILE'!$E$56:$E$75)=0,0,'TO HOP NLAN'!E17*'TS-PILE'!$E$60/SUMSQ('TS-PILE'!$E$56:$E$75))+IF(SUMSQ('TS-PILE'!$D$56:$D$75)=0,0,'TO HOP NLAN'!F17*'TS-PILE'!$D$60/SUMSQ('TS-PILE'!$D$56:$D$75))),IF('TS-PILE'!$B$61="",-1E+99,'TO HOP NLAN'!D17/ncoc+IF(SUMSQ('TS-PILE'!$E$56:$E$75)=0,0,'TO HOP NLAN'!E17*'TS-PILE'!$E$61/SUMSQ('TS-PILE'!$E$56:$E$75))+IF(SUMSQ('TS-PILE'!$D$56:$D$75)=0,0,'TO HOP NLAN'!F17*'TS-PILE'!$D$61/SUMSQ('TS-PILE'!$D$56:$D$75))),IF('TS-PILE'!$B$62="",-1E+99,'TO HOP NLAN'!D17/ncoc+IF(SUMSQ('TS-PILE'!$E$56:$E$75)=0,0,'TO HOP NLAN'!E17*'TS-PILE'!$E$62/SUMSQ('TS-PILE'!$E$56:$E$75))+IF(SUMSQ('TS-PILE'!$D$56:$D$75)=0,0,'TO HOP NLAN'!F17*'TS-PILE'!$D$62/SUMSQ('TS-PILE'!$D$56:$D$75))),IF('TS-PILE'!$B$63="",-1E+99,'TO HOP NLAN'!D17/ncoc+IF(SUMSQ('TS-PILE'!$E$56:$E$75)=0,0,'TO HOP NLAN'!E17*'TS-PILE'!$E$63/SUMSQ('TS-PILE'!$E$56:$E$75))+IF(SUMSQ('TS-PILE'!$D$56:$D$75)=0,0,'TO HOP NLAN'!F17*'TS-PILE'!$D$63/SUMSQ('TS-PILE'!$D$56:$D$75))),IF('TS-PILE'!$B$64="",-1E+99,'TO HOP NLAN'!D17/ncoc+IF(SUMSQ('TS-PILE'!$E$56:$E$75)=0,0,'TO HOP NLAN'!E17*'TS-PILE'!$E$64/SUMSQ('TS-PILE'!$E$56:$E$75))+IF(SUMSQ('TS-PILE'!$D$56:$D$75)=0,0,'TO HOP NLAN'!F17*'TS-PILE'!$D$64/SUMSQ('TS-PILE'!$D$56:$D$75))),IF('TS-PILE'!$B$65="",-1E+99,'TO HOP NLAN'!D17/ncoc+IF(SUMSQ('TS-PILE'!$E$56:$E$75)=0,0,'TO HOP NLAN'!E17*'TS-PILE'!$E$65/SUMSQ('TS-PILE'!$E$56:$E$75))+IF(SUMSQ('TS-PILE'!$D$56:$D$75)=0,0,'TO HOP NLAN'!F17*'TS-PILE'!$D$65/SUMSQ('TS-PILE'!$D$56:$D$75))),IF('TS-PILE'!$B$66="",-1E+99,'TO HOP NLAN'!D17/ncoc+IF(SUMSQ('TS-PILE'!$E$56:$E$75)=0,0,'TO HOP NLAN'!E17*'TS-PILE'!$E$66/SUMSQ('TS-PILE'!$E$56:$E$75))+IF(SUMSQ('TS-PILE'!$D$56:$D$75)=0,0,'TO HOP NLAN'!F17*'TS-PILE'!$D$66/SUMSQ('TS-PILE'!$D$56:$D$75))),IF('TS-PILE'!$B$67="",-1E+99,'TO HOP NLAN'!D17/ncoc+IF(SUMSQ('TS-PILE'!$E$56:$E$75)=0,0,'TO HOP NLAN'!E17*'TS-PILE'!$E$67/SUMSQ('TS-PILE'!$E$56:$E$75))+IF(SUMSQ('TS-PILE'!$D$56:$D$75)=0,0,'TO HOP NLAN'!F17*'TS-PILE'!$D$67/SUMSQ('TS-PILE'!$D$56:$D$75))),IF('TS-PILE'!$B$68="",-1E+99,'TO HOP NLAN'!D17/ncoc+IF(SUMSQ('TS-PILE'!$E$56:$E$75)=0,0,'TO HOP NLAN'!E17*'TS-PILE'!$E$68/SUMSQ('TS-PILE'!$E$56:$E$75))+IF(SUMSQ('TS-PILE'!$D$56:$D$75)=0,0,'TO HOP NLAN'!F17*'TS-PILE'!$D$68/SUMSQ('TS-PILE'!$D$56:$D$75))),IF('TS-PILE'!$B$69="",-1E+99,'TO HOP NLAN'!D17/ncoc+IF(SUMSQ('TS-PILE'!$E$56:$E$75)=0,0,'TO HOP NLAN'!E17*'TS-PILE'!$E$69/SUMSQ('TS-PILE'!$E$56:$E$75))+IF(SUMSQ('TS-PILE'!$D$56:$D$75)=0,0,'TO HOP NLAN'!F17*'TS-PILE'!$D$69/SUMSQ('TS-PILE'!$D$56:$D$75))),IF('TS-PILE'!$B$70="",-1E+99,'TO HOP NLAN'!D17/ncoc+IF(SUMSQ('TS-PILE'!$E$56:$E$75)=0,0,'TO HOP NLAN'!E17*'TS-PILE'!$E$70/SUMSQ('TS-PILE'!$E$56:$E$75))+IF(SUMSQ('TS-PILE'!$D$56:$D$75)=0,0,'TO HOP NLAN'!F17*'TS-PILE'!$D$70/SUMSQ('TS-PILE'!$D$56:$D$75))),IF('TS-PILE'!$B$71="",-1E+99,'TO HOP NLAN'!D17/ncoc+IF(SUMSQ('TS-PILE'!$E$56:$E$75)=0,0,'TO HOP NLAN'!E17*'TS-PILE'!$E$71/SUMSQ('TS-PILE'!$E$56:$E$75))+IF(SUMSQ('TS-PILE'!$D$56:$D$75)=0,0,'TO HOP NLAN'!F17*'TS-PILE'!$D$71/SUMSQ('TS-PILE'!$D$56:$D$75))),IF('TS-PILE'!$B$72="",-1E+99,'TO HOP NLAN'!D17/ncoc+IF(SUMSQ('TS-PILE'!$E$56:$E$75)=0,0,'TO HOP NLAN'!E17*'TS-PILE'!$E$72/SUMSQ('TS-PILE'!$E$56:$E$75))+IF(SUMSQ('TS-PILE'!$D$56:$D$75)=0,0,'TO HOP NLAN'!F17*'TS-PILE'!$D$72/SUMSQ('TS-PILE'!$D$56:$D$75))),IF('TS-PILE'!$B$73="",-1E+99,'TO HOP NLAN'!D17/ncoc+IF(SUMSQ('TS-PILE'!$E$56:$E$75)=0,0,'TO HOP NLAN'!E17*'TS-PILE'!$E$73/SUMSQ('TS-PILE'!$E$56:$E$75))+IF(SUMSQ('TS-PILE'!$D$56:$D$75)=0,0,'TO HOP NLAN'!F17*'TS-PILE'!$D$73/SUMSQ('TS-PILE'!$D$56:$D$75))),IF('TS-PILE'!$B$74="",-1E+99,'TO HOP NLAN'!D17/ncoc+IF(SUMSQ('TS-PILE'!$E$56:$E$75)=0,0,'TO HOP NLAN'!E17*'TS-PILE'!$E$74/SUMSQ('TS-PILE'!$E$56:$E$75))+IF(SUMSQ('TS-PILE'!$D$56:$D$75)=0,0,'TO HOP NLAN'!F17*'TS-PILE'!$D$74/SUMSQ('TS-PILE'!$D$56:$D$75))),IF('TS-PILE'!$B$75="",-1E+99,'TO HOP NLAN'!D17/ncoc+IF(SUMSQ('TS-PILE'!$E$56:$E$75)=0,0,'TO HOP NLAN'!E17*'TS-PILE'!$E$75/SUMSQ('TS-PILE'!$E$56:$E$75))+IF(SUMSQ('TS-PILE'!$D$56:$D$75)=0,0,'TO HOP NLAN'!F17*'TS-PILE'!$D$75/SUMSQ('TS-PILE'!$D$56:$D$75)))))</f>
        <v>0</v>
      </c>
      <c r="D17" s="46">
        <f>IF(A17="",0,MIN(IF('TS-PILE'!$B$56="",1E+99,'TO HOP NLAN'!D17/ncoc+IF(SUMSQ('TS-PILE'!$E$56:$E$75)=0,0,'TO HOP NLAN'!E17*'TS-PILE'!$E$56/SUMSQ('TS-PILE'!$E$56:$E$75))+IF(SUMSQ('TS-PILE'!$D$56:$D$75)=0,0,'TO HOP NLAN'!F17*'TS-PILE'!$D$56/SUMSQ('TS-PILE'!$D$56:$D$75))),IF('TS-PILE'!$B$57="",1E+99,'TO HOP NLAN'!D17/ncoc+IF(SUMSQ('TS-PILE'!$E$56:$E$75)=0,0,'TO HOP NLAN'!E17*'TS-PILE'!$E$57/SUMSQ('TS-PILE'!$E$56:$E$75))+IF(SUMSQ('TS-PILE'!$D$56:$D$75)=0,0,'TO HOP NLAN'!F17*'TS-PILE'!$D$57/SUMSQ('TS-PILE'!$D$56:$D$75))),IF('TS-PILE'!$B$58="",1E+99,'TO HOP NLAN'!D17/ncoc+IF(SUMSQ('TS-PILE'!$E$56:$E$75)=0,0,'TO HOP NLAN'!E17*'TS-PILE'!$E$58/SUMSQ('TS-PILE'!$E$56:$E$75))+IF(SUMSQ('TS-PILE'!$D$56:$D$75)=0,0,'TO HOP NLAN'!F17*'TS-PILE'!$D$58/SUMSQ('TS-PILE'!$D$56:$D$75))),IF('TS-PILE'!$B$59="",1E+99,'TO HOP NLAN'!D17/ncoc+IF(SUMSQ('TS-PILE'!$E$56:$E$75)=0,0,'TO HOP NLAN'!E17*'TS-PILE'!$E$59/SUMSQ('TS-PILE'!$E$56:$E$75))+IF(SUMSQ('TS-PILE'!$D$56:$D$75)=0,0,'TO HOP NLAN'!F17*'TS-PILE'!$D$59/SUMSQ('TS-PILE'!$D$56:$D$75))),IF('TS-PILE'!$B$60="",1E+99,'TO HOP NLAN'!D17/ncoc+IF(SUMSQ('TS-PILE'!$E$56:$E$75)=0,0,'TO HOP NLAN'!E17*'TS-PILE'!$E$60/SUMSQ('TS-PILE'!$E$56:$E$75))+IF(SUMSQ('TS-PILE'!$D$56:$D$75)=0,0,'TO HOP NLAN'!F17*'TS-PILE'!$D$60/SUMSQ('TS-PILE'!$D$56:$D$75))),IF('TS-PILE'!$B$61="",1E+99,'TO HOP NLAN'!D17/ncoc+IF(SUMSQ('TS-PILE'!$E$56:$E$75)=0,0,'TO HOP NLAN'!E17*'TS-PILE'!$E$61/SUMSQ('TS-PILE'!$E$56:$E$75))+IF(SUMSQ('TS-PILE'!$D$56:$D$75)=0,0,'TO HOP NLAN'!F17*'TS-PILE'!$D$61/SUMSQ('TS-PILE'!$D$56:$D$75))),IF('TS-PILE'!$B$62="",1E+99,'TO HOP NLAN'!D17/ncoc+IF(SUMSQ('TS-PILE'!$E$56:$E$75)=0,0,'TO HOP NLAN'!E17*'TS-PILE'!$E$62/SUMSQ('TS-PILE'!$E$56:$E$75))+IF(SUMSQ('TS-PILE'!$D$56:$D$75)=0,0,'TO HOP NLAN'!F17*'TS-PILE'!$D$62/SUMSQ('TS-PILE'!$D$56:$D$75))),IF('TS-PILE'!$B$63="",1E+99,'TO HOP NLAN'!D17/ncoc+IF(SUMSQ('TS-PILE'!$E$56:$E$75)=0,0,'TO HOP NLAN'!E17*'TS-PILE'!$E$63/SUMSQ('TS-PILE'!$E$56:$E$75))+IF(SUMSQ('TS-PILE'!$D$56:$D$75)=0,0,'TO HOP NLAN'!F17*'TS-PILE'!$D$63/SUMSQ('TS-PILE'!$D$56:$D$75))),IF('TS-PILE'!$B$64="",1E+99,'TO HOP NLAN'!D17/ncoc+IF(SUMSQ('TS-PILE'!$E$56:$E$75)=0,0,'TO HOP NLAN'!E17*'TS-PILE'!$E$64/SUMSQ('TS-PILE'!$E$56:$E$75))+IF(SUMSQ('TS-PILE'!$D$56:$D$75)=0,0,'TO HOP NLAN'!F17*'TS-PILE'!$D$64/SUMSQ('TS-PILE'!$D$56:$D$75))),IF('TS-PILE'!$B$65="",1E+99,'TO HOP NLAN'!D17/ncoc+IF(SUMSQ('TS-PILE'!$E$56:$E$75)=0,0,'TO HOP NLAN'!E17*'TS-PILE'!$E$65/SUMSQ('TS-PILE'!$E$56:$E$75))+IF(SUMSQ('TS-PILE'!$D$56:$D$75)=0,0,'TO HOP NLAN'!F17*'TS-PILE'!$D$65/SUMSQ('TS-PILE'!$D$56:$D$75))),IF('TS-PILE'!$B$66="",1E+99,'TO HOP NLAN'!D17/ncoc+IF(SUMSQ('TS-PILE'!$E$56:$E$75)=0,0,'TO HOP NLAN'!E17*'TS-PILE'!$E$66/SUMSQ('TS-PILE'!$E$56:$E$75))+IF(SUMSQ('TS-PILE'!$D$56:$D$75)=0,0,'TO HOP NLAN'!F17*'TS-PILE'!$D$66/SUMSQ('TS-PILE'!$D$56:$D$75))),IF('TS-PILE'!$B$67="",1E+99,'TO HOP NLAN'!D17/ncoc+IF(SUMSQ('TS-PILE'!$E$56:$E$75)=0,0,'TO HOP NLAN'!E17*'TS-PILE'!$E$67/SUMSQ('TS-PILE'!$E$56:$E$75))+IF(SUMSQ('TS-PILE'!$D$56:$D$75)=0,0,'TO HOP NLAN'!F17*'TS-PILE'!$D$67/SUMSQ('TS-PILE'!$D$56:$D$75))),IF('TS-PILE'!$B$68="",1E+99,'TO HOP NLAN'!D17/ncoc+IF(SUMSQ('TS-PILE'!$E$56:$E$75)=0,0,'TO HOP NLAN'!E17*'TS-PILE'!$E$68/SUMSQ('TS-PILE'!$E$56:$E$75))+IF(SUMSQ('TS-PILE'!$D$56:$D$75)=0,0,'TO HOP NLAN'!F17*'TS-PILE'!$D$68/SUMSQ('TS-PILE'!$D$56:$D$75))),IF('TS-PILE'!$B$69="",1E+99,'TO HOP NLAN'!D17/ncoc+IF(SUMSQ('TS-PILE'!$E$56:$E$75)=0,0,'TO HOP NLAN'!E17*'TS-PILE'!$E$69/SUMSQ('TS-PILE'!$E$56:$E$75))+IF(SUMSQ('TS-PILE'!$D$56:$D$75)=0,0,'TO HOP NLAN'!F17*'TS-PILE'!$D$69/SUMSQ('TS-PILE'!$D$56:$D$75))),IF('TS-PILE'!$B$70="",1E+99,'TO HOP NLAN'!D17/ncoc+IF(SUMSQ('TS-PILE'!$E$56:$E$75)=0,0,'TO HOP NLAN'!E17*'TS-PILE'!$E$70/SUMSQ('TS-PILE'!$E$56:$E$75))+IF(SUMSQ('TS-PILE'!$D$56:$D$75)=0,0,'TO HOP NLAN'!F17*'TS-PILE'!$D$70/SUMSQ('TS-PILE'!$D$56:$D$75))),IF('TS-PILE'!$B$71="",1E+99,'TO HOP NLAN'!D17/ncoc+IF(SUMSQ('TS-PILE'!$E$56:$E$75)=0,0,'TO HOP NLAN'!E17*'TS-PILE'!$E$71/SUMSQ('TS-PILE'!$E$56:$E$75))+IF(SUMSQ('TS-PILE'!$D$56:$D$75)=0,0,'TO HOP NLAN'!F17*'TS-PILE'!$D$71/SUMSQ('TS-PILE'!$D$56:$D$75))),IF('TS-PILE'!$B$72="",1E+99,'TO HOP NLAN'!D17/ncoc+IF(SUMSQ('TS-PILE'!$E$56:$E$75)=0,0,'TO HOP NLAN'!E17*'TS-PILE'!$E$72/SUMSQ('TS-PILE'!$E$56:$E$75))+IF(SUMSQ('TS-PILE'!$D$56:$D$75)=0,0,'TO HOP NLAN'!F17*'TS-PILE'!$D$72/SUMSQ('TS-PILE'!$D$56:$D$75))),IF('TS-PILE'!$B$73="",1E+99,'TO HOP NLAN'!D17/ncoc+IF(SUMSQ('TS-PILE'!$E$56:$E$75)=0,0,'TO HOP NLAN'!E17*'TS-PILE'!$E$73/SUMSQ('TS-PILE'!$E$56:$E$75))+IF(SUMSQ('TS-PILE'!$D$56:$D$75)=0,0,'TO HOP NLAN'!F17*'TS-PILE'!$D$73/SUMSQ('TS-PILE'!$D$56:$D$75))),IF('TS-PILE'!$B$74="",1E+99,'TO HOP NLAN'!D17/ncoc+IF(SUMSQ('TS-PILE'!$E$56:$E$75)=0,0,'TO HOP NLAN'!E17*'TS-PILE'!$E$74/SUMSQ('TS-PILE'!$E$56:$E$75))+IF(SUMSQ('TS-PILE'!$D$56:$D$75)=0,0,'TO HOP NLAN'!F17*'TS-PILE'!$D$74/SUMSQ('TS-PILE'!$D$56:$D$75))),IF('TS-PILE'!$B$75="",1E+99,'TO HOP NLAN'!D17/ncoc+IF(SUMSQ('TS-PILE'!$E$56:$E$75)=0,0,'TO HOP NLAN'!E17*'TS-PILE'!$E$75/SUMSQ('TS-PILE'!$E$56:$E$75))+IF(SUMSQ('TS-PILE'!$D$56:$D$75)=0,0,'TO HOP NLAN'!F17*'TS-PILE'!$D$75/SUMSQ('TS-PILE'!$D$56:$D$75)))))</f>
        <v>0</v>
      </c>
      <c r="E17" s="46">
        <f t="shared" si="0"/>
        <v>-9.9999999999999997E+98</v>
      </c>
      <c r="F17" s="46">
        <f t="shared" si="1"/>
        <v>9.9999999999999997E+98</v>
      </c>
      <c r="G17" s="46">
        <f t="shared" si="2"/>
        <v>-9.9999999999999997E+98</v>
      </c>
      <c r="H17" s="46">
        <f t="shared" si="3"/>
        <v>9.9999999999999997E+98</v>
      </c>
    </row>
    <row r="18" spans="1:8" x14ac:dyDescent="0.3">
      <c r="A18" s="40" t="str">
        <f>'TO HOP NLAN'!A18</f>
        <v/>
      </c>
      <c r="B18" s="40" t="str">
        <f>'TO HOP NLAN'!L18</f>
        <v>SERVICE</v>
      </c>
      <c r="C18" s="46">
        <f>IF(A18="",0,MAX(IF('TS-PILE'!$B$56="",-1E+99,'TO HOP NLAN'!D18/ncoc+IF(SUMSQ('TS-PILE'!$E$56:$E$75)=0,0,'TO HOP NLAN'!E18*'TS-PILE'!$E$56/SUMSQ('TS-PILE'!$E$56:$E$75))+IF(SUMSQ('TS-PILE'!$D$56:$D$75)=0,0,'TO HOP NLAN'!F18*'TS-PILE'!$D$56/SUMSQ('TS-PILE'!$D$56:$D$75))),IF('TS-PILE'!$B$57="",-1E+99,'TO HOP NLAN'!D18/ncoc+IF(SUMSQ('TS-PILE'!$E$56:$E$75)=0,0,'TO HOP NLAN'!E18*'TS-PILE'!$E$57/SUMSQ('TS-PILE'!$E$56:$E$75))+IF(SUMSQ('TS-PILE'!$D$56:$D$75)=0,0,'TO HOP NLAN'!F18*'TS-PILE'!$D$57/SUMSQ('TS-PILE'!$D$56:$D$75))),IF('TS-PILE'!$B$58="",-1E+99,'TO HOP NLAN'!D18/ncoc+IF(SUMSQ('TS-PILE'!$E$56:$E$75)=0,0,'TO HOP NLAN'!E18*'TS-PILE'!$E$58/SUMSQ('TS-PILE'!$E$56:$E$75))+IF(SUMSQ('TS-PILE'!$D$56:$D$75)=0,0,'TO HOP NLAN'!F18*'TS-PILE'!$D$58/SUMSQ('TS-PILE'!$D$56:$D$75))),IF('TS-PILE'!$B$59="",-1E+99,'TO HOP NLAN'!D18/ncoc+IF(SUMSQ('TS-PILE'!$E$56:$E$75)=0,0,'TO HOP NLAN'!E18*'TS-PILE'!$E$59/SUMSQ('TS-PILE'!$E$56:$E$75))+IF(SUMSQ('TS-PILE'!$D$56:$D$75)=0,0,'TO HOP NLAN'!F18*'TS-PILE'!$D$59/SUMSQ('TS-PILE'!$D$56:$D$75))),IF('TS-PILE'!$B$60="",-1E+99,'TO HOP NLAN'!D18/ncoc+IF(SUMSQ('TS-PILE'!$E$56:$E$75)=0,0,'TO HOP NLAN'!E18*'TS-PILE'!$E$60/SUMSQ('TS-PILE'!$E$56:$E$75))+IF(SUMSQ('TS-PILE'!$D$56:$D$75)=0,0,'TO HOP NLAN'!F18*'TS-PILE'!$D$60/SUMSQ('TS-PILE'!$D$56:$D$75))),IF('TS-PILE'!$B$61="",-1E+99,'TO HOP NLAN'!D18/ncoc+IF(SUMSQ('TS-PILE'!$E$56:$E$75)=0,0,'TO HOP NLAN'!E18*'TS-PILE'!$E$61/SUMSQ('TS-PILE'!$E$56:$E$75))+IF(SUMSQ('TS-PILE'!$D$56:$D$75)=0,0,'TO HOP NLAN'!F18*'TS-PILE'!$D$61/SUMSQ('TS-PILE'!$D$56:$D$75))),IF('TS-PILE'!$B$62="",-1E+99,'TO HOP NLAN'!D18/ncoc+IF(SUMSQ('TS-PILE'!$E$56:$E$75)=0,0,'TO HOP NLAN'!E18*'TS-PILE'!$E$62/SUMSQ('TS-PILE'!$E$56:$E$75))+IF(SUMSQ('TS-PILE'!$D$56:$D$75)=0,0,'TO HOP NLAN'!F18*'TS-PILE'!$D$62/SUMSQ('TS-PILE'!$D$56:$D$75))),IF('TS-PILE'!$B$63="",-1E+99,'TO HOP NLAN'!D18/ncoc+IF(SUMSQ('TS-PILE'!$E$56:$E$75)=0,0,'TO HOP NLAN'!E18*'TS-PILE'!$E$63/SUMSQ('TS-PILE'!$E$56:$E$75))+IF(SUMSQ('TS-PILE'!$D$56:$D$75)=0,0,'TO HOP NLAN'!F18*'TS-PILE'!$D$63/SUMSQ('TS-PILE'!$D$56:$D$75))),IF('TS-PILE'!$B$64="",-1E+99,'TO HOP NLAN'!D18/ncoc+IF(SUMSQ('TS-PILE'!$E$56:$E$75)=0,0,'TO HOP NLAN'!E18*'TS-PILE'!$E$64/SUMSQ('TS-PILE'!$E$56:$E$75))+IF(SUMSQ('TS-PILE'!$D$56:$D$75)=0,0,'TO HOP NLAN'!F18*'TS-PILE'!$D$64/SUMSQ('TS-PILE'!$D$56:$D$75))),IF('TS-PILE'!$B$65="",-1E+99,'TO HOP NLAN'!D18/ncoc+IF(SUMSQ('TS-PILE'!$E$56:$E$75)=0,0,'TO HOP NLAN'!E18*'TS-PILE'!$E$65/SUMSQ('TS-PILE'!$E$56:$E$75))+IF(SUMSQ('TS-PILE'!$D$56:$D$75)=0,0,'TO HOP NLAN'!F18*'TS-PILE'!$D$65/SUMSQ('TS-PILE'!$D$56:$D$75))),IF('TS-PILE'!$B$66="",-1E+99,'TO HOP NLAN'!D18/ncoc+IF(SUMSQ('TS-PILE'!$E$56:$E$75)=0,0,'TO HOP NLAN'!E18*'TS-PILE'!$E$66/SUMSQ('TS-PILE'!$E$56:$E$75))+IF(SUMSQ('TS-PILE'!$D$56:$D$75)=0,0,'TO HOP NLAN'!F18*'TS-PILE'!$D$66/SUMSQ('TS-PILE'!$D$56:$D$75))),IF('TS-PILE'!$B$67="",-1E+99,'TO HOP NLAN'!D18/ncoc+IF(SUMSQ('TS-PILE'!$E$56:$E$75)=0,0,'TO HOP NLAN'!E18*'TS-PILE'!$E$67/SUMSQ('TS-PILE'!$E$56:$E$75))+IF(SUMSQ('TS-PILE'!$D$56:$D$75)=0,0,'TO HOP NLAN'!F18*'TS-PILE'!$D$67/SUMSQ('TS-PILE'!$D$56:$D$75))),IF('TS-PILE'!$B$68="",-1E+99,'TO HOP NLAN'!D18/ncoc+IF(SUMSQ('TS-PILE'!$E$56:$E$75)=0,0,'TO HOP NLAN'!E18*'TS-PILE'!$E$68/SUMSQ('TS-PILE'!$E$56:$E$75))+IF(SUMSQ('TS-PILE'!$D$56:$D$75)=0,0,'TO HOP NLAN'!F18*'TS-PILE'!$D$68/SUMSQ('TS-PILE'!$D$56:$D$75))),IF('TS-PILE'!$B$69="",-1E+99,'TO HOP NLAN'!D18/ncoc+IF(SUMSQ('TS-PILE'!$E$56:$E$75)=0,0,'TO HOP NLAN'!E18*'TS-PILE'!$E$69/SUMSQ('TS-PILE'!$E$56:$E$75))+IF(SUMSQ('TS-PILE'!$D$56:$D$75)=0,0,'TO HOP NLAN'!F18*'TS-PILE'!$D$69/SUMSQ('TS-PILE'!$D$56:$D$75))),IF('TS-PILE'!$B$70="",-1E+99,'TO HOP NLAN'!D18/ncoc+IF(SUMSQ('TS-PILE'!$E$56:$E$75)=0,0,'TO HOP NLAN'!E18*'TS-PILE'!$E$70/SUMSQ('TS-PILE'!$E$56:$E$75))+IF(SUMSQ('TS-PILE'!$D$56:$D$75)=0,0,'TO HOP NLAN'!F18*'TS-PILE'!$D$70/SUMSQ('TS-PILE'!$D$56:$D$75))),IF('TS-PILE'!$B$71="",-1E+99,'TO HOP NLAN'!D18/ncoc+IF(SUMSQ('TS-PILE'!$E$56:$E$75)=0,0,'TO HOP NLAN'!E18*'TS-PILE'!$E$71/SUMSQ('TS-PILE'!$E$56:$E$75))+IF(SUMSQ('TS-PILE'!$D$56:$D$75)=0,0,'TO HOP NLAN'!F18*'TS-PILE'!$D$71/SUMSQ('TS-PILE'!$D$56:$D$75))),IF('TS-PILE'!$B$72="",-1E+99,'TO HOP NLAN'!D18/ncoc+IF(SUMSQ('TS-PILE'!$E$56:$E$75)=0,0,'TO HOP NLAN'!E18*'TS-PILE'!$E$72/SUMSQ('TS-PILE'!$E$56:$E$75))+IF(SUMSQ('TS-PILE'!$D$56:$D$75)=0,0,'TO HOP NLAN'!F18*'TS-PILE'!$D$72/SUMSQ('TS-PILE'!$D$56:$D$75))),IF('TS-PILE'!$B$73="",-1E+99,'TO HOP NLAN'!D18/ncoc+IF(SUMSQ('TS-PILE'!$E$56:$E$75)=0,0,'TO HOP NLAN'!E18*'TS-PILE'!$E$73/SUMSQ('TS-PILE'!$E$56:$E$75))+IF(SUMSQ('TS-PILE'!$D$56:$D$75)=0,0,'TO HOP NLAN'!F18*'TS-PILE'!$D$73/SUMSQ('TS-PILE'!$D$56:$D$75))),IF('TS-PILE'!$B$74="",-1E+99,'TO HOP NLAN'!D18/ncoc+IF(SUMSQ('TS-PILE'!$E$56:$E$75)=0,0,'TO HOP NLAN'!E18*'TS-PILE'!$E$74/SUMSQ('TS-PILE'!$E$56:$E$75))+IF(SUMSQ('TS-PILE'!$D$56:$D$75)=0,0,'TO HOP NLAN'!F18*'TS-PILE'!$D$74/SUMSQ('TS-PILE'!$D$56:$D$75))),IF('TS-PILE'!$B$75="",-1E+99,'TO HOP NLAN'!D18/ncoc+IF(SUMSQ('TS-PILE'!$E$56:$E$75)=0,0,'TO HOP NLAN'!E18*'TS-PILE'!$E$75/SUMSQ('TS-PILE'!$E$56:$E$75))+IF(SUMSQ('TS-PILE'!$D$56:$D$75)=0,0,'TO HOP NLAN'!F18*'TS-PILE'!$D$75/SUMSQ('TS-PILE'!$D$56:$D$75)))))</f>
        <v>0</v>
      </c>
      <c r="D18" s="46">
        <f>IF(A18="",0,MIN(IF('TS-PILE'!$B$56="",1E+99,'TO HOP NLAN'!D18/ncoc+IF(SUMSQ('TS-PILE'!$E$56:$E$75)=0,0,'TO HOP NLAN'!E18*'TS-PILE'!$E$56/SUMSQ('TS-PILE'!$E$56:$E$75))+IF(SUMSQ('TS-PILE'!$D$56:$D$75)=0,0,'TO HOP NLAN'!F18*'TS-PILE'!$D$56/SUMSQ('TS-PILE'!$D$56:$D$75))),IF('TS-PILE'!$B$57="",1E+99,'TO HOP NLAN'!D18/ncoc+IF(SUMSQ('TS-PILE'!$E$56:$E$75)=0,0,'TO HOP NLAN'!E18*'TS-PILE'!$E$57/SUMSQ('TS-PILE'!$E$56:$E$75))+IF(SUMSQ('TS-PILE'!$D$56:$D$75)=0,0,'TO HOP NLAN'!F18*'TS-PILE'!$D$57/SUMSQ('TS-PILE'!$D$56:$D$75))),IF('TS-PILE'!$B$58="",1E+99,'TO HOP NLAN'!D18/ncoc+IF(SUMSQ('TS-PILE'!$E$56:$E$75)=0,0,'TO HOP NLAN'!E18*'TS-PILE'!$E$58/SUMSQ('TS-PILE'!$E$56:$E$75))+IF(SUMSQ('TS-PILE'!$D$56:$D$75)=0,0,'TO HOP NLAN'!F18*'TS-PILE'!$D$58/SUMSQ('TS-PILE'!$D$56:$D$75))),IF('TS-PILE'!$B$59="",1E+99,'TO HOP NLAN'!D18/ncoc+IF(SUMSQ('TS-PILE'!$E$56:$E$75)=0,0,'TO HOP NLAN'!E18*'TS-PILE'!$E$59/SUMSQ('TS-PILE'!$E$56:$E$75))+IF(SUMSQ('TS-PILE'!$D$56:$D$75)=0,0,'TO HOP NLAN'!F18*'TS-PILE'!$D$59/SUMSQ('TS-PILE'!$D$56:$D$75))),IF('TS-PILE'!$B$60="",1E+99,'TO HOP NLAN'!D18/ncoc+IF(SUMSQ('TS-PILE'!$E$56:$E$75)=0,0,'TO HOP NLAN'!E18*'TS-PILE'!$E$60/SUMSQ('TS-PILE'!$E$56:$E$75))+IF(SUMSQ('TS-PILE'!$D$56:$D$75)=0,0,'TO HOP NLAN'!F18*'TS-PILE'!$D$60/SUMSQ('TS-PILE'!$D$56:$D$75))),IF('TS-PILE'!$B$61="",1E+99,'TO HOP NLAN'!D18/ncoc+IF(SUMSQ('TS-PILE'!$E$56:$E$75)=0,0,'TO HOP NLAN'!E18*'TS-PILE'!$E$61/SUMSQ('TS-PILE'!$E$56:$E$75))+IF(SUMSQ('TS-PILE'!$D$56:$D$75)=0,0,'TO HOP NLAN'!F18*'TS-PILE'!$D$61/SUMSQ('TS-PILE'!$D$56:$D$75))),IF('TS-PILE'!$B$62="",1E+99,'TO HOP NLAN'!D18/ncoc+IF(SUMSQ('TS-PILE'!$E$56:$E$75)=0,0,'TO HOP NLAN'!E18*'TS-PILE'!$E$62/SUMSQ('TS-PILE'!$E$56:$E$75))+IF(SUMSQ('TS-PILE'!$D$56:$D$75)=0,0,'TO HOP NLAN'!F18*'TS-PILE'!$D$62/SUMSQ('TS-PILE'!$D$56:$D$75))),IF('TS-PILE'!$B$63="",1E+99,'TO HOP NLAN'!D18/ncoc+IF(SUMSQ('TS-PILE'!$E$56:$E$75)=0,0,'TO HOP NLAN'!E18*'TS-PILE'!$E$63/SUMSQ('TS-PILE'!$E$56:$E$75))+IF(SUMSQ('TS-PILE'!$D$56:$D$75)=0,0,'TO HOP NLAN'!F18*'TS-PILE'!$D$63/SUMSQ('TS-PILE'!$D$56:$D$75))),IF('TS-PILE'!$B$64="",1E+99,'TO HOP NLAN'!D18/ncoc+IF(SUMSQ('TS-PILE'!$E$56:$E$75)=0,0,'TO HOP NLAN'!E18*'TS-PILE'!$E$64/SUMSQ('TS-PILE'!$E$56:$E$75))+IF(SUMSQ('TS-PILE'!$D$56:$D$75)=0,0,'TO HOP NLAN'!F18*'TS-PILE'!$D$64/SUMSQ('TS-PILE'!$D$56:$D$75))),IF('TS-PILE'!$B$65="",1E+99,'TO HOP NLAN'!D18/ncoc+IF(SUMSQ('TS-PILE'!$E$56:$E$75)=0,0,'TO HOP NLAN'!E18*'TS-PILE'!$E$65/SUMSQ('TS-PILE'!$E$56:$E$75))+IF(SUMSQ('TS-PILE'!$D$56:$D$75)=0,0,'TO HOP NLAN'!F18*'TS-PILE'!$D$65/SUMSQ('TS-PILE'!$D$56:$D$75))),IF('TS-PILE'!$B$66="",1E+99,'TO HOP NLAN'!D18/ncoc+IF(SUMSQ('TS-PILE'!$E$56:$E$75)=0,0,'TO HOP NLAN'!E18*'TS-PILE'!$E$66/SUMSQ('TS-PILE'!$E$56:$E$75))+IF(SUMSQ('TS-PILE'!$D$56:$D$75)=0,0,'TO HOP NLAN'!F18*'TS-PILE'!$D$66/SUMSQ('TS-PILE'!$D$56:$D$75))),IF('TS-PILE'!$B$67="",1E+99,'TO HOP NLAN'!D18/ncoc+IF(SUMSQ('TS-PILE'!$E$56:$E$75)=0,0,'TO HOP NLAN'!E18*'TS-PILE'!$E$67/SUMSQ('TS-PILE'!$E$56:$E$75))+IF(SUMSQ('TS-PILE'!$D$56:$D$75)=0,0,'TO HOP NLAN'!F18*'TS-PILE'!$D$67/SUMSQ('TS-PILE'!$D$56:$D$75))),IF('TS-PILE'!$B$68="",1E+99,'TO HOP NLAN'!D18/ncoc+IF(SUMSQ('TS-PILE'!$E$56:$E$75)=0,0,'TO HOP NLAN'!E18*'TS-PILE'!$E$68/SUMSQ('TS-PILE'!$E$56:$E$75))+IF(SUMSQ('TS-PILE'!$D$56:$D$75)=0,0,'TO HOP NLAN'!F18*'TS-PILE'!$D$68/SUMSQ('TS-PILE'!$D$56:$D$75))),IF('TS-PILE'!$B$69="",1E+99,'TO HOP NLAN'!D18/ncoc+IF(SUMSQ('TS-PILE'!$E$56:$E$75)=0,0,'TO HOP NLAN'!E18*'TS-PILE'!$E$69/SUMSQ('TS-PILE'!$E$56:$E$75))+IF(SUMSQ('TS-PILE'!$D$56:$D$75)=0,0,'TO HOP NLAN'!F18*'TS-PILE'!$D$69/SUMSQ('TS-PILE'!$D$56:$D$75))),IF('TS-PILE'!$B$70="",1E+99,'TO HOP NLAN'!D18/ncoc+IF(SUMSQ('TS-PILE'!$E$56:$E$75)=0,0,'TO HOP NLAN'!E18*'TS-PILE'!$E$70/SUMSQ('TS-PILE'!$E$56:$E$75))+IF(SUMSQ('TS-PILE'!$D$56:$D$75)=0,0,'TO HOP NLAN'!F18*'TS-PILE'!$D$70/SUMSQ('TS-PILE'!$D$56:$D$75))),IF('TS-PILE'!$B$71="",1E+99,'TO HOP NLAN'!D18/ncoc+IF(SUMSQ('TS-PILE'!$E$56:$E$75)=0,0,'TO HOP NLAN'!E18*'TS-PILE'!$E$71/SUMSQ('TS-PILE'!$E$56:$E$75))+IF(SUMSQ('TS-PILE'!$D$56:$D$75)=0,0,'TO HOP NLAN'!F18*'TS-PILE'!$D$71/SUMSQ('TS-PILE'!$D$56:$D$75))),IF('TS-PILE'!$B$72="",1E+99,'TO HOP NLAN'!D18/ncoc+IF(SUMSQ('TS-PILE'!$E$56:$E$75)=0,0,'TO HOP NLAN'!E18*'TS-PILE'!$E$72/SUMSQ('TS-PILE'!$E$56:$E$75))+IF(SUMSQ('TS-PILE'!$D$56:$D$75)=0,0,'TO HOP NLAN'!F18*'TS-PILE'!$D$72/SUMSQ('TS-PILE'!$D$56:$D$75))),IF('TS-PILE'!$B$73="",1E+99,'TO HOP NLAN'!D18/ncoc+IF(SUMSQ('TS-PILE'!$E$56:$E$75)=0,0,'TO HOP NLAN'!E18*'TS-PILE'!$E$73/SUMSQ('TS-PILE'!$E$56:$E$75))+IF(SUMSQ('TS-PILE'!$D$56:$D$75)=0,0,'TO HOP NLAN'!F18*'TS-PILE'!$D$73/SUMSQ('TS-PILE'!$D$56:$D$75))),IF('TS-PILE'!$B$74="",1E+99,'TO HOP NLAN'!D18/ncoc+IF(SUMSQ('TS-PILE'!$E$56:$E$75)=0,0,'TO HOP NLAN'!E18*'TS-PILE'!$E$74/SUMSQ('TS-PILE'!$E$56:$E$75))+IF(SUMSQ('TS-PILE'!$D$56:$D$75)=0,0,'TO HOP NLAN'!F18*'TS-PILE'!$D$74/SUMSQ('TS-PILE'!$D$56:$D$75))),IF('TS-PILE'!$B$75="",1E+99,'TO HOP NLAN'!D18/ncoc+IF(SUMSQ('TS-PILE'!$E$56:$E$75)=0,0,'TO HOP NLAN'!E18*'TS-PILE'!$E$75/SUMSQ('TS-PILE'!$E$56:$E$75))+IF(SUMSQ('TS-PILE'!$D$56:$D$75)=0,0,'TO HOP NLAN'!F18*'TS-PILE'!$D$75/SUMSQ('TS-PILE'!$D$56:$D$75)))))</f>
        <v>0</v>
      </c>
      <c r="E18" s="46">
        <f t="shared" si="0"/>
        <v>-9.9999999999999997E+98</v>
      </c>
      <c r="F18" s="46">
        <f t="shared" si="1"/>
        <v>9.9999999999999997E+98</v>
      </c>
      <c r="G18" s="46">
        <f t="shared" si="2"/>
        <v>-9.9999999999999997E+98</v>
      </c>
      <c r="H18" s="46">
        <f t="shared" si="3"/>
        <v>9.9999999999999997E+98</v>
      </c>
    </row>
    <row r="19" spans="1:8" x14ac:dyDescent="0.3">
      <c r="A19" s="40" t="str">
        <f>'TO HOP NLAN'!A19</f>
        <v/>
      </c>
      <c r="B19" s="40" t="str">
        <f>'TO HOP NLAN'!L19</f>
        <v>SERVICE</v>
      </c>
      <c r="C19" s="46">
        <f>IF(A19="",0,MAX(IF('TS-PILE'!$B$56="",-1E+99,'TO HOP NLAN'!D19/ncoc+IF(SUMSQ('TS-PILE'!$E$56:$E$75)=0,0,'TO HOP NLAN'!E19*'TS-PILE'!$E$56/SUMSQ('TS-PILE'!$E$56:$E$75))+IF(SUMSQ('TS-PILE'!$D$56:$D$75)=0,0,'TO HOP NLAN'!F19*'TS-PILE'!$D$56/SUMSQ('TS-PILE'!$D$56:$D$75))),IF('TS-PILE'!$B$57="",-1E+99,'TO HOP NLAN'!D19/ncoc+IF(SUMSQ('TS-PILE'!$E$56:$E$75)=0,0,'TO HOP NLAN'!E19*'TS-PILE'!$E$57/SUMSQ('TS-PILE'!$E$56:$E$75))+IF(SUMSQ('TS-PILE'!$D$56:$D$75)=0,0,'TO HOP NLAN'!F19*'TS-PILE'!$D$57/SUMSQ('TS-PILE'!$D$56:$D$75))),IF('TS-PILE'!$B$58="",-1E+99,'TO HOP NLAN'!D19/ncoc+IF(SUMSQ('TS-PILE'!$E$56:$E$75)=0,0,'TO HOP NLAN'!E19*'TS-PILE'!$E$58/SUMSQ('TS-PILE'!$E$56:$E$75))+IF(SUMSQ('TS-PILE'!$D$56:$D$75)=0,0,'TO HOP NLAN'!F19*'TS-PILE'!$D$58/SUMSQ('TS-PILE'!$D$56:$D$75))),IF('TS-PILE'!$B$59="",-1E+99,'TO HOP NLAN'!D19/ncoc+IF(SUMSQ('TS-PILE'!$E$56:$E$75)=0,0,'TO HOP NLAN'!E19*'TS-PILE'!$E$59/SUMSQ('TS-PILE'!$E$56:$E$75))+IF(SUMSQ('TS-PILE'!$D$56:$D$75)=0,0,'TO HOP NLAN'!F19*'TS-PILE'!$D$59/SUMSQ('TS-PILE'!$D$56:$D$75))),IF('TS-PILE'!$B$60="",-1E+99,'TO HOP NLAN'!D19/ncoc+IF(SUMSQ('TS-PILE'!$E$56:$E$75)=0,0,'TO HOP NLAN'!E19*'TS-PILE'!$E$60/SUMSQ('TS-PILE'!$E$56:$E$75))+IF(SUMSQ('TS-PILE'!$D$56:$D$75)=0,0,'TO HOP NLAN'!F19*'TS-PILE'!$D$60/SUMSQ('TS-PILE'!$D$56:$D$75))),IF('TS-PILE'!$B$61="",-1E+99,'TO HOP NLAN'!D19/ncoc+IF(SUMSQ('TS-PILE'!$E$56:$E$75)=0,0,'TO HOP NLAN'!E19*'TS-PILE'!$E$61/SUMSQ('TS-PILE'!$E$56:$E$75))+IF(SUMSQ('TS-PILE'!$D$56:$D$75)=0,0,'TO HOP NLAN'!F19*'TS-PILE'!$D$61/SUMSQ('TS-PILE'!$D$56:$D$75))),IF('TS-PILE'!$B$62="",-1E+99,'TO HOP NLAN'!D19/ncoc+IF(SUMSQ('TS-PILE'!$E$56:$E$75)=0,0,'TO HOP NLAN'!E19*'TS-PILE'!$E$62/SUMSQ('TS-PILE'!$E$56:$E$75))+IF(SUMSQ('TS-PILE'!$D$56:$D$75)=0,0,'TO HOP NLAN'!F19*'TS-PILE'!$D$62/SUMSQ('TS-PILE'!$D$56:$D$75))),IF('TS-PILE'!$B$63="",-1E+99,'TO HOP NLAN'!D19/ncoc+IF(SUMSQ('TS-PILE'!$E$56:$E$75)=0,0,'TO HOP NLAN'!E19*'TS-PILE'!$E$63/SUMSQ('TS-PILE'!$E$56:$E$75))+IF(SUMSQ('TS-PILE'!$D$56:$D$75)=0,0,'TO HOP NLAN'!F19*'TS-PILE'!$D$63/SUMSQ('TS-PILE'!$D$56:$D$75))),IF('TS-PILE'!$B$64="",-1E+99,'TO HOP NLAN'!D19/ncoc+IF(SUMSQ('TS-PILE'!$E$56:$E$75)=0,0,'TO HOP NLAN'!E19*'TS-PILE'!$E$64/SUMSQ('TS-PILE'!$E$56:$E$75))+IF(SUMSQ('TS-PILE'!$D$56:$D$75)=0,0,'TO HOP NLAN'!F19*'TS-PILE'!$D$64/SUMSQ('TS-PILE'!$D$56:$D$75))),IF('TS-PILE'!$B$65="",-1E+99,'TO HOP NLAN'!D19/ncoc+IF(SUMSQ('TS-PILE'!$E$56:$E$75)=0,0,'TO HOP NLAN'!E19*'TS-PILE'!$E$65/SUMSQ('TS-PILE'!$E$56:$E$75))+IF(SUMSQ('TS-PILE'!$D$56:$D$75)=0,0,'TO HOP NLAN'!F19*'TS-PILE'!$D$65/SUMSQ('TS-PILE'!$D$56:$D$75))),IF('TS-PILE'!$B$66="",-1E+99,'TO HOP NLAN'!D19/ncoc+IF(SUMSQ('TS-PILE'!$E$56:$E$75)=0,0,'TO HOP NLAN'!E19*'TS-PILE'!$E$66/SUMSQ('TS-PILE'!$E$56:$E$75))+IF(SUMSQ('TS-PILE'!$D$56:$D$75)=0,0,'TO HOP NLAN'!F19*'TS-PILE'!$D$66/SUMSQ('TS-PILE'!$D$56:$D$75))),IF('TS-PILE'!$B$67="",-1E+99,'TO HOP NLAN'!D19/ncoc+IF(SUMSQ('TS-PILE'!$E$56:$E$75)=0,0,'TO HOP NLAN'!E19*'TS-PILE'!$E$67/SUMSQ('TS-PILE'!$E$56:$E$75))+IF(SUMSQ('TS-PILE'!$D$56:$D$75)=0,0,'TO HOP NLAN'!F19*'TS-PILE'!$D$67/SUMSQ('TS-PILE'!$D$56:$D$75))),IF('TS-PILE'!$B$68="",-1E+99,'TO HOP NLAN'!D19/ncoc+IF(SUMSQ('TS-PILE'!$E$56:$E$75)=0,0,'TO HOP NLAN'!E19*'TS-PILE'!$E$68/SUMSQ('TS-PILE'!$E$56:$E$75))+IF(SUMSQ('TS-PILE'!$D$56:$D$75)=0,0,'TO HOP NLAN'!F19*'TS-PILE'!$D$68/SUMSQ('TS-PILE'!$D$56:$D$75))),IF('TS-PILE'!$B$69="",-1E+99,'TO HOP NLAN'!D19/ncoc+IF(SUMSQ('TS-PILE'!$E$56:$E$75)=0,0,'TO HOP NLAN'!E19*'TS-PILE'!$E$69/SUMSQ('TS-PILE'!$E$56:$E$75))+IF(SUMSQ('TS-PILE'!$D$56:$D$75)=0,0,'TO HOP NLAN'!F19*'TS-PILE'!$D$69/SUMSQ('TS-PILE'!$D$56:$D$75))),IF('TS-PILE'!$B$70="",-1E+99,'TO HOP NLAN'!D19/ncoc+IF(SUMSQ('TS-PILE'!$E$56:$E$75)=0,0,'TO HOP NLAN'!E19*'TS-PILE'!$E$70/SUMSQ('TS-PILE'!$E$56:$E$75))+IF(SUMSQ('TS-PILE'!$D$56:$D$75)=0,0,'TO HOP NLAN'!F19*'TS-PILE'!$D$70/SUMSQ('TS-PILE'!$D$56:$D$75))),IF('TS-PILE'!$B$71="",-1E+99,'TO HOP NLAN'!D19/ncoc+IF(SUMSQ('TS-PILE'!$E$56:$E$75)=0,0,'TO HOP NLAN'!E19*'TS-PILE'!$E$71/SUMSQ('TS-PILE'!$E$56:$E$75))+IF(SUMSQ('TS-PILE'!$D$56:$D$75)=0,0,'TO HOP NLAN'!F19*'TS-PILE'!$D$71/SUMSQ('TS-PILE'!$D$56:$D$75))),IF('TS-PILE'!$B$72="",-1E+99,'TO HOP NLAN'!D19/ncoc+IF(SUMSQ('TS-PILE'!$E$56:$E$75)=0,0,'TO HOP NLAN'!E19*'TS-PILE'!$E$72/SUMSQ('TS-PILE'!$E$56:$E$75))+IF(SUMSQ('TS-PILE'!$D$56:$D$75)=0,0,'TO HOP NLAN'!F19*'TS-PILE'!$D$72/SUMSQ('TS-PILE'!$D$56:$D$75))),IF('TS-PILE'!$B$73="",-1E+99,'TO HOP NLAN'!D19/ncoc+IF(SUMSQ('TS-PILE'!$E$56:$E$75)=0,0,'TO HOP NLAN'!E19*'TS-PILE'!$E$73/SUMSQ('TS-PILE'!$E$56:$E$75))+IF(SUMSQ('TS-PILE'!$D$56:$D$75)=0,0,'TO HOP NLAN'!F19*'TS-PILE'!$D$73/SUMSQ('TS-PILE'!$D$56:$D$75))),IF('TS-PILE'!$B$74="",-1E+99,'TO HOP NLAN'!D19/ncoc+IF(SUMSQ('TS-PILE'!$E$56:$E$75)=0,0,'TO HOP NLAN'!E19*'TS-PILE'!$E$74/SUMSQ('TS-PILE'!$E$56:$E$75))+IF(SUMSQ('TS-PILE'!$D$56:$D$75)=0,0,'TO HOP NLAN'!F19*'TS-PILE'!$D$74/SUMSQ('TS-PILE'!$D$56:$D$75))),IF('TS-PILE'!$B$75="",-1E+99,'TO HOP NLAN'!D19/ncoc+IF(SUMSQ('TS-PILE'!$E$56:$E$75)=0,0,'TO HOP NLAN'!E19*'TS-PILE'!$E$75/SUMSQ('TS-PILE'!$E$56:$E$75))+IF(SUMSQ('TS-PILE'!$D$56:$D$75)=0,0,'TO HOP NLAN'!F19*'TS-PILE'!$D$75/SUMSQ('TS-PILE'!$D$56:$D$75)))))</f>
        <v>0</v>
      </c>
      <c r="D19" s="46">
        <f>IF(A19="",0,MIN(IF('TS-PILE'!$B$56="",1E+99,'TO HOP NLAN'!D19/ncoc+IF(SUMSQ('TS-PILE'!$E$56:$E$75)=0,0,'TO HOP NLAN'!E19*'TS-PILE'!$E$56/SUMSQ('TS-PILE'!$E$56:$E$75))+IF(SUMSQ('TS-PILE'!$D$56:$D$75)=0,0,'TO HOP NLAN'!F19*'TS-PILE'!$D$56/SUMSQ('TS-PILE'!$D$56:$D$75))),IF('TS-PILE'!$B$57="",1E+99,'TO HOP NLAN'!D19/ncoc+IF(SUMSQ('TS-PILE'!$E$56:$E$75)=0,0,'TO HOP NLAN'!E19*'TS-PILE'!$E$57/SUMSQ('TS-PILE'!$E$56:$E$75))+IF(SUMSQ('TS-PILE'!$D$56:$D$75)=0,0,'TO HOP NLAN'!F19*'TS-PILE'!$D$57/SUMSQ('TS-PILE'!$D$56:$D$75))),IF('TS-PILE'!$B$58="",1E+99,'TO HOP NLAN'!D19/ncoc+IF(SUMSQ('TS-PILE'!$E$56:$E$75)=0,0,'TO HOP NLAN'!E19*'TS-PILE'!$E$58/SUMSQ('TS-PILE'!$E$56:$E$75))+IF(SUMSQ('TS-PILE'!$D$56:$D$75)=0,0,'TO HOP NLAN'!F19*'TS-PILE'!$D$58/SUMSQ('TS-PILE'!$D$56:$D$75))),IF('TS-PILE'!$B$59="",1E+99,'TO HOP NLAN'!D19/ncoc+IF(SUMSQ('TS-PILE'!$E$56:$E$75)=0,0,'TO HOP NLAN'!E19*'TS-PILE'!$E$59/SUMSQ('TS-PILE'!$E$56:$E$75))+IF(SUMSQ('TS-PILE'!$D$56:$D$75)=0,0,'TO HOP NLAN'!F19*'TS-PILE'!$D$59/SUMSQ('TS-PILE'!$D$56:$D$75))),IF('TS-PILE'!$B$60="",1E+99,'TO HOP NLAN'!D19/ncoc+IF(SUMSQ('TS-PILE'!$E$56:$E$75)=0,0,'TO HOP NLAN'!E19*'TS-PILE'!$E$60/SUMSQ('TS-PILE'!$E$56:$E$75))+IF(SUMSQ('TS-PILE'!$D$56:$D$75)=0,0,'TO HOP NLAN'!F19*'TS-PILE'!$D$60/SUMSQ('TS-PILE'!$D$56:$D$75))),IF('TS-PILE'!$B$61="",1E+99,'TO HOP NLAN'!D19/ncoc+IF(SUMSQ('TS-PILE'!$E$56:$E$75)=0,0,'TO HOP NLAN'!E19*'TS-PILE'!$E$61/SUMSQ('TS-PILE'!$E$56:$E$75))+IF(SUMSQ('TS-PILE'!$D$56:$D$75)=0,0,'TO HOP NLAN'!F19*'TS-PILE'!$D$61/SUMSQ('TS-PILE'!$D$56:$D$75))),IF('TS-PILE'!$B$62="",1E+99,'TO HOP NLAN'!D19/ncoc+IF(SUMSQ('TS-PILE'!$E$56:$E$75)=0,0,'TO HOP NLAN'!E19*'TS-PILE'!$E$62/SUMSQ('TS-PILE'!$E$56:$E$75))+IF(SUMSQ('TS-PILE'!$D$56:$D$75)=0,0,'TO HOP NLAN'!F19*'TS-PILE'!$D$62/SUMSQ('TS-PILE'!$D$56:$D$75))),IF('TS-PILE'!$B$63="",1E+99,'TO HOP NLAN'!D19/ncoc+IF(SUMSQ('TS-PILE'!$E$56:$E$75)=0,0,'TO HOP NLAN'!E19*'TS-PILE'!$E$63/SUMSQ('TS-PILE'!$E$56:$E$75))+IF(SUMSQ('TS-PILE'!$D$56:$D$75)=0,0,'TO HOP NLAN'!F19*'TS-PILE'!$D$63/SUMSQ('TS-PILE'!$D$56:$D$75))),IF('TS-PILE'!$B$64="",1E+99,'TO HOP NLAN'!D19/ncoc+IF(SUMSQ('TS-PILE'!$E$56:$E$75)=0,0,'TO HOP NLAN'!E19*'TS-PILE'!$E$64/SUMSQ('TS-PILE'!$E$56:$E$75))+IF(SUMSQ('TS-PILE'!$D$56:$D$75)=0,0,'TO HOP NLAN'!F19*'TS-PILE'!$D$64/SUMSQ('TS-PILE'!$D$56:$D$75))),IF('TS-PILE'!$B$65="",1E+99,'TO HOP NLAN'!D19/ncoc+IF(SUMSQ('TS-PILE'!$E$56:$E$75)=0,0,'TO HOP NLAN'!E19*'TS-PILE'!$E$65/SUMSQ('TS-PILE'!$E$56:$E$75))+IF(SUMSQ('TS-PILE'!$D$56:$D$75)=0,0,'TO HOP NLAN'!F19*'TS-PILE'!$D$65/SUMSQ('TS-PILE'!$D$56:$D$75))),IF('TS-PILE'!$B$66="",1E+99,'TO HOP NLAN'!D19/ncoc+IF(SUMSQ('TS-PILE'!$E$56:$E$75)=0,0,'TO HOP NLAN'!E19*'TS-PILE'!$E$66/SUMSQ('TS-PILE'!$E$56:$E$75))+IF(SUMSQ('TS-PILE'!$D$56:$D$75)=0,0,'TO HOP NLAN'!F19*'TS-PILE'!$D$66/SUMSQ('TS-PILE'!$D$56:$D$75))),IF('TS-PILE'!$B$67="",1E+99,'TO HOP NLAN'!D19/ncoc+IF(SUMSQ('TS-PILE'!$E$56:$E$75)=0,0,'TO HOP NLAN'!E19*'TS-PILE'!$E$67/SUMSQ('TS-PILE'!$E$56:$E$75))+IF(SUMSQ('TS-PILE'!$D$56:$D$75)=0,0,'TO HOP NLAN'!F19*'TS-PILE'!$D$67/SUMSQ('TS-PILE'!$D$56:$D$75))),IF('TS-PILE'!$B$68="",1E+99,'TO HOP NLAN'!D19/ncoc+IF(SUMSQ('TS-PILE'!$E$56:$E$75)=0,0,'TO HOP NLAN'!E19*'TS-PILE'!$E$68/SUMSQ('TS-PILE'!$E$56:$E$75))+IF(SUMSQ('TS-PILE'!$D$56:$D$75)=0,0,'TO HOP NLAN'!F19*'TS-PILE'!$D$68/SUMSQ('TS-PILE'!$D$56:$D$75))),IF('TS-PILE'!$B$69="",1E+99,'TO HOP NLAN'!D19/ncoc+IF(SUMSQ('TS-PILE'!$E$56:$E$75)=0,0,'TO HOP NLAN'!E19*'TS-PILE'!$E$69/SUMSQ('TS-PILE'!$E$56:$E$75))+IF(SUMSQ('TS-PILE'!$D$56:$D$75)=0,0,'TO HOP NLAN'!F19*'TS-PILE'!$D$69/SUMSQ('TS-PILE'!$D$56:$D$75))),IF('TS-PILE'!$B$70="",1E+99,'TO HOP NLAN'!D19/ncoc+IF(SUMSQ('TS-PILE'!$E$56:$E$75)=0,0,'TO HOP NLAN'!E19*'TS-PILE'!$E$70/SUMSQ('TS-PILE'!$E$56:$E$75))+IF(SUMSQ('TS-PILE'!$D$56:$D$75)=0,0,'TO HOP NLAN'!F19*'TS-PILE'!$D$70/SUMSQ('TS-PILE'!$D$56:$D$75))),IF('TS-PILE'!$B$71="",1E+99,'TO HOP NLAN'!D19/ncoc+IF(SUMSQ('TS-PILE'!$E$56:$E$75)=0,0,'TO HOP NLAN'!E19*'TS-PILE'!$E$71/SUMSQ('TS-PILE'!$E$56:$E$75))+IF(SUMSQ('TS-PILE'!$D$56:$D$75)=0,0,'TO HOP NLAN'!F19*'TS-PILE'!$D$71/SUMSQ('TS-PILE'!$D$56:$D$75))),IF('TS-PILE'!$B$72="",1E+99,'TO HOP NLAN'!D19/ncoc+IF(SUMSQ('TS-PILE'!$E$56:$E$75)=0,0,'TO HOP NLAN'!E19*'TS-PILE'!$E$72/SUMSQ('TS-PILE'!$E$56:$E$75))+IF(SUMSQ('TS-PILE'!$D$56:$D$75)=0,0,'TO HOP NLAN'!F19*'TS-PILE'!$D$72/SUMSQ('TS-PILE'!$D$56:$D$75))),IF('TS-PILE'!$B$73="",1E+99,'TO HOP NLAN'!D19/ncoc+IF(SUMSQ('TS-PILE'!$E$56:$E$75)=0,0,'TO HOP NLAN'!E19*'TS-PILE'!$E$73/SUMSQ('TS-PILE'!$E$56:$E$75))+IF(SUMSQ('TS-PILE'!$D$56:$D$75)=0,0,'TO HOP NLAN'!F19*'TS-PILE'!$D$73/SUMSQ('TS-PILE'!$D$56:$D$75))),IF('TS-PILE'!$B$74="",1E+99,'TO HOP NLAN'!D19/ncoc+IF(SUMSQ('TS-PILE'!$E$56:$E$75)=0,0,'TO HOP NLAN'!E19*'TS-PILE'!$E$74/SUMSQ('TS-PILE'!$E$56:$E$75))+IF(SUMSQ('TS-PILE'!$D$56:$D$75)=0,0,'TO HOP NLAN'!F19*'TS-PILE'!$D$74/SUMSQ('TS-PILE'!$D$56:$D$75))),IF('TS-PILE'!$B$75="",1E+99,'TO HOP NLAN'!D19/ncoc+IF(SUMSQ('TS-PILE'!$E$56:$E$75)=0,0,'TO HOP NLAN'!E19*'TS-PILE'!$E$75/SUMSQ('TS-PILE'!$E$56:$E$75))+IF(SUMSQ('TS-PILE'!$D$56:$D$75)=0,0,'TO HOP NLAN'!F19*'TS-PILE'!$D$75/SUMSQ('TS-PILE'!$D$56:$D$75)))))</f>
        <v>0</v>
      </c>
      <c r="E19" s="46">
        <f t="shared" si="0"/>
        <v>-9.9999999999999997E+98</v>
      </c>
      <c r="F19" s="46">
        <f t="shared" si="1"/>
        <v>9.9999999999999997E+98</v>
      </c>
      <c r="G19" s="46">
        <f t="shared" si="2"/>
        <v>-9.9999999999999997E+98</v>
      </c>
      <c r="H19" s="46">
        <f t="shared" si="3"/>
        <v>9.9999999999999997E+98</v>
      </c>
    </row>
    <row r="20" spans="1:8" x14ac:dyDescent="0.3">
      <c r="A20" s="40" t="str">
        <f>'TO HOP NLAN'!A20</f>
        <v/>
      </c>
      <c r="B20" s="40" t="str">
        <f>'TO HOP NLAN'!L20</f>
        <v>SERVICE</v>
      </c>
      <c r="C20" s="46">
        <f>IF(A20="",0,MAX(IF('TS-PILE'!$B$56="",-1E+99,'TO HOP NLAN'!D20/ncoc+IF(SUMSQ('TS-PILE'!$E$56:$E$75)=0,0,'TO HOP NLAN'!E20*'TS-PILE'!$E$56/SUMSQ('TS-PILE'!$E$56:$E$75))+IF(SUMSQ('TS-PILE'!$D$56:$D$75)=0,0,'TO HOP NLAN'!F20*'TS-PILE'!$D$56/SUMSQ('TS-PILE'!$D$56:$D$75))),IF('TS-PILE'!$B$57="",-1E+99,'TO HOP NLAN'!D20/ncoc+IF(SUMSQ('TS-PILE'!$E$56:$E$75)=0,0,'TO HOP NLAN'!E20*'TS-PILE'!$E$57/SUMSQ('TS-PILE'!$E$56:$E$75))+IF(SUMSQ('TS-PILE'!$D$56:$D$75)=0,0,'TO HOP NLAN'!F20*'TS-PILE'!$D$57/SUMSQ('TS-PILE'!$D$56:$D$75))),IF('TS-PILE'!$B$58="",-1E+99,'TO HOP NLAN'!D20/ncoc+IF(SUMSQ('TS-PILE'!$E$56:$E$75)=0,0,'TO HOP NLAN'!E20*'TS-PILE'!$E$58/SUMSQ('TS-PILE'!$E$56:$E$75))+IF(SUMSQ('TS-PILE'!$D$56:$D$75)=0,0,'TO HOP NLAN'!F20*'TS-PILE'!$D$58/SUMSQ('TS-PILE'!$D$56:$D$75))),IF('TS-PILE'!$B$59="",-1E+99,'TO HOP NLAN'!D20/ncoc+IF(SUMSQ('TS-PILE'!$E$56:$E$75)=0,0,'TO HOP NLAN'!E20*'TS-PILE'!$E$59/SUMSQ('TS-PILE'!$E$56:$E$75))+IF(SUMSQ('TS-PILE'!$D$56:$D$75)=0,0,'TO HOP NLAN'!F20*'TS-PILE'!$D$59/SUMSQ('TS-PILE'!$D$56:$D$75))),IF('TS-PILE'!$B$60="",-1E+99,'TO HOP NLAN'!D20/ncoc+IF(SUMSQ('TS-PILE'!$E$56:$E$75)=0,0,'TO HOP NLAN'!E20*'TS-PILE'!$E$60/SUMSQ('TS-PILE'!$E$56:$E$75))+IF(SUMSQ('TS-PILE'!$D$56:$D$75)=0,0,'TO HOP NLAN'!F20*'TS-PILE'!$D$60/SUMSQ('TS-PILE'!$D$56:$D$75))),IF('TS-PILE'!$B$61="",-1E+99,'TO HOP NLAN'!D20/ncoc+IF(SUMSQ('TS-PILE'!$E$56:$E$75)=0,0,'TO HOP NLAN'!E20*'TS-PILE'!$E$61/SUMSQ('TS-PILE'!$E$56:$E$75))+IF(SUMSQ('TS-PILE'!$D$56:$D$75)=0,0,'TO HOP NLAN'!F20*'TS-PILE'!$D$61/SUMSQ('TS-PILE'!$D$56:$D$75))),IF('TS-PILE'!$B$62="",-1E+99,'TO HOP NLAN'!D20/ncoc+IF(SUMSQ('TS-PILE'!$E$56:$E$75)=0,0,'TO HOP NLAN'!E20*'TS-PILE'!$E$62/SUMSQ('TS-PILE'!$E$56:$E$75))+IF(SUMSQ('TS-PILE'!$D$56:$D$75)=0,0,'TO HOP NLAN'!F20*'TS-PILE'!$D$62/SUMSQ('TS-PILE'!$D$56:$D$75))),IF('TS-PILE'!$B$63="",-1E+99,'TO HOP NLAN'!D20/ncoc+IF(SUMSQ('TS-PILE'!$E$56:$E$75)=0,0,'TO HOP NLAN'!E20*'TS-PILE'!$E$63/SUMSQ('TS-PILE'!$E$56:$E$75))+IF(SUMSQ('TS-PILE'!$D$56:$D$75)=0,0,'TO HOP NLAN'!F20*'TS-PILE'!$D$63/SUMSQ('TS-PILE'!$D$56:$D$75))),IF('TS-PILE'!$B$64="",-1E+99,'TO HOP NLAN'!D20/ncoc+IF(SUMSQ('TS-PILE'!$E$56:$E$75)=0,0,'TO HOP NLAN'!E20*'TS-PILE'!$E$64/SUMSQ('TS-PILE'!$E$56:$E$75))+IF(SUMSQ('TS-PILE'!$D$56:$D$75)=0,0,'TO HOP NLAN'!F20*'TS-PILE'!$D$64/SUMSQ('TS-PILE'!$D$56:$D$75))),IF('TS-PILE'!$B$65="",-1E+99,'TO HOP NLAN'!D20/ncoc+IF(SUMSQ('TS-PILE'!$E$56:$E$75)=0,0,'TO HOP NLAN'!E20*'TS-PILE'!$E$65/SUMSQ('TS-PILE'!$E$56:$E$75))+IF(SUMSQ('TS-PILE'!$D$56:$D$75)=0,0,'TO HOP NLAN'!F20*'TS-PILE'!$D$65/SUMSQ('TS-PILE'!$D$56:$D$75))),IF('TS-PILE'!$B$66="",-1E+99,'TO HOP NLAN'!D20/ncoc+IF(SUMSQ('TS-PILE'!$E$56:$E$75)=0,0,'TO HOP NLAN'!E20*'TS-PILE'!$E$66/SUMSQ('TS-PILE'!$E$56:$E$75))+IF(SUMSQ('TS-PILE'!$D$56:$D$75)=0,0,'TO HOP NLAN'!F20*'TS-PILE'!$D$66/SUMSQ('TS-PILE'!$D$56:$D$75))),IF('TS-PILE'!$B$67="",-1E+99,'TO HOP NLAN'!D20/ncoc+IF(SUMSQ('TS-PILE'!$E$56:$E$75)=0,0,'TO HOP NLAN'!E20*'TS-PILE'!$E$67/SUMSQ('TS-PILE'!$E$56:$E$75))+IF(SUMSQ('TS-PILE'!$D$56:$D$75)=0,0,'TO HOP NLAN'!F20*'TS-PILE'!$D$67/SUMSQ('TS-PILE'!$D$56:$D$75))),IF('TS-PILE'!$B$68="",-1E+99,'TO HOP NLAN'!D20/ncoc+IF(SUMSQ('TS-PILE'!$E$56:$E$75)=0,0,'TO HOP NLAN'!E20*'TS-PILE'!$E$68/SUMSQ('TS-PILE'!$E$56:$E$75))+IF(SUMSQ('TS-PILE'!$D$56:$D$75)=0,0,'TO HOP NLAN'!F20*'TS-PILE'!$D$68/SUMSQ('TS-PILE'!$D$56:$D$75))),IF('TS-PILE'!$B$69="",-1E+99,'TO HOP NLAN'!D20/ncoc+IF(SUMSQ('TS-PILE'!$E$56:$E$75)=0,0,'TO HOP NLAN'!E20*'TS-PILE'!$E$69/SUMSQ('TS-PILE'!$E$56:$E$75))+IF(SUMSQ('TS-PILE'!$D$56:$D$75)=0,0,'TO HOP NLAN'!F20*'TS-PILE'!$D$69/SUMSQ('TS-PILE'!$D$56:$D$75))),IF('TS-PILE'!$B$70="",-1E+99,'TO HOP NLAN'!D20/ncoc+IF(SUMSQ('TS-PILE'!$E$56:$E$75)=0,0,'TO HOP NLAN'!E20*'TS-PILE'!$E$70/SUMSQ('TS-PILE'!$E$56:$E$75))+IF(SUMSQ('TS-PILE'!$D$56:$D$75)=0,0,'TO HOP NLAN'!F20*'TS-PILE'!$D$70/SUMSQ('TS-PILE'!$D$56:$D$75))),IF('TS-PILE'!$B$71="",-1E+99,'TO HOP NLAN'!D20/ncoc+IF(SUMSQ('TS-PILE'!$E$56:$E$75)=0,0,'TO HOP NLAN'!E20*'TS-PILE'!$E$71/SUMSQ('TS-PILE'!$E$56:$E$75))+IF(SUMSQ('TS-PILE'!$D$56:$D$75)=0,0,'TO HOP NLAN'!F20*'TS-PILE'!$D$71/SUMSQ('TS-PILE'!$D$56:$D$75))),IF('TS-PILE'!$B$72="",-1E+99,'TO HOP NLAN'!D20/ncoc+IF(SUMSQ('TS-PILE'!$E$56:$E$75)=0,0,'TO HOP NLAN'!E20*'TS-PILE'!$E$72/SUMSQ('TS-PILE'!$E$56:$E$75))+IF(SUMSQ('TS-PILE'!$D$56:$D$75)=0,0,'TO HOP NLAN'!F20*'TS-PILE'!$D$72/SUMSQ('TS-PILE'!$D$56:$D$75))),IF('TS-PILE'!$B$73="",-1E+99,'TO HOP NLAN'!D20/ncoc+IF(SUMSQ('TS-PILE'!$E$56:$E$75)=0,0,'TO HOP NLAN'!E20*'TS-PILE'!$E$73/SUMSQ('TS-PILE'!$E$56:$E$75))+IF(SUMSQ('TS-PILE'!$D$56:$D$75)=0,0,'TO HOP NLAN'!F20*'TS-PILE'!$D$73/SUMSQ('TS-PILE'!$D$56:$D$75))),IF('TS-PILE'!$B$74="",-1E+99,'TO HOP NLAN'!D20/ncoc+IF(SUMSQ('TS-PILE'!$E$56:$E$75)=0,0,'TO HOP NLAN'!E20*'TS-PILE'!$E$74/SUMSQ('TS-PILE'!$E$56:$E$75))+IF(SUMSQ('TS-PILE'!$D$56:$D$75)=0,0,'TO HOP NLAN'!F20*'TS-PILE'!$D$74/SUMSQ('TS-PILE'!$D$56:$D$75))),IF('TS-PILE'!$B$75="",-1E+99,'TO HOP NLAN'!D20/ncoc+IF(SUMSQ('TS-PILE'!$E$56:$E$75)=0,0,'TO HOP NLAN'!E20*'TS-PILE'!$E$75/SUMSQ('TS-PILE'!$E$56:$E$75))+IF(SUMSQ('TS-PILE'!$D$56:$D$75)=0,0,'TO HOP NLAN'!F20*'TS-PILE'!$D$75/SUMSQ('TS-PILE'!$D$56:$D$75)))))</f>
        <v>0</v>
      </c>
      <c r="D20" s="46">
        <f>IF(A20="",0,MIN(IF('TS-PILE'!$B$56="",1E+99,'TO HOP NLAN'!D20/ncoc+IF(SUMSQ('TS-PILE'!$E$56:$E$75)=0,0,'TO HOP NLAN'!E20*'TS-PILE'!$E$56/SUMSQ('TS-PILE'!$E$56:$E$75))+IF(SUMSQ('TS-PILE'!$D$56:$D$75)=0,0,'TO HOP NLAN'!F20*'TS-PILE'!$D$56/SUMSQ('TS-PILE'!$D$56:$D$75))),IF('TS-PILE'!$B$57="",1E+99,'TO HOP NLAN'!D20/ncoc+IF(SUMSQ('TS-PILE'!$E$56:$E$75)=0,0,'TO HOP NLAN'!E20*'TS-PILE'!$E$57/SUMSQ('TS-PILE'!$E$56:$E$75))+IF(SUMSQ('TS-PILE'!$D$56:$D$75)=0,0,'TO HOP NLAN'!F20*'TS-PILE'!$D$57/SUMSQ('TS-PILE'!$D$56:$D$75))),IF('TS-PILE'!$B$58="",1E+99,'TO HOP NLAN'!D20/ncoc+IF(SUMSQ('TS-PILE'!$E$56:$E$75)=0,0,'TO HOP NLAN'!E20*'TS-PILE'!$E$58/SUMSQ('TS-PILE'!$E$56:$E$75))+IF(SUMSQ('TS-PILE'!$D$56:$D$75)=0,0,'TO HOP NLAN'!F20*'TS-PILE'!$D$58/SUMSQ('TS-PILE'!$D$56:$D$75))),IF('TS-PILE'!$B$59="",1E+99,'TO HOP NLAN'!D20/ncoc+IF(SUMSQ('TS-PILE'!$E$56:$E$75)=0,0,'TO HOP NLAN'!E20*'TS-PILE'!$E$59/SUMSQ('TS-PILE'!$E$56:$E$75))+IF(SUMSQ('TS-PILE'!$D$56:$D$75)=0,0,'TO HOP NLAN'!F20*'TS-PILE'!$D$59/SUMSQ('TS-PILE'!$D$56:$D$75))),IF('TS-PILE'!$B$60="",1E+99,'TO HOP NLAN'!D20/ncoc+IF(SUMSQ('TS-PILE'!$E$56:$E$75)=0,0,'TO HOP NLAN'!E20*'TS-PILE'!$E$60/SUMSQ('TS-PILE'!$E$56:$E$75))+IF(SUMSQ('TS-PILE'!$D$56:$D$75)=0,0,'TO HOP NLAN'!F20*'TS-PILE'!$D$60/SUMSQ('TS-PILE'!$D$56:$D$75))),IF('TS-PILE'!$B$61="",1E+99,'TO HOP NLAN'!D20/ncoc+IF(SUMSQ('TS-PILE'!$E$56:$E$75)=0,0,'TO HOP NLAN'!E20*'TS-PILE'!$E$61/SUMSQ('TS-PILE'!$E$56:$E$75))+IF(SUMSQ('TS-PILE'!$D$56:$D$75)=0,0,'TO HOP NLAN'!F20*'TS-PILE'!$D$61/SUMSQ('TS-PILE'!$D$56:$D$75))),IF('TS-PILE'!$B$62="",1E+99,'TO HOP NLAN'!D20/ncoc+IF(SUMSQ('TS-PILE'!$E$56:$E$75)=0,0,'TO HOP NLAN'!E20*'TS-PILE'!$E$62/SUMSQ('TS-PILE'!$E$56:$E$75))+IF(SUMSQ('TS-PILE'!$D$56:$D$75)=0,0,'TO HOP NLAN'!F20*'TS-PILE'!$D$62/SUMSQ('TS-PILE'!$D$56:$D$75))),IF('TS-PILE'!$B$63="",1E+99,'TO HOP NLAN'!D20/ncoc+IF(SUMSQ('TS-PILE'!$E$56:$E$75)=0,0,'TO HOP NLAN'!E20*'TS-PILE'!$E$63/SUMSQ('TS-PILE'!$E$56:$E$75))+IF(SUMSQ('TS-PILE'!$D$56:$D$75)=0,0,'TO HOP NLAN'!F20*'TS-PILE'!$D$63/SUMSQ('TS-PILE'!$D$56:$D$75))),IF('TS-PILE'!$B$64="",1E+99,'TO HOP NLAN'!D20/ncoc+IF(SUMSQ('TS-PILE'!$E$56:$E$75)=0,0,'TO HOP NLAN'!E20*'TS-PILE'!$E$64/SUMSQ('TS-PILE'!$E$56:$E$75))+IF(SUMSQ('TS-PILE'!$D$56:$D$75)=0,0,'TO HOP NLAN'!F20*'TS-PILE'!$D$64/SUMSQ('TS-PILE'!$D$56:$D$75))),IF('TS-PILE'!$B$65="",1E+99,'TO HOP NLAN'!D20/ncoc+IF(SUMSQ('TS-PILE'!$E$56:$E$75)=0,0,'TO HOP NLAN'!E20*'TS-PILE'!$E$65/SUMSQ('TS-PILE'!$E$56:$E$75))+IF(SUMSQ('TS-PILE'!$D$56:$D$75)=0,0,'TO HOP NLAN'!F20*'TS-PILE'!$D$65/SUMSQ('TS-PILE'!$D$56:$D$75))),IF('TS-PILE'!$B$66="",1E+99,'TO HOP NLAN'!D20/ncoc+IF(SUMSQ('TS-PILE'!$E$56:$E$75)=0,0,'TO HOP NLAN'!E20*'TS-PILE'!$E$66/SUMSQ('TS-PILE'!$E$56:$E$75))+IF(SUMSQ('TS-PILE'!$D$56:$D$75)=0,0,'TO HOP NLAN'!F20*'TS-PILE'!$D$66/SUMSQ('TS-PILE'!$D$56:$D$75))),IF('TS-PILE'!$B$67="",1E+99,'TO HOP NLAN'!D20/ncoc+IF(SUMSQ('TS-PILE'!$E$56:$E$75)=0,0,'TO HOP NLAN'!E20*'TS-PILE'!$E$67/SUMSQ('TS-PILE'!$E$56:$E$75))+IF(SUMSQ('TS-PILE'!$D$56:$D$75)=0,0,'TO HOP NLAN'!F20*'TS-PILE'!$D$67/SUMSQ('TS-PILE'!$D$56:$D$75))),IF('TS-PILE'!$B$68="",1E+99,'TO HOP NLAN'!D20/ncoc+IF(SUMSQ('TS-PILE'!$E$56:$E$75)=0,0,'TO HOP NLAN'!E20*'TS-PILE'!$E$68/SUMSQ('TS-PILE'!$E$56:$E$75))+IF(SUMSQ('TS-PILE'!$D$56:$D$75)=0,0,'TO HOP NLAN'!F20*'TS-PILE'!$D$68/SUMSQ('TS-PILE'!$D$56:$D$75))),IF('TS-PILE'!$B$69="",1E+99,'TO HOP NLAN'!D20/ncoc+IF(SUMSQ('TS-PILE'!$E$56:$E$75)=0,0,'TO HOP NLAN'!E20*'TS-PILE'!$E$69/SUMSQ('TS-PILE'!$E$56:$E$75))+IF(SUMSQ('TS-PILE'!$D$56:$D$75)=0,0,'TO HOP NLAN'!F20*'TS-PILE'!$D$69/SUMSQ('TS-PILE'!$D$56:$D$75))),IF('TS-PILE'!$B$70="",1E+99,'TO HOP NLAN'!D20/ncoc+IF(SUMSQ('TS-PILE'!$E$56:$E$75)=0,0,'TO HOP NLAN'!E20*'TS-PILE'!$E$70/SUMSQ('TS-PILE'!$E$56:$E$75))+IF(SUMSQ('TS-PILE'!$D$56:$D$75)=0,0,'TO HOP NLAN'!F20*'TS-PILE'!$D$70/SUMSQ('TS-PILE'!$D$56:$D$75))),IF('TS-PILE'!$B$71="",1E+99,'TO HOP NLAN'!D20/ncoc+IF(SUMSQ('TS-PILE'!$E$56:$E$75)=0,0,'TO HOP NLAN'!E20*'TS-PILE'!$E$71/SUMSQ('TS-PILE'!$E$56:$E$75))+IF(SUMSQ('TS-PILE'!$D$56:$D$75)=0,0,'TO HOP NLAN'!F20*'TS-PILE'!$D$71/SUMSQ('TS-PILE'!$D$56:$D$75))),IF('TS-PILE'!$B$72="",1E+99,'TO HOP NLAN'!D20/ncoc+IF(SUMSQ('TS-PILE'!$E$56:$E$75)=0,0,'TO HOP NLAN'!E20*'TS-PILE'!$E$72/SUMSQ('TS-PILE'!$E$56:$E$75))+IF(SUMSQ('TS-PILE'!$D$56:$D$75)=0,0,'TO HOP NLAN'!F20*'TS-PILE'!$D$72/SUMSQ('TS-PILE'!$D$56:$D$75))),IF('TS-PILE'!$B$73="",1E+99,'TO HOP NLAN'!D20/ncoc+IF(SUMSQ('TS-PILE'!$E$56:$E$75)=0,0,'TO HOP NLAN'!E20*'TS-PILE'!$E$73/SUMSQ('TS-PILE'!$E$56:$E$75))+IF(SUMSQ('TS-PILE'!$D$56:$D$75)=0,0,'TO HOP NLAN'!F20*'TS-PILE'!$D$73/SUMSQ('TS-PILE'!$D$56:$D$75))),IF('TS-PILE'!$B$74="",1E+99,'TO HOP NLAN'!D20/ncoc+IF(SUMSQ('TS-PILE'!$E$56:$E$75)=0,0,'TO HOP NLAN'!E20*'TS-PILE'!$E$74/SUMSQ('TS-PILE'!$E$56:$E$75))+IF(SUMSQ('TS-PILE'!$D$56:$D$75)=0,0,'TO HOP NLAN'!F20*'TS-PILE'!$D$74/SUMSQ('TS-PILE'!$D$56:$D$75))),IF('TS-PILE'!$B$75="",1E+99,'TO HOP NLAN'!D20/ncoc+IF(SUMSQ('TS-PILE'!$E$56:$E$75)=0,0,'TO HOP NLAN'!E20*'TS-PILE'!$E$75/SUMSQ('TS-PILE'!$E$56:$E$75))+IF(SUMSQ('TS-PILE'!$D$56:$D$75)=0,0,'TO HOP NLAN'!F20*'TS-PILE'!$D$75/SUMSQ('TS-PILE'!$D$56:$D$75)))))</f>
        <v>0</v>
      </c>
      <c r="E20" s="46">
        <f t="shared" si="0"/>
        <v>-9.9999999999999997E+98</v>
      </c>
      <c r="F20" s="46">
        <f t="shared" si="1"/>
        <v>9.9999999999999997E+98</v>
      </c>
      <c r="G20" s="46">
        <f t="shared" si="2"/>
        <v>-9.9999999999999997E+98</v>
      </c>
      <c r="H20" s="46">
        <f t="shared" si="3"/>
        <v>9.9999999999999997E+98</v>
      </c>
    </row>
    <row r="21" spans="1:8" x14ac:dyDescent="0.3">
      <c r="A21" s="40" t="str">
        <f>'TO HOP NLAN'!A21</f>
        <v/>
      </c>
      <c r="B21" s="40" t="str">
        <f>'TO HOP NLAN'!L21</f>
        <v>SERVICE</v>
      </c>
      <c r="C21" s="46">
        <f>IF(A21="",0,MAX(IF('TS-PILE'!$B$56="",-1E+99,'TO HOP NLAN'!D21/ncoc+IF(SUMSQ('TS-PILE'!$E$56:$E$75)=0,0,'TO HOP NLAN'!E21*'TS-PILE'!$E$56/SUMSQ('TS-PILE'!$E$56:$E$75))+IF(SUMSQ('TS-PILE'!$D$56:$D$75)=0,0,'TO HOP NLAN'!F21*'TS-PILE'!$D$56/SUMSQ('TS-PILE'!$D$56:$D$75))),IF('TS-PILE'!$B$57="",-1E+99,'TO HOP NLAN'!D21/ncoc+IF(SUMSQ('TS-PILE'!$E$56:$E$75)=0,0,'TO HOP NLAN'!E21*'TS-PILE'!$E$57/SUMSQ('TS-PILE'!$E$56:$E$75))+IF(SUMSQ('TS-PILE'!$D$56:$D$75)=0,0,'TO HOP NLAN'!F21*'TS-PILE'!$D$57/SUMSQ('TS-PILE'!$D$56:$D$75))),IF('TS-PILE'!$B$58="",-1E+99,'TO HOP NLAN'!D21/ncoc+IF(SUMSQ('TS-PILE'!$E$56:$E$75)=0,0,'TO HOP NLAN'!E21*'TS-PILE'!$E$58/SUMSQ('TS-PILE'!$E$56:$E$75))+IF(SUMSQ('TS-PILE'!$D$56:$D$75)=0,0,'TO HOP NLAN'!F21*'TS-PILE'!$D$58/SUMSQ('TS-PILE'!$D$56:$D$75))),IF('TS-PILE'!$B$59="",-1E+99,'TO HOP NLAN'!D21/ncoc+IF(SUMSQ('TS-PILE'!$E$56:$E$75)=0,0,'TO HOP NLAN'!E21*'TS-PILE'!$E$59/SUMSQ('TS-PILE'!$E$56:$E$75))+IF(SUMSQ('TS-PILE'!$D$56:$D$75)=0,0,'TO HOP NLAN'!F21*'TS-PILE'!$D$59/SUMSQ('TS-PILE'!$D$56:$D$75))),IF('TS-PILE'!$B$60="",-1E+99,'TO HOP NLAN'!D21/ncoc+IF(SUMSQ('TS-PILE'!$E$56:$E$75)=0,0,'TO HOP NLAN'!E21*'TS-PILE'!$E$60/SUMSQ('TS-PILE'!$E$56:$E$75))+IF(SUMSQ('TS-PILE'!$D$56:$D$75)=0,0,'TO HOP NLAN'!F21*'TS-PILE'!$D$60/SUMSQ('TS-PILE'!$D$56:$D$75))),IF('TS-PILE'!$B$61="",-1E+99,'TO HOP NLAN'!D21/ncoc+IF(SUMSQ('TS-PILE'!$E$56:$E$75)=0,0,'TO HOP NLAN'!E21*'TS-PILE'!$E$61/SUMSQ('TS-PILE'!$E$56:$E$75))+IF(SUMSQ('TS-PILE'!$D$56:$D$75)=0,0,'TO HOP NLAN'!F21*'TS-PILE'!$D$61/SUMSQ('TS-PILE'!$D$56:$D$75))),IF('TS-PILE'!$B$62="",-1E+99,'TO HOP NLAN'!D21/ncoc+IF(SUMSQ('TS-PILE'!$E$56:$E$75)=0,0,'TO HOP NLAN'!E21*'TS-PILE'!$E$62/SUMSQ('TS-PILE'!$E$56:$E$75))+IF(SUMSQ('TS-PILE'!$D$56:$D$75)=0,0,'TO HOP NLAN'!F21*'TS-PILE'!$D$62/SUMSQ('TS-PILE'!$D$56:$D$75))),IF('TS-PILE'!$B$63="",-1E+99,'TO HOP NLAN'!D21/ncoc+IF(SUMSQ('TS-PILE'!$E$56:$E$75)=0,0,'TO HOP NLAN'!E21*'TS-PILE'!$E$63/SUMSQ('TS-PILE'!$E$56:$E$75))+IF(SUMSQ('TS-PILE'!$D$56:$D$75)=0,0,'TO HOP NLAN'!F21*'TS-PILE'!$D$63/SUMSQ('TS-PILE'!$D$56:$D$75))),IF('TS-PILE'!$B$64="",-1E+99,'TO HOP NLAN'!D21/ncoc+IF(SUMSQ('TS-PILE'!$E$56:$E$75)=0,0,'TO HOP NLAN'!E21*'TS-PILE'!$E$64/SUMSQ('TS-PILE'!$E$56:$E$75))+IF(SUMSQ('TS-PILE'!$D$56:$D$75)=0,0,'TO HOP NLAN'!F21*'TS-PILE'!$D$64/SUMSQ('TS-PILE'!$D$56:$D$75))),IF('TS-PILE'!$B$65="",-1E+99,'TO HOP NLAN'!D21/ncoc+IF(SUMSQ('TS-PILE'!$E$56:$E$75)=0,0,'TO HOP NLAN'!E21*'TS-PILE'!$E$65/SUMSQ('TS-PILE'!$E$56:$E$75))+IF(SUMSQ('TS-PILE'!$D$56:$D$75)=0,0,'TO HOP NLAN'!F21*'TS-PILE'!$D$65/SUMSQ('TS-PILE'!$D$56:$D$75))),IF('TS-PILE'!$B$66="",-1E+99,'TO HOP NLAN'!D21/ncoc+IF(SUMSQ('TS-PILE'!$E$56:$E$75)=0,0,'TO HOP NLAN'!E21*'TS-PILE'!$E$66/SUMSQ('TS-PILE'!$E$56:$E$75))+IF(SUMSQ('TS-PILE'!$D$56:$D$75)=0,0,'TO HOP NLAN'!F21*'TS-PILE'!$D$66/SUMSQ('TS-PILE'!$D$56:$D$75))),IF('TS-PILE'!$B$67="",-1E+99,'TO HOP NLAN'!D21/ncoc+IF(SUMSQ('TS-PILE'!$E$56:$E$75)=0,0,'TO HOP NLAN'!E21*'TS-PILE'!$E$67/SUMSQ('TS-PILE'!$E$56:$E$75))+IF(SUMSQ('TS-PILE'!$D$56:$D$75)=0,0,'TO HOP NLAN'!F21*'TS-PILE'!$D$67/SUMSQ('TS-PILE'!$D$56:$D$75))),IF('TS-PILE'!$B$68="",-1E+99,'TO HOP NLAN'!D21/ncoc+IF(SUMSQ('TS-PILE'!$E$56:$E$75)=0,0,'TO HOP NLAN'!E21*'TS-PILE'!$E$68/SUMSQ('TS-PILE'!$E$56:$E$75))+IF(SUMSQ('TS-PILE'!$D$56:$D$75)=0,0,'TO HOP NLAN'!F21*'TS-PILE'!$D$68/SUMSQ('TS-PILE'!$D$56:$D$75))),IF('TS-PILE'!$B$69="",-1E+99,'TO HOP NLAN'!D21/ncoc+IF(SUMSQ('TS-PILE'!$E$56:$E$75)=0,0,'TO HOP NLAN'!E21*'TS-PILE'!$E$69/SUMSQ('TS-PILE'!$E$56:$E$75))+IF(SUMSQ('TS-PILE'!$D$56:$D$75)=0,0,'TO HOP NLAN'!F21*'TS-PILE'!$D$69/SUMSQ('TS-PILE'!$D$56:$D$75))),IF('TS-PILE'!$B$70="",-1E+99,'TO HOP NLAN'!D21/ncoc+IF(SUMSQ('TS-PILE'!$E$56:$E$75)=0,0,'TO HOP NLAN'!E21*'TS-PILE'!$E$70/SUMSQ('TS-PILE'!$E$56:$E$75))+IF(SUMSQ('TS-PILE'!$D$56:$D$75)=0,0,'TO HOP NLAN'!F21*'TS-PILE'!$D$70/SUMSQ('TS-PILE'!$D$56:$D$75))),IF('TS-PILE'!$B$71="",-1E+99,'TO HOP NLAN'!D21/ncoc+IF(SUMSQ('TS-PILE'!$E$56:$E$75)=0,0,'TO HOP NLAN'!E21*'TS-PILE'!$E$71/SUMSQ('TS-PILE'!$E$56:$E$75))+IF(SUMSQ('TS-PILE'!$D$56:$D$75)=0,0,'TO HOP NLAN'!F21*'TS-PILE'!$D$71/SUMSQ('TS-PILE'!$D$56:$D$75))),IF('TS-PILE'!$B$72="",-1E+99,'TO HOP NLAN'!D21/ncoc+IF(SUMSQ('TS-PILE'!$E$56:$E$75)=0,0,'TO HOP NLAN'!E21*'TS-PILE'!$E$72/SUMSQ('TS-PILE'!$E$56:$E$75))+IF(SUMSQ('TS-PILE'!$D$56:$D$75)=0,0,'TO HOP NLAN'!F21*'TS-PILE'!$D$72/SUMSQ('TS-PILE'!$D$56:$D$75))),IF('TS-PILE'!$B$73="",-1E+99,'TO HOP NLAN'!D21/ncoc+IF(SUMSQ('TS-PILE'!$E$56:$E$75)=0,0,'TO HOP NLAN'!E21*'TS-PILE'!$E$73/SUMSQ('TS-PILE'!$E$56:$E$75))+IF(SUMSQ('TS-PILE'!$D$56:$D$75)=0,0,'TO HOP NLAN'!F21*'TS-PILE'!$D$73/SUMSQ('TS-PILE'!$D$56:$D$75))),IF('TS-PILE'!$B$74="",-1E+99,'TO HOP NLAN'!D21/ncoc+IF(SUMSQ('TS-PILE'!$E$56:$E$75)=0,0,'TO HOP NLAN'!E21*'TS-PILE'!$E$74/SUMSQ('TS-PILE'!$E$56:$E$75))+IF(SUMSQ('TS-PILE'!$D$56:$D$75)=0,0,'TO HOP NLAN'!F21*'TS-PILE'!$D$74/SUMSQ('TS-PILE'!$D$56:$D$75))),IF('TS-PILE'!$B$75="",-1E+99,'TO HOP NLAN'!D21/ncoc+IF(SUMSQ('TS-PILE'!$E$56:$E$75)=0,0,'TO HOP NLAN'!E21*'TS-PILE'!$E$75/SUMSQ('TS-PILE'!$E$56:$E$75))+IF(SUMSQ('TS-PILE'!$D$56:$D$75)=0,0,'TO HOP NLAN'!F21*'TS-PILE'!$D$75/SUMSQ('TS-PILE'!$D$56:$D$75)))))</f>
        <v>0</v>
      </c>
      <c r="D21" s="46">
        <f>IF(A21="",0,MIN(IF('TS-PILE'!$B$56="",1E+99,'TO HOP NLAN'!D21/ncoc+IF(SUMSQ('TS-PILE'!$E$56:$E$75)=0,0,'TO HOP NLAN'!E21*'TS-PILE'!$E$56/SUMSQ('TS-PILE'!$E$56:$E$75))+IF(SUMSQ('TS-PILE'!$D$56:$D$75)=0,0,'TO HOP NLAN'!F21*'TS-PILE'!$D$56/SUMSQ('TS-PILE'!$D$56:$D$75))),IF('TS-PILE'!$B$57="",1E+99,'TO HOP NLAN'!D21/ncoc+IF(SUMSQ('TS-PILE'!$E$56:$E$75)=0,0,'TO HOP NLAN'!E21*'TS-PILE'!$E$57/SUMSQ('TS-PILE'!$E$56:$E$75))+IF(SUMSQ('TS-PILE'!$D$56:$D$75)=0,0,'TO HOP NLAN'!F21*'TS-PILE'!$D$57/SUMSQ('TS-PILE'!$D$56:$D$75))),IF('TS-PILE'!$B$58="",1E+99,'TO HOP NLAN'!D21/ncoc+IF(SUMSQ('TS-PILE'!$E$56:$E$75)=0,0,'TO HOP NLAN'!E21*'TS-PILE'!$E$58/SUMSQ('TS-PILE'!$E$56:$E$75))+IF(SUMSQ('TS-PILE'!$D$56:$D$75)=0,0,'TO HOP NLAN'!F21*'TS-PILE'!$D$58/SUMSQ('TS-PILE'!$D$56:$D$75))),IF('TS-PILE'!$B$59="",1E+99,'TO HOP NLAN'!D21/ncoc+IF(SUMSQ('TS-PILE'!$E$56:$E$75)=0,0,'TO HOP NLAN'!E21*'TS-PILE'!$E$59/SUMSQ('TS-PILE'!$E$56:$E$75))+IF(SUMSQ('TS-PILE'!$D$56:$D$75)=0,0,'TO HOP NLAN'!F21*'TS-PILE'!$D$59/SUMSQ('TS-PILE'!$D$56:$D$75))),IF('TS-PILE'!$B$60="",1E+99,'TO HOP NLAN'!D21/ncoc+IF(SUMSQ('TS-PILE'!$E$56:$E$75)=0,0,'TO HOP NLAN'!E21*'TS-PILE'!$E$60/SUMSQ('TS-PILE'!$E$56:$E$75))+IF(SUMSQ('TS-PILE'!$D$56:$D$75)=0,0,'TO HOP NLAN'!F21*'TS-PILE'!$D$60/SUMSQ('TS-PILE'!$D$56:$D$75))),IF('TS-PILE'!$B$61="",1E+99,'TO HOP NLAN'!D21/ncoc+IF(SUMSQ('TS-PILE'!$E$56:$E$75)=0,0,'TO HOP NLAN'!E21*'TS-PILE'!$E$61/SUMSQ('TS-PILE'!$E$56:$E$75))+IF(SUMSQ('TS-PILE'!$D$56:$D$75)=0,0,'TO HOP NLAN'!F21*'TS-PILE'!$D$61/SUMSQ('TS-PILE'!$D$56:$D$75))),IF('TS-PILE'!$B$62="",1E+99,'TO HOP NLAN'!D21/ncoc+IF(SUMSQ('TS-PILE'!$E$56:$E$75)=0,0,'TO HOP NLAN'!E21*'TS-PILE'!$E$62/SUMSQ('TS-PILE'!$E$56:$E$75))+IF(SUMSQ('TS-PILE'!$D$56:$D$75)=0,0,'TO HOP NLAN'!F21*'TS-PILE'!$D$62/SUMSQ('TS-PILE'!$D$56:$D$75))),IF('TS-PILE'!$B$63="",1E+99,'TO HOP NLAN'!D21/ncoc+IF(SUMSQ('TS-PILE'!$E$56:$E$75)=0,0,'TO HOP NLAN'!E21*'TS-PILE'!$E$63/SUMSQ('TS-PILE'!$E$56:$E$75))+IF(SUMSQ('TS-PILE'!$D$56:$D$75)=0,0,'TO HOP NLAN'!F21*'TS-PILE'!$D$63/SUMSQ('TS-PILE'!$D$56:$D$75))),IF('TS-PILE'!$B$64="",1E+99,'TO HOP NLAN'!D21/ncoc+IF(SUMSQ('TS-PILE'!$E$56:$E$75)=0,0,'TO HOP NLAN'!E21*'TS-PILE'!$E$64/SUMSQ('TS-PILE'!$E$56:$E$75))+IF(SUMSQ('TS-PILE'!$D$56:$D$75)=0,0,'TO HOP NLAN'!F21*'TS-PILE'!$D$64/SUMSQ('TS-PILE'!$D$56:$D$75))),IF('TS-PILE'!$B$65="",1E+99,'TO HOP NLAN'!D21/ncoc+IF(SUMSQ('TS-PILE'!$E$56:$E$75)=0,0,'TO HOP NLAN'!E21*'TS-PILE'!$E$65/SUMSQ('TS-PILE'!$E$56:$E$75))+IF(SUMSQ('TS-PILE'!$D$56:$D$75)=0,0,'TO HOP NLAN'!F21*'TS-PILE'!$D$65/SUMSQ('TS-PILE'!$D$56:$D$75))),IF('TS-PILE'!$B$66="",1E+99,'TO HOP NLAN'!D21/ncoc+IF(SUMSQ('TS-PILE'!$E$56:$E$75)=0,0,'TO HOP NLAN'!E21*'TS-PILE'!$E$66/SUMSQ('TS-PILE'!$E$56:$E$75))+IF(SUMSQ('TS-PILE'!$D$56:$D$75)=0,0,'TO HOP NLAN'!F21*'TS-PILE'!$D$66/SUMSQ('TS-PILE'!$D$56:$D$75))),IF('TS-PILE'!$B$67="",1E+99,'TO HOP NLAN'!D21/ncoc+IF(SUMSQ('TS-PILE'!$E$56:$E$75)=0,0,'TO HOP NLAN'!E21*'TS-PILE'!$E$67/SUMSQ('TS-PILE'!$E$56:$E$75))+IF(SUMSQ('TS-PILE'!$D$56:$D$75)=0,0,'TO HOP NLAN'!F21*'TS-PILE'!$D$67/SUMSQ('TS-PILE'!$D$56:$D$75))),IF('TS-PILE'!$B$68="",1E+99,'TO HOP NLAN'!D21/ncoc+IF(SUMSQ('TS-PILE'!$E$56:$E$75)=0,0,'TO HOP NLAN'!E21*'TS-PILE'!$E$68/SUMSQ('TS-PILE'!$E$56:$E$75))+IF(SUMSQ('TS-PILE'!$D$56:$D$75)=0,0,'TO HOP NLAN'!F21*'TS-PILE'!$D$68/SUMSQ('TS-PILE'!$D$56:$D$75))),IF('TS-PILE'!$B$69="",1E+99,'TO HOP NLAN'!D21/ncoc+IF(SUMSQ('TS-PILE'!$E$56:$E$75)=0,0,'TO HOP NLAN'!E21*'TS-PILE'!$E$69/SUMSQ('TS-PILE'!$E$56:$E$75))+IF(SUMSQ('TS-PILE'!$D$56:$D$75)=0,0,'TO HOP NLAN'!F21*'TS-PILE'!$D$69/SUMSQ('TS-PILE'!$D$56:$D$75))),IF('TS-PILE'!$B$70="",1E+99,'TO HOP NLAN'!D21/ncoc+IF(SUMSQ('TS-PILE'!$E$56:$E$75)=0,0,'TO HOP NLAN'!E21*'TS-PILE'!$E$70/SUMSQ('TS-PILE'!$E$56:$E$75))+IF(SUMSQ('TS-PILE'!$D$56:$D$75)=0,0,'TO HOP NLAN'!F21*'TS-PILE'!$D$70/SUMSQ('TS-PILE'!$D$56:$D$75))),IF('TS-PILE'!$B$71="",1E+99,'TO HOP NLAN'!D21/ncoc+IF(SUMSQ('TS-PILE'!$E$56:$E$75)=0,0,'TO HOP NLAN'!E21*'TS-PILE'!$E$71/SUMSQ('TS-PILE'!$E$56:$E$75))+IF(SUMSQ('TS-PILE'!$D$56:$D$75)=0,0,'TO HOP NLAN'!F21*'TS-PILE'!$D$71/SUMSQ('TS-PILE'!$D$56:$D$75))),IF('TS-PILE'!$B$72="",1E+99,'TO HOP NLAN'!D21/ncoc+IF(SUMSQ('TS-PILE'!$E$56:$E$75)=0,0,'TO HOP NLAN'!E21*'TS-PILE'!$E$72/SUMSQ('TS-PILE'!$E$56:$E$75))+IF(SUMSQ('TS-PILE'!$D$56:$D$75)=0,0,'TO HOP NLAN'!F21*'TS-PILE'!$D$72/SUMSQ('TS-PILE'!$D$56:$D$75))),IF('TS-PILE'!$B$73="",1E+99,'TO HOP NLAN'!D21/ncoc+IF(SUMSQ('TS-PILE'!$E$56:$E$75)=0,0,'TO HOP NLAN'!E21*'TS-PILE'!$E$73/SUMSQ('TS-PILE'!$E$56:$E$75))+IF(SUMSQ('TS-PILE'!$D$56:$D$75)=0,0,'TO HOP NLAN'!F21*'TS-PILE'!$D$73/SUMSQ('TS-PILE'!$D$56:$D$75))),IF('TS-PILE'!$B$74="",1E+99,'TO HOP NLAN'!D21/ncoc+IF(SUMSQ('TS-PILE'!$E$56:$E$75)=0,0,'TO HOP NLAN'!E21*'TS-PILE'!$E$74/SUMSQ('TS-PILE'!$E$56:$E$75))+IF(SUMSQ('TS-PILE'!$D$56:$D$75)=0,0,'TO HOP NLAN'!F21*'TS-PILE'!$D$74/SUMSQ('TS-PILE'!$D$56:$D$75))),IF('TS-PILE'!$B$75="",1E+99,'TO HOP NLAN'!D21/ncoc+IF(SUMSQ('TS-PILE'!$E$56:$E$75)=0,0,'TO HOP NLAN'!E21*'TS-PILE'!$E$75/SUMSQ('TS-PILE'!$E$56:$E$75))+IF(SUMSQ('TS-PILE'!$D$56:$D$75)=0,0,'TO HOP NLAN'!F21*'TS-PILE'!$D$75/SUMSQ('TS-PILE'!$D$56:$D$75)))))</f>
        <v>0</v>
      </c>
      <c r="E21" s="46">
        <f t="shared" si="0"/>
        <v>-9.9999999999999997E+98</v>
      </c>
      <c r="F21" s="46">
        <f t="shared" si="1"/>
        <v>9.9999999999999997E+98</v>
      </c>
      <c r="G21" s="46">
        <f t="shared" si="2"/>
        <v>-9.9999999999999997E+98</v>
      </c>
      <c r="H21" s="46">
        <f t="shared" si="3"/>
        <v>9.9999999999999997E+98</v>
      </c>
    </row>
    <row r="22" spans="1:8" x14ac:dyDescent="0.3">
      <c r="A22" s="40" t="str">
        <f>'TO HOP NLAN'!A22</f>
        <v/>
      </c>
      <c r="B22" s="40" t="str">
        <f>'TO HOP NLAN'!L22</f>
        <v>SERVICE</v>
      </c>
      <c r="C22" s="46">
        <f>IF(A22="",0,MAX(IF('TS-PILE'!$B$56="",-1E+99,'TO HOP NLAN'!D22/ncoc+IF(SUMSQ('TS-PILE'!$E$56:$E$75)=0,0,'TO HOP NLAN'!E22*'TS-PILE'!$E$56/SUMSQ('TS-PILE'!$E$56:$E$75))+IF(SUMSQ('TS-PILE'!$D$56:$D$75)=0,0,'TO HOP NLAN'!F22*'TS-PILE'!$D$56/SUMSQ('TS-PILE'!$D$56:$D$75))),IF('TS-PILE'!$B$57="",-1E+99,'TO HOP NLAN'!D22/ncoc+IF(SUMSQ('TS-PILE'!$E$56:$E$75)=0,0,'TO HOP NLAN'!E22*'TS-PILE'!$E$57/SUMSQ('TS-PILE'!$E$56:$E$75))+IF(SUMSQ('TS-PILE'!$D$56:$D$75)=0,0,'TO HOP NLAN'!F22*'TS-PILE'!$D$57/SUMSQ('TS-PILE'!$D$56:$D$75))),IF('TS-PILE'!$B$58="",-1E+99,'TO HOP NLAN'!D22/ncoc+IF(SUMSQ('TS-PILE'!$E$56:$E$75)=0,0,'TO HOP NLAN'!E22*'TS-PILE'!$E$58/SUMSQ('TS-PILE'!$E$56:$E$75))+IF(SUMSQ('TS-PILE'!$D$56:$D$75)=0,0,'TO HOP NLAN'!F22*'TS-PILE'!$D$58/SUMSQ('TS-PILE'!$D$56:$D$75))),IF('TS-PILE'!$B$59="",-1E+99,'TO HOP NLAN'!D22/ncoc+IF(SUMSQ('TS-PILE'!$E$56:$E$75)=0,0,'TO HOP NLAN'!E22*'TS-PILE'!$E$59/SUMSQ('TS-PILE'!$E$56:$E$75))+IF(SUMSQ('TS-PILE'!$D$56:$D$75)=0,0,'TO HOP NLAN'!F22*'TS-PILE'!$D$59/SUMSQ('TS-PILE'!$D$56:$D$75))),IF('TS-PILE'!$B$60="",-1E+99,'TO HOP NLAN'!D22/ncoc+IF(SUMSQ('TS-PILE'!$E$56:$E$75)=0,0,'TO HOP NLAN'!E22*'TS-PILE'!$E$60/SUMSQ('TS-PILE'!$E$56:$E$75))+IF(SUMSQ('TS-PILE'!$D$56:$D$75)=0,0,'TO HOP NLAN'!F22*'TS-PILE'!$D$60/SUMSQ('TS-PILE'!$D$56:$D$75))),IF('TS-PILE'!$B$61="",-1E+99,'TO HOP NLAN'!D22/ncoc+IF(SUMSQ('TS-PILE'!$E$56:$E$75)=0,0,'TO HOP NLAN'!E22*'TS-PILE'!$E$61/SUMSQ('TS-PILE'!$E$56:$E$75))+IF(SUMSQ('TS-PILE'!$D$56:$D$75)=0,0,'TO HOP NLAN'!F22*'TS-PILE'!$D$61/SUMSQ('TS-PILE'!$D$56:$D$75))),IF('TS-PILE'!$B$62="",-1E+99,'TO HOP NLAN'!D22/ncoc+IF(SUMSQ('TS-PILE'!$E$56:$E$75)=0,0,'TO HOP NLAN'!E22*'TS-PILE'!$E$62/SUMSQ('TS-PILE'!$E$56:$E$75))+IF(SUMSQ('TS-PILE'!$D$56:$D$75)=0,0,'TO HOP NLAN'!F22*'TS-PILE'!$D$62/SUMSQ('TS-PILE'!$D$56:$D$75))),IF('TS-PILE'!$B$63="",-1E+99,'TO HOP NLAN'!D22/ncoc+IF(SUMSQ('TS-PILE'!$E$56:$E$75)=0,0,'TO HOP NLAN'!E22*'TS-PILE'!$E$63/SUMSQ('TS-PILE'!$E$56:$E$75))+IF(SUMSQ('TS-PILE'!$D$56:$D$75)=0,0,'TO HOP NLAN'!F22*'TS-PILE'!$D$63/SUMSQ('TS-PILE'!$D$56:$D$75))),IF('TS-PILE'!$B$64="",-1E+99,'TO HOP NLAN'!D22/ncoc+IF(SUMSQ('TS-PILE'!$E$56:$E$75)=0,0,'TO HOP NLAN'!E22*'TS-PILE'!$E$64/SUMSQ('TS-PILE'!$E$56:$E$75))+IF(SUMSQ('TS-PILE'!$D$56:$D$75)=0,0,'TO HOP NLAN'!F22*'TS-PILE'!$D$64/SUMSQ('TS-PILE'!$D$56:$D$75))),IF('TS-PILE'!$B$65="",-1E+99,'TO HOP NLAN'!D22/ncoc+IF(SUMSQ('TS-PILE'!$E$56:$E$75)=0,0,'TO HOP NLAN'!E22*'TS-PILE'!$E$65/SUMSQ('TS-PILE'!$E$56:$E$75))+IF(SUMSQ('TS-PILE'!$D$56:$D$75)=0,0,'TO HOP NLAN'!F22*'TS-PILE'!$D$65/SUMSQ('TS-PILE'!$D$56:$D$75))),IF('TS-PILE'!$B$66="",-1E+99,'TO HOP NLAN'!D22/ncoc+IF(SUMSQ('TS-PILE'!$E$56:$E$75)=0,0,'TO HOP NLAN'!E22*'TS-PILE'!$E$66/SUMSQ('TS-PILE'!$E$56:$E$75))+IF(SUMSQ('TS-PILE'!$D$56:$D$75)=0,0,'TO HOP NLAN'!F22*'TS-PILE'!$D$66/SUMSQ('TS-PILE'!$D$56:$D$75))),IF('TS-PILE'!$B$67="",-1E+99,'TO HOP NLAN'!D22/ncoc+IF(SUMSQ('TS-PILE'!$E$56:$E$75)=0,0,'TO HOP NLAN'!E22*'TS-PILE'!$E$67/SUMSQ('TS-PILE'!$E$56:$E$75))+IF(SUMSQ('TS-PILE'!$D$56:$D$75)=0,0,'TO HOP NLAN'!F22*'TS-PILE'!$D$67/SUMSQ('TS-PILE'!$D$56:$D$75))),IF('TS-PILE'!$B$68="",-1E+99,'TO HOP NLAN'!D22/ncoc+IF(SUMSQ('TS-PILE'!$E$56:$E$75)=0,0,'TO HOP NLAN'!E22*'TS-PILE'!$E$68/SUMSQ('TS-PILE'!$E$56:$E$75))+IF(SUMSQ('TS-PILE'!$D$56:$D$75)=0,0,'TO HOP NLAN'!F22*'TS-PILE'!$D$68/SUMSQ('TS-PILE'!$D$56:$D$75))),IF('TS-PILE'!$B$69="",-1E+99,'TO HOP NLAN'!D22/ncoc+IF(SUMSQ('TS-PILE'!$E$56:$E$75)=0,0,'TO HOP NLAN'!E22*'TS-PILE'!$E$69/SUMSQ('TS-PILE'!$E$56:$E$75))+IF(SUMSQ('TS-PILE'!$D$56:$D$75)=0,0,'TO HOP NLAN'!F22*'TS-PILE'!$D$69/SUMSQ('TS-PILE'!$D$56:$D$75))),IF('TS-PILE'!$B$70="",-1E+99,'TO HOP NLAN'!D22/ncoc+IF(SUMSQ('TS-PILE'!$E$56:$E$75)=0,0,'TO HOP NLAN'!E22*'TS-PILE'!$E$70/SUMSQ('TS-PILE'!$E$56:$E$75))+IF(SUMSQ('TS-PILE'!$D$56:$D$75)=0,0,'TO HOP NLAN'!F22*'TS-PILE'!$D$70/SUMSQ('TS-PILE'!$D$56:$D$75))),IF('TS-PILE'!$B$71="",-1E+99,'TO HOP NLAN'!D22/ncoc+IF(SUMSQ('TS-PILE'!$E$56:$E$75)=0,0,'TO HOP NLAN'!E22*'TS-PILE'!$E$71/SUMSQ('TS-PILE'!$E$56:$E$75))+IF(SUMSQ('TS-PILE'!$D$56:$D$75)=0,0,'TO HOP NLAN'!F22*'TS-PILE'!$D$71/SUMSQ('TS-PILE'!$D$56:$D$75))),IF('TS-PILE'!$B$72="",-1E+99,'TO HOP NLAN'!D22/ncoc+IF(SUMSQ('TS-PILE'!$E$56:$E$75)=0,0,'TO HOP NLAN'!E22*'TS-PILE'!$E$72/SUMSQ('TS-PILE'!$E$56:$E$75))+IF(SUMSQ('TS-PILE'!$D$56:$D$75)=0,0,'TO HOP NLAN'!F22*'TS-PILE'!$D$72/SUMSQ('TS-PILE'!$D$56:$D$75))),IF('TS-PILE'!$B$73="",-1E+99,'TO HOP NLAN'!D22/ncoc+IF(SUMSQ('TS-PILE'!$E$56:$E$75)=0,0,'TO HOP NLAN'!E22*'TS-PILE'!$E$73/SUMSQ('TS-PILE'!$E$56:$E$75))+IF(SUMSQ('TS-PILE'!$D$56:$D$75)=0,0,'TO HOP NLAN'!F22*'TS-PILE'!$D$73/SUMSQ('TS-PILE'!$D$56:$D$75))),IF('TS-PILE'!$B$74="",-1E+99,'TO HOP NLAN'!D22/ncoc+IF(SUMSQ('TS-PILE'!$E$56:$E$75)=0,0,'TO HOP NLAN'!E22*'TS-PILE'!$E$74/SUMSQ('TS-PILE'!$E$56:$E$75))+IF(SUMSQ('TS-PILE'!$D$56:$D$75)=0,0,'TO HOP NLAN'!F22*'TS-PILE'!$D$74/SUMSQ('TS-PILE'!$D$56:$D$75))),IF('TS-PILE'!$B$75="",-1E+99,'TO HOP NLAN'!D22/ncoc+IF(SUMSQ('TS-PILE'!$E$56:$E$75)=0,0,'TO HOP NLAN'!E22*'TS-PILE'!$E$75/SUMSQ('TS-PILE'!$E$56:$E$75))+IF(SUMSQ('TS-PILE'!$D$56:$D$75)=0,0,'TO HOP NLAN'!F22*'TS-PILE'!$D$75/SUMSQ('TS-PILE'!$D$56:$D$75)))))</f>
        <v>0</v>
      </c>
      <c r="D22" s="46">
        <f>IF(A22="",0,MIN(IF('TS-PILE'!$B$56="",1E+99,'TO HOP NLAN'!D22/ncoc+IF(SUMSQ('TS-PILE'!$E$56:$E$75)=0,0,'TO HOP NLAN'!E22*'TS-PILE'!$E$56/SUMSQ('TS-PILE'!$E$56:$E$75))+IF(SUMSQ('TS-PILE'!$D$56:$D$75)=0,0,'TO HOP NLAN'!F22*'TS-PILE'!$D$56/SUMSQ('TS-PILE'!$D$56:$D$75))),IF('TS-PILE'!$B$57="",1E+99,'TO HOP NLAN'!D22/ncoc+IF(SUMSQ('TS-PILE'!$E$56:$E$75)=0,0,'TO HOP NLAN'!E22*'TS-PILE'!$E$57/SUMSQ('TS-PILE'!$E$56:$E$75))+IF(SUMSQ('TS-PILE'!$D$56:$D$75)=0,0,'TO HOP NLAN'!F22*'TS-PILE'!$D$57/SUMSQ('TS-PILE'!$D$56:$D$75))),IF('TS-PILE'!$B$58="",1E+99,'TO HOP NLAN'!D22/ncoc+IF(SUMSQ('TS-PILE'!$E$56:$E$75)=0,0,'TO HOP NLAN'!E22*'TS-PILE'!$E$58/SUMSQ('TS-PILE'!$E$56:$E$75))+IF(SUMSQ('TS-PILE'!$D$56:$D$75)=0,0,'TO HOP NLAN'!F22*'TS-PILE'!$D$58/SUMSQ('TS-PILE'!$D$56:$D$75))),IF('TS-PILE'!$B$59="",1E+99,'TO HOP NLAN'!D22/ncoc+IF(SUMSQ('TS-PILE'!$E$56:$E$75)=0,0,'TO HOP NLAN'!E22*'TS-PILE'!$E$59/SUMSQ('TS-PILE'!$E$56:$E$75))+IF(SUMSQ('TS-PILE'!$D$56:$D$75)=0,0,'TO HOP NLAN'!F22*'TS-PILE'!$D$59/SUMSQ('TS-PILE'!$D$56:$D$75))),IF('TS-PILE'!$B$60="",1E+99,'TO HOP NLAN'!D22/ncoc+IF(SUMSQ('TS-PILE'!$E$56:$E$75)=0,0,'TO HOP NLAN'!E22*'TS-PILE'!$E$60/SUMSQ('TS-PILE'!$E$56:$E$75))+IF(SUMSQ('TS-PILE'!$D$56:$D$75)=0,0,'TO HOP NLAN'!F22*'TS-PILE'!$D$60/SUMSQ('TS-PILE'!$D$56:$D$75))),IF('TS-PILE'!$B$61="",1E+99,'TO HOP NLAN'!D22/ncoc+IF(SUMSQ('TS-PILE'!$E$56:$E$75)=0,0,'TO HOP NLAN'!E22*'TS-PILE'!$E$61/SUMSQ('TS-PILE'!$E$56:$E$75))+IF(SUMSQ('TS-PILE'!$D$56:$D$75)=0,0,'TO HOP NLAN'!F22*'TS-PILE'!$D$61/SUMSQ('TS-PILE'!$D$56:$D$75))),IF('TS-PILE'!$B$62="",1E+99,'TO HOP NLAN'!D22/ncoc+IF(SUMSQ('TS-PILE'!$E$56:$E$75)=0,0,'TO HOP NLAN'!E22*'TS-PILE'!$E$62/SUMSQ('TS-PILE'!$E$56:$E$75))+IF(SUMSQ('TS-PILE'!$D$56:$D$75)=0,0,'TO HOP NLAN'!F22*'TS-PILE'!$D$62/SUMSQ('TS-PILE'!$D$56:$D$75))),IF('TS-PILE'!$B$63="",1E+99,'TO HOP NLAN'!D22/ncoc+IF(SUMSQ('TS-PILE'!$E$56:$E$75)=0,0,'TO HOP NLAN'!E22*'TS-PILE'!$E$63/SUMSQ('TS-PILE'!$E$56:$E$75))+IF(SUMSQ('TS-PILE'!$D$56:$D$75)=0,0,'TO HOP NLAN'!F22*'TS-PILE'!$D$63/SUMSQ('TS-PILE'!$D$56:$D$75))),IF('TS-PILE'!$B$64="",1E+99,'TO HOP NLAN'!D22/ncoc+IF(SUMSQ('TS-PILE'!$E$56:$E$75)=0,0,'TO HOP NLAN'!E22*'TS-PILE'!$E$64/SUMSQ('TS-PILE'!$E$56:$E$75))+IF(SUMSQ('TS-PILE'!$D$56:$D$75)=0,0,'TO HOP NLAN'!F22*'TS-PILE'!$D$64/SUMSQ('TS-PILE'!$D$56:$D$75))),IF('TS-PILE'!$B$65="",1E+99,'TO HOP NLAN'!D22/ncoc+IF(SUMSQ('TS-PILE'!$E$56:$E$75)=0,0,'TO HOP NLAN'!E22*'TS-PILE'!$E$65/SUMSQ('TS-PILE'!$E$56:$E$75))+IF(SUMSQ('TS-PILE'!$D$56:$D$75)=0,0,'TO HOP NLAN'!F22*'TS-PILE'!$D$65/SUMSQ('TS-PILE'!$D$56:$D$75))),IF('TS-PILE'!$B$66="",1E+99,'TO HOP NLAN'!D22/ncoc+IF(SUMSQ('TS-PILE'!$E$56:$E$75)=0,0,'TO HOP NLAN'!E22*'TS-PILE'!$E$66/SUMSQ('TS-PILE'!$E$56:$E$75))+IF(SUMSQ('TS-PILE'!$D$56:$D$75)=0,0,'TO HOP NLAN'!F22*'TS-PILE'!$D$66/SUMSQ('TS-PILE'!$D$56:$D$75))),IF('TS-PILE'!$B$67="",1E+99,'TO HOP NLAN'!D22/ncoc+IF(SUMSQ('TS-PILE'!$E$56:$E$75)=0,0,'TO HOP NLAN'!E22*'TS-PILE'!$E$67/SUMSQ('TS-PILE'!$E$56:$E$75))+IF(SUMSQ('TS-PILE'!$D$56:$D$75)=0,0,'TO HOP NLAN'!F22*'TS-PILE'!$D$67/SUMSQ('TS-PILE'!$D$56:$D$75))),IF('TS-PILE'!$B$68="",1E+99,'TO HOP NLAN'!D22/ncoc+IF(SUMSQ('TS-PILE'!$E$56:$E$75)=0,0,'TO HOP NLAN'!E22*'TS-PILE'!$E$68/SUMSQ('TS-PILE'!$E$56:$E$75))+IF(SUMSQ('TS-PILE'!$D$56:$D$75)=0,0,'TO HOP NLAN'!F22*'TS-PILE'!$D$68/SUMSQ('TS-PILE'!$D$56:$D$75))),IF('TS-PILE'!$B$69="",1E+99,'TO HOP NLAN'!D22/ncoc+IF(SUMSQ('TS-PILE'!$E$56:$E$75)=0,0,'TO HOP NLAN'!E22*'TS-PILE'!$E$69/SUMSQ('TS-PILE'!$E$56:$E$75))+IF(SUMSQ('TS-PILE'!$D$56:$D$75)=0,0,'TO HOP NLAN'!F22*'TS-PILE'!$D$69/SUMSQ('TS-PILE'!$D$56:$D$75))),IF('TS-PILE'!$B$70="",1E+99,'TO HOP NLAN'!D22/ncoc+IF(SUMSQ('TS-PILE'!$E$56:$E$75)=0,0,'TO HOP NLAN'!E22*'TS-PILE'!$E$70/SUMSQ('TS-PILE'!$E$56:$E$75))+IF(SUMSQ('TS-PILE'!$D$56:$D$75)=0,0,'TO HOP NLAN'!F22*'TS-PILE'!$D$70/SUMSQ('TS-PILE'!$D$56:$D$75))),IF('TS-PILE'!$B$71="",1E+99,'TO HOP NLAN'!D22/ncoc+IF(SUMSQ('TS-PILE'!$E$56:$E$75)=0,0,'TO HOP NLAN'!E22*'TS-PILE'!$E$71/SUMSQ('TS-PILE'!$E$56:$E$75))+IF(SUMSQ('TS-PILE'!$D$56:$D$75)=0,0,'TO HOP NLAN'!F22*'TS-PILE'!$D$71/SUMSQ('TS-PILE'!$D$56:$D$75))),IF('TS-PILE'!$B$72="",1E+99,'TO HOP NLAN'!D22/ncoc+IF(SUMSQ('TS-PILE'!$E$56:$E$75)=0,0,'TO HOP NLAN'!E22*'TS-PILE'!$E$72/SUMSQ('TS-PILE'!$E$56:$E$75))+IF(SUMSQ('TS-PILE'!$D$56:$D$75)=0,0,'TO HOP NLAN'!F22*'TS-PILE'!$D$72/SUMSQ('TS-PILE'!$D$56:$D$75))),IF('TS-PILE'!$B$73="",1E+99,'TO HOP NLAN'!D22/ncoc+IF(SUMSQ('TS-PILE'!$E$56:$E$75)=0,0,'TO HOP NLAN'!E22*'TS-PILE'!$E$73/SUMSQ('TS-PILE'!$E$56:$E$75))+IF(SUMSQ('TS-PILE'!$D$56:$D$75)=0,0,'TO HOP NLAN'!F22*'TS-PILE'!$D$73/SUMSQ('TS-PILE'!$D$56:$D$75))),IF('TS-PILE'!$B$74="",1E+99,'TO HOP NLAN'!D22/ncoc+IF(SUMSQ('TS-PILE'!$E$56:$E$75)=0,0,'TO HOP NLAN'!E22*'TS-PILE'!$E$74/SUMSQ('TS-PILE'!$E$56:$E$75))+IF(SUMSQ('TS-PILE'!$D$56:$D$75)=0,0,'TO HOP NLAN'!F22*'TS-PILE'!$D$74/SUMSQ('TS-PILE'!$D$56:$D$75))),IF('TS-PILE'!$B$75="",1E+99,'TO HOP NLAN'!D22/ncoc+IF(SUMSQ('TS-PILE'!$E$56:$E$75)=0,0,'TO HOP NLAN'!E22*'TS-PILE'!$E$75/SUMSQ('TS-PILE'!$E$56:$E$75))+IF(SUMSQ('TS-PILE'!$D$56:$D$75)=0,0,'TO HOP NLAN'!F22*'TS-PILE'!$D$75/SUMSQ('TS-PILE'!$D$56:$D$75)))))</f>
        <v>0</v>
      </c>
      <c r="E22" s="46">
        <f t="shared" si="0"/>
        <v>-9.9999999999999997E+98</v>
      </c>
      <c r="F22" s="46">
        <f t="shared" si="1"/>
        <v>9.9999999999999997E+98</v>
      </c>
      <c r="G22" s="46">
        <f t="shared" si="2"/>
        <v>-9.9999999999999997E+98</v>
      </c>
      <c r="H22" s="46">
        <f t="shared" si="3"/>
        <v>9.9999999999999997E+98</v>
      </c>
    </row>
    <row r="23" spans="1:8" x14ac:dyDescent="0.3">
      <c r="A23" s="40" t="str">
        <f>'TO HOP NLAN'!A23</f>
        <v/>
      </c>
      <c r="B23" s="40" t="str">
        <f>'TO HOP NLAN'!L23</f>
        <v>SERVICE</v>
      </c>
      <c r="C23" s="46">
        <f>IF(A23="",0,MAX(IF('TS-PILE'!$B$56="",-1E+99,'TO HOP NLAN'!D23/ncoc+IF(SUMSQ('TS-PILE'!$E$56:$E$75)=0,0,'TO HOP NLAN'!E23*'TS-PILE'!$E$56/SUMSQ('TS-PILE'!$E$56:$E$75))+IF(SUMSQ('TS-PILE'!$D$56:$D$75)=0,0,'TO HOP NLAN'!F23*'TS-PILE'!$D$56/SUMSQ('TS-PILE'!$D$56:$D$75))),IF('TS-PILE'!$B$57="",-1E+99,'TO HOP NLAN'!D23/ncoc+IF(SUMSQ('TS-PILE'!$E$56:$E$75)=0,0,'TO HOP NLAN'!E23*'TS-PILE'!$E$57/SUMSQ('TS-PILE'!$E$56:$E$75))+IF(SUMSQ('TS-PILE'!$D$56:$D$75)=0,0,'TO HOP NLAN'!F23*'TS-PILE'!$D$57/SUMSQ('TS-PILE'!$D$56:$D$75))),IF('TS-PILE'!$B$58="",-1E+99,'TO HOP NLAN'!D23/ncoc+IF(SUMSQ('TS-PILE'!$E$56:$E$75)=0,0,'TO HOP NLAN'!E23*'TS-PILE'!$E$58/SUMSQ('TS-PILE'!$E$56:$E$75))+IF(SUMSQ('TS-PILE'!$D$56:$D$75)=0,0,'TO HOP NLAN'!F23*'TS-PILE'!$D$58/SUMSQ('TS-PILE'!$D$56:$D$75))),IF('TS-PILE'!$B$59="",-1E+99,'TO HOP NLAN'!D23/ncoc+IF(SUMSQ('TS-PILE'!$E$56:$E$75)=0,0,'TO HOP NLAN'!E23*'TS-PILE'!$E$59/SUMSQ('TS-PILE'!$E$56:$E$75))+IF(SUMSQ('TS-PILE'!$D$56:$D$75)=0,0,'TO HOP NLAN'!F23*'TS-PILE'!$D$59/SUMSQ('TS-PILE'!$D$56:$D$75))),IF('TS-PILE'!$B$60="",-1E+99,'TO HOP NLAN'!D23/ncoc+IF(SUMSQ('TS-PILE'!$E$56:$E$75)=0,0,'TO HOP NLAN'!E23*'TS-PILE'!$E$60/SUMSQ('TS-PILE'!$E$56:$E$75))+IF(SUMSQ('TS-PILE'!$D$56:$D$75)=0,0,'TO HOP NLAN'!F23*'TS-PILE'!$D$60/SUMSQ('TS-PILE'!$D$56:$D$75))),IF('TS-PILE'!$B$61="",-1E+99,'TO HOP NLAN'!D23/ncoc+IF(SUMSQ('TS-PILE'!$E$56:$E$75)=0,0,'TO HOP NLAN'!E23*'TS-PILE'!$E$61/SUMSQ('TS-PILE'!$E$56:$E$75))+IF(SUMSQ('TS-PILE'!$D$56:$D$75)=0,0,'TO HOP NLAN'!F23*'TS-PILE'!$D$61/SUMSQ('TS-PILE'!$D$56:$D$75))),IF('TS-PILE'!$B$62="",-1E+99,'TO HOP NLAN'!D23/ncoc+IF(SUMSQ('TS-PILE'!$E$56:$E$75)=0,0,'TO HOP NLAN'!E23*'TS-PILE'!$E$62/SUMSQ('TS-PILE'!$E$56:$E$75))+IF(SUMSQ('TS-PILE'!$D$56:$D$75)=0,0,'TO HOP NLAN'!F23*'TS-PILE'!$D$62/SUMSQ('TS-PILE'!$D$56:$D$75))),IF('TS-PILE'!$B$63="",-1E+99,'TO HOP NLAN'!D23/ncoc+IF(SUMSQ('TS-PILE'!$E$56:$E$75)=0,0,'TO HOP NLAN'!E23*'TS-PILE'!$E$63/SUMSQ('TS-PILE'!$E$56:$E$75))+IF(SUMSQ('TS-PILE'!$D$56:$D$75)=0,0,'TO HOP NLAN'!F23*'TS-PILE'!$D$63/SUMSQ('TS-PILE'!$D$56:$D$75))),IF('TS-PILE'!$B$64="",-1E+99,'TO HOP NLAN'!D23/ncoc+IF(SUMSQ('TS-PILE'!$E$56:$E$75)=0,0,'TO HOP NLAN'!E23*'TS-PILE'!$E$64/SUMSQ('TS-PILE'!$E$56:$E$75))+IF(SUMSQ('TS-PILE'!$D$56:$D$75)=0,0,'TO HOP NLAN'!F23*'TS-PILE'!$D$64/SUMSQ('TS-PILE'!$D$56:$D$75))),IF('TS-PILE'!$B$65="",-1E+99,'TO HOP NLAN'!D23/ncoc+IF(SUMSQ('TS-PILE'!$E$56:$E$75)=0,0,'TO HOP NLAN'!E23*'TS-PILE'!$E$65/SUMSQ('TS-PILE'!$E$56:$E$75))+IF(SUMSQ('TS-PILE'!$D$56:$D$75)=0,0,'TO HOP NLAN'!F23*'TS-PILE'!$D$65/SUMSQ('TS-PILE'!$D$56:$D$75))),IF('TS-PILE'!$B$66="",-1E+99,'TO HOP NLAN'!D23/ncoc+IF(SUMSQ('TS-PILE'!$E$56:$E$75)=0,0,'TO HOP NLAN'!E23*'TS-PILE'!$E$66/SUMSQ('TS-PILE'!$E$56:$E$75))+IF(SUMSQ('TS-PILE'!$D$56:$D$75)=0,0,'TO HOP NLAN'!F23*'TS-PILE'!$D$66/SUMSQ('TS-PILE'!$D$56:$D$75))),IF('TS-PILE'!$B$67="",-1E+99,'TO HOP NLAN'!D23/ncoc+IF(SUMSQ('TS-PILE'!$E$56:$E$75)=0,0,'TO HOP NLAN'!E23*'TS-PILE'!$E$67/SUMSQ('TS-PILE'!$E$56:$E$75))+IF(SUMSQ('TS-PILE'!$D$56:$D$75)=0,0,'TO HOP NLAN'!F23*'TS-PILE'!$D$67/SUMSQ('TS-PILE'!$D$56:$D$75))),IF('TS-PILE'!$B$68="",-1E+99,'TO HOP NLAN'!D23/ncoc+IF(SUMSQ('TS-PILE'!$E$56:$E$75)=0,0,'TO HOP NLAN'!E23*'TS-PILE'!$E$68/SUMSQ('TS-PILE'!$E$56:$E$75))+IF(SUMSQ('TS-PILE'!$D$56:$D$75)=0,0,'TO HOP NLAN'!F23*'TS-PILE'!$D$68/SUMSQ('TS-PILE'!$D$56:$D$75))),IF('TS-PILE'!$B$69="",-1E+99,'TO HOP NLAN'!D23/ncoc+IF(SUMSQ('TS-PILE'!$E$56:$E$75)=0,0,'TO HOP NLAN'!E23*'TS-PILE'!$E$69/SUMSQ('TS-PILE'!$E$56:$E$75))+IF(SUMSQ('TS-PILE'!$D$56:$D$75)=0,0,'TO HOP NLAN'!F23*'TS-PILE'!$D$69/SUMSQ('TS-PILE'!$D$56:$D$75))),IF('TS-PILE'!$B$70="",-1E+99,'TO HOP NLAN'!D23/ncoc+IF(SUMSQ('TS-PILE'!$E$56:$E$75)=0,0,'TO HOP NLAN'!E23*'TS-PILE'!$E$70/SUMSQ('TS-PILE'!$E$56:$E$75))+IF(SUMSQ('TS-PILE'!$D$56:$D$75)=0,0,'TO HOP NLAN'!F23*'TS-PILE'!$D$70/SUMSQ('TS-PILE'!$D$56:$D$75))),IF('TS-PILE'!$B$71="",-1E+99,'TO HOP NLAN'!D23/ncoc+IF(SUMSQ('TS-PILE'!$E$56:$E$75)=0,0,'TO HOP NLAN'!E23*'TS-PILE'!$E$71/SUMSQ('TS-PILE'!$E$56:$E$75))+IF(SUMSQ('TS-PILE'!$D$56:$D$75)=0,0,'TO HOP NLAN'!F23*'TS-PILE'!$D$71/SUMSQ('TS-PILE'!$D$56:$D$75))),IF('TS-PILE'!$B$72="",-1E+99,'TO HOP NLAN'!D23/ncoc+IF(SUMSQ('TS-PILE'!$E$56:$E$75)=0,0,'TO HOP NLAN'!E23*'TS-PILE'!$E$72/SUMSQ('TS-PILE'!$E$56:$E$75))+IF(SUMSQ('TS-PILE'!$D$56:$D$75)=0,0,'TO HOP NLAN'!F23*'TS-PILE'!$D$72/SUMSQ('TS-PILE'!$D$56:$D$75))),IF('TS-PILE'!$B$73="",-1E+99,'TO HOP NLAN'!D23/ncoc+IF(SUMSQ('TS-PILE'!$E$56:$E$75)=0,0,'TO HOP NLAN'!E23*'TS-PILE'!$E$73/SUMSQ('TS-PILE'!$E$56:$E$75))+IF(SUMSQ('TS-PILE'!$D$56:$D$75)=0,0,'TO HOP NLAN'!F23*'TS-PILE'!$D$73/SUMSQ('TS-PILE'!$D$56:$D$75))),IF('TS-PILE'!$B$74="",-1E+99,'TO HOP NLAN'!D23/ncoc+IF(SUMSQ('TS-PILE'!$E$56:$E$75)=0,0,'TO HOP NLAN'!E23*'TS-PILE'!$E$74/SUMSQ('TS-PILE'!$E$56:$E$75))+IF(SUMSQ('TS-PILE'!$D$56:$D$75)=0,0,'TO HOP NLAN'!F23*'TS-PILE'!$D$74/SUMSQ('TS-PILE'!$D$56:$D$75))),IF('TS-PILE'!$B$75="",-1E+99,'TO HOP NLAN'!D23/ncoc+IF(SUMSQ('TS-PILE'!$E$56:$E$75)=0,0,'TO HOP NLAN'!E23*'TS-PILE'!$E$75/SUMSQ('TS-PILE'!$E$56:$E$75))+IF(SUMSQ('TS-PILE'!$D$56:$D$75)=0,0,'TO HOP NLAN'!F23*'TS-PILE'!$D$75/SUMSQ('TS-PILE'!$D$56:$D$75)))))</f>
        <v>0</v>
      </c>
      <c r="D23" s="46">
        <f>IF(A23="",0,MIN(IF('TS-PILE'!$B$56="",1E+99,'TO HOP NLAN'!D23/ncoc+IF(SUMSQ('TS-PILE'!$E$56:$E$75)=0,0,'TO HOP NLAN'!E23*'TS-PILE'!$E$56/SUMSQ('TS-PILE'!$E$56:$E$75))+IF(SUMSQ('TS-PILE'!$D$56:$D$75)=0,0,'TO HOP NLAN'!F23*'TS-PILE'!$D$56/SUMSQ('TS-PILE'!$D$56:$D$75))),IF('TS-PILE'!$B$57="",1E+99,'TO HOP NLAN'!D23/ncoc+IF(SUMSQ('TS-PILE'!$E$56:$E$75)=0,0,'TO HOP NLAN'!E23*'TS-PILE'!$E$57/SUMSQ('TS-PILE'!$E$56:$E$75))+IF(SUMSQ('TS-PILE'!$D$56:$D$75)=0,0,'TO HOP NLAN'!F23*'TS-PILE'!$D$57/SUMSQ('TS-PILE'!$D$56:$D$75))),IF('TS-PILE'!$B$58="",1E+99,'TO HOP NLAN'!D23/ncoc+IF(SUMSQ('TS-PILE'!$E$56:$E$75)=0,0,'TO HOP NLAN'!E23*'TS-PILE'!$E$58/SUMSQ('TS-PILE'!$E$56:$E$75))+IF(SUMSQ('TS-PILE'!$D$56:$D$75)=0,0,'TO HOP NLAN'!F23*'TS-PILE'!$D$58/SUMSQ('TS-PILE'!$D$56:$D$75))),IF('TS-PILE'!$B$59="",1E+99,'TO HOP NLAN'!D23/ncoc+IF(SUMSQ('TS-PILE'!$E$56:$E$75)=0,0,'TO HOP NLAN'!E23*'TS-PILE'!$E$59/SUMSQ('TS-PILE'!$E$56:$E$75))+IF(SUMSQ('TS-PILE'!$D$56:$D$75)=0,0,'TO HOP NLAN'!F23*'TS-PILE'!$D$59/SUMSQ('TS-PILE'!$D$56:$D$75))),IF('TS-PILE'!$B$60="",1E+99,'TO HOP NLAN'!D23/ncoc+IF(SUMSQ('TS-PILE'!$E$56:$E$75)=0,0,'TO HOP NLAN'!E23*'TS-PILE'!$E$60/SUMSQ('TS-PILE'!$E$56:$E$75))+IF(SUMSQ('TS-PILE'!$D$56:$D$75)=0,0,'TO HOP NLAN'!F23*'TS-PILE'!$D$60/SUMSQ('TS-PILE'!$D$56:$D$75))),IF('TS-PILE'!$B$61="",1E+99,'TO HOP NLAN'!D23/ncoc+IF(SUMSQ('TS-PILE'!$E$56:$E$75)=0,0,'TO HOP NLAN'!E23*'TS-PILE'!$E$61/SUMSQ('TS-PILE'!$E$56:$E$75))+IF(SUMSQ('TS-PILE'!$D$56:$D$75)=0,0,'TO HOP NLAN'!F23*'TS-PILE'!$D$61/SUMSQ('TS-PILE'!$D$56:$D$75))),IF('TS-PILE'!$B$62="",1E+99,'TO HOP NLAN'!D23/ncoc+IF(SUMSQ('TS-PILE'!$E$56:$E$75)=0,0,'TO HOP NLAN'!E23*'TS-PILE'!$E$62/SUMSQ('TS-PILE'!$E$56:$E$75))+IF(SUMSQ('TS-PILE'!$D$56:$D$75)=0,0,'TO HOP NLAN'!F23*'TS-PILE'!$D$62/SUMSQ('TS-PILE'!$D$56:$D$75))),IF('TS-PILE'!$B$63="",1E+99,'TO HOP NLAN'!D23/ncoc+IF(SUMSQ('TS-PILE'!$E$56:$E$75)=0,0,'TO HOP NLAN'!E23*'TS-PILE'!$E$63/SUMSQ('TS-PILE'!$E$56:$E$75))+IF(SUMSQ('TS-PILE'!$D$56:$D$75)=0,0,'TO HOP NLAN'!F23*'TS-PILE'!$D$63/SUMSQ('TS-PILE'!$D$56:$D$75))),IF('TS-PILE'!$B$64="",1E+99,'TO HOP NLAN'!D23/ncoc+IF(SUMSQ('TS-PILE'!$E$56:$E$75)=0,0,'TO HOP NLAN'!E23*'TS-PILE'!$E$64/SUMSQ('TS-PILE'!$E$56:$E$75))+IF(SUMSQ('TS-PILE'!$D$56:$D$75)=0,0,'TO HOP NLAN'!F23*'TS-PILE'!$D$64/SUMSQ('TS-PILE'!$D$56:$D$75))),IF('TS-PILE'!$B$65="",1E+99,'TO HOP NLAN'!D23/ncoc+IF(SUMSQ('TS-PILE'!$E$56:$E$75)=0,0,'TO HOP NLAN'!E23*'TS-PILE'!$E$65/SUMSQ('TS-PILE'!$E$56:$E$75))+IF(SUMSQ('TS-PILE'!$D$56:$D$75)=0,0,'TO HOP NLAN'!F23*'TS-PILE'!$D$65/SUMSQ('TS-PILE'!$D$56:$D$75))),IF('TS-PILE'!$B$66="",1E+99,'TO HOP NLAN'!D23/ncoc+IF(SUMSQ('TS-PILE'!$E$56:$E$75)=0,0,'TO HOP NLAN'!E23*'TS-PILE'!$E$66/SUMSQ('TS-PILE'!$E$56:$E$75))+IF(SUMSQ('TS-PILE'!$D$56:$D$75)=0,0,'TO HOP NLAN'!F23*'TS-PILE'!$D$66/SUMSQ('TS-PILE'!$D$56:$D$75))),IF('TS-PILE'!$B$67="",1E+99,'TO HOP NLAN'!D23/ncoc+IF(SUMSQ('TS-PILE'!$E$56:$E$75)=0,0,'TO HOP NLAN'!E23*'TS-PILE'!$E$67/SUMSQ('TS-PILE'!$E$56:$E$75))+IF(SUMSQ('TS-PILE'!$D$56:$D$75)=0,0,'TO HOP NLAN'!F23*'TS-PILE'!$D$67/SUMSQ('TS-PILE'!$D$56:$D$75))),IF('TS-PILE'!$B$68="",1E+99,'TO HOP NLAN'!D23/ncoc+IF(SUMSQ('TS-PILE'!$E$56:$E$75)=0,0,'TO HOP NLAN'!E23*'TS-PILE'!$E$68/SUMSQ('TS-PILE'!$E$56:$E$75))+IF(SUMSQ('TS-PILE'!$D$56:$D$75)=0,0,'TO HOP NLAN'!F23*'TS-PILE'!$D$68/SUMSQ('TS-PILE'!$D$56:$D$75))),IF('TS-PILE'!$B$69="",1E+99,'TO HOP NLAN'!D23/ncoc+IF(SUMSQ('TS-PILE'!$E$56:$E$75)=0,0,'TO HOP NLAN'!E23*'TS-PILE'!$E$69/SUMSQ('TS-PILE'!$E$56:$E$75))+IF(SUMSQ('TS-PILE'!$D$56:$D$75)=0,0,'TO HOP NLAN'!F23*'TS-PILE'!$D$69/SUMSQ('TS-PILE'!$D$56:$D$75))),IF('TS-PILE'!$B$70="",1E+99,'TO HOP NLAN'!D23/ncoc+IF(SUMSQ('TS-PILE'!$E$56:$E$75)=0,0,'TO HOP NLAN'!E23*'TS-PILE'!$E$70/SUMSQ('TS-PILE'!$E$56:$E$75))+IF(SUMSQ('TS-PILE'!$D$56:$D$75)=0,0,'TO HOP NLAN'!F23*'TS-PILE'!$D$70/SUMSQ('TS-PILE'!$D$56:$D$75))),IF('TS-PILE'!$B$71="",1E+99,'TO HOP NLAN'!D23/ncoc+IF(SUMSQ('TS-PILE'!$E$56:$E$75)=0,0,'TO HOP NLAN'!E23*'TS-PILE'!$E$71/SUMSQ('TS-PILE'!$E$56:$E$75))+IF(SUMSQ('TS-PILE'!$D$56:$D$75)=0,0,'TO HOP NLAN'!F23*'TS-PILE'!$D$71/SUMSQ('TS-PILE'!$D$56:$D$75))),IF('TS-PILE'!$B$72="",1E+99,'TO HOP NLAN'!D23/ncoc+IF(SUMSQ('TS-PILE'!$E$56:$E$75)=0,0,'TO HOP NLAN'!E23*'TS-PILE'!$E$72/SUMSQ('TS-PILE'!$E$56:$E$75))+IF(SUMSQ('TS-PILE'!$D$56:$D$75)=0,0,'TO HOP NLAN'!F23*'TS-PILE'!$D$72/SUMSQ('TS-PILE'!$D$56:$D$75))),IF('TS-PILE'!$B$73="",1E+99,'TO HOP NLAN'!D23/ncoc+IF(SUMSQ('TS-PILE'!$E$56:$E$75)=0,0,'TO HOP NLAN'!E23*'TS-PILE'!$E$73/SUMSQ('TS-PILE'!$E$56:$E$75))+IF(SUMSQ('TS-PILE'!$D$56:$D$75)=0,0,'TO HOP NLAN'!F23*'TS-PILE'!$D$73/SUMSQ('TS-PILE'!$D$56:$D$75))),IF('TS-PILE'!$B$74="",1E+99,'TO HOP NLAN'!D23/ncoc+IF(SUMSQ('TS-PILE'!$E$56:$E$75)=0,0,'TO HOP NLAN'!E23*'TS-PILE'!$E$74/SUMSQ('TS-PILE'!$E$56:$E$75))+IF(SUMSQ('TS-PILE'!$D$56:$D$75)=0,0,'TO HOP NLAN'!F23*'TS-PILE'!$D$74/SUMSQ('TS-PILE'!$D$56:$D$75))),IF('TS-PILE'!$B$75="",1E+99,'TO HOP NLAN'!D23/ncoc+IF(SUMSQ('TS-PILE'!$E$56:$E$75)=0,0,'TO HOP NLAN'!E23*'TS-PILE'!$E$75/SUMSQ('TS-PILE'!$E$56:$E$75))+IF(SUMSQ('TS-PILE'!$D$56:$D$75)=0,0,'TO HOP NLAN'!F23*'TS-PILE'!$D$75/SUMSQ('TS-PILE'!$D$56:$D$75)))))</f>
        <v>0</v>
      </c>
      <c r="E23" s="46">
        <f t="shared" si="0"/>
        <v>-9.9999999999999997E+98</v>
      </c>
      <c r="F23" s="46">
        <f t="shared" si="1"/>
        <v>9.9999999999999997E+98</v>
      </c>
      <c r="G23" s="46">
        <f t="shared" si="2"/>
        <v>-9.9999999999999997E+98</v>
      </c>
      <c r="H23" s="46">
        <f t="shared" si="3"/>
        <v>9.9999999999999997E+98</v>
      </c>
    </row>
    <row r="24" spans="1:8" x14ac:dyDescent="0.3">
      <c r="A24" s="40" t="str">
        <f>'TO HOP NLAN'!A24</f>
        <v/>
      </c>
      <c r="B24" s="40" t="str">
        <f>'TO HOP NLAN'!L24</f>
        <v>SERVICE</v>
      </c>
      <c r="C24" s="46">
        <f>IF(A24="",0,MAX(IF('TS-PILE'!$B$56="",-1E+99,'TO HOP NLAN'!D24/ncoc+IF(SUMSQ('TS-PILE'!$E$56:$E$75)=0,0,'TO HOP NLAN'!E24*'TS-PILE'!$E$56/SUMSQ('TS-PILE'!$E$56:$E$75))+IF(SUMSQ('TS-PILE'!$D$56:$D$75)=0,0,'TO HOP NLAN'!F24*'TS-PILE'!$D$56/SUMSQ('TS-PILE'!$D$56:$D$75))),IF('TS-PILE'!$B$57="",-1E+99,'TO HOP NLAN'!D24/ncoc+IF(SUMSQ('TS-PILE'!$E$56:$E$75)=0,0,'TO HOP NLAN'!E24*'TS-PILE'!$E$57/SUMSQ('TS-PILE'!$E$56:$E$75))+IF(SUMSQ('TS-PILE'!$D$56:$D$75)=0,0,'TO HOP NLAN'!F24*'TS-PILE'!$D$57/SUMSQ('TS-PILE'!$D$56:$D$75))),IF('TS-PILE'!$B$58="",-1E+99,'TO HOP NLAN'!D24/ncoc+IF(SUMSQ('TS-PILE'!$E$56:$E$75)=0,0,'TO HOP NLAN'!E24*'TS-PILE'!$E$58/SUMSQ('TS-PILE'!$E$56:$E$75))+IF(SUMSQ('TS-PILE'!$D$56:$D$75)=0,0,'TO HOP NLAN'!F24*'TS-PILE'!$D$58/SUMSQ('TS-PILE'!$D$56:$D$75))),IF('TS-PILE'!$B$59="",-1E+99,'TO HOP NLAN'!D24/ncoc+IF(SUMSQ('TS-PILE'!$E$56:$E$75)=0,0,'TO HOP NLAN'!E24*'TS-PILE'!$E$59/SUMSQ('TS-PILE'!$E$56:$E$75))+IF(SUMSQ('TS-PILE'!$D$56:$D$75)=0,0,'TO HOP NLAN'!F24*'TS-PILE'!$D$59/SUMSQ('TS-PILE'!$D$56:$D$75))),IF('TS-PILE'!$B$60="",-1E+99,'TO HOP NLAN'!D24/ncoc+IF(SUMSQ('TS-PILE'!$E$56:$E$75)=0,0,'TO HOP NLAN'!E24*'TS-PILE'!$E$60/SUMSQ('TS-PILE'!$E$56:$E$75))+IF(SUMSQ('TS-PILE'!$D$56:$D$75)=0,0,'TO HOP NLAN'!F24*'TS-PILE'!$D$60/SUMSQ('TS-PILE'!$D$56:$D$75))),IF('TS-PILE'!$B$61="",-1E+99,'TO HOP NLAN'!D24/ncoc+IF(SUMSQ('TS-PILE'!$E$56:$E$75)=0,0,'TO HOP NLAN'!E24*'TS-PILE'!$E$61/SUMSQ('TS-PILE'!$E$56:$E$75))+IF(SUMSQ('TS-PILE'!$D$56:$D$75)=0,0,'TO HOP NLAN'!F24*'TS-PILE'!$D$61/SUMSQ('TS-PILE'!$D$56:$D$75))),IF('TS-PILE'!$B$62="",-1E+99,'TO HOP NLAN'!D24/ncoc+IF(SUMSQ('TS-PILE'!$E$56:$E$75)=0,0,'TO HOP NLAN'!E24*'TS-PILE'!$E$62/SUMSQ('TS-PILE'!$E$56:$E$75))+IF(SUMSQ('TS-PILE'!$D$56:$D$75)=0,0,'TO HOP NLAN'!F24*'TS-PILE'!$D$62/SUMSQ('TS-PILE'!$D$56:$D$75))),IF('TS-PILE'!$B$63="",-1E+99,'TO HOP NLAN'!D24/ncoc+IF(SUMSQ('TS-PILE'!$E$56:$E$75)=0,0,'TO HOP NLAN'!E24*'TS-PILE'!$E$63/SUMSQ('TS-PILE'!$E$56:$E$75))+IF(SUMSQ('TS-PILE'!$D$56:$D$75)=0,0,'TO HOP NLAN'!F24*'TS-PILE'!$D$63/SUMSQ('TS-PILE'!$D$56:$D$75))),IF('TS-PILE'!$B$64="",-1E+99,'TO HOP NLAN'!D24/ncoc+IF(SUMSQ('TS-PILE'!$E$56:$E$75)=0,0,'TO HOP NLAN'!E24*'TS-PILE'!$E$64/SUMSQ('TS-PILE'!$E$56:$E$75))+IF(SUMSQ('TS-PILE'!$D$56:$D$75)=0,0,'TO HOP NLAN'!F24*'TS-PILE'!$D$64/SUMSQ('TS-PILE'!$D$56:$D$75))),IF('TS-PILE'!$B$65="",-1E+99,'TO HOP NLAN'!D24/ncoc+IF(SUMSQ('TS-PILE'!$E$56:$E$75)=0,0,'TO HOP NLAN'!E24*'TS-PILE'!$E$65/SUMSQ('TS-PILE'!$E$56:$E$75))+IF(SUMSQ('TS-PILE'!$D$56:$D$75)=0,0,'TO HOP NLAN'!F24*'TS-PILE'!$D$65/SUMSQ('TS-PILE'!$D$56:$D$75))),IF('TS-PILE'!$B$66="",-1E+99,'TO HOP NLAN'!D24/ncoc+IF(SUMSQ('TS-PILE'!$E$56:$E$75)=0,0,'TO HOP NLAN'!E24*'TS-PILE'!$E$66/SUMSQ('TS-PILE'!$E$56:$E$75))+IF(SUMSQ('TS-PILE'!$D$56:$D$75)=0,0,'TO HOP NLAN'!F24*'TS-PILE'!$D$66/SUMSQ('TS-PILE'!$D$56:$D$75))),IF('TS-PILE'!$B$67="",-1E+99,'TO HOP NLAN'!D24/ncoc+IF(SUMSQ('TS-PILE'!$E$56:$E$75)=0,0,'TO HOP NLAN'!E24*'TS-PILE'!$E$67/SUMSQ('TS-PILE'!$E$56:$E$75))+IF(SUMSQ('TS-PILE'!$D$56:$D$75)=0,0,'TO HOP NLAN'!F24*'TS-PILE'!$D$67/SUMSQ('TS-PILE'!$D$56:$D$75))),IF('TS-PILE'!$B$68="",-1E+99,'TO HOP NLAN'!D24/ncoc+IF(SUMSQ('TS-PILE'!$E$56:$E$75)=0,0,'TO HOP NLAN'!E24*'TS-PILE'!$E$68/SUMSQ('TS-PILE'!$E$56:$E$75))+IF(SUMSQ('TS-PILE'!$D$56:$D$75)=0,0,'TO HOP NLAN'!F24*'TS-PILE'!$D$68/SUMSQ('TS-PILE'!$D$56:$D$75))),IF('TS-PILE'!$B$69="",-1E+99,'TO HOP NLAN'!D24/ncoc+IF(SUMSQ('TS-PILE'!$E$56:$E$75)=0,0,'TO HOP NLAN'!E24*'TS-PILE'!$E$69/SUMSQ('TS-PILE'!$E$56:$E$75))+IF(SUMSQ('TS-PILE'!$D$56:$D$75)=0,0,'TO HOP NLAN'!F24*'TS-PILE'!$D$69/SUMSQ('TS-PILE'!$D$56:$D$75))),IF('TS-PILE'!$B$70="",-1E+99,'TO HOP NLAN'!D24/ncoc+IF(SUMSQ('TS-PILE'!$E$56:$E$75)=0,0,'TO HOP NLAN'!E24*'TS-PILE'!$E$70/SUMSQ('TS-PILE'!$E$56:$E$75))+IF(SUMSQ('TS-PILE'!$D$56:$D$75)=0,0,'TO HOP NLAN'!F24*'TS-PILE'!$D$70/SUMSQ('TS-PILE'!$D$56:$D$75))),IF('TS-PILE'!$B$71="",-1E+99,'TO HOP NLAN'!D24/ncoc+IF(SUMSQ('TS-PILE'!$E$56:$E$75)=0,0,'TO HOP NLAN'!E24*'TS-PILE'!$E$71/SUMSQ('TS-PILE'!$E$56:$E$75))+IF(SUMSQ('TS-PILE'!$D$56:$D$75)=0,0,'TO HOP NLAN'!F24*'TS-PILE'!$D$71/SUMSQ('TS-PILE'!$D$56:$D$75))),IF('TS-PILE'!$B$72="",-1E+99,'TO HOP NLAN'!D24/ncoc+IF(SUMSQ('TS-PILE'!$E$56:$E$75)=0,0,'TO HOP NLAN'!E24*'TS-PILE'!$E$72/SUMSQ('TS-PILE'!$E$56:$E$75))+IF(SUMSQ('TS-PILE'!$D$56:$D$75)=0,0,'TO HOP NLAN'!F24*'TS-PILE'!$D$72/SUMSQ('TS-PILE'!$D$56:$D$75))),IF('TS-PILE'!$B$73="",-1E+99,'TO HOP NLAN'!D24/ncoc+IF(SUMSQ('TS-PILE'!$E$56:$E$75)=0,0,'TO HOP NLAN'!E24*'TS-PILE'!$E$73/SUMSQ('TS-PILE'!$E$56:$E$75))+IF(SUMSQ('TS-PILE'!$D$56:$D$75)=0,0,'TO HOP NLAN'!F24*'TS-PILE'!$D$73/SUMSQ('TS-PILE'!$D$56:$D$75))),IF('TS-PILE'!$B$74="",-1E+99,'TO HOP NLAN'!D24/ncoc+IF(SUMSQ('TS-PILE'!$E$56:$E$75)=0,0,'TO HOP NLAN'!E24*'TS-PILE'!$E$74/SUMSQ('TS-PILE'!$E$56:$E$75))+IF(SUMSQ('TS-PILE'!$D$56:$D$75)=0,0,'TO HOP NLAN'!F24*'TS-PILE'!$D$74/SUMSQ('TS-PILE'!$D$56:$D$75))),IF('TS-PILE'!$B$75="",-1E+99,'TO HOP NLAN'!D24/ncoc+IF(SUMSQ('TS-PILE'!$E$56:$E$75)=0,0,'TO HOP NLAN'!E24*'TS-PILE'!$E$75/SUMSQ('TS-PILE'!$E$56:$E$75))+IF(SUMSQ('TS-PILE'!$D$56:$D$75)=0,0,'TO HOP NLAN'!F24*'TS-PILE'!$D$75/SUMSQ('TS-PILE'!$D$56:$D$75)))))</f>
        <v>0</v>
      </c>
      <c r="D24" s="46">
        <f>IF(A24="",0,MIN(IF('TS-PILE'!$B$56="",1E+99,'TO HOP NLAN'!D24/ncoc+IF(SUMSQ('TS-PILE'!$E$56:$E$75)=0,0,'TO HOP NLAN'!E24*'TS-PILE'!$E$56/SUMSQ('TS-PILE'!$E$56:$E$75))+IF(SUMSQ('TS-PILE'!$D$56:$D$75)=0,0,'TO HOP NLAN'!F24*'TS-PILE'!$D$56/SUMSQ('TS-PILE'!$D$56:$D$75))),IF('TS-PILE'!$B$57="",1E+99,'TO HOP NLAN'!D24/ncoc+IF(SUMSQ('TS-PILE'!$E$56:$E$75)=0,0,'TO HOP NLAN'!E24*'TS-PILE'!$E$57/SUMSQ('TS-PILE'!$E$56:$E$75))+IF(SUMSQ('TS-PILE'!$D$56:$D$75)=0,0,'TO HOP NLAN'!F24*'TS-PILE'!$D$57/SUMSQ('TS-PILE'!$D$56:$D$75))),IF('TS-PILE'!$B$58="",1E+99,'TO HOP NLAN'!D24/ncoc+IF(SUMSQ('TS-PILE'!$E$56:$E$75)=0,0,'TO HOP NLAN'!E24*'TS-PILE'!$E$58/SUMSQ('TS-PILE'!$E$56:$E$75))+IF(SUMSQ('TS-PILE'!$D$56:$D$75)=0,0,'TO HOP NLAN'!F24*'TS-PILE'!$D$58/SUMSQ('TS-PILE'!$D$56:$D$75))),IF('TS-PILE'!$B$59="",1E+99,'TO HOP NLAN'!D24/ncoc+IF(SUMSQ('TS-PILE'!$E$56:$E$75)=0,0,'TO HOP NLAN'!E24*'TS-PILE'!$E$59/SUMSQ('TS-PILE'!$E$56:$E$75))+IF(SUMSQ('TS-PILE'!$D$56:$D$75)=0,0,'TO HOP NLAN'!F24*'TS-PILE'!$D$59/SUMSQ('TS-PILE'!$D$56:$D$75))),IF('TS-PILE'!$B$60="",1E+99,'TO HOP NLAN'!D24/ncoc+IF(SUMSQ('TS-PILE'!$E$56:$E$75)=0,0,'TO HOP NLAN'!E24*'TS-PILE'!$E$60/SUMSQ('TS-PILE'!$E$56:$E$75))+IF(SUMSQ('TS-PILE'!$D$56:$D$75)=0,0,'TO HOP NLAN'!F24*'TS-PILE'!$D$60/SUMSQ('TS-PILE'!$D$56:$D$75))),IF('TS-PILE'!$B$61="",1E+99,'TO HOP NLAN'!D24/ncoc+IF(SUMSQ('TS-PILE'!$E$56:$E$75)=0,0,'TO HOP NLAN'!E24*'TS-PILE'!$E$61/SUMSQ('TS-PILE'!$E$56:$E$75))+IF(SUMSQ('TS-PILE'!$D$56:$D$75)=0,0,'TO HOP NLAN'!F24*'TS-PILE'!$D$61/SUMSQ('TS-PILE'!$D$56:$D$75))),IF('TS-PILE'!$B$62="",1E+99,'TO HOP NLAN'!D24/ncoc+IF(SUMSQ('TS-PILE'!$E$56:$E$75)=0,0,'TO HOP NLAN'!E24*'TS-PILE'!$E$62/SUMSQ('TS-PILE'!$E$56:$E$75))+IF(SUMSQ('TS-PILE'!$D$56:$D$75)=0,0,'TO HOP NLAN'!F24*'TS-PILE'!$D$62/SUMSQ('TS-PILE'!$D$56:$D$75))),IF('TS-PILE'!$B$63="",1E+99,'TO HOP NLAN'!D24/ncoc+IF(SUMSQ('TS-PILE'!$E$56:$E$75)=0,0,'TO HOP NLAN'!E24*'TS-PILE'!$E$63/SUMSQ('TS-PILE'!$E$56:$E$75))+IF(SUMSQ('TS-PILE'!$D$56:$D$75)=0,0,'TO HOP NLAN'!F24*'TS-PILE'!$D$63/SUMSQ('TS-PILE'!$D$56:$D$75))),IF('TS-PILE'!$B$64="",1E+99,'TO HOP NLAN'!D24/ncoc+IF(SUMSQ('TS-PILE'!$E$56:$E$75)=0,0,'TO HOP NLAN'!E24*'TS-PILE'!$E$64/SUMSQ('TS-PILE'!$E$56:$E$75))+IF(SUMSQ('TS-PILE'!$D$56:$D$75)=0,0,'TO HOP NLAN'!F24*'TS-PILE'!$D$64/SUMSQ('TS-PILE'!$D$56:$D$75))),IF('TS-PILE'!$B$65="",1E+99,'TO HOP NLAN'!D24/ncoc+IF(SUMSQ('TS-PILE'!$E$56:$E$75)=0,0,'TO HOP NLAN'!E24*'TS-PILE'!$E$65/SUMSQ('TS-PILE'!$E$56:$E$75))+IF(SUMSQ('TS-PILE'!$D$56:$D$75)=0,0,'TO HOP NLAN'!F24*'TS-PILE'!$D$65/SUMSQ('TS-PILE'!$D$56:$D$75))),IF('TS-PILE'!$B$66="",1E+99,'TO HOP NLAN'!D24/ncoc+IF(SUMSQ('TS-PILE'!$E$56:$E$75)=0,0,'TO HOP NLAN'!E24*'TS-PILE'!$E$66/SUMSQ('TS-PILE'!$E$56:$E$75))+IF(SUMSQ('TS-PILE'!$D$56:$D$75)=0,0,'TO HOP NLAN'!F24*'TS-PILE'!$D$66/SUMSQ('TS-PILE'!$D$56:$D$75))),IF('TS-PILE'!$B$67="",1E+99,'TO HOP NLAN'!D24/ncoc+IF(SUMSQ('TS-PILE'!$E$56:$E$75)=0,0,'TO HOP NLAN'!E24*'TS-PILE'!$E$67/SUMSQ('TS-PILE'!$E$56:$E$75))+IF(SUMSQ('TS-PILE'!$D$56:$D$75)=0,0,'TO HOP NLAN'!F24*'TS-PILE'!$D$67/SUMSQ('TS-PILE'!$D$56:$D$75))),IF('TS-PILE'!$B$68="",1E+99,'TO HOP NLAN'!D24/ncoc+IF(SUMSQ('TS-PILE'!$E$56:$E$75)=0,0,'TO HOP NLAN'!E24*'TS-PILE'!$E$68/SUMSQ('TS-PILE'!$E$56:$E$75))+IF(SUMSQ('TS-PILE'!$D$56:$D$75)=0,0,'TO HOP NLAN'!F24*'TS-PILE'!$D$68/SUMSQ('TS-PILE'!$D$56:$D$75))),IF('TS-PILE'!$B$69="",1E+99,'TO HOP NLAN'!D24/ncoc+IF(SUMSQ('TS-PILE'!$E$56:$E$75)=0,0,'TO HOP NLAN'!E24*'TS-PILE'!$E$69/SUMSQ('TS-PILE'!$E$56:$E$75))+IF(SUMSQ('TS-PILE'!$D$56:$D$75)=0,0,'TO HOP NLAN'!F24*'TS-PILE'!$D$69/SUMSQ('TS-PILE'!$D$56:$D$75))),IF('TS-PILE'!$B$70="",1E+99,'TO HOP NLAN'!D24/ncoc+IF(SUMSQ('TS-PILE'!$E$56:$E$75)=0,0,'TO HOP NLAN'!E24*'TS-PILE'!$E$70/SUMSQ('TS-PILE'!$E$56:$E$75))+IF(SUMSQ('TS-PILE'!$D$56:$D$75)=0,0,'TO HOP NLAN'!F24*'TS-PILE'!$D$70/SUMSQ('TS-PILE'!$D$56:$D$75))),IF('TS-PILE'!$B$71="",1E+99,'TO HOP NLAN'!D24/ncoc+IF(SUMSQ('TS-PILE'!$E$56:$E$75)=0,0,'TO HOP NLAN'!E24*'TS-PILE'!$E$71/SUMSQ('TS-PILE'!$E$56:$E$75))+IF(SUMSQ('TS-PILE'!$D$56:$D$75)=0,0,'TO HOP NLAN'!F24*'TS-PILE'!$D$71/SUMSQ('TS-PILE'!$D$56:$D$75))),IF('TS-PILE'!$B$72="",1E+99,'TO HOP NLAN'!D24/ncoc+IF(SUMSQ('TS-PILE'!$E$56:$E$75)=0,0,'TO HOP NLAN'!E24*'TS-PILE'!$E$72/SUMSQ('TS-PILE'!$E$56:$E$75))+IF(SUMSQ('TS-PILE'!$D$56:$D$75)=0,0,'TO HOP NLAN'!F24*'TS-PILE'!$D$72/SUMSQ('TS-PILE'!$D$56:$D$75))),IF('TS-PILE'!$B$73="",1E+99,'TO HOP NLAN'!D24/ncoc+IF(SUMSQ('TS-PILE'!$E$56:$E$75)=0,0,'TO HOP NLAN'!E24*'TS-PILE'!$E$73/SUMSQ('TS-PILE'!$E$56:$E$75))+IF(SUMSQ('TS-PILE'!$D$56:$D$75)=0,0,'TO HOP NLAN'!F24*'TS-PILE'!$D$73/SUMSQ('TS-PILE'!$D$56:$D$75))),IF('TS-PILE'!$B$74="",1E+99,'TO HOP NLAN'!D24/ncoc+IF(SUMSQ('TS-PILE'!$E$56:$E$75)=0,0,'TO HOP NLAN'!E24*'TS-PILE'!$E$74/SUMSQ('TS-PILE'!$E$56:$E$75))+IF(SUMSQ('TS-PILE'!$D$56:$D$75)=0,0,'TO HOP NLAN'!F24*'TS-PILE'!$D$74/SUMSQ('TS-PILE'!$D$56:$D$75))),IF('TS-PILE'!$B$75="",1E+99,'TO HOP NLAN'!D24/ncoc+IF(SUMSQ('TS-PILE'!$E$56:$E$75)=0,0,'TO HOP NLAN'!E24*'TS-PILE'!$E$75/SUMSQ('TS-PILE'!$E$56:$E$75))+IF(SUMSQ('TS-PILE'!$D$56:$D$75)=0,0,'TO HOP NLAN'!F24*'TS-PILE'!$D$75/SUMSQ('TS-PILE'!$D$56:$D$75)))))</f>
        <v>0</v>
      </c>
      <c r="E24" s="46">
        <f t="shared" si="0"/>
        <v>-9.9999999999999997E+98</v>
      </c>
      <c r="F24" s="46">
        <f t="shared" si="1"/>
        <v>9.9999999999999997E+98</v>
      </c>
      <c r="G24" s="46">
        <f t="shared" si="2"/>
        <v>-9.9999999999999997E+98</v>
      </c>
      <c r="H24" s="46">
        <f t="shared" si="3"/>
        <v>9.9999999999999997E+98</v>
      </c>
    </row>
    <row r="25" spans="1:8" x14ac:dyDescent="0.3">
      <c r="A25" s="40" t="str">
        <f>'TO HOP NLAN'!A25</f>
        <v/>
      </c>
      <c r="B25" s="40" t="str">
        <f>'TO HOP NLAN'!L25</f>
        <v>SERVICE</v>
      </c>
      <c r="C25" s="46">
        <f>IF(A25="",0,MAX(IF('TS-PILE'!$B$56="",-1E+99,'TO HOP NLAN'!D25/ncoc+IF(SUMSQ('TS-PILE'!$E$56:$E$75)=0,0,'TO HOP NLAN'!E25*'TS-PILE'!$E$56/SUMSQ('TS-PILE'!$E$56:$E$75))+IF(SUMSQ('TS-PILE'!$D$56:$D$75)=0,0,'TO HOP NLAN'!F25*'TS-PILE'!$D$56/SUMSQ('TS-PILE'!$D$56:$D$75))),IF('TS-PILE'!$B$57="",-1E+99,'TO HOP NLAN'!D25/ncoc+IF(SUMSQ('TS-PILE'!$E$56:$E$75)=0,0,'TO HOP NLAN'!E25*'TS-PILE'!$E$57/SUMSQ('TS-PILE'!$E$56:$E$75))+IF(SUMSQ('TS-PILE'!$D$56:$D$75)=0,0,'TO HOP NLAN'!F25*'TS-PILE'!$D$57/SUMSQ('TS-PILE'!$D$56:$D$75))),IF('TS-PILE'!$B$58="",-1E+99,'TO HOP NLAN'!D25/ncoc+IF(SUMSQ('TS-PILE'!$E$56:$E$75)=0,0,'TO HOP NLAN'!E25*'TS-PILE'!$E$58/SUMSQ('TS-PILE'!$E$56:$E$75))+IF(SUMSQ('TS-PILE'!$D$56:$D$75)=0,0,'TO HOP NLAN'!F25*'TS-PILE'!$D$58/SUMSQ('TS-PILE'!$D$56:$D$75))),IF('TS-PILE'!$B$59="",-1E+99,'TO HOP NLAN'!D25/ncoc+IF(SUMSQ('TS-PILE'!$E$56:$E$75)=0,0,'TO HOP NLAN'!E25*'TS-PILE'!$E$59/SUMSQ('TS-PILE'!$E$56:$E$75))+IF(SUMSQ('TS-PILE'!$D$56:$D$75)=0,0,'TO HOP NLAN'!F25*'TS-PILE'!$D$59/SUMSQ('TS-PILE'!$D$56:$D$75))),IF('TS-PILE'!$B$60="",-1E+99,'TO HOP NLAN'!D25/ncoc+IF(SUMSQ('TS-PILE'!$E$56:$E$75)=0,0,'TO HOP NLAN'!E25*'TS-PILE'!$E$60/SUMSQ('TS-PILE'!$E$56:$E$75))+IF(SUMSQ('TS-PILE'!$D$56:$D$75)=0,0,'TO HOP NLAN'!F25*'TS-PILE'!$D$60/SUMSQ('TS-PILE'!$D$56:$D$75))),IF('TS-PILE'!$B$61="",-1E+99,'TO HOP NLAN'!D25/ncoc+IF(SUMSQ('TS-PILE'!$E$56:$E$75)=0,0,'TO HOP NLAN'!E25*'TS-PILE'!$E$61/SUMSQ('TS-PILE'!$E$56:$E$75))+IF(SUMSQ('TS-PILE'!$D$56:$D$75)=0,0,'TO HOP NLAN'!F25*'TS-PILE'!$D$61/SUMSQ('TS-PILE'!$D$56:$D$75))),IF('TS-PILE'!$B$62="",-1E+99,'TO HOP NLAN'!D25/ncoc+IF(SUMSQ('TS-PILE'!$E$56:$E$75)=0,0,'TO HOP NLAN'!E25*'TS-PILE'!$E$62/SUMSQ('TS-PILE'!$E$56:$E$75))+IF(SUMSQ('TS-PILE'!$D$56:$D$75)=0,0,'TO HOP NLAN'!F25*'TS-PILE'!$D$62/SUMSQ('TS-PILE'!$D$56:$D$75))),IF('TS-PILE'!$B$63="",-1E+99,'TO HOP NLAN'!D25/ncoc+IF(SUMSQ('TS-PILE'!$E$56:$E$75)=0,0,'TO HOP NLAN'!E25*'TS-PILE'!$E$63/SUMSQ('TS-PILE'!$E$56:$E$75))+IF(SUMSQ('TS-PILE'!$D$56:$D$75)=0,0,'TO HOP NLAN'!F25*'TS-PILE'!$D$63/SUMSQ('TS-PILE'!$D$56:$D$75))),IF('TS-PILE'!$B$64="",-1E+99,'TO HOP NLAN'!D25/ncoc+IF(SUMSQ('TS-PILE'!$E$56:$E$75)=0,0,'TO HOP NLAN'!E25*'TS-PILE'!$E$64/SUMSQ('TS-PILE'!$E$56:$E$75))+IF(SUMSQ('TS-PILE'!$D$56:$D$75)=0,0,'TO HOP NLAN'!F25*'TS-PILE'!$D$64/SUMSQ('TS-PILE'!$D$56:$D$75))),IF('TS-PILE'!$B$65="",-1E+99,'TO HOP NLAN'!D25/ncoc+IF(SUMSQ('TS-PILE'!$E$56:$E$75)=0,0,'TO HOP NLAN'!E25*'TS-PILE'!$E$65/SUMSQ('TS-PILE'!$E$56:$E$75))+IF(SUMSQ('TS-PILE'!$D$56:$D$75)=0,0,'TO HOP NLAN'!F25*'TS-PILE'!$D$65/SUMSQ('TS-PILE'!$D$56:$D$75))),IF('TS-PILE'!$B$66="",-1E+99,'TO HOP NLAN'!D25/ncoc+IF(SUMSQ('TS-PILE'!$E$56:$E$75)=0,0,'TO HOP NLAN'!E25*'TS-PILE'!$E$66/SUMSQ('TS-PILE'!$E$56:$E$75))+IF(SUMSQ('TS-PILE'!$D$56:$D$75)=0,0,'TO HOP NLAN'!F25*'TS-PILE'!$D$66/SUMSQ('TS-PILE'!$D$56:$D$75))),IF('TS-PILE'!$B$67="",-1E+99,'TO HOP NLAN'!D25/ncoc+IF(SUMSQ('TS-PILE'!$E$56:$E$75)=0,0,'TO HOP NLAN'!E25*'TS-PILE'!$E$67/SUMSQ('TS-PILE'!$E$56:$E$75))+IF(SUMSQ('TS-PILE'!$D$56:$D$75)=0,0,'TO HOP NLAN'!F25*'TS-PILE'!$D$67/SUMSQ('TS-PILE'!$D$56:$D$75))),IF('TS-PILE'!$B$68="",-1E+99,'TO HOP NLAN'!D25/ncoc+IF(SUMSQ('TS-PILE'!$E$56:$E$75)=0,0,'TO HOP NLAN'!E25*'TS-PILE'!$E$68/SUMSQ('TS-PILE'!$E$56:$E$75))+IF(SUMSQ('TS-PILE'!$D$56:$D$75)=0,0,'TO HOP NLAN'!F25*'TS-PILE'!$D$68/SUMSQ('TS-PILE'!$D$56:$D$75))),IF('TS-PILE'!$B$69="",-1E+99,'TO HOP NLAN'!D25/ncoc+IF(SUMSQ('TS-PILE'!$E$56:$E$75)=0,0,'TO HOP NLAN'!E25*'TS-PILE'!$E$69/SUMSQ('TS-PILE'!$E$56:$E$75))+IF(SUMSQ('TS-PILE'!$D$56:$D$75)=0,0,'TO HOP NLAN'!F25*'TS-PILE'!$D$69/SUMSQ('TS-PILE'!$D$56:$D$75))),IF('TS-PILE'!$B$70="",-1E+99,'TO HOP NLAN'!D25/ncoc+IF(SUMSQ('TS-PILE'!$E$56:$E$75)=0,0,'TO HOP NLAN'!E25*'TS-PILE'!$E$70/SUMSQ('TS-PILE'!$E$56:$E$75))+IF(SUMSQ('TS-PILE'!$D$56:$D$75)=0,0,'TO HOP NLAN'!F25*'TS-PILE'!$D$70/SUMSQ('TS-PILE'!$D$56:$D$75))),IF('TS-PILE'!$B$71="",-1E+99,'TO HOP NLAN'!D25/ncoc+IF(SUMSQ('TS-PILE'!$E$56:$E$75)=0,0,'TO HOP NLAN'!E25*'TS-PILE'!$E$71/SUMSQ('TS-PILE'!$E$56:$E$75))+IF(SUMSQ('TS-PILE'!$D$56:$D$75)=0,0,'TO HOP NLAN'!F25*'TS-PILE'!$D$71/SUMSQ('TS-PILE'!$D$56:$D$75))),IF('TS-PILE'!$B$72="",-1E+99,'TO HOP NLAN'!D25/ncoc+IF(SUMSQ('TS-PILE'!$E$56:$E$75)=0,0,'TO HOP NLAN'!E25*'TS-PILE'!$E$72/SUMSQ('TS-PILE'!$E$56:$E$75))+IF(SUMSQ('TS-PILE'!$D$56:$D$75)=0,0,'TO HOP NLAN'!F25*'TS-PILE'!$D$72/SUMSQ('TS-PILE'!$D$56:$D$75))),IF('TS-PILE'!$B$73="",-1E+99,'TO HOP NLAN'!D25/ncoc+IF(SUMSQ('TS-PILE'!$E$56:$E$75)=0,0,'TO HOP NLAN'!E25*'TS-PILE'!$E$73/SUMSQ('TS-PILE'!$E$56:$E$75))+IF(SUMSQ('TS-PILE'!$D$56:$D$75)=0,0,'TO HOP NLAN'!F25*'TS-PILE'!$D$73/SUMSQ('TS-PILE'!$D$56:$D$75))),IF('TS-PILE'!$B$74="",-1E+99,'TO HOP NLAN'!D25/ncoc+IF(SUMSQ('TS-PILE'!$E$56:$E$75)=0,0,'TO HOP NLAN'!E25*'TS-PILE'!$E$74/SUMSQ('TS-PILE'!$E$56:$E$75))+IF(SUMSQ('TS-PILE'!$D$56:$D$75)=0,0,'TO HOP NLAN'!F25*'TS-PILE'!$D$74/SUMSQ('TS-PILE'!$D$56:$D$75))),IF('TS-PILE'!$B$75="",-1E+99,'TO HOP NLAN'!D25/ncoc+IF(SUMSQ('TS-PILE'!$E$56:$E$75)=0,0,'TO HOP NLAN'!E25*'TS-PILE'!$E$75/SUMSQ('TS-PILE'!$E$56:$E$75))+IF(SUMSQ('TS-PILE'!$D$56:$D$75)=0,0,'TO HOP NLAN'!F25*'TS-PILE'!$D$75/SUMSQ('TS-PILE'!$D$56:$D$75)))))</f>
        <v>0</v>
      </c>
      <c r="D25" s="46">
        <f>IF(A25="",0,MIN(IF('TS-PILE'!$B$56="",1E+99,'TO HOP NLAN'!D25/ncoc+IF(SUMSQ('TS-PILE'!$E$56:$E$75)=0,0,'TO HOP NLAN'!E25*'TS-PILE'!$E$56/SUMSQ('TS-PILE'!$E$56:$E$75))+IF(SUMSQ('TS-PILE'!$D$56:$D$75)=0,0,'TO HOP NLAN'!F25*'TS-PILE'!$D$56/SUMSQ('TS-PILE'!$D$56:$D$75))),IF('TS-PILE'!$B$57="",1E+99,'TO HOP NLAN'!D25/ncoc+IF(SUMSQ('TS-PILE'!$E$56:$E$75)=0,0,'TO HOP NLAN'!E25*'TS-PILE'!$E$57/SUMSQ('TS-PILE'!$E$56:$E$75))+IF(SUMSQ('TS-PILE'!$D$56:$D$75)=0,0,'TO HOP NLAN'!F25*'TS-PILE'!$D$57/SUMSQ('TS-PILE'!$D$56:$D$75))),IF('TS-PILE'!$B$58="",1E+99,'TO HOP NLAN'!D25/ncoc+IF(SUMSQ('TS-PILE'!$E$56:$E$75)=0,0,'TO HOP NLAN'!E25*'TS-PILE'!$E$58/SUMSQ('TS-PILE'!$E$56:$E$75))+IF(SUMSQ('TS-PILE'!$D$56:$D$75)=0,0,'TO HOP NLAN'!F25*'TS-PILE'!$D$58/SUMSQ('TS-PILE'!$D$56:$D$75))),IF('TS-PILE'!$B$59="",1E+99,'TO HOP NLAN'!D25/ncoc+IF(SUMSQ('TS-PILE'!$E$56:$E$75)=0,0,'TO HOP NLAN'!E25*'TS-PILE'!$E$59/SUMSQ('TS-PILE'!$E$56:$E$75))+IF(SUMSQ('TS-PILE'!$D$56:$D$75)=0,0,'TO HOP NLAN'!F25*'TS-PILE'!$D$59/SUMSQ('TS-PILE'!$D$56:$D$75))),IF('TS-PILE'!$B$60="",1E+99,'TO HOP NLAN'!D25/ncoc+IF(SUMSQ('TS-PILE'!$E$56:$E$75)=0,0,'TO HOP NLAN'!E25*'TS-PILE'!$E$60/SUMSQ('TS-PILE'!$E$56:$E$75))+IF(SUMSQ('TS-PILE'!$D$56:$D$75)=0,0,'TO HOP NLAN'!F25*'TS-PILE'!$D$60/SUMSQ('TS-PILE'!$D$56:$D$75))),IF('TS-PILE'!$B$61="",1E+99,'TO HOP NLAN'!D25/ncoc+IF(SUMSQ('TS-PILE'!$E$56:$E$75)=0,0,'TO HOP NLAN'!E25*'TS-PILE'!$E$61/SUMSQ('TS-PILE'!$E$56:$E$75))+IF(SUMSQ('TS-PILE'!$D$56:$D$75)=0,0,'TO HOP NLAN'!F25*'TS-PILE'!$D$61/SUMSQ('TS-PILE'!$D$56:$D$75))),IF('TS-PILE'!$B$62="",1E+99,'TO HOP NLAN'!D25/ncoc+IF(SUMSQ('TS-PILE'!$E$56:$E$75)=0,0,'TO HOP NLAN'!E25*'TS-PILE'!$E$62/SUMSQ('TS-PILE'!$E$56:$E$75))+IF(SUMSQ('TS-PILE'!$D$56:$D$75)=0,0,'TO HOP NLAN'!F25*'TS-PILE'!$D$62/SUMSQ('TS-PILE'!$D$56:$D$75))),IF('TS-PILE'!$B$63="",1E+99,'TO HOP NLAN'!D25/ncoc+IF(SUMSQ('TS-PILE'!$E$56:$E$75)=0,0,'TO HOP NLAN'!E25*'TS-PILE'!$E$63/SUMSQ('TS-PILE'!$E$56:$E$75))+IF(SUMSQ('TS-PILE'!$D$56:$D$75)=0,0,'TO HOP NLAN'!F25*'TS-PILE'!$D$63/SUMSQ('TS-PILE'!$D$56:$D$75))),IF('TS-PILE'!$B$64="",1E+99,'TO HOP NLAN'!D25/ncoc+IF(SUMSQ('TS-PILE'!$E$56:$E$75)=0,0,'TO HOP NLAN'!E25*'TS-PILE'!$E$64/SUMSQ('TS-PILE'!$E$56:$E$75))+IF(SUMSQ('TS-PILE'!$D$56:$D$75)=0,0,'TO HOP NLAN'!F25*'TS-PILE'!$D$64/SUMSQ('TS-PILE'!$D$56:$D$75))),IF('TS-PILE'!$B$65="",1E+99,'TO HOP NLAN'!D25/ncoc+IF(SUMSQ('TS-PILE'!$E$56:$E$75)=0,0,'TO HOP NLAN'!E25*'TS-PILE'!$E$65/SUMSQ('TS-PILE'!$E$56:$E$75))+IF(SUMSQ('TS-PILE'!$D$56:$D$75)=0,0,'TO HOP NLAN'!F25*'TS-PILE'!$D$65/SUMSQ('TS-PILE'!$D$56:$D$75))),IF('TS-PILE'!$B$66="",1E+99,'TO HOP NLAN'!D25/ncoc+IF(SUMSQ('TS-PILE'!$E$56:$E$75)=0,0,'TO HOP NLAN'!E25*'TS-PILE'!$E$66/SUMSQ('TS-PILE'!$E$56:$E$75))+IF(SUMSQ('TS-PILE'!$D$56:$D$75)=0,0,'TO HOP NLAN'!F25*'TS-PILE'!$D$66/SUMSQ('TS-PILE'!$D$56:$D$75))),IF('TS-PILE'!$B$67="",1E+99,'TO HOP NLAN'!D25/ncoc+IF(SUMSQ('TS-PILE'!$E$56:$E$75)=0,0,'TO HOP NLAN'!E25*'TS-PILE'!$E$67/SUMSQ('TS-PILE'!$E$56:$E$75))+IF(SUMSQ('TS-PILE'!$D$56:$D$75)=0,0,'TO HOP NLAN'!F25*'TS-PILE'!$D$67/SUMSQ('TS-PILE'!$D$56:$D$75))),IF('TS-PILE'!$B$68="",1E+99,'TO HOP NLAN'!D25/ncoc+IF(SUMSQ('TS-PILE'!$E$56:$E$75)=0,0,'TO HOP NLAN'!E25*'TS-PILE'!$E$68/SUMSQ('TS-PILE'!$E$56:$E$75))+IF(SUMSQ('TS-PILE'!$D$56:$D$75)=0,0,'TO HOP NLAN'!F25*'TS-PILE'!$D$68/SUMSQ('TS-PILE'!$D$56:$D$75))),IF('TS-PILE'!$B$69="",1E+99,'TO HOP NLAN'!D25/ncoc+IF(SUMSQ('TS-PILE'!$E$56:$E$75)=0,0,'TO HOP NLAN'!E25*'TS-PILE'!$E$69/SUMSQ('TS-PILE'!$E$56:$E$75))+IF(SUMSQ('TS-PILE'!$D$56:$D$75)=0,0,'TO HOP NLAN'!F25*'TS-PILE'!$D$69/SUMSQ('TS-PILE'!$D$56:$D$75))),IF('TS-PILE'!$B$70="",1E+99,'TO HOP NLAN'!D25/ncoc+IF(SUMSQ('TS-PILE'!$E$56:$E$75)=0,0,'TO HOP NLAN'!E25*'TS-PILE'!$E$70/SUMSQ('TS-PILE'!$E$56:$E$75))+IF(SUMSQ('TS-PILE'!$D$56:$D$75)=0,0,'TO HOP NLAN'!F25*'TS-PILE'!$D$70/SUMSQ('TS-PILE'!$D$56:$D$75))),IF('TS-PILE'!$B$71="",1E+99,'TO HOP NLAN'!D25/ncoc+IF(SUMSQ('TS-PILE'!$E$56:$E$75)=0,0,'TO HOP NLAN'!E25*'TS-PILE'!$E$71/SUMSQ('TS-PILE'!$E$56:$E$75))+IF(SUMSQ('TS-PILE'!$D$56:$D$75)=0,0,'TO HOP NLAN'!F25*'TS-PILE'!$D$71/SUMSQ('TS-PILE'!$D$56:$D$75))),IF('TS-PILE'!$B$72="",1E+99,'TO HOP NLAN'!D25/ncoc+IF(SUMSQ('TS-PILE'!$E$56:$E$75)=0,0,'TO HOP NLAN'!E25*'TS-PILE'!$E$72/SUMSQ('TS-PILE'!$E$56:$E$75))+IF(SUMSQ('TS-PILE'!$D$56:$D$75)=0,0,'TO HOP NLAN'!F25*'TS-PILE'!$D$72/SUMSQ('TS-PILE'!$D$56:$D$75))),IF('TS-PILE'!$B$73="",1E+99,'TO HOP NLAN'!D25/ncoc+IF(SUMSQ('TS-PILE'!$E$56:$E$75)=0,0,'TO HOP NLAN'!E25*'TS-PILE'!$E$73/SUMSQ('TS-PILE'!$E$56:$E$75))+IF(SUMSQ('TS-PILE'!$D$56:$D$75)=0,0,'TO HOP NLAN'!F25*'TS-PILE'!$D$73/SUMSQ('TS-PILE'!$D$56:$D$75))),IF('TS-PILE'!$B$74="",1E+99,'TO HOP NLAN'!D25/ncoc+IF(SUMSQ('TS-PILE'!$E$56:$E$75)=0,0,'TO HOP NLAN'!E25*'TS-PILE'!$E$74/SUMSQ('TS-PILE'!$E$56:$E$75))+IF(SUMSQ('TS-PILE'!$D$56:$D$75)=0,0,'TO HOP NLAN'!F25*'TS-PILE'!$D$74/SUMSQ('TS-PILE'!$D$56:$D$75))),IF('TS-PILE'!$B$75="",1E+99,'TO HOP NLAN'!D25/ncoc+IF(SUMSQ('TS-PILE'!$E$56:$E$75)=0,0,'TO HOP NLAN'!E25*'TS-PILE'!$E$75/SUMSQ('TS-PILE'!$E$56:$E$75))+IF(SUMSQ('TS-PILE'!$D$56:$D$75)=0,0,'TO HOP NLAN'!F25*'TS-PILE'!$D$75/SUMSQ('TS-PILE'!$D$56:$D$75)))))</f>
        <v>0</v>
      </c>
      <c r="E25" s="46">
        <f t="shared" si="0"/>
        <v>-9.9999999999999997E+98</v>
      </c>
      <c r="F25" s="46">
        <f t="shared" si="1"/>
        <v>9.9999999999999997E+98</v>
      </c>
      <c r="G25" s="46">
        <f t="shared" si="2"/>
        <v>-9.9999999999999997E+98</v>
      </c>
      <c r="H25" s="46">
        <f t="shared" si="3"/>
        <v>9.9999999999999997E+98</v>
      </c>
    </row>
    <row r="26" spans="1:8" x14ac:dyDescent="0.3">
      <c r="A26" s="40" t="str">
        <f>'TO HOP NLAN'!A26</f>
        <v/>
      </c>
      <c r="B26" s="40" t="str">
        <f>'TO HOP NLAN'!L26</f>
        <v>SERVICE</v>
      </c>
      <c r="C26" s="46">
        <f>IF(A26="",0,MAX(IF('TS-PILE'!$B$56="",-1E+99,'TO HOP NLAN'!D26/ncoc+IF(SUMSQ('TS-PILE'!$E$56:$E$75)=0,0,'TO HOP NLAN'!E26*'TS-PILE'!$E$56/SUMSQ('TS-PILE'!$E$56:$E$75))+IF(SUMSQ('TS-PILE'!$D$56:$D$75)=0,0,'TO HOP NLAN'!F26*'TS-PILE'!$D$56/SUMSQ('TS-PILE'!$D$56:$D$75))),IF('TS-PILE'!$B$57="",-1E+99,'TO HOP NLAN'!D26/ncoc+IF(SUMSQ('TS-PILE'!$E$56:$E$75)=0,0,'TO HOP NLAN'!E26*'TS-PILE'!$E$57/SUMSQ('TS-PILE'!$E$56:$E$75))+IF(SUMSQ('TS-PILE'!$D$56:$D$75)=0,0,'TO HOP NLAN'!F26*'TS-PILE'!$D$57/SUMSQ('TS-PILE'!$D$56:$D$75))),IF('TS-PILE'!$B$58="",-1E+99,'TO HOP NLAN'!D26/ncoc+IF(SUMSQ('TS-PILE'!$E$56:$E$75)=0,0,'TO HOP NLAN'!E26*'TS-PILE'!$E$58/SUMSQ('TS-PILE'!$E$56:$E$75))+IF(SUMSQ('TS-PILE'!$D$56:$D$75)=0,0,'TO HOP NLAN'!F26*'TS-PILE'!$D$58/SUMSQ('TS-PILE'!$D$56:$D$75))),IF('TS-PILE'!$B$59="",-1E+99,'TO HOP NLAN'!D26/ncoc+IF(SUMSQ('TS-PILE'!$E$56:$E$75)=0,0,'TO HOP NLAN'!E26*'TS-PILE'!$E$59/SUMSQ('TS-PILE'!$E$56:$E$75))+IF(SUMSQ('TS-PILE'!$D$56:$D$75)=0,0,'TO HOP NLAN'!F26*'TS-PILE'!$D$59/SUMSQ('TS-PILE'!$D$56:$D$75))),IF('TS-PILE'!$B$60="",-1E+99,'TO HOP NLAN'!D26/ncoc+IF(SUMSQ('TS-PILE'!$E$56:$E$75)=0,0,'TO HOP NLAN'!E26*'TS-PILE'!$E$60/SUMSQ('TS-PILE'!$E$56:$E$75))+IF(SUMSQ('TS-PILE'!$D$56:$D$75)=0,0,'TO HOP NLAN'!F26*'TS-PILE'!$D$60/SUMSQ('TS-PILE'!$D$56:$D$75))),IF('TS-PILE'!$B$61="",-1E+99,'TO HOP NLAN'!D26/ncoc+IF(SUMSQ('TS-PILE'!$E$56:$E$75)=0,0,'TO HOP NLAN'!E26*'TS-PILE'!$E$61/SUMSQ('TS-PILE'!$E$56:$E$75))+IF(SUMSQ('TS-PILE'!$D$56:$D$75)=0,0,'TO HOP NLAN'!F26*'TS-PILE'!$D$61/SUMSQ('TS-PILE'!$D$56:$D$75))),IF('TS-PILE'!$B$62="",-1E+99,'TO HOP NLAN'!D26/ncoc+IF(SUMSQ('TS-PILE'!$E$56:$E$75)=0,0,'TO HOP NLAN'!E26*'TS-PILE'!$E$62/SUMSQ('TS-PILE'!$E$56:$E$75))+IF(SUMSQ('TS-PILE'!$D$56:$D$75)=0,0,'TO HOP NLAN'!F26*'TS-PILE'!$D$62/SUMSQ('TS-PILE'!$D$56:$D$75))),IF('TS-PILE'!$B$63="",-1E+99,'TO HOP NLAN'!D26/ncoc+IF(SUMSQ('TS-PILE'!$E$56:$E$75)=0,0,'TO HOP NLAN'!E26*'TS-PILE'!$E$63/SUMSQ('TS-PILE'!$E$56:$E$75))+IF(SUMSQ('TS-PILE'!$D$56:$D$75)=0,0,'TO HOP NLAN'!F26*'TS-PILE'!$D$63/SUMSQ('TS-PILE'!$D$56:$D$75))),IF('TS-PILE'!$B$64="",-1E+99,'TO HOP NLAN'!D26/ncoc+IF(SUMSQ('TS-PILE'!$E$56:$E$75)=0,0,'TO HOP NLAN'!E26*'TS-PILE'!$E$64/SUMSQ('TS-PILE'!$E$56:$E$75))+IF(SUMSQ('TS-PILE'!$D$56:$D$75)=0,0,'TO HOP NLAN'!F26*'TS-PILE'!$D$64/SUMSQ('TS-PILE'!$D$56:$D$75))),IF('TS-PILE'!$B$65="",-1E+99,'TO HOP NLAN'!D26/ncoc+IF(SUMSQ('TS-PILE'!$E$56:$E$75)=0,0,'TO HOP NLAN'!E26*'TS-PILE'!$E$65/SUMSQ('TS-PILE'!$E$56:$E$75))+IF(SUMSQ('TS-PILE'!$D$56:$D$75)=0,0,'TO HOP NLAN'!F26*'TS-PILE'!$D$65/SUMSQ('TS-PILE'!$D$56:$D$75))),IF('TS-PILE'!$B$66="",-1E+99,'TO HOP NLAN'!D26/ncoc+IF(SUMSQ('TS-PILE'!$E$56:$E$75)=0,0,'TO HOP NLAN'!E26*'TS-PILE'!$E$66/SUMSQ('TS-PILE'!$E$56:$E$75))+IF(SUMSQ('TS-PILE'!$D$56:$D$75)=0,0,'TO HOP NLAN'!F26*'TS-PILE'!$D$66/SUMSQ('TS-PILE'!$D$56:$D$75))),IF('TS-PILE'!$B$67="",-1E+99,'TO HOP NLAN'!D26/ncoc+IF(SUMSQ('TS-PILE'!$E$56:$E$75)=0,0,'TO HOP NLAN'!E26*'TS-PILE'!$E$67/SUMSQ('TS-PILE'!$E$56:$E$75))+IF(SUMSQ('TS-PILE'!$D$56:$D$75)=0,0,'TO HOP NLAN'!F26*'TS-PILE'!$D$67/SUMSQ('TS-PILE'!$D$56:$D$75))),IF('TS-PILE'!$B$68="",-1E+99,'TO HOP NLAN'!D26/ncoc+IF(SUMSQ('TS-PILE'!$E$56:$E$75)=0,0,'TO HOP NLAN'!E26*'TS-PILE'!$E$68/SUMSQ('TS-PILE'!$E$56:$E$75))+IF(SUMSQ('TS-PILE'!$D$56:$D$75)=0,0,'TO HOP NLAN'!F26*'TS-PILE'!$D$68/SUMSQ('TS-PILE'!$D$56:$D$75))),IF('TS-PILE'!$B$69="",-1E+99,'TO HOP NLAN'!D26/ncoc+IF(SUMSQ('TS-PILE'!$E$56:$E$75)=0,0,'TO HOP NLAN'!E26*'TS-PILE'!$E$69/SUMSQ('TS-PILE'!$E$56:$E$75))+IF(SUMSQ('TS-PILE'!$D$56:$D$75)=0,0,'TO HOP NLAN'!F26*'TS-PILE'!$D$69/SUMSQ('TS-PILE'!$D$56:$D$75))),IF('TS-PILE'!$B$70="",-1E+99,'TO HOP NLAN'!D26/ncoc+IF(SUMSQ('TS-PILE'!$E$56:$E$75)=0,0,'TO HOP NLAN'!E26*'TS-PILE'!$E$70/SUMSQ('TS-PILE'!$E$56:$E$75))+IF(SUMSQ('TS-PILE'!$D$56:$D$75)=0,0,'TO HOP NLAN'!F26*'TS-PILE'!$D$70/SUMSQ('TS-PILE'!$D$56:$D$75))),IF('TS-PILE'!$B$71="",-1E+99,'TO HOP NLAN'!D26/ncoc+IF(SUMSQ('TS-PILE'!$E$56:$E$75)=0,0,'TO HOP NLAN'!E26*'TS-PILE'!$E$71/SUMSQ('TS-PILE'!$E$56:$E$75))+IF(SUMSQ('TS-PILE'!$D$56:$D$75)=0,0,'TO HOP NLAN'!F26*'TS-PILE'!$D$71/SUMSQ('TS-PILE'!$D$56:$D$75))),IF('TS-PILE'!$B$72="",-1E+99,'TO HOP NLAN'!D26/ncoc+IF(SUMSQ('TS-PILE'!$E$56:$E$75)=0,0,'TO HOP NLAN'!E26*'TS-PILE'!$E$72/SUMSQ('TS-PILE'!$E$56:$E$75))+IF(SUMSQ('TS-PILE'!$D$56:$D$75)=0,0,'TO HOP NLAN'!F26*'TS-PILE'!$D$72/SUMSQ('TS-PILE'!$D$56:$D$75))),IF('TS-PILE'!$B$73="",-1E+99,'TO HOP NLAN'!D26/ncoc+IF(SUMSQ('TS-PILE'!$E$56:$E$75)=0,0,'TO HOP NLAN'!E26*'TS-PILE'!$E$73/SUMSQ('TS-PILE'!$E$56:$E$75))+IF(SUMSQ('TS-PILE'!$D$56:$D$75)=0,0,'TO HOP NLAN'!F26*'TS-PILE'!$D$73/SUMSQ('TS-PILE'!$D$56:$D$75))),IF('TS-PILE'!$B$74="",-1E+99,'TO HOP NLAN'!D26/ncoc+IF(SUMSQ('TS-PILE'!$E$56:$E$75)=0,0,'TO HOP NLAN'!E26*'TS-PILE'!$E$74/SUMSQ('TS-PILE'!$E$56:$E$75))+IF(SUMSQ('TS-PILE'!$D$56:$D$75)=0,0,'TO HOP NLAN'!F26*'TS-PILE'!$D$74/SUMSQ('TS-PILE'!$D$56:$D$75))),IF('TS-PILE'!$B$75="",-1E+99,'TO HOP NLAN'!D26/ncoc+IF(SUMSQ('TS-PILE'!$E$56:$E$75)=0,0,'TO HOP NLAN'!E26*'TS-PILE'!$E$75/SUMSQ('TS-PILE'!$E$56:$E$75))+IF(SUMSQ('TS-PILE'!$D$56:$D$75)=0,0,'TO HOP NLAN'!F26*'TS-PILE'!$D$75/SUMSQ('TS-PILE'!$D$56:$D$75)))))</f>
        <v>0</v>
      </c>
      <c r="D26" s="46">
        <f>IF(A26="",0,MIN(IF('TS-PILE'!$B$56="",1E+99,'TO HOP NLAN'!D26/ncoc+IF(SUMSQ('TS-PILE'!$E$56:$E$75)=0,0,'TO HOP NLAN'!E26*'TS-PILE'!$E$56/SUMSQ('TS-PILE'!$E$56:$E$75))+IF(SUMSQ('TS-PILE'!$D$56:$D$75)=0,0,'TO HOP NLAN'!F26*'TS-PILE'!$D$56/SUMSQ('TS-PILE'!$D$56:$D$75))),IF('TS-PILE'!$B$57="",1E+99,'TO HOP NLAN'!D26/ncoc+IF(SUMSQ('TS-PILE'!$E$56:$E$75)=0,0,'TO HOP NLAN'!E26*'TS-PILE'!$E$57/SUMSQ('TS-PILE'!$E$56:$E$75))+IF(SUMSQ('TS-PILE'!$D$56:$D$75)=0,0,'TO HOP NLAN'!F26*'TS-PILE'!$D$57/SUMSQ('TS-PILE'!$D$56:$D$75))),IF('TS-PILE'!$B$58="",1E+99,'TO HOP NLAN'!D26/ncoc+IF(SUMSQ('TS-PILE'!$E$56:$E$75)=0,0,'TO HOP NLAN'!E26*'TS-PILE'!$E$58/SUMSQ('TS-PILE'!$E$56:$E$75))+IF(SUMSQ('TS-PILE'!$D$56:$D$75)=0,0,'TO HOP NLAN'!F26*'TS-PILE'!$D$58/SUMSQ('TS-PILE'!$D$56:$D$75))),IF('TS-PILE'!$B$59="",1E+99,'TO HOP NLAN'!D26/ncoc+IF(SUMSQ('TS-PILE'!$E$56:$E$75)=0,0,'TO HOP NLAN'!E26*'TS-PILE'!$E$59/SUMSQ('TS-PILE'!$E$56:$E$75))+IF(SUMSQ('TS-PILE'!$D$56:$D$75)=0,0,'TO HOP NLAN'!F26*'TS-PILE'!$D$59/SUMSQ('TS-PILE'!$D$56:$D$75))),IF('TS-PILE'!$B$60="",1E+99,'TO HOP NLAN'!D26/ncoc+IF(SUMSQ('TS-PILE'!$E$56:$E$75)=0,0,'TO HOP NLAN'!E26*'TS-PILE'!$E$60/SUMSQ('TS-PILE'!$E$56:$E$75))+IF(SUMSQ('TS-PILE'!$D$56:$D$75)=0,0,'TO HOP NLAN'!F26*'TS-PILE'!$D$60/SUMSQ('TS-PILE'!$D$56:$D$75))),IF('TS-PILE'!$B$61="",1E+99,'TO HOP NLAN'!D26/ncoc+IF(SUMSQ('TS-PILE'!$E$56:$E$75)=0,0,'TO HOP NLAN'!E26*'TS-PILE'!$E$61/SUMSQ('TS-PILE'!$E$56:$E$75))+IF(SUMSQ('TS-PILE'!$D$56:$D$75)=0,0,'TO HOP NLAN'!F26*'TS-PILE'!$D$61/SUMSQ('TS-PILE'!$D$56:$D$75))),IF('TS-PILE'!$B$62="",1E+99,'TO HOP NLAN'!D26/ncoc+IF(SUMSQ('TS-PILE'!$E$56:$E$75)=0,0,'TO HOP NLAN'!E26*'TS-PILE'!$E$62/SUMSQ('TS-PILE'!$E$56:$E$75))+IF(SUMSQ('TS-PILE'!$D$56:$D$75)=0,0,'TO HOP NLAN'!F26*'TS-PILE'!$D$62/SUMSQ('TS-PILE'!$D$56:$D$75))),IF('TS-PILE'!$B$63="",1E+99,'TO HOP NLAN'!D26/ncoc+IF(SUMSQ('TS-PILE'!$E$56:$E$75)=0,0,'TO HOP NLAN'!E26*'TS-PILE'!$E$63/SUMSQ('TS-PILE'!$E$56:$E$75))+IF(SUMSQ('TS-PILE'!$D$56:$D$75)=0,0,'TO HOP NLAN'!F26*'TS-PILE'!$D$63/SUMSQ('TS-PILE'!$D$56:$D$75))),IF('TS-PILE'!$B$64="",1E+99,'TO HOP NLAN'!D26/ncoc+IF(SUMSQ('TS-PILE'!$E$56:$E$75)=0,0,'TO HOP NLAN'!E26*'TS-PILE'!$E$64/SUMSQ('TS-PILE'!$E$56:$E$75))+IF(SUMSQ('TS-PILE'!$D$56:$D$75)=0,0,'TO HOP NLAN'!F26*'TS-PILE'!$D$64/SUMSQ('TS-PILE'!$D$56:$D$75))),IF('TS-PILE'!$B$65="",1E+99,'TO HOP NLAN'!D26/ncoc+IF(SUMSQ('TS-PILE'!$E$56:$E$75)=0,0,'TO HOP NLAN'!E26*'TS-PILE'!$E$65/SUMSQ('TS-PILE'!$E$56:$E$75))+IF(SUMSQ('TS-PILE'!$D$56:$D$75)=0,0,'TO HOP NLAN'!F26*'TS-PILE'!$D$65/SUMSQ('TS-PILE'!$D$56:$D$75))),IF('TS-PILE'!$B$66="",1E+99,'TO HOP NLAN'!D26/ncoc+IF(SUMSQ('TS-PILE'!$E$56:$E$75)=0,0,'TO HOP NLAN'!E26*'TS-PILE'!$E$66/SUMSQ('TS-PILE'!$E$56:$E$75))+IF(SUMSQ('TS-PILE'!$D$56:$D$75)=0,0,'TO HOP NLAN'!F26*'TS-PILE'!$D$66/SUMSQ('TS-PILE'!$D$56:$D$75))),IF('TS-PILE'!$B$67="",1E+99,'TO HOP NLAN'!D26/ncoc+IF(SUMSQ('TS-PILE'!$E$56:$E$75)=0,0,'TO HOP NLAN'!E26*'TS-PILE'!$E$67/SUMSQ('TS-PILE'!$E$56:$E$75))+IF(SUMSQ('TS-PILE'!$D$56:$D$75)=0,0,'TO HOP NLAN'!F26*'TS-PILE'!$D$67/SUMSQ('TS-PILE'!$D$56:$D$75))),IF('TS-PILE'!$B$68="",1E+99,'TO HOP NLAN'!D26/ncoc+IF(SUMSQ('TS-PILE'!$E$56:$E$75)=0,0,'TO HOP NLAN'!E26*'TS-PILE'!$E$68/SUMSQ('TS-PILE'!$E$56:$E$75))+IF(SUMSQ('TS-PILE'!$D$56:$D$75)=0,0,'TO HOP NLAN'!F26*'TS-PILE'!$D$68/SUMSQ('TS-PILE'!$D$56:$D$75))),IF('TS-PILE'!$B$69="",1E+99,'TO HOP NLAN'!D26/ncoc+IF(SUMSQ('TS-PILE'!$E$56:$E$75)=0,0,'TO HOP NLAN'!E26*'TS-PILE'!$E$69/SUMSQ('TS-PILE'!$E$56:$E$75))+IF(SUMSQ('TS-PILE'!$D$56:$D$75)=0,0,'TO HOP NLAN'!F26*'TS-PILE'!$D$69/SUMSQ('TS-PILE'!$D$56:$D$75))),IF('TS-PILE'!$B$70="",1E+99,'TO HOP NLAN'!D26/ncoc+IF(SUMSQ('TS-PILE'!$E$56:$E$75)=0,0,'TO HOP NLAN'!E26*'TS-PILE'!$E$70/SUMSQ('TS-PILE'!$E$56:$E$75))+IF(SUMSQ('TS-PILE'!$D$56:$D$75)=0,0,'TO HOP NLAN'!F26*'TS-PILE'!$D$70/SUMSQ('TS-PILE'!$D$56:$D$75))),IF('TS-PILE'!$B$71="",1E+99,'TO HOP NLAN'!D26/ncoc+IF(SUMSQ('TS-PILE'!$E$56:$E$75)=0,0,'TO HOP NLAN'!E26*'TS-PILE'!$E$71/SUMSQ('TS-PILE'!$E$56:$E$75))+IF(SUMSQ('TS-PILE'!$D$56:$D$75)=0,0,'TO HOP NLAN'!F26*'TS-PILE'!$D$71/SUMSQ('TS-PILE'!$D$56:$D$75))),IF('TS-PILE'!$B$72="",1E+99,'TO HOP NLAN'!D26/ncoc+IF(SUMSQ('TS-PILE'!$E$56:$E$75)=0,0,'TO HOP NLAN'!E26*'TS-PILE'!$E$72/SUMSQ('TS-PILE'!$E$56:$E$75))+IF(SUMSQ('TS-PILE'!$D$56:$D$75)=0,0,'TO HOP NLAN'!F26*'TS-PILE'!$D$72/SUMSQ('TS-PILE'!$D$56:$D$75))),IF('TS-PILE'!$B$73="",1E+99,'TO HOP NLAN'!D26/ncoc+IF(SUMSQ('TS-PILE'!$E$56:$E$75)=0,0,'TO HOP NLAN'!E26*'TS-PILE'!$E$73/SUMSQ('TS-PILE'!$E$56:$E$75))+IF(SUMSQ('TS-PILE'!$D$56:$D$75)=0,0,'TO HOP NLAN'!F26*'TS-PILE'!$D$73/SUMSQ('TS-PILE'!$D$56:$D$75))),IF('TS-PILE'!$B$74="",1E+99,'TO HOP NLAN'!D26/ncoc+IF(SUMSQ('TS-PILE'!$E$56:$E$75)=0,0,'TO HOP NLAN'!E26*'TS-PILE'!$E$74/SUMSQ('TS-PILE'!$E$56:$E$75))+IF(SUMSQ('TS-PILE'!$D$56:$D$75)=0,0,'TO HOP NLAN'!F26*'TS-PILE'!$D$74/SUMSQ('TS-PILE'!$D$56:$D$75))),IF('TS-PILE'!$B$75="",1E+99,'TO HOP NLAN'!D26/ncoc+IF(SUMSQ('TS-PILE'!$E$56:$E$75)=0,0,'TO HOP NLAN'!E26*'TS-PILE'!$E$75/SUMSQ('TS-PILE'!$E$56:$E$75))+IF(SUMSQ('TS-PILE'!$D$56:$D$75)=0,0,'TO HOP NLAN'!F26*'TS-PILE'!$D$75/SUMSQ('TS-PILE'!$D$56:$D$75)))))</f>
        <v>0</v>
      </c>
      <c r="E26" s="46">
        <f t="shared" si="0"/>
        <v>-9.9999999999999997E+98</v>
      </c>
      <c r="F26" s="46">
        <f t="shared" si="1"/>
        <v>9.9999999999999997E+98</v>
      </c>
      <c r="G26" s="46">
        <f t="shared" si="2"/>
        <v>-9.9999999999999997E+98</v>
      </c>
      <c r="H26" s="46">
        <f t="shared" si="3"/>
        <v>9.9999999999999997E+98</v>
      </c>
    </row>
    <row r="27" spans="1:8" x14ac:dyDescent="0.3">
      <c r="A27" s="40" t="str">
        <f>'TO HOP NLAN'!A27</f>
        <v/>
      </c>
      <c r="B27" s="40" t="str">
        <f>'TO HOP NLAN'!L27</f>
        <v>SERVICE</v>
      </c>
      <c r="C27" s="46">
        <f>IF(A27="",0,MAX(IF('TS-PILE'!$B$56="",-1E+99,'TO HOP NLAN'!D27/ncoc+IF(SUMSQ('TS-PILE'!$E$56:$E$75)=0,0,'TO HOP NLAN'!E27*'TS-PILE'!$E$56/SUMSQ('TS-PILE'!$E$56:$E$75))+IF(SUMSQ('TS-PILE'!$D$56:$D$75)=0,0,'TO HOP NLAN'!F27*'TS-PILE'!$D$56/SUMSQ('TS-PILE'!$D$56:$D$75))),IF('TS-PILE'!$B$57="",-1E+99,'TO HOP NLAN'!D27/ncoc+IF(SUMSQ('TS-PILE'!$E$56:$E$75)=0,0,'TO HOP NLAN'!E27*'TS-PILE'!$E$57/SUMSQ('TS-PILE'!$E$56:$E$75))+IF(SUMSQ('TS-PILE'!$D$56:$D$75)=0,0,'TO HOP NLAN'!F27*'TS-PILE'!$D$57/SUMSQ('TS-PILE'!$D$56:$D$75))),IF('TS-PILE'!$B$58="",-1E+99,'TO HOP NLAN'!D27/ncoc+IF(SUMSQ('TS-PILE'!$E$56:$E$75)=0,0,'TO HOP NLAN'!E27*'TS-PILE'!$E$58/SUMSQ('TS-PILE'!$E$56:$E$75))+IF(SUMSQ('TS-PILE'!$D$56:$D$75)=0,0,'TO HOP NLAN'!F27*'TS-PILE'!$D$58/SUMSQ('TS-PILE'!$D$56:$D$75))),IF('TS-PILE'!$B$59="",-1E+99,'TO HOP NLAN'!D27/ncoc+IF(SUMSQ('TS-PILE'!$E$56:$E$75)=0,0,'TO HOP NLAN'!E27*'TS-PILE'!$E$59/SUMSQ('TS-PILE'!$E$56:$E$75))+IF(SUMSQ('TS-PILE'!$D$56:$D$75)=0,0,'TO HOP NLAN'!F27*'TS-PILE'!$D$59/SUMSQ('TS-PILE'!$D$56:$D$75))),IF('TS-PILE'!$B$60="",-1E+99,'TO HOP NLAN'!D27/ncoc+IF(SUMSQ('TS-PILE'!$E$56:$E$75)=0,0,'TO HOP NLAN'!E27*'TS-PILE'!$E$60/SUMSQ('TS-PILE'!$E$56:$E$75))+IF(SUMSQ('TS-PILE'!$D$56:$D$75)=0,0,'TO HOP NLAN'!F27*'TS-PILE'!$D$60/SUMSQ('TS-PILE'!$D$56:$D$75))),IF('TS-PILE'!$B$61="",-1E+99,'TO HOP NLAN'!D27/ncoc+IF(SUMSQ('TS-PILE'!$E$56:$E$75)=0,0,'TO HOP NLAN'!E27*'TS-PILE'!$E$61/SUMSQ('TS-PILE'!$E$56:$E$75))+IF(SUMSQ('TS-PILE'!$D$56:$D$75)=0,0,'TO HOP NLAN'!F27*'TS-PILE'!$D$61/SUMSQ('TS-PILE'!$D$56:$D$75))),IF('TS-PILE'!$B$62="",-1E+99,'TO HOP NLAN'!D27/ncoc+IF(SUMSQ('TS-PILE'!$E$56:$E$75)=0,0,'TO HOP NLAN'!E27*'TS-PILE'!$E$62/SUMSQ('TS-PILE'!$E$56:$E$75))+IF(SUMSQ('TS-PILE'!$D$56:$D$75)=0,0,'TO HOP NLAN'!F27*'TS-PILE'!$D$62/SUMSQ('TS-PILE'!$D$56:$D$75))),IF('TS-PILE'!$B$63="",-1E+99,'TO HOP NLAN'!D27/ncoc+IF(SUMSQ('TS-PILE'!$E$56:$E$75)=0,0,'TO HOP NLAN'!E27*'TS-PILE'!$E$63/SUMSQ('TS-PILE'!$E$56:$E$75))+IF(SUMSQ('TS-PILE'!$D$56:$D$75)=0,0,'TO HOP NLAN'!F27*'TS-PILE'!$D$63/SUMSQ('TS-PILE'!$D$56:$D$75))),IF('TS-PILE'!$B$64="",-1E+99,'TO HOP NLAN'!D27/ncoc+IF(SUMSQ('TS-PILE'!$E$56:$E$75)=0,0,'TO HOP NLAN'!E27*'TS-PILE'!$E$64/SUMSQ('TS-PILE'!$E$56:$E$75))+IF(SUMSQ('TS-PILE'!$D$56:$D$75)=0,0,'TO HOP NLAN'!F27*'TS-PILE'!$D$64/SUMSQ('TS-PILE'!$D$56:$D$75))),IF('TS-PILE'!$B$65="",-1E+99,'TO HOP NLAN'!D27/ncoc+IF(SUMSQ('TS-PILE'!$E$56:$E$75)=0,0,'TO HOP NLAN'!E27*'TS-PILE'!$E$65/SUMSQ('TS-PILE'!$E$56:$E$75))+IF(SUMSQ('TS-PILE'!$D$56:$D$75)=0,0,'TO HOP NLAN'!F27*'TS-PILE'!$D$65/SUMSQ('TS-PILE'!$D$56:$D$75))),IF('TS-PILE'!$B$66="",-1E+99,'TO HOP NLAN'!D27/ncoc+IF(SUMSQ('TS-PILE'!$E$56:$E$75)=0,0,'TO HOP NLAN'!E27*'TS-PILE'!$E$66/SUMSQ('TS-PILE'!$E$56:$E$75))+IF(SUMSQ('TS-PILE'!$D$56:$D$75)=0,0,'TO HOP NLAN'!F27*'TS-PILE'!$D$66/SUMSQ('TS-PILE'!$D$56:$D$75))),IF('TS-PILE'!$B$67="",-1E+99,'TO HOP NLAN'!D27/ncoc+IF(SUMSQ('TS-PILE'!$E$56:$E$75)=0,0,'TO HOP NLAN'!E27*'TS-PILE'!$E$67/SUMSQ('TS-PILE'!$E$56:$E$75))+IF(SUMSQ('TS-PILE'!$D$56:$D$75)=0,0,'TO HOP NLAN'!F27*'TS-PILE'!$D$67/SUMSQ('TS-PILE'!$D$56:$D$75))),IF('TS-PILE'!$B$68="",-1E+99,'TO HOP NLAN'!D27/ncoc+IF(SUMSQ('TS-PILE'!$E$56:$E$75)=0,0,'TO HOP NLAN'!E27*'TS-PILE'!$E$68/SUMSQ('TS-PILE'!$E$56:$E$75))+IF(SUMSQ('TS-PILE'!$D$56:$D$75)=0,0,'TO HOP NLAN'!F27*'TS-PILE'!$D$68/SUMSQ('TS-PILE'!$D$56:$D$75))),IF('TS-PILE'!$B$69="",-1E+99,'TO HOP NLAN'!D27/ncoc+IF(SUMSQ('TS-PILE'!$E$56:$E$75)=0,0,'TO HOP NLAN'!E27*'TS-PILE'!$E$69/SUMSQ('TS-PILE'!$E$56:$E$75))+IF(SUMSQ('TS-PILE'!$D$56:$D$75)=0,0,'TO HOP NLAN'!F27*'TS-PILE'!$D$69/SUMSQ('TS-PILE'!$D$56:$D$75))),IF('TS-PILE'!$B$70="",-1E+99,'TO HOP NLAN'!D27/ncoc+IF(SUMSQ('TS-PILE'!$E$56:$E$75)=0,0,'TO HOP NLAN'!E27*'TS-PILE'!$E$70/SUMSQ('TS-PILE'!$E$56:$E$75))+IF(SUMSQ('TS-PILE'!$D$56:$D$75)=0,0,'TO HOP NLAN'!F27*'TS-PILE'!$D$70/SUMSQ('TS-PILE'!$D$56:$D$75))),IF('TS-PILE'!$B$71="",-1E+99,'TO HOP NLAN'!D27/ncoc+IF(SUMSQ('TS-PILE'!$E$56:$E$75)=0,0,'TO HOP NLAN'!E27*'TS-PILE'!$E$71/SUMSQ('TS-PILE'!$E$56:$E$75))+IF(SUMSQ('TS-PILE'!$D$56:$D$75)=0,0,'TO HOP NLAN'!F27*'TS-PILE'!$D$71/SUMSQ('TS-PILE'!$D$56:$D$75))),IF('TS-PILE'!$B$72="",-1E+99,'TO HOP NLAN'!D27/ncoc+IF(SUMSQ('TS-PILE'!$E$56:$E$75)=0,0,'TO HOP NLAN'!E27*'TS-PILE'!$E$72/SUMSQ('TS-PILE'!$E$56:$E$75))+IF(SUMSQ('TS-PILE'!$D$56:$D$75)=0,0,'TO HOP NLAN'!F27*'TS-PILE'!$D$72/SUMSQ('TS-PILE'!$D$56:$D$75))),IF('TS-PILE'!$B$73="",-1E+99,'TO HOP NLAN'!D27/ncoc+IF(SUMSQ('TS-PILE'!$E$56:$E$75)=0,0,'TO HOP NLAN'!E27*'TS-PILE'!$E$73/SUMSQ('TS-PILE'!$E$56:$E$75))+IF(SUMSQ('TS-PILE'!$D$56:$D$75)=0,0,'TO HOP NLAN'!F27*'TS-PILE'!$D$73/SUMSQ('TS-PILE'!$D$56:$D$75))),IF('TS-PILE'!$B$74="",-1E+99,'TO HOP NLAN'!D27/ncoc+IF(SUMSQ('TS-PILE'!$E$56:$E$75)=0,0,'TO HOP NLAN'!E27*'TS-PILE'!$E$74/SUMSQ('TS-PILE'!$E$56:$E$75))+IF(SUMSQ('TS-PILE'!$D$56:$D$75)=0,0,'TO HOP NLAN'!F27*'TS-PILE'!$D$74/SUMSQ('TS-PILE'!$D$56:$D$75))),IF('TS-PILE'!$B$75="",-1E+99,'TO HOP NLAN'!D27/ncoc+IF(SUMSQ('TS-PILE'!$E$56:$E$75)=0,0,'TO HOP NLAN'!E27*'TS-PILE'!$E$75/SUMSQ('TS-PILE'!$E$56:$E$75))+IF(SUMSQ('TS-PILE'!$D$56:$D$75)=0,0,'TO HOP NLAN'!F27*'TS-PILE'!$D$75/SUMSQ('TS-PILE'!$D$56:$D$75)))))</f>
        <v>0</v>
      </c>
      <c r="D27" s="46">
        <f>IF(A27="",0,MIN(IF('TS-PILE'!$B$56="",1E+99,'TO HOP NLAN'!D27/ncoc+IF(SUMSQ('TS-PILE'!$E$56:$E$75)=0,0,'TO HOP NLAN'!E27*'TS-PILE'!$E$56/SUMSQ('TS-PILE'!$E$56:$E$75))+IF(SUMSQ('TS-PILE'!$D$56:$D$75)=0,0,'TO HOP NLAN'!F27*'TS-PILE'!$D$56/SUMSQ('TS-PILE'!$D$56:$D$75))),IF('TS-PILE'!$B$57="",1E+99,'TO HOP NLAN'!D27/ncoc+IF(SUMSQ('TS-PILE'!$E$56:$E$75)=0,0,'TO HOP NLAN'!E27*'TS-PILE'!$E$57/SUMSQ('TS-PILE'!$E$56:$E$75))+IF(SUMSQ('TS-PILE'!$D$56:$D$75)=0,0,'TO HOP NLAN'!F27*'TS-PILE'!$D$57/SUMSQ('TS-PILE'!$D$56:$D$75))),IF('TS-PILE'!$B$58="",1E+99,'TO HOP NLAN'!D27/ncoc+IF(SUMSQ('TS-PILE'!$E$56:$E$75)=0,0,'TO HOP NLAN'!E27*'TS-PILE'!$E$58/SUMSQ('TS-PILE'!$E$56:$E$75))+IF(SUMSQ('TS-PILE'!$D$56:$D$75)=0,0,'TO HOP NLAN'!F27*'TS-PILE'!$D$58/SUMSQ('TS-PILE'!$D$56:$D$75))),IF('TS-PILE'!$B$59="",1E+99,'TO HOP NLAN'!D27/ncoc+IF(SUMSQ('TS-PILE'!$E$56:$E$75)=0,0,'TO HOP NLAN'!E27*'TS-PILE'!$E$59/SUMSQ('TS-PILE'!$E$56:$E$75))+IF(SUMSQ('TS-PILE'!$D$56:$D$75)=0,0,'TO HOP NLAN'!F27*'TS-PILE'!$D$59/SUMSQ('TS-PILE'!$D$56:$D$75))),IF('TS-PILE'!$B$60="",1E+99,'TO HOP NLAN'!D27/ncoc+IF(SUMSQ('TS-PILE'!$E$56:$E$75)=0,0,'TO HOP NLAN'!E27*'TS-PILE'!$E$60/SUMSQ('TS-PILE'!$E$56:$E$75))+IF(SUMSQ('TS-PILE'!$D$56:$D$75)=0,0,'TO HOP NLAN'!F27*'TS-PILE'!$D$60/SUMSQ('TS-PILE'!$D$56:$D$75))),IF('TS-PILE'!$B$61="",1E+99,'TO HOP NLAN'!D27/ncoc+IF(SUMSQ('TS-PILE'!$E$56:$E$75)=0,0,'TO HOP NLAN'!E27*'TS-PILE'!$E$61/SUMSQ('TS-PILE'!$E$56:$E$75))+IF(SUMSQ('TS-PILE'!$D$56:$D$75)=0,0,'TO HOP NLAN'!F27*'TS-PILE'!$D$61/SUMSQ('TS-PILE'!$D$56:$D$75))),IF('TS-PILE'!$B$62="",1E+99,'TO HOP NLAN'!D27/ncoc+IF(SUMSQ('TS-PILE'!$E$56:$E$75)=0,0,'TO HOP NLAN'!E27*'TS-PILE'!$E$62/SUMSQ('TS-PILE'!$E$56:$E$75))+IF(SUMSQ('TS-PILE'!$D$56:$D$75)=0,0,'TO HOP NLAN'!F27*'TS-PILE'!$D$62/SUMSQ('TS-PILE'!$D$56:$D$75))),IF('TS-PILE'!$B$63="",1E+99,'TO HOP NLAN'!D27/ncoc+IF(SUMSQ('TS-PILE'!$E$56:$E$75)=0,0,'TO HOP NLAN'!E27*'TS-PILE'!$E$63/SUMSQ('TS-PILE'!$E$56:$E$75))+IF(SUMSQ('TS-PILE'!$D$56:$D$75)=0,0,'TO HOP NLAN'!F27*'TS-PILE'!$D$63/SUMSQ('TS-PILE'!$D$56:$D$75))),IF('TS-PILE'!$B$64="",1E+99,'TO HOP NLAN'!D27/ncoc+IF(SUMSQ('TS-PILE'!$E$56:$E$75)=0,0,'TO HOP NLAN'!E27*'TS-PILE'!$E$64/SUMSQ('TS-PILE'!$E$56:$E$75))+IF(SUMSQ('TS-PILE'!$D$56:$D$75)=0,0,'TO HOP NLAN'!F27*'TS-PILE'!$D$64/SUMSQ('TS-PILE'!$D$56:$D$75))),IF('TS-PILE'!$B$65="",1E+99,'TO HOP NLAN'!D27/ncoc+IF(SUMSQ('TS-PILE'!$E$56:$E$75)=0,0,'TO HOP NLAN'!E27*'TS-PILE'!$E$65/SUMSQ('TS-PILE'!$E$56:$E$75))+IF(SUMSQ('TS-PILE'!$D$56:$D$75)=0,0,'TO HOP NLAN'!F27*'TS-PILE'!$D$65/SUMSQ('TS-PILE'!$D$56:$D$75))),IF('TS-PILE'!$B$66="",1E+99,'TO HOP NLAN'!D27/ncoc+IF(SUMSQ('TS-PILE'!$E$56:$E$75)=0,0,'TO HOP NLAN'!E27*'TS-PILE'!$E$66/SUMSQ('TS-PILE'!$E$56:$E$75))+IF(SUMSQ('TS-PILE'!$D$56:$D$75)=0,0,'TO HOP NLAN'!F27*'TS-PILE'!$D$66/SUMSQ('TS-PILE'!$D$56:$D$75))),IF('TS-PILE'!$B$67="",1E+99,'TO HOP NLAN'!D27/ncoc+IF(SUMSQ('TS-PILE'!$E$56:$E$75)=0,0,'TO HOP NLAN'!E27*'TS-PILE'!$E$67/SUMSQ('TS-PILE'!$E$56:$E$75))+IF(SUMSQ('TS-PILE'!$D$56:$D$75)=0,0,'TO HOP NLAN'!F27*'TS-PILE'!$D$67/SUMSQ('TS-PILE'!$D$56:$D$75))),IF('TS-PILE'!$B$68="",1E+99,'TO HOP NLAN'!D27/ncoc+IF(SUMSQ('TS-PILE'!$E$56:$E$75)=0,0,'TO HOP NLAN'!E27*'TS-PILE'!$E$68/SUMSQ('TS-PILE'!$E$56:$E$75))+IF(SUMSQ('TS-PILE'!$D$56:$D$75)=0,0,'TO HOP NLAN'!F27*'TS-PILE'!$D$68/SUMSQ('TS-PILE'!$D$56:$D$75))),IF('TS-PILE'!$B$69="",1E+99,'TO HOP NLAN'!D27/ncoc+IF(SUMSQ('TS-PILE'!$E$56:$E$75)=0,0,'TO HOP NLAN'!E27*'TS-PILE'!$E$69/SUMSQ('TS-PILE'!$E$56:$E$75))+IF(SUMSQ('TS-PILE'!$D$56:$D$75)=0,0,'TO HOP NLAN'!F27*'TS-PILE'!$D$69/SUMSQ('TS-PILE'!$D$56:$D$75))),IF('TS-PILE'!$B$70="",1E+99,'TO HOP NLAN'!D27/ncoc+IF(SUMSQ('TS-PILE'!$E$56:$E$75)=0,0,'TO HOP NLAN'!E27*'TS-PILE'!$E$70/SUMSQ('TS-PILE'!$E$56:$E$75))+IF(SUMSQ('TS-PILE'!$D$56:$D$75)=0,0,'TO HOP NLAN'!F27*'TS-PILE'!$D$70/SUMSQ('TS-PILE'!$D$56:$D$75))),IF('TS-PILE'!$B$71="",1E+99,'TO HOP NLAN'!D27/ncoc+IF(SUMSQ('TS-PILE'!$E$56:$E$75)=0,0,'TO HOP NLAN'!E27*'TS-PILE'!$E$71/SUMSQ('TS-PILE'!$E$56:$E$75))+IF(SUMSQ('TS-PILE'!$D$56:$D$75)=0,0,'TO HOP NLAN'!F27*'TS-PILE'!$D$71/SUMSQ('TS-PILE'!$D$56:$D$75))),IF('TS-PILE'!$B$72="",1E+99,'TO HOP NLAN'!D27/ncoc+IF(SUMSQ('TS-PILE'!$E$56:$E$75)=0,0,'TO HOP NLAN'!E27*'TS-PILE'!$E$72/SUMSQ('TS-PILE'!$E$56:$E$75))+IF(SUMSQ('TS-PILE'!$D$56:$D$75)=0,0,'TO HOP NLAN'!F27*'TS-PILE'!$D$72/SUMSQ('TS-PILE'!$D$56:$D$75))),IF('TS-PILE'!$B$73="",1E+99,'TO HOP NLAN'!D27/ncoc+IF(SUMSQ('TS-PILE'!$E$56:$E$75)=0,0,'TO HOP NLAN'!E27*'TS-PILE'!$E$73/SUMSQ('TS-PILE'!$E$56:$E$75))+IF(SUMSQ('TS-PILE'!$D$56:$D$75)=0,0,'TO HOP NLAN'!F27*'TS-PILE'!$D$73/SUMSQ('TS-PILE'!$D$56:$D$75))),IF('TS-PILE'!$B$74="",1E+99,'TO HOP NLAN'!D27/ncoc+IF(SUMSQ('TS-PILE'!$E$56:$E$75)=0,0,'TO HOP NLAN'!E27*'TS-PILE'!$E$74/SUMSQ('TS-PILE'!$E$56:$E$75))+IF(SUMSQ('TS-PILE'!$D$56:$D$75)=0,0,'TO HOP NLAN'!F27*'TS-PILE'!$D$74/SUMSQ('TS-PILE'!$D$56:$D$75))),IF('TS-PILE'!$B$75="",1E+99,'TO HOP NLAN'!D27/ncoc+IF(SUMSQ('TS-PILE'!$E$56:$E$75)=0,0,'TO HOP NLAN'!E27*'TS-PILE'!$E$75/SUMSQ('TS-PILE'!$E$56:$E$75))+IF(SUMSQ('TS-PILE'!$D$56:$D$75)=0,0,'TO HOP NLAN'!F27*'TS-PILE'!$D$75/SUMSQ('TS-PILE'!$D$56:$D$75)))))</f>
        <v>0</v>
      </c>
      <c r="E27" s="46">
        <f t="shared" si="0"/>
        <v>-9.9999999999999997E+98</v>
      </c>
      <c r="F27" s="46">
        <f t="shared" si="1"/>
        <v>9.9999999999999997E+98</v>
      </c>
      <c r="G27" s="46">
        <f t="shared" si="2"/>
        <v>-9.9999999999999997E+98</v>
      </c>
      <c r="H27" s="46">
        <f t="shared" si="3"/>
        <v>9.9999999999999997E+98</v>
      </c>
    </row>
    <row r="28" spans="1:8" x14ac:dyDescent="0.3">
      <c r="A28" s="40" t="str">
        <f>'TO HOP NLAN'!A28</f>
        <v/>
      </c>
      <c r="B28" s="40" t="str">
        <f>'TO HOP NLAN'!L28</f>
        <v>SERVICE</v>
      </c>
      <c r="C28" s="46">
        <f>IF(A28="",0,MAX(IF('TS-PILE'!$B$56="",-1E+99,'TO HOP NLAN'!D28/ncoc+IF(SUMSQ('TS-PILE'!$E$56:$E$75)=0,0,'TO HOP NLAN'!E28*'TS-PILE'!$E$56/SUMSQ('TS-PILE'!$E$56:$E$75))+IF(SUMSQ('TS-PILE'!$D$56:$D$75)=0,0,'TO HOP NLAN'!F28*'TS-PILE'!$D$56/SUMSQ('TS-PILE'!$D$56:$D$75))),IF('TS-PILE'!$B$57="",-1E+99,'TO HOP NLAN'!D28/ncoc+IF(SUMSQ('TS-PILE'!$E$56:$E$75)=0,0,'TO HOP NLAN'!E28*'TS-PILE'!$E$57/SUMSQ('TS-PILE'!$E$56:$E$75))+IF(SUMSQ('TS-PILE'!$D$56:$D$75)=0,0,'TO HOP NLAN'!F28*'TS-PILE'!$D$57/SUMSQ('TS-PILE'!$D$56:$D$75))),IF('TS-PILE'!$B$58="",-1E+99,'TO HOP NLAN'!D28/ncoc+IF(SUMSQ('TS-PILE'!$E$56:$E$75)=0,0,'TO HOP NLAN'!E28*'TS-PILE'!$E$58/SUMSQ('TS-PILE'!$E$56:$E$75))+IF(SUMSQ('TS-PILE'!$D$56:$D$75)=0,0,'TO HOP NLAN'!F28*'TS-PILE'!$D$58/SUMSQ('TS-PILE'!$D$56:$D$75))),IF('TS-PILE'!$B$59="",-1E+99,'TO HOP NLAN'!D28/ncoc+IF(SUMSQ('TS-PILE'!$E$56:$E$75)=0,0,'TO HOP NLAN'!E28*'TS-PILE'!$E$59/SUMSQ('TS-PILE'!$E$56:$E$75))+IF(SUMSQ('TS-PILE'!$D$56:$D$75)=0,0,'TO HOP NLAN'!F28*'TS-PILE'!$D$59/SUMSQ('TS-PILE'!$D$56:$D$75))),IF('TS-PILE'!$B$60="",-1E+99,'TO HOP NLAN'!D28/ncoc+IF(SUMSQ('TS-PILE'!$E$56:$E$75)=0,0,'TO HOP NLAN'!E28*'TS-PILE'!$E$60/SUMSQ('TS-PILE'!$E$56:$E$75))+IF(SUMSQ('TS-PILE'!$D$56:$D$75)=0,0,'TO HOP NLAN'!F28*'TS-PILE'!$D$60/SUMSQ('TS-PILE'!$D$56:$D$75))),IF('TS-PILE'!$B$61="",-1E+99,'TO HOP NLAN'!D28/ncoc+IF(SUMSQ('TS-PILE'!$E$56:$E$75)=0,0,'TO HOP NLAN'!E28*'TS-PILE'!$E$61/SUMSQ('TS-PILE'!$E$56:$E$75))+IF(SUMSQ('TS-PILE'!$D$56:$D$75)=0,0,'TO HOP NLAN'!F28*'TS-PILE'!$D$61/SUMSQ('TS-PILE'!$D$56:$D$75))),IF('TS-PILE'!$B$62="",-1E+99,'TO HOP NLAN'!D28/ncoc+IF(SUMSQ('TS-PILE'!$E$56:$E$75)=0,0,'TO HOP NLAN'!E28*'TS-PILE'!$E$62/SUMSQ('TS-PILE'!$E$56:$E$75))+IF(SUMSQ('TS-PILE'!$D$56:$D$75)=0,0,'TO HOP NLAN'!F28*'TS-PILE'!$D$62/SUMSQ('TS-PILE'!$D$56:$D$75))),IF('TS-PILE'!$B$63="",-1E+99,'TO HOP NLAN'!D28/ncoc+IF(SUMSQ('TS-PILE'!$E$56:$E$75)=0,0,'TO HOP NLAN'!E28*'TS-PILE'!$E$63/SUMSQ('TS-PILE'!$E$56:$E$75))+IF(SUMSQ('TS-PILE'!$D$56:$D$75)=0,0,'TO HOP NLAN'!F28*'TS-PILE'!$D$63/SUMSQ('TS-PILE'!$D$56:$D$75))),IF('TS-PILE'!$B$64="",-1E+99,'TO HOP NLAN'!D28/ncoc+IF(SUMSQ('TS-PILE'!$E$56:$E$75)=0,0,'TO HOP NLAN'!E28*'TS-PILE'!$E$64/SUMSQ('TS-PILE'!$E$56:$E$75))+IF(SUMSQ('TS-PILE'!$D$56:$D$75)=0,0,'TO HOP NLAN'!F28*'TS-PILE'!$D$64/SUMSQ('TS-PILE'!$D$56:$D$75))),IF('TS-PILE'!$B$65="",-1E+99,'TO HOP NLAN'!D28/ncoc+IF(SUMSQ('TS-PILE'!$E$56:$E$75)=0,0,'TO HOP NLAN'!E28*'TS-PILE'!$E$65/SUMSQ('TS-PILE'!$E$56:$E$75))+IF(SUMSQ('TS-PILE'!$D$56:$D$75)=0,0,'TO HOP NLAN'!F28*'TS-PILE'!$D$65/SUMSQ('TS-PILE'!$D$56:$D$75))),IF('TS-PILE'!$B$66="",-1E+99,'TO HOP NLAN'!D28/ncoc+IF(SUMSQ('TS-PILE'!$E$56:$E$75)=0,0,'TO HOP NLAN'!E28*'TS-PILE'!$E$66/SUMSQ('TS-PILE'!$E$56:$E$75))+IF(SUMSQ('TS-PILE'!$D$56:$D$75)=0,0,'TO HOP NLAN'!F28*'TS-PILE'!$D$66/SUMSQ('TS-PILE'!$D$56:$D$75))),IF('TS-PILE'!$B$67="",-1E+99,'TO HOP NLAN'!D28/ncoc+IF(SUMSQ('TS-PILE'!$E$56:$E$75)=0,0,'TO HOP NLAN'!E28*'TS-PILE'!$E$67/SUMSQ('TS-PILE'!$E$56:$E$75))+IF(SUMSQ('TS-PILE'!$D$56:$D$75)=0,0,'TO HOP NLAN'!F28*'TS-PILE'!$D$67/SUMSQ('TS-PILE'!$D$56:$D$75))),IF('TS-PILE'!$B$68="",-1E+99,'TO HOP NLAN'!D28/ncoc+IF(SUMSQ('TS-PILE'!$E$56:$E$75)=0,0,'TO HOP NLAN'!E28*'TS-PILE'!$E$68/SUMSQ('TS-PILE'!$E$56:$E$75))+IF(SUMSQ('TS-PILE'!$D$56:$D$75)=0,0,'TO HOP NLAN'!F28*'TS-PILE'!$D$68/SUMSQ('TS-PILE'!$D$56:$D$75))),IF('TS-PILE'!$B$69="",-1E+99,'TO HOP NLAN'!D28/ncoc+IF(SUMSQ('TS-PILE'!$E$56:$E$75)=0,0,'TO HOP NLAN'!E28*'TS-PILE'!$E$69/SUMSQ('TS-PILE'!$E$56:$E$75))+IF(SUMSQ('TS-PILE'!$D$56:$D$75)=0,0,'TO HOP NLAN'!F28*'TS-PILE'!$D$69/SUMSQ('TS-PILE'!$D$56:$D$75))),IF('TS-PILE'!$B$70="",-1E+99,'TO HOP NLAN'!D28/ncoc+IF(SUMSQ('TS-PILE'!$E$56:$E$75)=0,0,'TO HOP NLAN'!E28*'TS-PILE'!$E$70/SUMSQ('TS-PILE'!$E$56:$E$75))+IF(SUMSQ('TS-PILE'!$D$56:$D$75)=0,0,'TO HOP NLAN'!F28*'TS-PILE'!$D$70/SUMSQ('TS-PILE'!$D$56:$D$75))),IF('TS-PILE'!$B$71="",-1E+99,'TO HOP NLAN'!D28/ncoc+IF(SUMSQ('TS-PILE'!$E$56:$E$75)=0,0,'TO HOP NLAN'!E28*'TS-PILE'!$E$71/SUMSQ('TS-PILE'!$E$56:$E$75))+IF(SUMSQ('TS-PILE'!$D$56:$D$75)=0,0,'TO HOP NLAN'!F28*'TS-PILE'!$D$71/SUMSQ('TS-PILE'!$D$56:$D$75))),IF('TS-PILE'!$B$72="",-1E+99,'TO HOP NLAN'!D28/ncoc+IF(SUMSQ('TS-PILE'!$E$56:$E$75)=0,0,'TO HOP NLAN'!E28*'TS-PILE'!$E$72/SUMSQ('TS-PILE'!$E$56:$E$75))+IF(SUMSQ('TS-PILE'!$D$56:$D$75)=0,0,'TO HOP NLAN'!F28*'TS-PILE'!$D$72/SUMSQ('TS-PILE'!$D$56:$D$75))),IF('TS-PILE'!$B$73="",-1E+99,'TO HOP NLAN'!D28/ncoc+IF(SUMSQ('TS-PILE'!$E$56:$E$75)=0,0,'TO HOP NLAN'!E28*'TS-PILE'!$E$73/SUMSQ('TS-PILE'!$E$56:$E$75))+IF(SUMSQ('TS-PILE'!$D$56:$D$75)=0,0,'TO HOP NLAN'!F28*'TS-PILE'!$D$73/SUMSQ('TS-PILE'!$D$56:$D$75))),IF('TS-PILE'!$B$74="",-1E+99,'TO HOP NLAN'!D28/ncoc+IF(SUMSQ('TS-PILE'!$E$56:$E$75)=0,0,'TO HOP NLAN'!E28*'TS-PILE'!$E$74/SUMSQ('TS-PILE'!$E$56:$E$75))+IF(SUMSQ('TS-PILE'!$D$56:$D$75)=0,0,'TO HOP NLAN'!F28*'TS-PILE'!$D$74/SUMSQ('TS-PILE'!$D$56:$D$75))),IF('TS-PILE'!$B$75="",-1E+99,'TO HOP NLAN'!D28/ncoc+IF(SUMSQ('TS-PILE'!$E$56:$E$75)=0,0,'TO HOP NLAN'!E28*'TS-PILE'!$E$75/SUMSQ('TS-PILE'!$E$56:$E$75))+IF(SUMSQ('TS-PILE'!$D$56:$D$75)=0,0,'TO HOP NLAN'!F28*'TS-PILE'!$D$75/SUMSQ('TS-PILE'!$D$56:$D$75)))))</f>
        <v>0</v>
      </c>
      <c r="D28" s="46">
        <f>IF(A28="",0,MIN(IF('TS-PILE'!$B$56="",1E+99,'TO HOP NLAN'!D28/ncoc+IF(SUMSQ('TS-PILE'!$E$56:$E$75)=0,0,'TO HOP NLAN'!E28*'TS-PILE'!$E$56/SUMSQ('TS-PILE'!$E$56:$E$75))+IF(SUMSQ('TS-PILE'!$D$56:$D$75)=0,0,'TO HOP NLAN'!F28*'TS-PILE'!$D$56/SUMSQ('TS-PILE'!$D$56:$D$75))),IF('TS-PILE'!$B$57="",1E+99,'TO HOP NLAN'!D28/ncoc+IF(SUMSQ('TS-PILE'!$E$56:$E$75)=0,0,'TO HOP NLAN'!E28*'TS-PILE'!$E$57/SUMSQ('TS-PILE'!$E$56:$E$75))+IF(SUMSQ('TS-PILE'!$D$56:$D$75)=0,0,'TO HOP NLAN'!F28*'TS-PILE'!$D$57/SUMSQ('TS-PILE'!$D$56:$D$75))),IF('TS-PILE'!$B$58="",1E+99,'TO HOP NLAN'!D28/ncoc+IF(SUMSQ('TS-PILE'!$E$56:$E$75)=0,0,'TO HOP NLAN'!E28*'TS-PILE'!$E$58/SUMSQ('TS-PILE'!$E$56:$E$75))+IF(SUMSQ('TS-PILE'!$D$56:$D$75)=0,0,'TO HOP NLAN'!F28*'TS-PILE'!$D$58/SUMSQ('TS-PILE'!$D$56:$D$75))),IF('TS-PILE'!$B$59="",1E+99,'TO HOP NLAN'!D28/ncoc+IF(SUMSQ('TS-PILE'!$E$56:$E$75)=0,0,'TO HOP NLAN'!E28*'TS-PILE'!$E$59/SUMSQ('TS-PILE'!$E$56:$E$75))+IF(SUMSQ('TS-PILE'!$D$56:$D$75)=0,0,'TO HOP NLAN'!F28*'TS-PILE'!$D$59/SUMSQ('TS-PILE'!$D$56:$D$75))),IF('TS-PILE'!$B$60="",1E+99,'TO HOP NLAN'!D28/ncoc+IF(SUMSQ('TS-PILE'!$E$56:$E$75)=0,0,'TO HOP NLAN'!E28*'TS-PILE'!$E$60/SUMSQ('TS-PILE'!$E$56:$E$75))+IF(SUMSQ('TS-PILE'!$D$56:$D$75)=0,0,'TO HOP NLAN'!F28*'TS-PILE'!$D$60/SUMSQ('TS-PILE'!$D$56:$D$75))),IF('TS-PILE'!$B$61="",1E+99,'TO HOP NLAN'!D28/ncoc+IF(SUMSQ('TS-PILE'!$E$56:$E$75)=0,0,'TO HOP NLAN'!E28*'TS-PILE'!$E$61/SUMSQ('TS-PILE'!$E$56:$E$75))+IF(SUMSQ('TS-PILE'!$D$56:$D$75)=0,0,'TO HOP NLAN'!F28*'TS-PILE'!$D$61/SUMSQ('TS-PILE'!$D$56:$D$75))),IF('TS-PILE'!$B$62="",1E+99,'TO HOP NLAN'!D28/ncoc+IF(SUMSQ('TS-PILE'!$E$56:$E$75)=0,0,'TO HOP NLAN'!E28*'TS-PILE'!$E$62/SUMSQ('TS-PILE'!$E$56:$E$75))+IF(SUMSQ('TS-PILE'!$D$56:$D$75)=0,0,'TO HOP NLAN'!F28*'TS-PILE'!$D$62/SUMSQ('TS-PILE'!$D$56:$D$75))),IF('TS-PILE'!$B$63="",1E+99,'TO HOP NLAN'!D28/ncoc+IF(SUMSQ('TS-PILE'!$E$56:$E$75)=0,0,'TO HOP NLAN'!E28*'TS-PILE'!$E$63/SUMSQ('TS-PILE'!$E$56:$E$75))+IF(SUMSQ('TS-PILE'!$D$56:$D$75)=0,0,'TO HOP NLAN'!F28*'TS-PILE'!$D$63/SUMSQ('TS-PILE'!$D$56:$D$75))),IF('TS-PILE'!$B$64="",1E+99,'TO HOP NLAN'!D28/ncoc+IF(SUMSQ('TS-PILE'!$E$56:$E$75)=0,0,'TO HOP NLAN'!E28*'TS-PILE'!$E$64/SUMSQ('TS-PILE'!$E$56:$E$75))+IF(SUMSQ('TS-PILE'!$D$56:$D$75)=0,0,'TO HOP NLAN'!F28*'TS-PILE'!$D$64/SUMSQ('TS-PILE'!$D$56:$D$75))),IF('TS-PILE'!$B$65="",1E+99,'TO HOP NLAN'!D28/ncoc+IF(SUMSQ('TS-PILE'!$E$56:$E$75)=0,0,'TO HOP NLAN'!E28*'TS-PILE'!$E$65/SUMSQ('TS-PILE'!$E$56:$E$75))+IF(SUMSQ('TS-PILE'!$D$56:$D$75)=0,0,'TO HOP NLAN'!F28*'TS-PILE'!$D$65/SUMSQ('TS-PILE'!$D$56:$D$75))),IF('TS-PILE'!$B$66="",1E+99,'TO HOP NLAN'!D28/ncoc+IF(SUMSQ('TS-PILE'!$E$56:$E$75)=0,0,'TO HOP NLAN'!E28*'TS-PILE'!$E$66/SUMSQ('TS-PILE'!$E$56:$E$75))+IF(SUMSQ('TS-PILE'!$D$56:$D$75)=0,0,'TO HOP NLAN'!F28*'TS-PILE'!$D$66/SUMSQ('TS-PILE'!$D$56:$D$75))),IF('TS-PILE'!$B$67="",1E+99,'TO HOP NLAN'!D28/ncoc+IF(SUMSQ('TS-PILE'!$E$56:$E$75)=0,0,'TO HOP NLAN'!E28*'TS-PILE'!$E$67/SUMSQ('TS-PILE'!$E$56:$E$75))+IF(SUMSQ('TS-PILE'!$D$56:$D$75)=0,0,'TO HOP NLAN'!F28*'TS-PILE'!$D$67/SUMSQ('TS-PILE'!$D$56:$D$75))),IF('TS-PILE'!$B$68="",1E+99,'TO HOP NLAN'!D28/ncoc+IF(SUMSQ('TS-PILE'!$E$56:$E$75)=0,0,'TO HOP NLAN'!E28*'TS-PILE'!$E$68/SUMSQ('TS-PILE'!$E$56:$E$75))+IF(SUMSQ('TS-PILE'!$D$56:$D$75)=0,0,'TO HOP NLAN'!F28*'TS-PILE'!$D$68/SUMSQ('TS-PILE'!$D$56:$D$75))),IF('TS-PILE'!$B$69="",1E+99,'TO HOP NLAN'!D28/ncoc+IF(SUMSQ('TS-PILE'!$E$56:$E$75)=0,0,'TO HOP NLAN'!E28*'TS-PILE'!$E$69/SUMSQ('TS-PILE'!$E$56:$E$75))+IF(SUMSQ('TS-PILE'!$D$56:$D$75)=0,0,'TO HOP NLAN'!F28*'TS-PILE'!$D$69/SUMSQ('TS-PILE'!$D$56:$D$75))),IF('TS-PILE'!$B$70="",1E+99,'TO HOP NLAN'!D28/ncoc+IF(SUMSQ('TS-PILE'!$E$56:$E$75)=0,0,'TO HOP NLAN'!E28*'TS-PILE'!$E$70/SUMSQ('TS-PILE'!$E$56:$E$75))+IF(SUMSQ('TS-PILE'!$D$56:$D$75)=0,0,'TO HOP NLAN'!F28*'TS-PILE'!$D$70/SUMSQ('TS-PILE'!$D$56:$D$75))),IF('TS-PILE'!$B$71="",1E+99,'TO HOP NLAN'!D28/ncoc+IF(SUMSQ('TS-PILE'!$E$56:$E$75)=0,0,'TO HOP NLAN'!E28*'TS-PILE'!$E$71/SUMSQ('TS-PILE'!$E$56:$E$75))+IF(SUMSQ('TS-PILE'!$D$56:$D$75)=0,0,'TO HOP NLAN'!F28*'TS-PILE'!$D$71/SUMSQ('TS-PILE'!$D$56:$D$75))),IF('TS-PILE'!$B$72="",1E+99,'TO HOP NLAN'!D28/ncoc+IF(SUMSQ('TS-PILE'!$E$56:$E$75)=0,0,'TO HOP NLAN'!E28*'TS-PILE'!$E$72/SUMSQ('TS-PILE'!$E$56:$E$75))+IF(SUMSQ('TS-PILE'!$D$56:$D$75)=0,0,'TO HOP NLAN'!F28*'TS-PILE'!$D$72/SUMSQ('TS-PILE'!$D$56:$D$75))),IF('TS-PILE'!$B$73="",1E+99,'TO HOP NLAN'!D28/ncoc+IF(SUMSQ('TS-PILE'!$E$56:$E$75)=0,0,'TO HOP NLAN'!E28*'TS-PILE'!$E$73/SUMSQ('TS-PILE'!$E$56:$E$75))+IF(SUMSQ('TS-PILE'!$D$56:$D$75)=0,0,'TO HOP NLAN'!F28*'TS-PILE'!$D$73/SUMSQ('TS-PILE'!$D$56:$D$75))),IF('TS-PILE'!$B$74="",1E+99,'TO HOP NLAN'!D28/ncoc+IF(SUMSQ('TS-PILE'!$E$56:$E$75)=0,0,'TO HOP NLAN'!E28*'TS-PILE'!$E$74/SUMSQ('TS-PILE'!$E$56:$E$75))+IF(SUMSQ('TS-PILE'!$D$56:$D$75)=0,0,'TO HOP NLAN'!F28*'TS-PILE'!$D$74/SUMSQ('TS-PILE'!$D$56:$D$75))),IF('TS-PILE'!$B$75="",1E+99,'TO HOP NLAN'!D28/ncoc+IF(SUMSQ('TS-PILE'!$E$56:$E$75)=0,0,'TO HOP NLAN'!E28*'TS-PILE'!$E$75/SUMSQ('TS-PILE'!$E$56:$E$75))+IF(SUMSQ('TS-PILE'!$D$56:$D$75)=0,0,'TO HOP NLAN'!F28*'TS-PILE'!$D$75/SUMSQ('TS-PILE'!$D$56:$D$75)))))</f>
        <v>0</v>
      </c>
      <c r="E28" s="46">
        <f t="shared" si="0"/>
        <v>-9.9999999999999997E+98</v>
      </c>
      <c r="F28" s="46">
        <f t="shared" si="1"/>
        <v>9.9999999999999997E+98</v>
      </c>
      <c r="G28" s="46">
        <f t="shared" si="2"/>
        <v>-9.9999999999999997E+98</v>
      </c>
      <c r="H28" s="46">
        <f t="shared" si="3"/>
        <v>9.9999999999999997E+98</v>
      </c>
    </row>
    <row r="29" spans="1:8" x14ac:dyDescent="0.3">
      <c r="A29" s="40" t="str">
        <f>'TO HOP NLAN'!A29</f>
        <v/>
      </c>
      <c r="B29" s="40" t="str">
        <f>'TO HOP NLAN'!L29</f>
        <v>SERVICE</v>
      </c>
      <c r="C29" s="46">
        <f>IF(A29="",0,MAX(IF('TS-PILE'!$B$56="",-1E+99,'TO HOP NLAN'!D29/ncoc+IF(SUMSQ('TS-PILE'!$E$56:$E$75)=0,0,'TO HOP NLAN'!E29*'TS-PILE'!$E$56/SUMSQ('TS-PILE'!$E$56:$E$75))+IF(SUMSQ('TS-PILE'!$D$56:$D$75)=0,0,'TO HOP NLAN'!F29*'TS-PILE'!$D$56/SUMSQ('TS-PILE'!$D$56:$D$75))),IF('TS-PILE'!$B$57="",-1E+99,'TO HOP NLAN'!D29/ncoc+IF(SUMSQ('TS-PILE'!$E$56:$E$75)=0,0,'TO HOP NLAN'!E29*'TS-PILE'!$E$57/SUMSQ('TS-PILE'!$E$56:$E$75))+IF(SUMSQ('TS-PILE'!$D$56:$D$75)=0,0,'TO HOP NLAN'!F29*'TS-PILE'!$D$57/SUMSQ('TS-PILE'!$D$56:$D$75))),IF('TS-PILE'!$B$58="",-1E+99,'TO HOP NLAN'!D29/ncoc+IF(SUMSQ('TS-PILE'!$E$56:$E$75)=0,0,'TO HOP NLAN'!E29*'TS-PILE'!$E$58/SUMSQ('TS-PILE'!$E$56:$E$75))+IF(SUMSQ('TS-PILE'!$D$56:$D$75)=0,0,'TO HOP NLAN'!F29*'TS-PILE'!$D$58/SUMSQ('TS-PILE'!$D$56:$D$75))),IF('TS-PILE'!$B$59="",-1E+99,'TO HOP NLAN'!D29/ncoc+IF(SUMSQ('TS-PILE'!$E$56:$E$75)=0,0,'TO HOP NLAN'!E29*'TS-PILE'!$E$59/SUMSQ('TS-PILE'!$E$56:$E$75))+IF(SUMSQ('TS-PILE'!$D$56:$D$75)=0,0,'TO HOP NLAN'!F29*'TS-PILE'!$D$59/SUMSQ('TS-PILE'!$D$56:$D$75))),IF('TS-PILE'!$B$60="",-1E+99,'TO HOP NLAN'!D29/ncoc+IF(SUMSQ('TS-PILE'!$E$56:$E$75)=0,0,'TO HOP NLAN'!E29*'TS-PILE'!$E$60/SUMSQ('TS-PILE'!$E$56:$E$75))+IF(SUMSQ('TS-PILE'!$D$56:$D$75)=0,0,'TO HOP NLAN'!F29*'TS-PILE'!$D$60/SUMSQ('TS-PILE'!$D$56:$D$75))),IF('TS-PILE'!$B$61="",-1E+99,'TO HOP NLAN'!D29/ncoc+IF(SUMSQ('TS-PILE'!$E$56:$E$75)=0,0,'TO HOP NLAN'!E29*'TS-PILE'!$E$61/SUMSQ('TS-PILE'!$E$56:$E$75))+IF(SUMSQ('TS-PILE'!$D$56:$D$75)=0,0,'TO HOP NLAN'!F29*'TS-PILE'!$D$61/SUMSQ('TS-PILE'!$D$56:$D$75))),IF('TS-PILE'!$B$62="",-1E+99,'TO HOP NLAN'!D29/ncoc+IF(SUMSQ('TS-PILE'!$E$56:$E$75)=0,0,'TO HOP NLAN'!E29*'TS-PILE'!$E$62/SUMSQ('TS-PILE'!$E$56:$E$75))+IF(SUMSQ('TS-PILE'!$D$56:$D$75)=0,0,'TO HOP NLAN'!F29*'TS-PILE'!$D$62/SUMSQ('TS-PILE'!$D$56:$D$75))),IF('TS-PILE'!$B$63="",-1E+99,'TO HOP NLAN'!D29/ncoc+IF(SUMSQ('TS-PILE'!$E$56:$E$75)=0,0,'TO HOP NLAN'!E29*'TS-PILE'!$E$63/SUMSQ('TS-PILE'!$E$56:$E$75))+IF(SUMSQ('TS-PILE'!$D$56:$D$75)=0,0,'TO HOP NLAN'!F29*'TS-PILE'!$D$63/SUMSQ('TS-PILE'!$D$56:$D$75))),IF('TS-PILE'!$B$64="",-1E+99,'TO HOP NLAN'!D29/ncoc+IF(SUMSQ('TS-PILE'!$E$56:$E$75)=0,0,'TO HOP NLAN'!E29*'TS-PILE'!$E$64/SUMSQ('TS-PILE'!$E$56:$E$75))+IF(SUMSQ('TS-PILE'!$D$56:$D$75)=0,0,'TO HOP NLAN'!F29*'TS-PILE'!$D$64/SUMSQ('TS-PILE'!$D$56:$D$75))),IF('TS-PILE'!$B$65="",-1E+99,'TO HOP NLAN'!D29/ncoc+IF(SUMSQ('TS-PILE'!$E$56:$E$75)=0,0,'TO HOP NLAN'!E29*'TS-PILE'!$E$65/SUMSQ('TS-PILE'!$E$56:$E$75))+IF(SUMSQ('TS-PILE'!$D$56:$D$75)=0,0,'TO HOP NLAN'!F29*'TS-PILE'!$D$65/SUMSQ('TS-PILE'!$D$56:$D$75))),IF('TS-PILE'!$B$66="",-1E+99,'TO HOP NLAN'!D29/ncoc+IF(SUMSQ('TS-PILE'!$E$56:$E$75)=0,0,'TO HOP NLAN'!E29*'TS-PILE'!$E$66/SUMSQ('TS-PILE'!$E$56:$E$75))+IF(SUMSQ('TS-PILE'!$D$56:$D$75)=0,0,'TO HOP NLAN'!F29*'TS-PILE'!$D$66/SUMSQ('TS-PILE'!$D$56:$D$75))),IF('TS-PILE'!$B$67="",-1E+99,'TO HOP NLAN'!D29/ncoc+IF(SUMSQ('TS-PILE'!$E$56:$E$75)=0,0,'TO HOP NLAN'!E29*'TS-PILE'!$E$67/SUMSQ('TS-PILE'!$E$56:$E$75))+IF(SUMSQ('TS-PILE'!$D$56:$D$75)=0,0,'TO HOP NLAN'!F29*'TS-PILE'!$D$67/SUMSQ('TS-PILE'!$D$56:$D$75))),IF('TS-PILE'!$B$68="",-1E+99,'TO HOP NLAN'!D29/ncoc+IF(SUMSQ('TS-PILE'!$E$56:$E$75)=0,0,'TO HOP NLAN'!E29*'TS-PILE'!$E$68/SUMSQ('TS-PILE'!$E$56:$E$75))+IF(SUMSQ('TS-PILE'!$D$56:$D$75)=0,0,'TO HOP NLAN'!F29*'TS-PILE'!$D$68/SUMSQ('TS-PILE'!$D$56:$D$75))),IF('TS-PILE'!$B$69="",-1E+99,'TO HOP NLAN'!D29/ncoc+IF(SUMSQ('TS-PILE'!$E$56:$E$75)=0,0,'TO HOP NLAN'!E29*'TS-PILE'!$E$69/SUMSQ('TS-PILE'!$E$56:$E$75))+IF(SUMSQ('TS-PILE'!$D$56:$D$75)=0,0,'TO HOP NLAN'!F29*'TS-PILE'!$D$69/SUMSQ('TS-PILE'!$D$56:$D$75))),IF('TS-PILE'!$B$70="",-1E+99,'TO HOP NLAN'!D29/ncoc+IF(SUMSQ('TS-PILE'!$E$56:$E$75)=0,0,'TO HOP NLAN'!E29*'TS-PILE'!$E$70/SUMSQ('TS-PILE'!$E$56:$E$75))+IF(SUMSQ('TS-PILE'!$D$56:$D$75)=0,0,'TO HOP NLAN'!F29*'TS-PILE'!$D$70/SUMSQ('TS-PILE'!$D$56:$D$75))),IF('TS-PILE'!$B$71="",-1E+99,'TO HOP NLAN'!D29/ncoc+IF(SUMSQ('TS-PILE'!$E$56:$E$75)=0,0,'TO HOP NLAN'!E29*'TS-PILE'!$E$71/SUMSQ('TS-PILE'!$E$56:$E$75))+IF(SUMSQ('TS-PILE'!$D$56:$D$75)=0,0,'TO HOP NLAN'!F29*'TS-PILE'!$D$71/SUMSQ('TS-PILE'!$D$56:$D$75))),IF('TS-PILE'!$B$72="",-1E+99,'TO HOP NLAN'!D29/ncoc+IF(SUMSQ('TS-PILE'!$E$56:$E$75)=0,0,'TO HOP NLAN'!E29*'TS-PILE'!$E$72/SUMSQ('TS-PILE'!$E$56:$E$75))+IF(SUMSQ('TS-PILE'!$D$56:$D$75)=0,0,'TO HOP NLAN'!F29*'TS-PILE'!$D$72/SUMSQ('TS-PILE'!$D$56:$D$75))),IF('TS-PILE'!$B$73="",-1E+99,'TO HOP NLAN'!D29/ncoc+IF(SUMSQ('TS-PILE'!$E$56:$E$75)=0,0,'TO HOP NLAN'!E29*'TS-PILE'!$E$73/SUMSQ('TS-PILE'!$E$56:$E$75))+IF(SUMSQ('TS-PILE'!$D$56:$D$75)=0,0,'TO HOP NLAN'!F29*'TS-PILE'!$D$73/SUMSQ('TS-PILE'!$D$56:$D$75))),IF('TS-PILE'!$B$74="",-1E+99,'TO HOP NLAN'!D29/ncoc+IF(SUMSQ('TS-PILE'!$E$56:$E$75)=0,0,'TO HOP NLAN'!E29*'TS-PILE'!$E$74/SUMSQ('TS-PILE'!$E$56:$E$75))+IF(SUMSQ('TS-PILE'!$D$56:$D$75)=0,0,'TO HOP NLAN'!F29*'TS-PILE'!$D$74/SUMSQ('TS-PILE'!$D$56:$D$75))),IF('TS-PILE'!$B$75="",-1E+99,'TO HOP NLAN'!D29/ncoc+IF(SUMSQ('TS-PILE'!$E$56:$E$75)=0,0,'TO HOP NLAN'!E29*'TS-PILE'!$E$75/SUMSQ('TS-PILE'!$E$56:$E$75))+IF(SUMSQ('TS-PILE'!$D$56:$D$75)=0,0,'TO HOP NLAN'!F29*'TS-PILE'!$D$75/SUMSQ('TS-PILE'!$D$56:$D$75)))))</f>
        <v>0</v>
      </c>
      <c r="D29" s="46">
        <f>IF(A29="",0,MIN(IF('TS-PILE'!$B$56="",1E+99,'TO HOP NLAN'!D29/ncoc+IF(SUMSQ('TS-PILE'!$E$56:$E$75)=0,0,'TO HOP NLAN'!E29*'TS-PILE'!$E$56/SUMSQ('TS-PILE'!$E$56:$E$75))+IF(SUMSQ('TS-PILE'!$D$56:$D$75)=0,0,'TO HOP NLAN'!F29*'TS-PILE'!$D$56/SUMSQ('TS-PILE'!$D$56:$D$75))),IF('TS-PILE'!$B$57="",1E+99,'TO HOP NLAN'!D29/ncoc+IF(SUMSQ('TS-PILE'!$E$56:$E$75)=0,0,'TO HOP NLAN'!E29*'TS-PILE'!$E$57/SUMSQ('TS-PILE'!$E$56:$E$75))+IF(SUMSQ('TS-PILE'!$D$56:$D$75)=0,0,'TO HOP NLAN'!F29*'TS-PILE'!$D$57/SUMSQ('TS-PILE'!$D$56:$D$75))),IF('TS-PILE'!$B$58="",1E+99,'TO HOP NLAN'!D29/ncoc+IF(SUMSQ('TS-PILE'!$E$56:$E$75)=0,0,'TO HOP NLAN'!E29*'TS-PILE'!$E$58/SUMSQ('TS-PILE'!$E$56:$E$75))+IF(SUMSQ('TS-PILE'!$D$56:$D$75)=0,0,'TO HOP NLAN'!F29*'TS-PILE'!$D$58/SUMSQ('TS-PILE'!$D$56:$D$75))),IF('TS-PILE'!$B$59="",1E+99,'TO HOP NLAN'!D29/ncoc+IF(SUMSQ('TS-PILE'!$E$56:$E$75)=0,0,'TO HOP NLAN'!E29*'TS-PILE'!$E$59/SUMSQ('TS-PILE'!$E$56:$E$75))+IF(SUMSQ('TS-PILE'!$D$56:$D$75)=0,0,'TO HOP NLAN'!F29*'TS-PILE'!$D$59/SUMSQ('TS-PILE'!$D$56:$D$75))),IF('TS-PILE'!$B$60="",1E+99,'TO HOP NLAN'!D29/ncoc+IF(SUMSQ('TS-PILE'!$E$56:$E$75)=0,0,'TO HOP NLAN'!E29*'TS-PILE'!$E$60/SUMSQ('TS-PILE'!$E$56:$E$75))+IF(SUMSQ('TS-PILE'!$D$56:$D$75)=0,0,'TO HOP NLAN'!F29*'TS-PILE'!$D$60/SUMSQ('TS-PILE'!$D$56:$D$75))),IF('TS-PILE'!$B$61="",1E+99,'TO HOP NLAN'!D29/ncoc+IF(SUMSQ('TS-PILE'!$E$56:$E$75)=0,0,'TO HOP NLAN'!E29*'TS-PILE'!$E$61/SUMSQ('TS-PILE'!$E$56:$E$75))+IF(SUMSQ('TS-PILE'!$D$56:$D$75)=0,0,'TO HOP NLAN'!F29*'TS-PILE'!$D$61/SUMSQ('TS-PILE'!$D$56:$D$75))),IF('TS-PILE'!$B$62="",1E+99,'TO HOP NLAN'!D29/ncoc+IF(SUMSQ('TS-PILE'!$E$56:$E$75)=0,0,'TO HOP NLAN'!E29*'TS-PILE'!$E$62/SUMSQ('TS-PILE'!$E$56:$E$75))+IF(SUMSQ('TS-PILE'!$D$56:$D$75)=0,0,'TO HOP NLAN'!F29*'TS-PILE'!$D$62/SUMSQ('TS-PILE'!$D$56:$D$75))),IF('TS-PILE'!$B$63="",1E+99,'TO HOP NLAN'!D29/ncoc+IF(SUMSQ('TS-PILE'!$E$56:$E$75)=0,0,'TO HOP NLAN'!E29*'TS-PILE'!$E$63/SUMSQ('TS-PILE'!$E$56:$E$75))+IF(SUMSQ('TS-PILE'!$D$56:$D$75)=0,0,'TO HOP NLAN'!F29*'TS-PILE'!$D$63/SUMSQ('TS-PILE'!$D$56:$D$75))),IF('TS-PILE'!$B$64="",1E+99,'TO HOP NLAN'!D29/ncoc+IF(SUMSQ('TS-PILE'!$E$56:$E$75)=0,0,'TO HOP NLAN'!E29*'TS-PILE'!$E$64/SUMSQ('TS-PILE'!$E$56:$E$75))+IF(SUMSQ('TS-PILE'!$D$56:$D$75)=0,0,'TO HOP NLAN'!F29*'TS-PILE'!$D$64/SUMSQ('TS-PILE'!$D$56:$D$75))),IF('TS-PILE'!$B$65="",1E+99,'TO HOP NLAN'!D29/ncoc+IF(SUMSQ('TS-PILE'!$E$56:$E$75)=0,0,'TO HOP NLAN'!E29*'TS-PILE'!$E$65/SUMSQ('TS-PILE'!$E$56:$E$75))+IF(SUMSQ('TS-PILE'!$D$56:$D$75)=0,0,'TO HOP NLAN'!F29*'TS-PILE'!$D$65/SUMSQ('TS-PILE'!$D$56:$D$75))),IF('TS-PILE'!$B$66="",1E+99,'TO HOP NLAN'!D29/ncoc+IF(SUMSQ('TS-PILE'!$E$56:$E$75)=0,0,'TO HOP NLAN'!E29*'TS-PILE'!$E$66/SUMSQ('TS-PILE'!$E$56:$E$75))+IF(SUMSQ('TS-PILE'!$D$56:$D$75)=0,0,'TO HOP NLAN'!F29*'TS-PILE'!$D$66/SUMSQ('TS-PILE'!$D$56:$D$75))),IF('TS-PILE'!$B$67="",1E+99,'TO HOP NLAN'!D29/ncoc+IF(SUMSQ('TS-PILE'!$E$56:$E$75)=0,0,'TO HOP NLAN'!E29*'TS-PILE'!$E$67/SUMSQ('TS-PILE'!$E$56:$E$75))+IF(SUMSQ('TS-PILE'!$D$56:$D$75)=0,0,'TO HOP NLAN'!F29*'TS-PILE'!$D$67/SUMSQ('TS-PILE'!$D$56:$D$75))),IF('TS-PILE'!$B$68="",1E+99,'TO HOP NLAN'!D29/ncoc+IF(SUMSQ('TS-PILE'!$E$56:$E$75)=0,0,'TO HOP NLAN'!E29*'TS-PILE'!$E$68/SUMSQ('TS-PILE'!$E$56:$E$75))+IF(SUMSQ('TS-PILE'!$D$56:$D$75)=0,0,'TO HOP NLAN'!F29*'TS-PILE'!$D$68/SUMSQ('TS-PILE'!$D$56:$D$75))),IF('TS-PILE'!$B$69="",1E+99,'TO HOP NLAN'!D29/ncoc+IF(SUMSQ('TS-PILE'!$E$56:$E$75)=0,0,'TO HOP NLAN'!E29*'TS-PILE'!$E$69/SUMSQ('TS-PILE'!$E$56:$E$75))+IF(SUMSQ('TS-PILE'!$D$56:$D$75)=0,0,'TO HOP NLAN'!F29*'TS-PILE'!$D$69/SUMSQ('TS-PILE'!$D$56:$D$75))),IF('TS-PILE'!$B$70="",1E+99,'TO HOP NLAN'!D29/ncoc+IF(SUMSQ('TS-PILE'!$E$56:$E$75)=0,0,'TO HOP NLAN'!E29*'TS-PILE'!$E$70/SUMSQ('TS-PILE'!$E$56:$E$75))+IF(SUMSQ('TS-PILE'!$D$56:$D$75)=0,0,'TO HOP NLAN'!F29*'TS-PILE'!$D$70/SUMSQ('TS-PILE'!$D$56:$D$75))),IF('TS-PILE'!$B$71="",1E+99,'TO HOP NLAN'!D29/ncoc+IF(SUMSQ('TS-PILE'!$E$56:$E$75)=0,0,'TO HOP NLAN'!E29*'TS-PILE'!$E$71/SUMSQ('TS-PILE'!$E$56:$E$75))+IF(SUMSQ('TS-PILE'!$D$56:$D$75)=0,0,'TO HOP NLAN'!F29*'TS-PILE'!$D$71/SUMSQ('TS-PILE'!$D$56:$D$75))),IF('TS-PILE'!$B$72="",1E+99,'TO HOP NLAN'!D29/ncoc+IF(SUMSQ('TS-PILE'!$E$56:$E$75)=0,0,'TO HOP NLAN'!E29*'TS-PILE'!$E$72/SUMSQ('TS-PILE'!$E$56:$E$75))+IF(SUMSQ('TS-PILE'!$D$56:$D$75)=0,0,'TO HOP NLAN'!F29*'TS-PILE'!$D$72/SUMSQ('TS-PILE'!$D$56:$D$75))),IF('TS-PILE'!$B$73="",1E+99,'TO HOP NLAN'!D29/ncoc+IF(SUMSQ('TS-PILE'!$E$56:$E$75)=0,0,'TO HOP NLAN'!E29*'TS-PILE'!$E$73/SUMSQ('TS-PILE'!$E$56:$E$75))+IF(SUMSQ('TS-PILE'!$D$56:$D$75)=0,0,'TO HOP NLAN'!F29*'TS-PILE'!$D$73/SUMSQ('TS-PILE'!$D$56:$D$75))),IF('TS-PILE'!$B$74="",1E+99,'TO HOP NLAN'!D29/ncoc+IF(SUMSQ('TS-PILE'!$E$56:$E$75)=0,0,'TO HOP NLAN'!E29*'TS-PILE'!$E$74/SUMSQ('TS-PILE'!$E$56:$E$75))+IF(SUMSQ('TS-PILE'!$D$56:$D$75)=0,0,'TO HOP NLAN'!F29*'TS-PILE'!$D$74/SUMSQ('TS-PILE'!$D$56:$D$75))),IF('TS-PILE'!$B$75="",1E+99,'TO HOP NLAN'!D29/ncoc+IF(SUMSQ('TS-PILE'!$E$56:$E$75)=0,0,'TO HOP NLAN'!E29*'TS-PILE'!$E$75/SUMSQ('TS-PILE'!$E$56:$E$75))+IF(SUMSQ('TS-PILE'!$D$56:$D$75)=0,0,'TO HOP NLAN'!F29*'TS-PILE'!$D$75/SUMSQ('TS-PILE'!$D$56:$D$75)))))</f>
        <v>0</v>
      </c>
      <c r="E29" s="46">
        <f t="shared" si="0"/>
        <v>-9.9999999999999997E+98</v>
      </c>
      <c r="F29" s="46">
        <f t="shared" si="1"/>
        <v>9.9999999999999997E+98</v>
      </c>
      <c r="G29" s="46">
        <f t="shared" si="2"/>
        <v>-9.9999999999999997E+98</v>
      </c>
      <c r="H29" s="46">
        <f t="shared" si="3"/>
        <v>9.9999999999999997E+98</v>
      </c>
    </row>
    <row r="30" spans="1:8" x14ac:dyDescent="0.3">
      <c r="A30" s="40" t="str">
        <f>'TO HOP NLAN'!A30</f>
        <v/>
      </c>
      <c r="B30" s="40" t="str">
        <f>'TO HOP NLAN'!L30</f>
        <v>SERVICE</v>
      </c>
      <c r="C30" s="46">
        <f>IF(A30="",0,MAX(IF('TS-PILE'!$B$56="",-1E+99,'TO HOP NLAN'!D30/ncoc+IF(SUMSQ('TS-PILE'!$E$56:$E$75)=0,0,'TO HOP NLAN'!E30*'TS-PILE'!$E$56/SUMSQ('TS-PILE'!$E$56:$E$75))+IF(SUMSQ('TS-PILE'!$D$56:$D$75)=0,0,'TO HOP NLAN'!F30*'TS-PILE'!$D$56/SUMSQ('TS-PILE'!$D$56:$D$75))),IF('TS-PILE'!$B$57="",-1E+99,'TO HOP NLAN'!D30/ncoc+IF(SUMSQ('TS-PILE'!$E$56:$E$75)=0,0,'TO HOP NLAN'!E30*'TS-PILE'!$E$57/SUMSQ('TS-PILE'!$E$56:$E$75))+IF(SUMSQ('TS-PILE'!$D$56:$D$75)=0,0,'TO HOP NLAN'!F30*'TS-PILE'!$D$57/SUMSQ('TS-PILE'!$D$56:$D$75))),IF('TS-PILE'!$B$58="",-1E+99,'TO HOP NLAN'!D30/ncoc+IF(SUMSQ('TS-PILE'!$E$56:$E$75)=0,0,'TO HOP NLAN'!E30*'TS-PILE'!$E$58/SUMSQ('TS-PILE'!$E$56:$E$75))+IF(SUMSQ('TS-PILE'!$D$56:$D$75)=0,0,'TO HOP NLAN'!F30*'TS-PILE'!$D$58/SUMSQ('TS-PILE'!$D$56:$D$75))),IF('TS-PILE'!$B$59="",-1E+99,'TO HOP NLAN'!D30/ncoc+IF(SUMSQ('TS-PILE'!$E$56:$E$75)=0,0,'TO HOP NLAN'!E30*'TS-PILE'!$E$59/SUMSQ('TS-PILE'!$E$56:$E$75))+IF(SUMSQ('TS-PILE'!$D$56:$D$75)=0,0,'TO HOP NLAN'!F30*'TS-PILE'!$D$59/SUMSQ('TS-PILE'!$D$56:$D$75))),IF('TS-PILE'!$B$60="",-1E+99,'TO HOP NLAN'!D30/ncoc+IF(SUMSQ('TS-PILE'!$E$56:$E$75)=0,0,'TO HOP NLAN'!E30*'TS-PILE'!$E$60/SUMSQ('TS-PILE'!$E$56:$E$75))+IF(SUMSQ('TS-PILE'!$D$56:$D$75)=0,0,'TO HOP NLAN'!F30*'TS-PILE'!$D$60/SUMSQ('TS-PILE'!$D$56:$D$75))),IF('TS-PILE'!$B$61="",-1E+99,'TO HOP NLAN'!D30/ncoc+IF(SUMSQ('TS-PILE'!$E$56:$E$75)=0,0,'TO HOP NLAN'!E30*'TS-PILE'!$E$61/SUMSQ('TS-PILE'!$E$56:$E$75))+IF(SUMSQ('TS-PILE'!$D$56:$D$75)=0,0,'TO HOP NLAN'!F30*'TS-PILE'!$D$61/SUMSQ('TS-PILE'!$D$56:$D$75))),IF('TS-PILE'!$B$62="",-1E+99,'TO HOP NLAN'!D30/ncoc+IF(SUMSQ('TS-PILE'!$E$56:$E$75)=0,0,'TO HOP NLAN'!E30*'TS-PILE'!$E$62/SUMSQ('TS-PILE'!$E$56:$E$75))+IF(SUMSQ('TS-PILE'!$D$56:$D$75)=0,0,'TO HOP NLAN'!F30*'TS-PILE'!$D$62/SUMSQ('TS-PILE'!$D$56:$D$75))),IF('TS-PILE'!$B$63="",-1E+99,'TO HOP NLAN'!D30/ncoc+IF(SUMSQ('TS-PILE'!$E$56:$E$75)=0,0,'TO HOP NLAN'!E30*'TS-PILE'!$E$63/SUMSQ('TS-PILE'!$E$56:$E$75))+IF(SUMSQ('TS-PILE'!$D$56:$D$75)=0,0,'TO HOP NLAN'!F30*'TS-PILE'!$D$63/SUMSQ('TS-PILE'!$D$56:$D$75))),IF('TS-PILE'!$B$64="",-1E+99,'TO HOP NLAN'!D30/ncoc+IF(SUMSQ('TS-PILE'!$E$56:$E$75)=0,0,'TO HOP NLAN'!E30*'TS-PILE'!$E$64/SUMSQ('TS-PILE'!$E$56:$E$75))+IF(SUMSQ('TS-PILE'!$D$56:$D$75)=0,0,'TO HOP NLAN'!F30*'TS-PILE'!$D$64/SUMSQ('TS-PILE'!$D$56:$D$75))),IF('TS-PILE'!$B$65="",-1E+99,'TO HOP NLAN'!D30/ncoc+IF(SUMSQ('TS-PILE'!$E$56:$E$75)=0,0,'TO HOP NLAN'!E30*'TS-PILE'!$E$65/SUMSQ('TS-PILE'!$E$56:$E$75))+IF(SUMSQ('TS-PILE'!$D$56:$D$75)=0,0,'TO HOP NLAN'!F30*'TS-PILE'!$D$65/SUMSQ('TS-PILE'!$D$56:$D$75))),IF('TS-PILE'!$B$66="",-1E+99,'TO HOP NLAN'!D30/ncoc+IF(SUMSQ('TS-PILE'!$E$56:$E$75)=0,0,'TO HOP NLAN'!E30*'TS-PILE'!$E$66/SUMSQ('TS-PILE'!$E$56:$E$75))+IF(SUMSQ('TS-PILE'!$D$56:$D$75)=0,0,'TO HOP NLAN'!F30*'TS-PILE'!$D$66/SUMSQ('TS-PILE'!$D$56:$D$75))),IF('TS-PILE'!$B$67="",-1E+99,'TO HOP NLAN'!D30/ncoc+IF(SUMSQ('TS-PILE'!$E$56:$E$75)=0,0,'TO HOP NLAN'!E30*'TS-PILE'!$E$67/SUMSQ('TS-PILE'!$E$56:$E$75))+IF(SUMSQ('TS-PILE'!$D$56:$D$75)=0,0,'TO HOP NLAN'!F30*'TS-PILE'!$D$67/SUMSQ('TS-PILE'!$D$56:$D$75))),IF('TS-PILE'!$B$68="",-1E+99,'TO HOP NLAN'!D30/ncoc+IF(SUMSQ('TS-PILE'!$E$56:$E$75)=0,0,'TO HOP NLAN'!E30*'TS-PILE'!$E$68/SUMSQ('TS-PILE'!$E$56:$E$75))+IF(SUMSQ('TS-PILE'!$D$56:$D$75)=0,0,'TO HOP NLAN'!F30*'TS-PILE'!$D$68/SUMSQ('TS-PILE'!$D$56:$D$75))),IF('TS-PILE'!$B$69="",-1E+99,'TO HOP NLAN'!D30/ncoc+IF(SUMSQ('TS-PILE'!$E$56:$E$75)=0,0,'TO HOP NLAN'!E30*'TS-PILE'!$E$69/SUMSQ('TS-PILE'!$E$56:$E$75))+IF(SUMSQ('TS-PILE'!$D$56:$D$75)=0,0,'TO HOP NLAN'!F30*'TS-PILE'!$D$69/SUMSQ('TS-PILE'!$D$56:$D$75))),IF('TS-PILE'!$B$70="",-1E+99,'TO HOP NLAN'!D30/ncoc+IF(SUMSQ('TS-PILE'!$E$56:$E$75)=0,0,'TO HOP NLAN'!E30*'TS-PILE'!$E$70/SUMSQ('TS-PILE'!$E$56:$E$75))+IF(SUMSQ('TS-PILE'!$D$56:$D$75)=0,0,'TO HOP NLAN'!F30*'TS-PILE'!$D$70/SUMSQ('TS-PILE'!$D$56:$D$75))),IF('TS-PILE'!$B$71="",-1E+99,'TO HOP NLAN'!D30/ncoc+IF(SUMSQ('TS-PILE'!$E$56:$E$75)=0,0,'TO HOP NLAN'!E30*'TS-PILE'!$E$71/SUMSQ('TS-PILE'!$E$56:$E$75))+IF(SUMSQ('TS-PILE'!$D$56:$D$75)=0,0,'TO HOP NLAN'!F30*'TS-PILE'!$D$71/SUMSQ('TS-PILE'!$D$56:$D$75))),IF('TS-PILE'!$B$72="",-1E+99,'TO HOP NLAN'!D30/ncoc+IF(SUMSQ('TS-PILE'!$E$56:$E$75)=0,0,'TO HOP NLAN'!E30*'TS-PILE'!$E$72/SUMSQ('TS-PILE'!$E$56:$E$75))+IF(SUMSQ('TS-PILE'!$D$56:$D$75)=0,0,'TO HOP NLAN'!F30*'TS-PILE'!$D$72/SUMSQ('TS-PILE'!$D$56:$D$75))),IF('TS-PILE'!$B$73="",-1E+99,'TO HOP NLAN'!D30/ncoc+IF(SUMSQ('TS-PILE'!$E$56:$E$75)=0,0,'TO HOP NLAN'!E30*'TS-PILE'!$E$73/SUMSQ('TS-PILE'!$E$56:$E$75))+IF(SUMSQ('TS-PILE'!$D$56:$D$75)=0,0,'TO HOP NLAN'!F30*'TS-PILE'!$D$73/SUMSQ('TS-PILE'!$D$56:$D$75))),IF('TS-PILE'!$B$74="",-1E+99,'TO HOP NLAN'!D30/ncoc+IF(SUMSQ('TS-PILE'!$E$56:$E$75)=0,0,'TO HOP NLAN'!E30*'TS-PILE'!$E$74/SUMSQ('TS-PILE'!$E$56:$E$75))+IF(SUMSQ('TS-PILE'!$D$56:$D$75)=0,0,'TO HOP NLAN'!F30*'TS-PILE'!$D$74/SUMSQ('TS-PILE'!$D$56:$D$75))),IF('TS-PILE'!$B$75="",-1E+99,'TO HOP NLAN'!D30/ncoc+IF(SUMSQ('TS-PILE'!$E$56:$E$75)=0,0,'TO HOP NLAN'!E30*'TS-PILE'!$E$75/SUMSQ('TS-PILE'!$E$56:$E$75))+IF(SUMSQ('TS-PILE'!$D$56:$D$75)=0,0,'TO HOP NLAN'!F30*'TS-PILE'!$D$75/SUMSQ('TS-PILE'!$D$56:$D$75)))))</f>
        <v>0</v>
      </c>
      <c r="D30" s="46">
        <f>IF(A30="",0,MIN(IF('TS-PILE'!$B$56="",1E+99,'TO HOP NLAN'!D30/ncoc+IF(SUMSQ('TS-PILE'!$E$56:$E$75)=0,0,'TO HOP NLAN'!E30*'TS-PILE'!$E$56/SUMSQ('TS-PILE'!$E$56:$E$75))+IF(SUMSQ('TS-PILE'!$D$56:$D$75)=0,0,'TO HOP NLAN'!F30*'TS-PILE'!$D$56/SUMSQ('TS-PILE'!$D$56:$D$75))),IF('TS-PILE'!$B$57="",1E+99,'TO HOP NLAN'!D30/ncoc+IF(SUMSQ('TS-PILE'!$E$56:$E$75)=0,0,'TO HOP NLAN'!E30*'TS-PILE'!$E$57/SUMSQ('TS-PILE'!$E$56:$E$75))+IF(SUMSQ('TS-PILE'!$D$56:$D$75)=0,0,'TO HOP NLAN'!F30*'TS-PILE'!$D$57/SUMSQ('TS-PILE'!$D$56:$D$75))),IF('TS-PILE'!$B$58="",1E+99,'TO HOP NLAN'!D30/ncoc+IF(SUMSQ('TS-PILE'!$E$56:$E$75)=0,0,'TO HOP NLAN'!E30*'TS-PILE'!$E$58/SUMSQ('TS-PILE'!$E$56:$E$75))+IF(SUMSQ('TS-PILE'!$D$56:$D$75)=0,0,'TO HOP NLAN'!F30*'TS-PILE'!$D$58/SUMSQ('TS-PILE'!$D$56:$D$75))),IF('TS-PILE'!$B$59="",1E+99,'TO HOP NLAN'!D30/ncoc+IF(SUMSQ('TS-PILE'!$E$56:$E$75)=0,0,'TO HOP NLAN'!E30*'TS-PILE'!$E$59/SUMSQ('TS-PILE'!$E$56:$E$75))+IF(SUMSQ('TS-PILE'!$D$56:$D$75)=0,0,'TO HOP NLAN'!F30*'TS-PILE'!$D$59/SUMSQ('TS-PILE'!$D$56:$D$75))),IF('TS-PILE'!$B$60="",1E+99,'TO HOP NLAN'!D30/ncoc+IF(SUMSQ('TS-PILE'!$E$56:$E$75)=0,0,'TO HOP NLAN'!E30*'TS-PILE'!$E$60/SUMSQ('TS-PILE'!$E$56:$E$75))+IF(SUMSQ('TS-PILE'!$D$56:$D$75)=0,0,'TO HOP NLAN'!F30*'TS-PILE'!$D$60/SUMSQ('TS-PILE'!$D$56:$D$75))),IF('TS-PILE'!$B$61="",1E+99,'TO HOP NLAN'!D30/ncoc+IF(SUMSQ('TS-PILE'!$E$56:$E$75)=0,0,'TO HOP NLAN'!E30*'TS-PILE'!$E$61/SUMSQ('TS-PILE'!$E$56:$E$75))+IF(SUMSQ('TS-PILE'!$D$56:$D$75)=0,0,'TO HOP NLAN'!F30*'TS-PILE'!$D$61/SUMSQ('TS-PILE'!$D$56:$D$75))),IF('TS-PILE'!$B$62="",1E+99,'TO HOP NLAN'!D30/ncoc+IF(SUMSQ('TS-PILE'!$E$56:$E$75)=0,0,'TO HOP NLAN'!E30*'TS-PILE'!$E$62/SUMSQ('TS-PILE'!$E$56:$E$75))+IF(SUMSQ('TS-PILE'!$D$56:$D$75)=0,0,'TO HOP NLAN'!F30*'TS-PILE'!$D$62/SUMSQ('TS-PILE'!$D$56:$D$75))),IF('TS-PILE'!$B$63="",1E+99,'TO HOP NLAN'!D30/ncoc+IF(SUMSQ('TS-PILE'!$E$56:$E$75)=0,0,'TO HOP NLAN'!E30*'TS-PILE'!$E$63/SUMSQ('TS-PILE'!$E$56:$E$75))+IF(SUMSQ('TS-PILE'!$D$56:$D$75)=0,0,'TO HOP NLAN'!F30*'TS-PILE'!$D$63/SUMSQ('TS-PILE'!$D$56:$D$75))),IF('TS-PILE'!$B$64="",1E+99,'TO HOP NLAN'!D30/ncoc+IF(SUMSQ('TS-PILE'!$E$56:$E$75)=0,0,'TO HOP NLAN'!E30*'TS-PILE'!$E$64/SUMSQ('TS-PILE'!$E$56:$E$75))+IF(SUMSQ('TS-PILE'!$D$56:$D$75)=0,0,'TO HOP NLAN'!F30*'TS-PILE'!$D$64/SUMSQ('TS-PILE'!$D$56:$D$75))),IF('TS-PILE'!$B$65="",1E+99,'TO HOP NLAN'!D30/ncoc+IF(SUMSQ('TS-PILE'!$E$56:$E$75)=0,0,'TO HOP NLAN'!E30*'TS-PILE'!$E$65/SUMSQ('TS-PILE'!$E$56:$E$75))+IF(SUMSQ('TS-PILE'!$D$56:$D$75)=0,0,'TO HOP NLAN'!F30*'TS-PILE'!$D$65/SUMSQ('TS-PILE'!$D$56:$D$75))),IF('TS-PILE'!$B$66="",1E+99,'TO HOP NLAN'!D30/ncoc+IF(SUMSQ('TS-PILE'!$E$56:$E$75)=0,0,'TO HOP NLAN'!E30*'TS-PILE'!$E$66/SUMSQ('TS-PILE'!$E$56:$E$75))+IF(SUMSQ('TS-PILE'!$D$56:$D$75)=0,0,'TO HOP NLAN'!F30*'TS-PILE'!$D$66/SUMSQ('TS-PILE'!$D$56:$D$75))),IF('TS-PILE'!$B$67="",1E+99,'TO HOP NLAN'!D30/ncoc+IF(SUMSQ('TS-PILE'!$E$56:$E$75)=0,0,'TO HOP NLAN'!E30*'TS-PILE'!$E$67/SUMSQ('TS-PILE'!$E$56:$E$75))+IF(SUMSQ('TS-PILE'!$D$56:$D$75)=0,0,'TO HOP NLAN'!F30*'TS-PILE'!$D$67/SUMSQ('TS-PILE'!$D$56:$D$75))),IF('TS-PILE'!$B$68="",1E+99,'TO HOP NLAN'!D30/ncoc+IF(SUMSQ('TS-PILE'!$E$56:$E$75)=0,0,'TO HOP NLAN'!E30*'TS-PILE'!$E$68/SUMSQ('TS-PILE'!$E$56:$E$75))+IF(SUMSQ('TS-PILE'!$D$56:$D$75)=0,0,'TO HOP NLAN'!F30*'TS-PILE'!$D$68/SUMSQ('TS-PILE'!$D$56:$D$75))),IF('TS-PILE'!$B$69="",1E+99,'TO HOP NLAN'!D30/ncoc+IF(SUMSQ('TS-PILE'!$E$56:$E$75)=0,0,'TO HOP NLAN'!E30*'TS-PILE'!$E$69/SUMSQ('TS-PILE'!$E$56:$E$75))+IF(SUMSQ('TS-PILE'!$D$56:$D$75)=0,0,'TO HOP NLAN'!F30*'TS-PILE'!$D$69/SUMSQ('TS-PILE'!$D$56:$D$75))),IF('TS-PILE'!$B$70="",1E+99,'TO HOP NLAN'!D30/ncoc+IF(SUMSQ('TS-PILE'!$E$56:$E$75)=0,0,'TO HOP NLAN'!E30*'TS-PILE'!$E$70/SUMSQ('TS-PILE'!$E$56:$E$75))+IF(SUMSQ('TS-PILE'!$D$56:$D$75)=0,0,'TO HOP NLAN'!F30*'TS-PILE'!$D$70/SUMSQ('TS-PILE'!$D$56:$D$75))),IF('TS-PILE'!$B$71="",1E+99,'TO HOP NLAN'!D30/ncoc+IF(SUMSQ('TS-PILE'!$E$56:$E$75)=0,0,'TO HOP NLAN'!E30*'TS-PILE'!$E$71/SUMSQ('TS-PILE'!$E$56:$E$75))+IF(SUMSQ('TS-PILE'!$D$56:$D$75)=0,0,'TO HOP NLAN'!F30*'TS-PILE'!$D$71/SUMSQ('TS-PILE'!$D$56:$D$75))),IF('TS-PILE'!$B$72="",1E+99,'TO HOP NLAN'!D30/ncoc+IF(SUMSQ('TS-PILE'!$E$56:$E$75)=0,0,'TO HOP NLAN'!E30*'TS-PILE'!$E$72/SUMSQ('TS-PILE'!$E$56:$E$75))+IF(SUMSQ('TS-PILE'!$D$56:$D$75)=0,0,'TO HOP NLAN'!F30*'TS-PILE'!$D$72/SUMSQ('TS-PILE'!$D$56:$D$75))),IF('TS-PILE'!$B$73="",1E+99,'TO HOP NLAN'!D30/ncoc+IF(SUMSQ('TS-PILE'!$E$56:$E$75)=0,0,'TO HOP NLAN'!E30*'TS-PILE'!$E$73/SUMSQ('TS-PILE'!$E$56:$E$75))+IF(SUMSQ('TS-PILE'!$D$56:$D$75)=0,0,'TO HOP NLAN'!F30*'TS-PILE'!$D$73/SUMSQ('TS-PILE'!$D$56:$D$75))),IF('TS-PILE'!$B$74="",1E+99,'TO HOP NLAN'!D30/ncoc+IF(SUMSQ('TS-PILE'!$E$56:$E$75)=0,0,'TO HOP NLAN'!E30*'TS-PILE'!$E$74/SUMSQ('TS-PILE'!$E$56:$E$75))+IF(SUMSQ('TS-PILE'!$D$56:$D$75)=0,0,'TO HOP NLAN'!F30*'TS-PILE'!$D$74/SUMSQ('TS-PILE'!$D$56:$D$75))),IF('TS-PILE'!$B$75="",1E+99,'TO HOP NLAN'!D30/ncoc+IF(SUMSQ('TS-PILE'!$E$56:$E$75)=0,0,'TO HOP NLAN'!E30*'TS-PILE'!$E$75/SUMSQ('TS-PILE'!$E$56:$E$75))+IF(SUMSQ('TS-PILE'!$D$56:$D$75)=0,0,'TO HOP NLAN'!F30*'TS-PILE'!$D$75/SUMSQ('TS-PILE'!$D$56:$D$75)))))</f>
        <v>0</v>
      </c>
      <c r="E30" s="46">
        <f t="shared" si="0"/>
        <v>-9.9999999999999997E+98</v>
      </c>
      <c r="F30" s="46">
        <f t="shared" si="1"/>
        <v>9.9999999999999997E+98</v>
      </c>
      <c r="G30" s="46">
        <f t="shared" si="2"/>
        <v>-9.9999999999999997E+98</v>
      </c>
      <c r="H30" s="46">
        <f t="shared" si="3"/>
        <v>9.9999999999999997E+98</v>
      </c>
    </row>
    <row r="31" spans="1:8" x14ac:dyDescent="0.3">
      <c r="A31" s="40" t="str">
        <f>'TO HOP NLAN'!A31</f>
        <v/>
      </c>
      <c r="B31" s="40" t="str">
        <f>'TO HOP NLAN'!L31</f>
        <v>SERVICE</v>
      </c>
      <c r="C31" s="46">
        <f>IF(A31="",0,MAX(IF('TS-PILE'!$B$56="",-1E+99,'TO HOP NLAN'!D31/ncoc+IF(SUMSQ('TS-PILE'!$E$56:$E$75)=0,0,'TO HOP NLAN'!E31*'TS-PILE'!$E$56/SUMSQ('TS-PILE'!$E$56:$E$75))+IF(SUMSQ('TS-PILE'!$D$56:$D$75)=0,0,'TO HOP NLAN'!F31*'TS-PILE'!$D$56/SUMSQ('TS-PILE'!$D$56:$D$75))),IF('TS-PILE'!$B$57="",-1E+99,'TO HOP NLAN'!D31/ncoc+IF(SUMSQ('TS-PILE'!$E$56:$E$75)=0,0,'TO HOP NLAN'!E31*'TS-PILE'!$E$57/SUMSQ('TS-PILE'!$E$56:$E$75))+IF(SUMSQ('TS-PILE'!$D$56:$D$75)=0,0,'TO HOP NLAN'!F31*'TS-PILE'!$D$57/SUMSQ('TS-PILE'!$D$56:$D$75))),IF('TS-PILE'!$B$58="",-1E+99,'TO HOP NLAN'!D31/ncoc+IF(SUMSQ('TS-PILE'!$E$56:$E$75)=0,0,'TO HOP NLAN'!E31*'TS-PILE'!$E$58/SUMSQ('TS-PILE'!$E$56:$E$75))+IF(SUMSQ('TS-PILE'!$D$56:$D$75)=0,0,'TO HOP NLAN'!F31*'TS-PILE'!$D$58/SUMSQ('TS-PILE'!$D$56:$D$75))),IF('TS-PILE'!$B$59="",-1E+99,'TO HOP NLAN'!D31/ncoc+IF(SUMSQ('TS-PILE'!$E$56:$E$75)=0,0,'TO HOP NLAN'!E31*'TS-PILE'!$E$59/SUMSQ('TS-PILE'!$E$56:$E$75))+IF(SUMSQ('TS-PILE'!$D$56:$D$75)=0,0,'TO HOP NLAN'!F31*'TS-PILE'!$D$59/SUMSQ('TS-PILE'!$D$56:$D$75))),IF('TS-PILE'!$B$60="",-1E+99,'TO HOP NLAN'!D31/ncoc+IF(SUMSQ('TS-PILE'!$E$56:$E$75)=0,0,'TO HOP NLAN'!E31*'TS-PILE'!$E$60/SUMSQ('TS-PILE'!$E$56:$E$75))+IF(SUMSQ('TS-PILE'!$D$56:$D$75)=0,0,'TO HOP NLAN'!F31*'TS-PILE'!$D$60/SUMSQ('TS-PILE'!$D$56:$D$75))),IF('TS-PILE'!$B$61="",-1E+99,'TO HOP NLAN'!D31/ncoc+IF(SUMSQ('TS-PILE'!$E$56:$E$75)=0,0,'TO HOP NLAN'!E31*'TS-PILE'!$E$61/SUMSQ('TS-PILE'!$E$56:$E$75))+IF(SUMSQ('TS-PILE'!$D$56:$D$75)=0,0,'TO HOP NLAN'!F31*'TS-PILE'!$D$61/SUMSQ('TS-PILE'!$D$56:$D$75))),IF('TS-PILE'!$B$62="",-1E+99,'TO HOP NLAN'!D31/ncoc+IF(SUMSQ('TS-PILE'!$E$56:$E$75)=0,0,'TO HOP NLAN'!E31*'TS-PILE'!$E$62/SUMSQ('TS-PILE'!$E$56:$E$75))+IF(SUMSQ('TS-PILE'!$D$56:$D$75)=0,0,'TO HOP NLAN'!F31*'TS-PILE'!$D$62/SUMSQ('TS-PILE'!$D$56:$D$75))),IF('TS-PILE'!$B$63="",-1E+99,'TO HOP NLAN'!D31/ncoc+IF(SUMSQ('TS-PILE'!$E$56:$E$75)=0,0,'TO HOP NLAN'!E31*'TS-PILE'!$E$63/SUMSQ('TS-PILE'!$E$56:$E$75))+IF(SUMSQ('TS-PILE'!$D$56:$D$75)=0,0,'TO HOP NLAN'!F31*'TS-PILE'!$D$63/SUMSQ('TS-PILE'!$D$56:$D$75))),IF('TS-PILE'!$B$64="",-1E+99,'TO HOP NLAN'!D31/ncoc+IF(SUMSQ('TS-PILE'!$E$56:$E$75)=0,0,'TO HOP NLAN'!E31*'TS-PILE'!$E$64/SUMSQ('TS-PILE'!$E$56:$E$75))+IF(SUMSQ('TS-PILE'!$D$56:$D$75)=0,0,'TO HOP NLAN'!F31*'TS-PILE'!$D$64/SUMSQ('TS-PILE'!$D$56:$D$75))),IF('TS-PILE'!$B$65="",-1E+99,'TO HOP NLAN'!D31/ncoc+IF(SUMSQ('TS-PILE'!$E$56:$E$75)=0,0,'TO HOP NLAN'!E31*'TS-PILE'!$E$65/SUMSQ('TS-PILE'!$E$56:$E$75))+IF(SUMSQ('TS-PILE'!$D$56:$D$75)=0,0,'TO HOP NLAN'!F31*'TS-PILE'!$D$65/SUMSQ('TS-PILE'!$D$56:$D$75))),IF('TS-PILE'!$B$66="",-1E+99,'TO HOP NLAN'!D31/ncoc+IF(SUMSQ('TS-PILE'!$E$56:$E$75)=0,0,'TO HOP NLAN'!E31*'TS-PILE'!$E$66/SUMSQ('TS-PILE'!$E$56:$E$75))+IF(SUMSQ('TS-PILE'!$D$56:$D$75)=0,0,'TO HOP NLAN'!F31*'TS-PILE'!$D$66/SUMSQ('TS-PILE'!$D$56:$D$75))),IF('TS-PILE'!$B$67="",-1E+99,'TO HOP NLAN'!D31/ncoc+IF(SUMSQ('TS-PILE'!$E$56:$E$75)=0,0,'TO HOP NLAN'!E31*'TS-PILE'!$E$67/SUMSQ('TS-PILE'!$E$56:$E$75))+IF(SUMSQ('TS-PILE'!$D$56:$D$75)=0,0,'TO HOP NLAN'!F31*'TS-PILE'!$D$67/SUMSQ('TS-PILE'!$D$56:$D$75))),IF('TS-PILE'!$B$68="",-1E+99,'TO HOP NLAN'!D31/ncoc+IF(SUMSQ('TS-PILE'!$E$56:$E$75)=0,0,'TO HOP NLAN'!E31*'TS-PILE'!$E$68/SUMSQ('TS-PILE'!$E$56:$E$75))+IF(SUMSQ('TS-PILE'!$D$56:$D$75)=0,0,'TO HOP NLAN'!F31*'TS-PILE'!$D$68/SUMSQ('TS-PILE'!$D$56:$D$75))),IF('TS-PILE'!$B$69="",-1E+99,'TO HOP NLAN'!D31/ncoc+IF(SUMSQ('TS-PILE'!$E$56:$E$75)=0,0,'TO HOP NLAN'!E31*'TS-PILE'!$E$69/SUMSQ('TS-PILE'!$E$56:$E$75))+IF(SUMSQ('TS-PILE'!$D$56:$D$75)=0,0,'TO HOP NLAN'!F31*'TS-PILE'!$D$69/SUMSQ('TS-PILE'!$D$56:$D$75))),IF('TS-PILE'!$B$70="",-1E+99,'TO HOP NLAN'!D31/ncoc+IF(SUMSQ('TS-PILE'!$E$56:$E$75)=0,0,'TO HOP NLAN'!E31*'TS-PILE'!$E$70/SUMSQ('TS-PILE'!$E$56:$E$75))+IF(SUMSQ('TS-PILE'!$D$56:$D$75)=0,0,'TO HOP NLAN'!F31*'TS-PILE'!$D$70/SUMSQ('TS-PILE'!$D$56:$D$75))),IF('TS-PILE'!$B$71="",-1E+99,'TO HOP NLAN'!D31/ncoc+IF(SUMSQ('TS-PILE'!$E$56:$E$75)=0,0,'TO HOP NLAN'!E31*'TS-PILE'!$E$71/SUMSQ('TS-PILE'!$E$56:$E$75))+IF(SUMSQ('TS-PILE'!$D$56:$D$75)=0,0,'TO HOP NLAN'!F31*'TS-PILE'!$D$71/SUMSQ('TS-PILE'!$D$56:$D$75))),IF('TS-PILE'!$B$72="",-1E+99,'TO HOP NLAN'!D31/ncoc+IF(SUMSQ('TS-PILE'!$E$56:$E$75)=0,0,'TO HOP NLAN'!E31*'TS-PILE'!$E$72/SUMSQ('TS-PILE'!$E$56:$E$75))+IF(SUMSQ('TS-PILE'!$D$56:$D$75)=0,0,'TO HOP NLAN'!F31*'TS-PILE'!$D$72/SUMSQ('TS-PILE'!$D$56:$D$75))),IF('TS-PILE'!$B$73="",-1E+99,'TO HOP NLAN'!D31/ncoc+IF(SUMSQ('TS-PILE'!$E$56:$E$75)=0,0,'TO HOP NLAN'!E31*'TS-PILE'!$E$73/SUMSQ('TS-PILE'!$E$56:$E$75))+IF(SUMSQ('TS-PILE'!$D$56:$D$75)=0,0,'TO HOP NLAN'!F31*'TS-PILE'!$D$73/SUMSQ('TS-PILE'!$D$56:$D$75))),IF('TS-PILE'!$B$74="",-1E+99,'TO HOP NLAN'!D31/ncoc+IF(SUMSQ('TS-PILE'!$E$56:$E$75)=0,0,'TO HOP NLAN'!E31*'TS-PILE'!$E$74/SUMSQ('TS-PILE'!$E$56:$E$75))+IF(SUMSQ('TS-PILE'!$D$56:$D$75)=0,0,'TO HOP NLAN'!F31*'TS-PILE'!$D$74/SUMSQ('TS-PILE'!$D$56:$D$75))),IF('TS-PILE'!$B$75="",-1E+99,'TO HOP NLAN'!D31/ncoc+IF(SUMSQ('TS-PILE'!$E$56:$E$75)=0,0,'TO HOP NLAN'!E31*'TS-PILE'!$E$75/SUMSQ('TS-PILE'!$E$56:$E$75))+IF(SUMSQ('TS-PILE'!$D$56:$D$75)=0,0,'TO HOP NLAN'!F31*'TS-PILE'!$D$75/SUMSQ('TS-PILE'!$D$56:$D$75)))))</f>
        <v>0</v>
      </c>
      <c r="D31" s="46">
        <f>IF(A31="",0,MIN(IF('TS-PILE'!$B$56="",1E+99,'TO HOP NLAN'!D31/ncoc+IF(SUMSQ('TS-PILE'!$E$56:$E$75)=0,0,'TO HOP NLAN'!E31*'TS-PILE'!$E$56/SUMSQ('TS-PILE'!$E$56:$E$75))+IF(SUMSQ('TS-PILE'!$D$56:$D$75)=0,0,'TO HOP NLAN'!F31*'TS-PILE'!$D$56/SUMSQ('TS-PILE'!$D$56:$D$75))),IF('TS-PILE'!$B$57="",1E+99,'TO HOP NLAN'!D31/ncoc+IF(SUMSQ('TS-PILE'!$E$56:$E$75)=0,0,'TO HOP NLAN'!E31*'TS-PILE'!$E$57/SUMSQ('TS-PILE'!$E$56:$E$75))+IF(SUMSQ('TS-PILE'!$D$56:$D$75)=0,0,'TO HOP NLAN'!F31*'TS-PILE'!$D$57/SUMSQ('TS-PILE'!$D$56:$D$75))),IF('TS-PILE'!$B$58="",1E+99,'TO HOP NLAN'!D31/ncoc+IF(SUMSQ('TS-PILE'!$E$56:$E$75)=0,0,'TO HOP NLAN'!E31*'TS-PILE'!$E$58/SUMSQ('TS-PILE'!$E$56:$E$75))+IF(SUMSQ('TS-PILE'!$D$56:$D$75)=0,0,'TO HOP NLAN'!F31*'TS-PILE'!$D$58/SUMSQ('TS-PILE'!$D$56:$D$75))),IF('TS-PILE'!$B$59="",1E+99,'TO HOP NLAN'!D31/ncoc+IF(SUMSQ('TS-PILE'!$E$56:$E$75)=0,0,'TO HOP NLAN'!E31*'TS-PILE'!$E$59/SUMSQ('TS-PILE'!$E$56:$E$75))+IF(SUMSQ('TS-PILE'!$D$56:$D$75)=0,0,'TO HOP NLAN'!F31*'TS-PILE'!$D$59/SUMSQ('TS-PILE'!$D$56:$D$75))),IF('TS-PILE'!$B$60="",1E+99,'TO HOP NLAN'!D31/ncoc+IF(SUMSQ('TS-PILE'!$E$56:$E$75)=0,0,'TO HOP NLAN'!E31*'TS-PILE'!$E$60/SUMSQ('TS-PILE'!$E$56:$E$75))+IF(SUMSQ('TS-PILE'!$D$56:$D$75)=0,0,'TO HOP NLAN'!F31*'TS-PILE'!$D$60/SUMSQ('TS-PILE'!$D$56:$D$75))),IF('TS-PILE'!$B$61="",1E+99,'TO HOP NLAN'!D31/ncoc+IF(SUMSQ('TS-PILE'!$E$56:$E$75)=0,0,'TO HOP NLAN'!E31*'TS-PILE'!$E$61/SUMSQ('TS-PILE'!$E$56:$E$75))+IF(SUMSQ('TS-PILE'!$D$56:$D$75)=0,0,'TO HOP NLAN'!F31*'TS-PILE'!$D$61/SUMSQ('TS-PILE'!$D$56:$D$75))),IF('TS-PILE'!$B$62="",1E+99,'TO HOP NLAN'!D31/ncoc+IF(SUMSQ('TS-PILE'!$E$56:$E$75)=0,0,'TO HOP NLAN'!E31*'TS-PILE'!$E$62/SUMSQ('TS-PILE'!$E$56:$E$75))+IF(SUMSQ('TS-PILE'!$D$56:$D$75)=0,0,'TO HOP NLAN'!F31*'TS-PILE'!$D$62/SUMSQ('TS-PILE'!$D$56:$D$75))),IF('TS-PILE'!$B$63="",1E+99,'TO HOP NLAN'!D31/ncoc+IF(SUMSQ('TS-PILE'!$E$56:$E$75)=0,0,'TO HOP NLAN'!E31*'TS-PILE'!$E$63/SUMSQ('TS-PILE'!$E$56:$E$75))+IF(SUMSQ('TS-PILE'!$D$56:$D$75)=0,0,'TO HOP NLAN'!F31*'TS-PILE'!$D$63/SUMSQ('TS-PILE'!$D$56:$D$75))),IF('TS-PILE'!$B$64="",1E+99,'TO HOP NLAN'!D31/ncoc+IF(SUMSQ('TS-PILE'!$E$56:$E$75)=0,0,'TO HOP NLAN'!E31*'TS-PILE'!$E$64/SUMSQ('TS-PILE'!$E$56:$E$75))+IF(SUMSQ('TS-PILE'!$D$56:$D$75)=0,0,'TO HOP NLAN'!F31*'TS-PILE'!$D$64/SUMSQ('TS-PILE'!$D$56:$D$75))),IF('TS-PILE'!$B$65="",1E+99,'TO HOP NLAN'!D31/ncoc+IF(SUMSQ('TS-PILE'!$E$56:$E$75)=0,0,'TO HOP NLAN'!E31*'TS-PILE'!$E$65/SUMSQ('TS-PILE'!$E$56:$E$75))+IF(SUMSQ('TS-PILE'!$D$56:$D$75)=0,0,'TO HOP NLAN'!F31*'TS-PILE'!$D$65/SUMSQ('TS-PILE'!$D$56:$D$75))),IF('TS-PILE'!$B$66="",1E+99,'TO HOP NLAN'!D31/ncoc+IF(SUMSQ('TS-PILE'!$E$56:$E$75)=0,0,'TO HOP NLAN'!E31*'TS-PILE'!$E$66/SUMSQ('TS-PILE'!$E$56:$E$75))+IF(SUMSQ('TS-PILE'!$D$56:$D$75)=0,0,'TO HOP NLAN'!F31*'TS-PILE'!$D$66/SUMSQ('TS-PILE'!$D$56:$D$75))),IF('TS-PILE'!$B$67="",1E+99,'TO HOP NLAN'!D31/ncoc+IF(SUMSQ('TS-PILE'!$E$56:$E$75)=0,0,'TO HOP NLAN'!E31*'TS-PILE'!$E$67/SUMSQ('TS-PILE'!$E$56:$E$75))+IF(SUMSQ('TS-PILE'!$D$56:$D$75)=0,0,'TO HOP NLAN'!F31*'TS-PILE'!$D$67/SUMSQ('TS-PILE'!$D$56:$D$75))),IF('TS-PILE'!$B$68="",1E+99,'TO HOP NLAN'!D31/ncoc+IF(SUMSQ('TS-PILE'!$E$56:$E$75)=0,0,'TO HOP NLAN'!E31*'TS-PILE'!$E$68/SUMSQ('TS-PILE'!$E$56:$E$75))+IF(SUMSQ('TS-PILE'!$D$56:$D$75)=0,0,'TO HOP NLAN'!F31*'TS-PILE'!$D$68/SUMSQ('TS-PILE'!$D$56:$D$75))),IF('TS-PILE'!$B$69="",1E+99,'TO HOP NLAN'!D31/ncoc+IF(SUMSQ('TS-PILE'!$E$56:$E$75)=0,0,'TO HOP NLAN'!E31*'TS-PILE'!$E$69/SUMSQ('TS-PILE'!$E$56:$E$75))+IF(SUMSQ('TS-PILE'!$D$56:$D$75)=0,0,'TO HOP NLAN'!F31*'TS-PILE'!$D$69/SUMSQ('TS-PILE'!$D$56:$D$75))),IF('TS-PILE'!$B$70="",1E+99,'TO HOP NLAN'!D31/ncoc+IF(SUMSQ('TS-PILE'!$E$56:$E$75)=0,0,'TO HOP NLAN'!E31*'TS-PILE'!$E$70/SUMSQ('TS-PILE'!$E$56:$E$75))+IF(SUMSQ('TS-PILE'!$D$56:$D$75)=0,0,'TO HOP NLAN'!F31*'TS-PILE'!$D$70/SUMSQ('TS-PILE'!$D$56:$D$75))),IF('TS-PILE'!$B$71="",1E+99,'TO HOP NLAN'!D31/ncoc+IF(SUMSQ('TS-PILE'!$E$56:$E$75)=0,0,'TO HOP NLAN'!E31*'TS-PILE'!$E$71/SUMSQ('TS-PILE'!$E$56:$E$75))+IF(SUMSQ('TS-PILE'!$D$56:$D$75)=0,0,'TO HOP NLAN'!F31*'TS-PILE'!$D$71/SUMSQ('TS-PILE'!$D$56:$D$75))),IF('TS-PILE'!$B$72="",1E+99,'TO HOP NLAN'!D31/ncoc+IF(SUMSQ('TS-PILE'!$E$56:$E$75)=0,0,'TO HOP NLAN'!E31*'TS-PILE'!$E$72/SUMSQ('TS-PILE'!$E$56:$E$75))+IF(SUMSQ('TS-PILE'!$D$56:$D$75)=0,0,'TO HOP NLAN'!F31*'TS-PILE'!$D$72/SUMSQ('TS-PILE'!$D$56:$D$75))),IF('TS-PILE'!$B$73="",1E+99,'TO HOP NLAN'!D31/ncoc+IF(SUMSQ('TS-PILE'!$E$56:$E$75)=0,0,'TO HOP NLAN'!E31*'TS-PILE'!$E$73/SUMSQ('TS-PILE'!$E$56:$E$75))+IF(SUMSQ('TS-PILE'!$D$56:$D$75)=0,0,'TO HOP NLAN'!F31*'TS-PILE'!$D$73/SUMSQ('TS-PILE'!$D$56:$D$75))),IF('TS-PILE'!$B$74="",1E+99,'TO HOP NLAN'!D31/ncoc+IF(SUMSQ('TS-PILE'!$E$56:$E$75)=0,0,'TO HOP NLAN'!E31*'TS-PILE'!$E$74/SUMSQ('TS-PILE'!$E$56:$E$75))+IF(SUMSQ('TS-PILE'!$D$56:$D$75)=0,0,'TO HOP NLAN'!F31*'TS-PILE'!$D$74/SUMSQ('TS-PILE'!$D$56:$D$75))),IF('TS-PILE'!$B$75="",1E+99,'TO HOP NLAN'!D31/ncoc+IF(SUMSQ('TS-PILE'!$E$56:$E$75)=0,0,'TO HOP NLAN'!E31*'TS-PILE'!$E$75/SUMSQ('TS-PILE'!$E$56:$E$75))+IF(SUMSQ('TS-PILE'!$D$56:$D$75)=0,0,'TO HOP NLAN'!F31*'TS-PILE'!$D$75/SUMSQ('TS-PILE'!$D$56:$D$75)))))</f>
        <v>0</v>
      </c>
      <c r="E31" s="46">
        <f t="shared" si="0"/>
        <v>-9.9999999999999997E+98</v>
      </c>
      <c r="F31" s="46">
        <f t="shared" si="1"/>
        <v>9.9999999999999997E+98</v>
      </c>
      <c r="G31" s="46">
        <f t="shared" si="2"/>
        <v>-9.9999999999999997E+98</v>
      </c>
      <c r="H31" s="46">
        <f t="shared" si="3"/>
        <v>9.9999999999999997E+98</v>
      </c>
    </row>
    <row r="32" spans="1:8" x14ac:dyDescent="0.3">
      <c r="A32" s="40" t="str">
        <f>'TO HOP NLAN'!A32</f>
        <v/>
      </c>
      <c r="B32" s="40" t="str">
        <f>'TO HOP NLAN'!L32</f>
        <v>SERVICE</v>
      </c>
      <c r="C32" s="46">
        <f>IF(A32="",0,MAX(IF('TS-PILE'!$B$56="",-1E+99,'TO HOP NLAN'!D32/ncoc+IF(SUMSQ('TS-PILE'!$E$56:$E$75)=0,0,'TO HOP NLAN'!E32*'TS-PILE'!$E$56/SUMSQ('TS-PILE'!$E$56:$E$75))+IF(SUMSQ('TS-PILE'!$D$56:$D$75)=0,0,'TO HOP NLAN'!F32*'TS-PILE'!$D$56/SUMSQ('TS-PILE'!$D$56:$D$75))),IF('TS-PILE'!$B$57="",-1E+99,'TO HOP NLAN'!D32/ncoc+IF(SUMSQ('TS-PILE'!$E$56:$E$75)=0,0,'TO HOP NLAN'!E32*'TS-PILE'!$E$57/SUMSQ('TS-PILE'!$E$56:$E$75))+IF(SUMSQ('TS-PILE'!$D$56:$D$75)=0,0,'TO HOP NLAN'!F32*'TS-PILE'!$D$57/SUMSQ('TS-PILE'!$D$56:$D$75))),IF('TS-PILE'!$B$58="",-1E+99,'TO HOP NLAN'!D32/ncoc+IF(SUMSQ('TS-PILE'!$E$56:$E$75)=0,0,'TO HOP NLAN'!E32*'TS-PILE'!$E$58/SUMSQ('TS-PILE'!$E$56:$E$75))+IF(SUMSQ('TS-PILE'!$D$56:$D$75)=0,0,'TO HOP NLAN'!F32*'TS-PILE'!$D$58/SUMSQ('TS-PILE'!$D$56:$D$75))),IF('TS-PILE'!$B$59="",-1E+99,'TO HOP NLAN'!D32/ncoc+IF(SUMSQ('TS-PILE'!$E$56:$E$75)=0,0,'TO HOP NLAN'!E32*'TS-PILE'!$E$59/SUMSQ('TS-PILE'!$E$56:$E$75))+IF(SUMSQ('TS-PILE'!$D$56:$D$75)=0,0,'TO HOP NLAN'!F32*'TS-PILE'!$D$59/SUMSQ('TS-PILE'!$D$56:$D$75))),IF('TS-PILE'!$B$60="",-1E+99,'TO HOP NLAN'!D32/ncoc+IF(SUMSQ('TS-PILE'!$E$56:$E$75)=0,0,'TO HOP NLAN'!E32*'TS-PILE'!$E$60/SUMSQ('TS-PILE'!$E$56:$E$75))+IF(SUMSQ('TS-PILE'!$D$56:$D$75)=0,0,'TO HOP NLAN'!F32*'TS-PILE'!$D$60/SUMSQ('TS-PILE'!$D$56:$D$75))),IF('TS-PILE'!$B$61="",-1E+99,'TO HOP NLAN'!D32/ncoc+IF(SUMSQ('TS-PILE'!$E$56:$E$75)=0,0,'TO HOP NLAN'!E32*'TS-PILE'!$E$61/SUMSQ('TS-PILE'!$E$56:$E$75))+IF(SUMSQ('TS-PILE'!$D$56:$D$75)=0,0,'TO HOP NLAN'!F32*'TS-PILE'!$D$61/SUMSQ('TS-PILE'!$D$56:$D$75))),IF('TS-PILE'!$B$62="",-1E+99,'TO HOP NLAN'!D32/ncoc+IF(SUMSQ('TS-PILE'!$E$56:$E$75)=0,0,'TO HOP NLAN'!E32*'TS-PILE'!$E$62/SUMSQ('TS-PILE'!$E$56:$E$75))+IF(SUMSQ('TS-PILE'!$D$56:$D$75)=0,0,'TO HOP NLAN'!F32*'TS-PILE'!$D$62/SUMSQ('TS-PILE'!$D$56:$D$75))),IF('TS-PILE'!$B$63="",-1E+99,'TO HOP NLAN'!D32/ncoc+IF(SUMSQ('TS-PILE'!$E$56:$E$75)=0,0,'TO HOP NLAN'!E32*'TS-PILE'!$E$63/SUMSQ('TS-PILE'!$E$56:$E$75))+IF(SUMSQ('TS-PILE'!$D$56:$D$75)=0,0,'TO HOP NLAN'!F32*'TS-PILE'!$D$63/SUMSQ('TS-PILE'!$D$56:$D$75))),IF('TS-PILE'!$B$64="",-1E+99,'TO HOP NLAN'!D32/ncoc+IF(SUMSQ('TS-PILE'!$E$56:$E$75)=0,0,'TO HOP NLAN'!E32*'TS-PILE'!$E$64/SUMSQ('TS-PILE'!$E$56:$E$75))+IF(SUMSQ('TS-PILE'!$D$56:$D$75)=0,0,'TO HOP NLAN'!F32*'TS-PILE'!$D$64/SUMSQ('TS-PILE'!$D$56:$D$75))),IF('TS-PILE'!$B$65="",-1E+99,'TO HOP NLAN'!D32/ncoc+IF(SUMSQ('TS-PILE'!$E$56:$E$75)=0,0,'TO HOP NLAN'!E32*'TS-PILE'!$E$65/SUMSQ('TS-PILE'!$E$56:$E$75))+IF(SUMSQ('TS-PILE'!$D$56:$D$75)=0,0,'TO HOP NLAN'!F32*'TS-PILE'!$D$65/SUMSQ('TS-PILE'!$D$56:$D$75))),IF('TS-PILE'!$B$66="",-1E+99,'TO HOP NLAN'!D32/ncoc+IF(SUMSQ('TS-PILE'!$E$56:$E$75)=0,0,'TO HOP NLAN'!E32*'TS-PILE'!$E$66/SUMSQ('TS-PILE'!$E$56:$E$75))+IF(SUMSQ('TS-PILE'!$D$56:$D$75)=0,0,'TO HOP NLAN'!F32*'TS-PILE'!$D$66/SUMSQ('TS-PILE'!$D$56:$D$75))),IF('TS-PILE'!$B$67="",-1E+99,'TO HOP NLAN'!D32/ncoc+IF(SUMSQ('TS-PILE'!$E$56:$E$75)=0,0,'TO HOP NLAN'!E32*'TS-PILE'!$E$67/SUMSQ('TS-PILE'!$E$56:$E$75))+IF(SUMSQ('TS-PILE'!$D$56:$D$75)=0,0,'TO HOP NLAN'!F32*'TS-PILE'!$D$67/SUMSQ('TS-PILE'!$D$56:$D$75))),IF('TS-PILE'!$B$68="",-1E+99,'TO HOP NLAN'!D32/ncoc+IF(SUMSQ('TS-PILE'!$E$56:$E$75)=0,0,'TO HOP NLAN'!E32*'TS-PILE'!$E$68/SUMSQ('TS-PILE'!$E$56:$E$75))+IF(SUMSQ('TS-PILE'!$D$56:$D$75)=0,0,'TO HOP NLAN'!F32*'TS-PILE'!$D$68/SUMSQ('TS-PILE'!$D$56:$D$75))),IF('TS-PILE'!$B$69="",-1E+99,'TO HOP NLAN'!D32/ncoc+IF(SUMSQ('TS-PILE'!$E$56:$E$75)=0,0,'TO HOP NLAN'!E32*'TS-PILE'!$E$69/SUMSQ('TS-PILE'!$E$56:$E$75))+IF(SUMSQ('TS-PILE'!$D$56:$D$75)=0,0,'TO HOP NLAN'!F32*'TS-PILE'!$D$69/SUMSQ('TS-PILE'!$D$56:$D$75))),IF('TS-PILE'!$B$70="",-1E+99,'TO HOP NLAN'!D32/ncoc+IF(SUMSQ('TS-PILE'!$E$56:$E$75)=0,0,'TO HOP NLAN'!E32*'TS-PILE'!$E$70/SUMSQ('TS-PILE'!$E$56:$E$75))+IF(SUMSQ('TS-PILE'!$D$56:$D$75)=0,0,'TO HOP NLAN'!F32*'TS-PILE'!$D$70/SUMSQ('TS-PILE'!$D$56:$D$75))),IF('TS-PILE'!$B$71="",-1E+99,'TO HOP NLAN'!D32/ncoc+IF(SUMSQ('TS-PILE'!$E$56:$E$75)=0,0,'TO HOP NLAN'!E32*'TS-PILE'!$E$71/SUMSQ('TS-PILE'!$E$56:$E$75))+IF(SUMSQ('TS-PILE'!$D$56:$D$75)=0,0,'TO HOP NLAN'!F32*'TS-PILE'!$D$71/SUMSQ('TS-PILE'!$D$56:$D$75))),IF('TS-PILE'!$B$72="",-1E+99,'TO HOP NLAN'!D32/ncoc+IF(SUMSQ('TS-PILE'!$E$56:$E$75)=0,0,'TO HOP NLAN'!E32*'TS-PILE'!$E$72/SUMSQ('TS-PILE'!$E$56:$E$75))+IF(SUMSQ('TS-PILE'!$D$56:$D$75)=0,0,'TO HOP NLAN'!F32*'TS-PILE'!$D$72/SUMSQ('TS-PILE'!$D$56:$D$75))),IF('TS-PILE'!$B$73="",-1E+99,'TO HOP NLAN'!D32/ncoc+IF(SUMSQ('TS-PILE'!$E$56:$E$75)=0,0,'TO HOP NLAN'!E32*'TS-PILE'!$E$73/SUMSQ('TS-PILE'!$E$56:$E$75))+IF(SUMSQ('TS-PILE'!$D$56:$D$75)=0,0,'TO HOP NLAN'!F32*'TS-PILE'!$D$73/SUMSQ('TS-PILE'!$D$56:$D$75))),IF('TS-PILE'!$B$74="",-1E+99,'TO HOP NLAN'!D32/ncoc+IF(SUMSQ('TS-PILE'!$E$56:$E$75)=0,0,'TO HOP NLAN'!E32*'TS-PILE'!$E$74/SUMSQ('TS-PILE'!$E$56:$E$75))+IF(SUMSQ('TS-PILE'!$D$56:$D$75)=0,0,'TO HOP NLAN'!F32*'TS-PILE'!$D$74/SUMSQ('TS-PILE'!$D$56:$D$75))),IF('TS-PILE'!$B$75="",-1E+99,'TO HOP NLAN'!D32/ncoc+IF(SUMSQ('TS-PILE'!$E$56:$E$75)=0,0,'TO HOP NLAN'!E32*'TS-PILE'!$E$75/SUMSQ('TS-PILE'!$E$56:$E$75))+IF(SUMSQ('TS-PILE'!$D$56:$D$75)=0,0,'TO HOP NLAN'!F32*'TS-PILE'!$D$75/SUMSQ('TS-PILE'!$D$56:$D$75)))))</f>
        <v>0</v>
      </c>
      <c r="D32" s="46">
        <f>IF(A32="",0,MIN(IF('TS-PILE'!$B$56="",1E+99,'TO HOP NLAN'!D32/ncoc+IF(SUMSQ('TS-PILE'!$E$56:$E$75)=0,0,'TO HOP NLAN'!E32*'TS-PILE'!$E$56/SUMSQ('TS-PILE'!$E$56:$E$75))+IF(SUMSQ('TS-PILE'!$D$56:$D$75)=0,0,'TO HOP NLAN'!F32*'TS-PILE'!$D$56/SUMSQ('TS-PILE'!$D$56:$D$75))),IF('TS-PILE'!$B$57="",1E+99,'TO HOP NLAN'!D32/ncoc+IF(SUMSQ('TS-PILE'!$E$56:$E$75)=0,0,'TO HOP NLAN'!E32*'TS-PILE'!$E$57/SUMSQ('TS-PILE'!$E$56:$E$75))+IF(SUMSQ('TS-PILE'!$D$56:$D$75)=0,0,'TO HOP NLAN'!F32*'TS-PILE'!$D$57/SUMSQ('TS-PILE'!$D$56:$D$75))),IF('TS-PILE'!$B$58="",1E+99,'TO HOP NLAN'!D32/ncoc+IF(SUMSQ('TS-PILE'!$E$56:$E$75)=0,0,'TO HOP NLAN'!E32*'TS-PILE'!$E$58/SUMSQ('TS-PILE'!$E$56:$E$75))+IF(SUMSQ('TS-PILE'!$D$56:$D$75)=0,0,'TO HOP NLAN'!F32*'TS-PILE'!$D$58/SUMSQ('TS-PILE'!$D$56:$D$75))),IF('TS-PILE'!$B$59="",1E+99,'TO HOP NLAN'!D32/ncoc+IF(SUMSQ('TS-PILE'!$E$56:$E$75)=0,0,'TO HOP NLAN'!E32*'TS-PILE'!$E$59/SUMSQ('TS-PILE'!$E$56:$E$75))+IF(SUMSQ('TS-PILE'!$D$56:$D$75)=0,0,'TO HOP NLAN'!F32*'TS-PILE'!$D$59/SUMSQ('TS-PILE'!$D$56:$D$75))),IF('TS-PILE'!$B$60="",1E+99,'TO HOP NLAN'!D32/ncoc+IF(SUMSQ('TS-PILE'!$E$56:$E$75)=0,0,'TO HOP NLAN'!E32*'TS-PILE'!$E$60/SUMSQ('TS-PILE'!$E$56:$E$75))+IF(SUMSQ('TS-PILE'!$D$56:$D$75)=0,0,'TO HOP NLAN'!F32*'TS-PILE'!$D$60/SUMSQ('TS-PILE'!$D$56:$D$75))),IF('TS-PILE'!$B$61="",1E+99,'TO HOP NLAN'!D32/ncoc+IF(SUMSQ('TS-PILE'!$E$56:$E$75)=0,0,'TO HOP NLAN'!E32*'TS-PILE'!$E$61/SUMSQ('TS-PILE'!$E$56:$E$75))+IF(SUMSQ('TS-PILE'!$D$56:$D$75)=0,0,'TO HOP NLAN'!F32*'TS-PILE'!$D$61/SUMSQ('TS-PILE'!$D$56:$D$75))),IF('TS-PILE'!$B$62="",1E+99,'TO HOP NLAN'!D32/ncoc+IF(SUMSQ('TS-PILE'!$E$56:$E$75)=0,0,'TO HOP NLAN'!E32*'TS-PILE'!$E$62/SUMSQ('TS-PILE'!$E$56:$E$75))+IF(SUMSQ('TS-PILE'!$D$56:$D$75)=0,0,'TO HOP NLAN'!F32*'TS-PILE'!$D$62/SUMSQ('TS-PILE'!$D$56:$D$75))),IF('TS-PILE'!$B$63="",1E+99,'TO HOP NLAN'!D32/ncoc+IF(SUMSQ('TS-PILE'!$E$56:$E$75)=0,0,'TO HOP NLAN'!E32*'TS-PILE'!$E$63/SUMSQ('TS-PILE'!$E$56:$E$75))+IF(SUMSQ('TS-PILE'!$D$56:$D$75)=0,0,'TO HOP NLAN'!F32*'TS-PILE'!$D$63/SUMSQ('TS-PILE'!$D$56:$D$75))),IF('TS-PILE'!$B$64="",1E+99,'TO HOP NLAN'!D32/ncoc+IF(SUMSQ('TS-PILE'!$E$56:$E$75)=0,0,'TO HOP NLAN'!E32*'TS-PILE'!$E$64/SUMSQ('TS-PILE'!$E$56:$E$75))+IF(SUMSQ('TS-PILE'!$D$56:$D$75)=0,0,'TO HOP NLAN'!F32*'TS-PILE'!$D$64/SUMSQ('TS-PILE'!$D$56:$D$75))),IF('TS-PILE'!$B$65="",1E+99,'TO HOP NLAN'!D32/ncoc+IF(SUMSQ('TS-PILE'!$E$56:$E$75)=0,0,'TO HOP NLAN'!E32*'TS-PILE'!$E$65/SUMSQ('TS-PILE'!$E$56:$E$75))+IF(SUMSQ('TS-PILE'!$D$56:$D$75)=0,0,'TO HOP NLAN'!F32*'TS-PILE'!$D$65/SUMSQ('TS-PILE'!$D$56:$D$75))),IF('TS-PILE'!$B$66="",1E+99,'TO HOP NLAN'!D32/ncoc+IF(SUMSQ('TS-PILE'!$E$56:$E$75)=0,0,'TO HOP NLAN'!E32*'TS-PILE'!$E$66/SUMSQ('TS-PILE'!$E$56:$E$75))+IF(SUMSQ('TS-PILE'!$D$56:$D$75)=0,0,'TO HOP NLAN'!F32*'TS-PILE'!$D$66/SUMSQ('TS-PILE'!$D$56:$D$75))),IF('TS-PILE'!$B$67="",1E+99,'TO HOP NLAN'!D32/ncoc+IF(SUMSQ('TS-PILE'!$E$56:$E$75)=0,0,'TO HOP NLAN'!E32*'TS-PILE'!$E$67/SUMSQ('TS-PILE'!$E$56:$E$75))+IF(SUMSQ('TS-PILE'!$D$56:$D$75)=0,0,'TO HOP NLAN'!F32*'TS-PILE'!$D$67/SUMSQ('TS-PILE'!$D$56:$D$75))),IF('TS-PILE'!$B$68="",1E+99,'TO HOP NLAN'!D32/ncoc+IF(SUMSQ('TS-PILE'!$E$56:$E$75)=0,0,'TO HOP NLAN'!E32*'TS-PILE'!$E$68/SUMSQ('TS-PILE'!$E$56:$E$75))+IF(SUMSQ('TS-PILE'!$D$56:$D$75)=0,0,'TO HOP NLAN'!F32*'TS-PILE'!$D$68/SUMSQ('TS-PILE'!$D$56:$D$75))),IF('TS-PILE'!$B$69="",1E+99,'TO HOP NLAN'!D32/ncoc+IF(SUMSQ('TS-PILE'!$E$56:$E$75)=0,0,'TO HOP NLAN'!E32*'TS-PILE'!$E$69/SUMSQ('TS-PILE'!$E$56:$E$75))+IF(SUMSQ('TS-PILE'!$D$56:$D$75)=0,0,'TO HOP NLAN'!F32*'TS-PILE'!$D$69/SUMSQ('TS-PILE'!$D$56:$D$75))),IF('TS-PILE'!$B$70="",1E+99,'TO HOP NLAN'!D32/ncoc+IF(SUMSQ('TS-PILE'!$E$56:$E$75)=0,0,'TO HOP NLAN'!E32*'TS-PILE'!$E$70/SUMSQ('TS-PILE'!$E$56:$E$75))+IF(SUMSQ('TS-PILE'!$D$56:$D$75)=0,0,'TO HOP NLAN'!F32*'TS-PILE'!$D$70/SUMSQ('TS-PILE'!$D$56:$D$75))),IF('TS-PILE'!$B$71="",1E+99,'TO HOP NLAN'!D32/ncoc+IF(SUMSQ('TS-PILE'!$E$56:$E$75)=0,0,'TO HOP NLAN'!E32*'TS-PILE'!$E$71/SUMSQ('TS-PILE'!$E$56:$E$75))+IF(SUMSQ('TS-PILE'!$D$56:$D$75)=0,0,'TO HOP NLAN'!F32*'TS-PILE'!$D$71/SUMSQ('TS-PILE'!$D$56:$D$75))),IF('TS-PILE'!$B$72="",1E+99,'TO HOP NLAN'!D32/ncoc+IF(SUMSQ('TS-PILE'!$E$56:$E$75)=0,0,'TO HOP NLAN'!E32*'TS-PILE'!$E$72/SUMSQ('TS-PILE'!$E$56:$E$75))+IF(SUMSQ('TS-PILE'!$D$56:$D$75)=0,0,'TO HOP NLAN'!F32*'TS-PILE'!$D$72/SUMSQ('TS-PILE'!$D$56:$D$75))),IF('TS-PILE'!$B$73="",1E+99,'TO HOP NLAN'!D32/ncoc+IF(SUMSQ('TS-PILE'!$E$56:$E$75)=0,0,'TO HOP NLAN'!E32*'TS-PILE'!$E$73/SUMSQ('TS-PILE'!$E$56:$E$75))+IF(SUMSQ('TS-PILE'!$D$56:$D$75)=0,0,'TO HOP NLAN'!F32*'TS-PILE'!$D$73/SUMSQ('TS-PILE'!$D$56:$D$75))),IF('TS-PILE'!$B$74="",1E+99,'TO HOP NLAN'!D32/ncoc+IF(SUMSQ('TS-PILE'!$E$56:$E$75)=0,0,'TO HOP NLAN'!E32*'TS-PILE'!$E$74/SUMSQ('TS-PILE'!$E$56:$E$75))+IF(SUMSQ('TS-PILE'!$D$56:$D$75)=0,0,'TO HOP NLAN'!F32*'TS-PILE'!$D$74/SUMSQ('TS-PILE'!$D$56:$D$75))),IF('TS-PILE'!$B$75="",1E+99,'TO HOP NLAN'!D32/ncoc+IF(SUMSQ('TS-PILE'!$E$56:$E$75)=0,0,'TO HOP NLAN'!E32*'TS-PILE'!$E$75/SUMSQ('TS-PILE'!$E$56:$E$75))+IF(SUMSQ('TS-PILE'!$D$56:$D$75)=0,0,'TO HOP NLAN'!F32*'TS-PILE'!$D$75/SUMSQ('TS-PILE'!$D$56:$D$75)))))</f>
        <v>0</v>
      </c>
      <c r="E32" s="46">
        <f t="shared" si="0"/>
        <v>-9.9999999999999997E+98</v>
      </c>
      <c r="F32" s="46">
        <f t="shared" si="1"/>
        <v>9.9999999999999997E+98</v>
      </c>
      <c r="G32" s="46">
        <f t="shared" si="2"/>
        <v>-9.9999999999999997E+98</v>
      </c>
      <c r="H32" s="46">
        <f t="shared" si="3"/>
        <v>9.9999999999999997E+98</v>
      </c>
    </row>
    <row r="33" spans="1:8" x14ac:dyDescent="0.3">
      <c r="A33" s="40" t="str">
        <f>'TO HOP NLAN'!A33</f>
        <v/>
      </c>
      <c r="B33" s="40" t="str">
        <f>'TO HOP NLAN'!L33</f>
        <v>SERVICE</v>
      </c>
      <c r="C33" s="46">
        <f>IF(A33="",0,MAX(IF('TS-PILE'!$B$56="",-1E+99,'TO HOP NLAN'!D33/ncoc+IF(SUMSQ('TS-PILE'!$E$56:$E$75)=0,0,'TO HOP NLAN'!E33*'TS-PILE'!$E$56/SUMSQ('TS-PILE'!$E$56:$E$75))+IF(SUMSQ('TS-PILE'!$D$56:$D$75)=0,0,'TO HOP NLAN'!F33*'TS-PILE'!$D$56/SUMSQ('TS-PILE'!$D$56:$D$75))),IF('TS-PILE'!$B$57="",-1E+99,'TO HOP NLAN'!D33/ncoc+IF(SUMSQ('TS-PILE'!$E$56:$E$75)=0,0,'TO HOP NLAN'!E33*'TS-PILE'!$E$57/SUMSQ('TS-PILE'!$E$56:$E$75))+IF(SUMSQ('TS-PILE'!$D$56:$D$75)=0,0,'TO HOP NLAN'!F33*'TS-PILE'!$D$57/SUMSQ('TS-PILE'!$D$56:$D$75))),IF('TS-PILE'!$B$58="",-1E+99,'TO HOP NLAN'!D33/ncoc+IF(SUMSQ('TS-PILE'!$E$56:$E$75)=0,0,'TO HOP NLAN'!E33*'TS-PILE'!$E$58/SUMSQ('TS-PILE'!$E$56:$E$75))+IF(SUMSQ('TS-PILE'!$D$56:$D$75)=0,0,'TO HOP NLAN'!F33*'TS-PILE'!$D$58/SUMSQ('TS-PILE'!$D$56:$D$75))),IF('TS-PILE'!$B$59="",-1E+99,'TO HOP NLAN'!D33/ncoc+IF(SUMSQ('TS-PILE'!$E$56:$E$75)=0,0,'TO HOP NLAN'!E33*'TS-PILE'!$E$59/SUMSQ('TS-PILE'!$E$56:$E$75))+IF(SUMSQ('TS-PILE'!$D$56:$D$75)=0,0,'TO HOP NLAN'!F33*'TS-PILE'!$D$59/SUMSQ('TS-PILE'!$D$56:$D$75))),IF('TS-PILE'!$B$60="",-1E+99,'TO HOP NLAN'!D33/ncoc+IF(SUMSQ('TS-PILE'!$E$56:$E$75)=0,0,'TO HOP NLAN'!E33*'TS-PILE'!$E$60/SUMSQ('TS-PILE'!$E$56:$E$75))+IF(SUMSQ('TS-PILE'!$D$56:$D$75)=0,0,'TO HOP NLAN'!F33*'TS-PILE'!$D$60/SUMSQ('TS-PILE'!$D$56:$D$75))),IF('TS-PILE'!$B$61="",-1E+99,'TO HOP NLAN'!D33/ncoc+IF(SUMSQ('TS-PILE'!$E$56:$E$75)=0,0,'TO HOP NLAN'!E33*'TS-PILE'!$E$61/SUMSQ('TS-PILE'!$E$56:$E$75))+IF(SUMSQ('TS-PILE'!$D$56:$D$75)=0,0,'TO HOP NLAN'!F33*'TS-PILE'!$D$61/SUMSQ('TS-PILE'!$D$56:$D$75))),IF('TS-PILE'!$B$62="",-1E+99,'TO HOP NLAN'!D33/ncoc+IF(SUMSQ('TS-PILE'!$E$56:$E$75)=0,0,'TO HOP NLAN'!E33*'TS-PILE'!$E$62/SUMSQ('TS-PILE'!$E$56:$E$75))+IF(SUMSQ('TS-PILE'!$D$56:$D$75)=0,0,'TO HOP NLAN'!F33*'TS-PILE'!$D$62/SUMSQ('TS-PILE'!$D$56:$D$75))),IF('TS-PILE'!$B$63="",-1E+99,'TO HOP NLAN'!D33/ncoc+IF(SUMSQ('TS-PILE'!$E$56:$E$75)=0,0,'TO HOP NLAN'!E33*'TS-PILE'!$E$63/SUMSQ('TS-PILE'!$E$56:$E$75))+IF(SUMSQ('TS-PILE'!$D$56:$D$75)=0,0,'TO HOP NLAN'!F33*'TS-PILE'!$D$63/SUMSQ('TS-PILE'!$D$56:$D$75))),IF('TS-PILE'!$B$64="",-1E+99,'TO HOP NLAN'!D33/ncoc+IF(SUMSQ('TS-PILE'!$E$56:$E$75)=0,0,'TO HOP NLAN'!E33*'TS-PILE'!$E$64/SUMSQ('TS-PILE'!$E$56:$E$75))+IF(SUMSQ('TS-PILE'!$D$56:$D$75)=0,0,'TO HOP NLAN'!F33*'TS-PILE'!$D$64/SUMSQ('TS-PILE'!$D$56:$D$75))),IF('TS-PILE'!$B$65="",-1E+99,'TO HOP NLAN'!D33/ncoc+IF(SUMSQ('TS-PILE'!$E$56:$E$75)=0,0,'TO HOP NLAN'!E33*'TS-PILE'!$E$65/SUMSQ('TS-PILE'!$E$56:$E$75))+IF(SUMSQ('TS-PILE'!$D$56:$D$75)=0,0,'TO HOP NLAN'!F33*'TS-PILE'!$D$65/SUMSQ('TS-PILE'!$D$56:$D$75))),IF('TS-PILE'!$B$66="",-1E+99,'TO HOP NLAN'!D33/ncoc+IF(SUMSQ('TS-PILE'!$E$56:$E$75)=0,0,'TO HOP NLAN'!E33*'TS-PILE'!$E$66/SUMSQ('TS-PILE'!$E$56:$E$75))+IF(SUMSQ('TS-PILE'!$D$56:$D$75)=0,0,'TO HOP NLAN'!F33*'TS-PILE'!$D$66/SUMSQ('TS-PILE'!$D$56:$D$75))),IF('TS-PILE'!$B$67="",-1E+99,'TO HOP NLAN'!D33/ncoc+IF(SUMSQ('TS-PILE'!$E$56:$E$75)=0,0,'TO HOP NLAN'!E33*'TS-PILE'!$E$67/SUMSQ('TS-PILE'!$E$56:$E$75))+IF(SUMSQ('TS-PILE'!$D$56:$D$75)=0,0,'TO HOP NLAN'!F33*'TS-PILE'!$D$67/SUMSQ('TS-PILE'!$D$56:$D$75))),IF('TS-PILE'!$B$68="",-1E+99,'TO HOP NLAN'!D33/ncoc+IF(SUMSQ('TS-PILE'!$E$56:$E$75)=0,0,'TO HOP NLAN'!E33*'TS-PILE'!$E$68/SUMSQ('TS-PILE'!$E$56:$E$75))+IF(SUMSQ('TS-PILE'!$D$56:$D$75)=0,0,'TO HOP NLAN'!F33*'TS-PILE'!$D$68/SUMSQ('TS-PILE'!$D$56:$D$75))),IF('TS-PILE'!$B$69="",-1E+99,'TO HOP NLAN'!D33/ncoc+IF(SUMSQ('TS-PILE'!$E$56:$E$75)=0,0,'TO HOP NLAN'!E33*'TS-PILE'!$E$69/SUMSQ('TS-PILE'!$E$56:$E$75))+IF(SUMSQ('TS-PILE'!$D$56:$D$75)=0,0,'TO HOP NLAN'!F33*'TS-PILE'!$D$69/SUMSQ('TS-PILE'!$D$56:$D$75))),IF('TS-PILE'!$B$70="",-1E+99,'TO HOP NLAN'!D33/ncoc+IF(SUMSQ('TS-PILE'!$E$56:$E$75)=0,0,'TO HOP NLAN'!E33*'TS-PILE'!$E$70/SUMSQ('TS-PILE'!$E$56:$E$75))+IF(SUMSQ('TS-PILE'!$D$56:$D$75)=0,0,'TO HOP NLAN'!F33*'TS-PILE'!$D$70/SUMSQ('TS-PILE'!$D$56:$D$75))),IF('TS-PILE'!$B$71="",-1E+99,'TO HOP NLAN'!D33/ncoc+IF(SUMSQ('TS-PILE'!$E$56:$E$75)=0,0,'TO HOP NLAN'!E33*'TS-PILE'!$E$71/SUMSQ('TS-PILE'!$E$56:$E$75))+IF(SUMSQ('TS-PILE'!$D$56:$D$75)=0,0,'TO HOP NLAN'!F33*'TS-PILE'!$D$71/SUMSQ('TS-PILE'!$D$56:$D$75))),IF('TS-PILE'!$B$72="",-1E+99,'TO HOP NLAN'!D33/ncoc+IF(SUMSQ('TS-PILE'!$E$56:$E$75)=0,0,'TO HOP NLAN'!E33*'TS-PILE'!$E$72/SUMSQ('TS-PILE'!$E$56:$E$75))+IF(SUMSQ('TS-PILE'!$D$56:$D$75)=0,0,'TO HOP NLAN'!F33*'TS-PILE'!$D$72/SUMSQ('TS-PILE'!$D$56:$D$75))),IF('TS-PILE'!$B$73="",-1E+99,'TO HOP NLAN'!D33/ncoc+IF(SUMSQ('TS-PILE'!$E$56:$E$75)=0,0,'TO HOP NLAN'!E33*'TS-PILE'!$E$73/SUMSQ('TS-PILE'!$E$56:$E$75))+IF(SUMSQ('TS-PILE'!$D$56:$D$75)=0,0,'TO HOP NLAN'!F33*'TS-PILE'!$D$73/SUMSQ('TS-PILE'!$D$56:$D$75))),IF('TS-PILE'!$B$74="",-1E+99,'TO HOP NLAN'!D33/ncoc+IF(SUMSQ('TS-PILE'!$E$56:$E$75)=0,0,'TO HOP NLAN'!E33*'TS-PILE'!$E$74/SUMSQ('TS-PILE'!$E$56:$E$75))+IF(SUMSQ('TS-PILE'!$D$56:$D$75)=0,0,'TO HOP NLAN'!F33*'TS-PILE'!$D$74/SUMSQ('TS-PILE'!$D$56:$D$75))),IF('TS-PILE'!$B$75="",-1E+99,'TO HOP NLAN'!D33/ncoc+IF(SUMSQ('TS-PILE'!$E$56:$E$75)=0,0,'TO HOP NLAN'!E33*'TS-PILE'!$E$75/SUMSQ('TS-PILE'!$E$56:$E$75))+IF(SUMSQ('TS-PILE'!$D$56:$D$75)=0,0,'TO HOP NLAN'!F33*'TS-PILE'!$D$75/SUMSQ('TS-PILE'!$D$56:$D$75)))))</f>
        <v>0</v>
      </c>
      <c r="D33" s="46">
        <f>IF(A33="",0,MIN(IF('TS-PILE'!$B$56="",1E+99,'TO HOP NLAN'!D33/ncoc+IF(SUMSQ('TS-PILE'!$E$56:$E$75)=0,0,'TO HOP NLAN'!E33*'TS-PILE'!$E$56/SUMSQ('TS-PILE'!$E$56:$E$75))+IF(SUMSQ('TS-PILE'!$D$56:$D$75)=0,0,'TO HOP NLAN'!F33*'TS-PILE'!$D$56/SUMSQ('TS-PILE'!$D$56:$D$75))),IF('TS-PILE'!$B$57="",1E+99,'TO HOP NLAN'!D33/ncoc+IF(SUMSQ('TS-PILE'!$E$56:$E$75)=0,0,'TO HOP NLAN'!E33*'TS-PILE'!$E$57/SUMSQ('TS-PILE'!$E$56:$E$75))+IF(SUMSQ('TS-PILE'!$D$56:$D$75)=0,0,'TO HOP NLAN'!F33*'TS-PILE'!$D$57/SUMSQ('TS-PILE'!$D$56:$D$75))),IF('TS-PILE'!$B$58="",1E+99,'TO HOP NLAN'!D33/ncoc+IF(SUMSQ('TS-PILE'!$E$56:$E$75)=0,0,'TO HOP NLAN'!E33*'TS-PILE'!$E$58/SUMSQ('TS-PILE'!$E$56:$E$75))+IF(SUMSQ('TS-PILE'!$D$56:$D$75)=0,0,'TO HOP NLAN'!F33*'TS-PILE'!$D$58/SUMSQ('TS-PILE'!$D$56:$D$75))),IF('TS-PILE'!$B$59="",1E+99,'TO HOP NLAN'!D33/ncoc+IF(SUMSQ('TS-PILE'!$E$56:$E$75)=0,0,'TO HOP NLAN'!E33*'TS-PILE'!$E$59/SUMSQ('TS-PILE'!$E$56:$E$75))+IF(SUMSQ('TS-PILE'!$D$56:$D$75)=0,0,'TO HOP NLAN'!F33*'TS-PILE'!$D$59/SUMSQ('TS-PILE'!$D$56:$D$75))),IF('TS-PILE'!$B$60="",1E+99,'TO HOP NLAN'!D33/ncoc+IF(SUMSQ('TS-PILE'!$E$56:$E$75)=0,0,'TO HOP NLAN'!E33*'TS-PILE'!$E$60/SUMSQ('TS-PILE'!$E$56:$E$75))+IF(SUMSQ('TS-PILE'!$D$56:$D$75)=0,0,'TO HOP NLAN'!F33*'TS-PILE'!$D$60/SUMSQ('TS-PILE'!$D$56:$D$75))),IF('TS-PILE'!$B$61="",1E+99,'TO HOP NLAN'!D33/ncoc+IF(SUMSQ('TS-PILE'!$E$56:$E$75)=0,0,'TO HOP NLAN'!E33*'TS-PILE'!$E$61/SUMSQ('TS-PILE'!$E$56:$E$75))+IF(SUMSQ('TS-PILE'!$D$56:$D$75)=0,0,'TO HOP NLAN'!F33*'TS-PILE'!$D$61/SUMSQ('TS-PILE'!$D$56:$D$75))),IF('TS-PILE'!$B$62="",1E+99,'TO HOP NLAN'!D33/ncoc+IF(SUMSQ('TS-PILE'!$E$56:$E$75)=0,0,'TO HOP NLAN'!E33*'TS-PILE'!$E$62/SUMSQ('TS-PILE'!$E$56:$E$75))+IF(SUMSQ('TS-PILE'!$D$56:$D$75)=0,0,'TO HOP NLAN'!F33*'TS-PILE'!$D$62/SUMSQ('TS-PILE'!$D$56:$D$75))),IF('TS-PILE'!$B$63="",1E+99,'TO HOP NLAN'!D33/ncoc+IF(SUMSQ('TS-PILE'!$E$56:$E$75)=0,0,'TO HOP NLAN'!E33*'TS-PILE'!$E$63/SUMSQ('TS-PILE'!$E$56:$E$75))+IF(SUMSQ('TS-PILE'!$D$56:$D$75)=0,0,'TO HOP NLAN'!F33*'TS-PILE'!$D$63/SUMSQ('TS-PILE'!$D$56:$D$75))),IF('TS-PILE'!$B$64="",1E+99,'TO HOP NLAN'!D33/ncoc+IF(SUMSQ('TS-PILE'!$E$56:$E$75)=0,0,'TO HOP NLAN'!E33*'TS-PILE'!$E$64/SUMSQ('TS-PILE'!$E$56:$E$75))+IF(SUMSQ('TS-PILE'!$D$56:$D$75)=0,0,'TO HOP NLAN'!F33*'TS-PILE'!$D$64/SUMSQ('TS-PILE'!$D$56:$D$75))),IF('TS-PILE'!$B$65="",1E+99,'TO HOP NLAN'!D33/ncoc+IF(SUMSQ('TS-PILE'!$E$56:$E$75)=0,0,'TO HOP NLAN'!E33*'TS-PILE'!$E$65/SUMSQ('TS-PILE'!$E$56:$E$75))+IF(SUMSQ('TS-PILE'!$D$56:$D$75)=0,0,'TO HOP NLAN'!F33*'TS-PILE'!$D$65/SUMSQ('TS-PILE'!$D$56:$D$75))),IF('TS-PILE'!$B$66="",1E+99,'TO HOP NLAN'!D33/ncoc+IF(SUMSQ('TS-PILE'!$E$56:$E$75)=0,0,'TO HOP NLAN'!E33*'TS-PILE'!$E$66/SUMSQ('TS-PILE'!$E$56:$E$75))+IF(SUMSQ('TS-PILE'!$D$56:$D$75)=0,0,'TO HOP NLAN'!F33*'TS-PILE'!$D$66/SUMSQ('TS-PILE'!$D$56:$D$75))),IF('TS-PILE'!$B$67="",1E+99,'TO HOP NLAN'!D33/ncoc+IF(SUMSQ('TS-PILE'!$E$56:$E$75)=0,0,'TO HOP NLAN'!E33*'TS-PILE'!$E$67/SUMSQ('TS-PILE'!$E$56:$E$75))+IF(SUMSQ('TS-PILE'!$D$56:$D$75)=0,0,'TO HOP NLAN'!F33*'TS-PILE'!$D$67/SUMSQ('TS-PILE'!$D$56:$D$75))),IF('TS-PILE'!$B$68="",1E+99,'TO HOP NLAN'!D33/ncoc+IF(SUMSQ('TS-PILE'!$E$56:$E$75)=0,0,'TO HOP NLAN'!E33*'TS-PILE'!$E$68/SUMSQ('TS-PILE'!$E$56:$E$75))+IF(SUMSQ('TS-PILE'!$D$56:$D$75)=0,0,'TO HOP NLAN'!F33*'TS-PILE'!$D$68/SUMSQ('TS-PILE'!$D$56:$D$75))),IF('TS-PILE'!$B$69="",1E+99,'TO HOP NLAN'!D33/ncoc+IF(SUMSQ('TS-PILE'!$E$56:$E$75)=0,0,'TO HOP NLAN'!E33*'TS-PILE'!$E$69/SUMSQ('TS-PILE'!$E$56:$E$75))+IF(SUMSQ('TS-PILE'!$D$56:$D$75)=0,0,'TO HOP NLAN'!F33*'TS-PILE'!$D$69/SUMSQ('TS-PILE'!$D$56:$D$75))),IF('TS-PILE'!$B$70="",1E+99,'TO HOP NLAN'!D33/ncoc+IF(SUMSQ('TS-PILE'!$E$56:$E$75)=0,0,'TO HOP NLAN'!E33*'TS-PILE'!$E$70/SUMSQ('TS-PILE'!$E$56:$E$75))+IF(SUMSQ('TS-PILE'!$D$56:$D$75)=0,0,'TO HOP NLAN'!F33*'TS-PILE'!$D$70/SUMSQ('TS-PILE'!$D$56:$D$75))),IF('TS-PILE'!$B$71="",1E+99,'TO HOP NLAN'!D33/ncoc+IF(SUMSQ('TS-PILE'!$E$56:$E$75)=0,0,'TO HOP NLAN'!E33*'TS-PILE'!$E$71/SUMSQ('TS-PILE'!$E$56:$E$75))+IF(SUMSQ('TS-PILE'!$D$56:$D$75)=0,0,'TO HOP NLAN'!F33*'TS-PILE'!$D$71/SUMSQ('TS-PILE'!$D$56:$D$75))),IF('TS-PILE'!$B$72="",1E+99,'TO HOP NLAN'!D33/ncoc+IF(SUMSQ('TS-PILE'!$E$56:$E$75)=0,0,'TO HOP NLAN'!E33*'TS-PILE'!$E$72/SUMSQ('TS-PILE'!$E$56:$E$75))+IF(SUMSQ('TS-PILE'!$D$56:$D$75)=0,0,'TO HOP NLAN'!F33*'TS-PILE'!$D$72/SUMSQ('TS-PILE'!$D$56:$D$75))),IF('TS-PILE'!$B$73="",1E+99,'TO HOP NLAN'!D33/ncoc+IF(SUMSQ('TS-PILE'!$E$56:$E$75)=0,0,'TO HOP NLAN'!E33*'TS-PILE'!$E$73/SUMSQ('TS-PILE'!$E$56:$E$75))+IF(SUMSQ('TS-PILE'!$D$56:$D$75)=0,0,'TO HOP NLAN'!F33*'TS-PILE'!$D$73/SUMSQ('TS-PILE'!$D$56:$D$75))),IF('TS-PILE'!$B$74="",1E+99,'TO HOP NLAN'!D33/ncoc+IF(SUMSQ('TS-PILE'!$E$56:$E$75)=0,0,'TO HOP NLAN'!E33*'TS-PILE'!$E$74/SUMSQ('TS-PILE'!$E$56:$E$75))+IF(SUMSQ('TS-PILE'!$D$56:$D$75)=0,0,'TO HOP NLAN'!F33*'TS-PILE'!$D$74/SUMSQ('TS-PILE'!$D$56:$D$75))),IF('TS-PILE'!$B$75="",1E+99,'TO HOP NLAN'!D33/ncoc+IF(SUMSQ('TS-PILE'!$E$56:$E$75)=0,0,'TO HOP NLAN'!E33*'TS-PILE'!$E$75/SUMSQ('TS-PILE'!$E$56:$E$75))+IF(SUMSQ('TS-PILE'!$D$56:$D$75)=0,0,'TO HOP NLAN'!F33*'TS-PILE'!$D$75/SUMSQ('TS-PILE'!$D$56:$D$75)))))</f>
        <v>0</v>
      </c>
      <c r="E33" s="46">
        <f t="shared" si="0"/>
        <v>-9.9999999999999997E+98</v>
      </c>
      <c r="F33" s="46">
        <f t="shared" si="1"/>
        <v>9.9999999999999997E+98</v>
      </c>
      <c r="G33" s="46">
        <f t="shared" si="2"/>
        <v>-9.9999999999999997E+98</v>
      </c>
      <c r="H33" s="46">
        <f t="shared" si="3"/>
        <v>9.9999999999999997E+98</v>
      </c>
    </row>
    <row r="34" spans="1:8" x14ac:dyDescent="0.3">
      <c r="A34" s="40" t="str">
        <f>'TO HOP NLAN'!A34</f>
        <v/>
      </c>
      <c r="B34" s="40" t="str">
        <f>'TO HOP NLAN'!L34</f>
        <v>SERVICE</v>
      </c>
      <c r="C34" s="46">
        <f>IF(A34="",0,MAX(IF('TS-PILE'!$B$56="",-1E+99,'TO HOP NLAN'!D34/ncoc+IF(SUMSQ('TS-PILE'!$E$56:$E$75)=0,0,'TO HOP NLAN'!E34*'TS-PILE'!$E$56/SUMSQ('TS-PILE'!$E$56:$E$75))+IF(SUMSQ('TS-PILE'!$D$56:$D$75)=0,0,'TO HOP NLAN'!F34*'TS-PILE'!$D$56/SUMSQ('TS-PILE'!$D$56:$D$75))),IF('TS-PILE'!$B$57="",-1E+99,'TO HOP NLAN'!D34/ncoc+IF(SUMSQ('TS-PILE'!$E$56:$E$75)=0,0,'TO HOP NLAN'!E34*'TS-PILE'!$E$57/SUMSQ('TS-PILE'!$E$56:$E$75))+IF(SUMSQ('TS-PILE'!$D$56:$D$75)=0,0,'TO HOP NLAN'!F34*'TS-PILE'!$D$57/SUMSQ('TS-PILE'!$D$56:$D$75))),IF('TS-PILE'!$B$58="",-1E+99,'TO HOP NLAN'!D34/ncoc+IF(SUMSQ('TS-PILE'!$E$56:$E$75)=0,0,'TO HOP NLAN'!E34*'TS-PILE'!$E$58/SUMSQ('TS-PILE'!$E$56:$E$75))+IF(SUMSQ('TS-PILE'!$D$56:$D$75)=0,0,'TO HOP NLAN'!F34*'TS-PILE'!$D$58/SUMSQ('TS-PILE'!$D$56:$D$75))),IF('TS-PILE'!$B$59="",-1E+99,'TO HOP NLAN'!D34/ncoc+IF(SUMSQ('TS-PILE'!$E$56:$E$75)=0,0,'TO HOP NLAN'!E34*'TS-PILE'!$E$59/SUMSQ('TS-PILE'!$E$56:$E$75))+IF(SUMSQ('TS-PILE'!$D$56:$D$75)=0,0,'TO HOP NLAN'!F34*'TS-PILE'!$D$59/SUMSQ('TS-PILE'!$D$56:$D$75))),IF('TS-PILE'!$B$60="",-1E+99,'TO HOP NLAN'!D34/ncoc+IF(SUMSQ('TS-PILE'!$E$56:$E$75)=0,0,'TO HOP NLAN'!E34*'TS-PILE'!$E$60/SUMSQ('TS-PILE'!$E$56:$E$75))+IF(SUMSQ('TS-PILE'!$D$56:$D$75)=0,0,'TO HOP NLAN'!F34*'TS-PILE'!$D$60/SUMSQ('TS-PILE'!$D$56:$D$75))),IF('TS-PILE'!$B$61="",-1E+99,'TO HOP NLAN'!D34/ncoc+IF(SUMSQ('TS-PILE'!$E$56:$E$75)=0,0,'TO HOP NLAN'!E34*'TS-PILE'!$E$61/SUMSQ('TS-PILE'!$E$56:$E$75))+IF(SUMSQ('TS-PILE'!$D$56:$D$75)=0,0,'TO HOP NLAN'!F34*'TS-PILE'!$D$61/SUMSQ('TS-PILE'!$D$56:$D$75))),IF('TS-PILE'!$B$62="",-1E+99,'TO HOP NLAN'!D34/ncoc+IF(SUMSQ('TS-PILE'!$E$56:$E$75)=0,0,'TO HOP NLAN'!E34*'TS-PILE'!$E$62/SUMSQ('TS-PILE'!$E$56:$E$75))+IF(SUMSQ('TS-PILE'!$D$56:$D$75)=0,0,'TO HOP NLAN'!F34*'TS-PILE'!$D$62/SUMSQ('TS-PILE'!$D$56:$D$75))),IF('TS-PILE'!$B$63="",-1E+99,'TO HOP NLAN'!D34/ncoc+IF(SUMSQ('TS-PILE'!$E$56:$E$75)=0,0,'TO HOP NLAN'!E34*'TS-PILE'!$E$63/SUMSQ('TS-PILE'!$E$56:$E$75))+IF(SUMSQ('TS-PILE'!$D$56:$D$75)=0,0,'TO HOP NLAN'!F34*'TS-PILE'!$D$63/SUMSQ('TS-PILE'!$D$56:$D$75))),IF('TS-PILE'!$B$64="",-1E+99,'TO HOP NLAN'!D34/ncoc+IF(SUMSQ('TS-PILE'!$E$56:$E$75)=0,0,'TO HOP NLAN'!E34*'TS-PILE'!$E$64/SUMSQ('TS-PILE'!$E$56:$E$75))+IF(SUMSQ('TS-PILE'!$D$56:$D$75)=0,0,'TO HOP NLAN'!F34*'TS-PILE'!$D$64/SUMSQ('TS-PILE'!$D$56:$D$75))),IF('TS-PILE'!$B$65="",-1E+99,'TO HOP NLAN'!D34/ncoc+IF(SUMSQ('TS-PILE'!$E$56:$E$75)=0,0,'TO HOP NLAN'!E34*'TS-PILE'!$E$65/SUMSQ('TS-PILE'!$E$56:$E$75))+IF(SUMSQ('TS-PILE'!$D$56:$D$75)=0,0,'TO HOP NLAN'!F34*'TS-PILE'!$D$65/SUMSQ('TS-PILE'!$D$56:$D$75))),IF('TS-PILE'!$B$66="",-1E+99,'TO HOP NLAN'!D34/ncoc+IF(SUMSQ('TS-PILE'!$E$56:$E$75)=0,0,'TO HOP NLAN'!E34*'TS-PILE'!$E$66/SUMSQ('TS-PILE'!$E$56:$E$75))+IF(SUMSQ('TS-PILE'!$D$56:$D$75)=0,0,'TO HOP NLAN'!F34*'TS-PILE'!$D$66/SUMSQ('TS-PILE'!$D$56:$D$75))),IF('TS-PILE'!$B$67="",-1E+99,'TO HOP NLAN'!D34/ncoc+IF(SUMSQ('TS-PILE'!$E$56:$E$75)=0,0,'TO HOP NLAN'!E34*'TS-PILE'!$E$67/SUMSQ('TS-PILE'!$E$56:$E$75))+IF(SUMSQ('TS-PILE'!$D$56:$D$75)=0,0,'TO HOP NLAN'!F34*'TS-PILE'!$D$67/SUMSQ('TS-PILE'!$D$56:$D$75))),IF('TS-PILE'!$B$68="",-1E+99,'TO HOP NLAN'!D34/ncoc+IF(SUMSQ('TS-PILE'!$E$56:$E$75)=0,0,'TO HOP NLAN'!E34*'TS-PILE'!$E$68/SUMSQ('TS-PILE'!$E$56:$E$75))+IF(SUMSQ('TS-PILE'!$D$56:$D$75)=0,0,'TO HOP NLAN'!F34*'TS-PILE'!$D$68/SUMSQ('TS-PILE'!$D$56:$D$75))),IF('TS-PILE'!$B$69="",-1E+99,'TO HOP NLAN'!D34/ncoc+IF(SUMSQ('TS-PILE'!$E$56:$E$75)=0,0,'TO HOP NLAN'!E34*'TS-PILE'!$E$69/SUMSQ('TS-PILE'!$E$56:$E$75))+IF(SUMSQ('TS-PILE'!$D$56:$D$75)=0,0,'TO HOP NLAN'!F34*'TS-PILE'!$D$69/SUMSQ('TS-PILE'!$D$56:$D$75))),IF('TS-PILE'!$B$70="",-1E+99,'TO HOP NLAN'!D34/ncoc+IF(SUMSQ('TS-PILE'!$E$56:$E$75)=0,0,'TO HOP NLAN'!E34*'TS-PILE'!$E$70/SUMSQ('TS-PILE'!$E$56:$E$75))+IF(SUMSQ('TS-PILE'!$D$56:$D$75)=0,0,'TO HOP NLAN'!F34*'TS-PILE'!$D$70/SUMSQ('TS-PILE'!$D$56:$D$75))),IF('TS-PILE'!$B$71="",-1E+99,'TO HOP NLAN'!D34/ncoc+IF(SUMSQ('TS-PILE'!$E$56:$E$75)=0,0,'TO HOP NLAN'!E34*'TS-PILE'!$E$71/SUMSQ('TS-PILE'!$E$56:$E$75))+IF(SUMSQ('TS-PILE'!$D$56:$D$75)=0,0,'TO HOP NLAN'!F34*'TS-PILE'!$D$71/SUMSQ('TS-PILE'!$D$56:$D$75))),IF('TS-PILE'!$B$72="",-1E+99,'TO HOP NLAN'!D34/ncoc+IF(SUMSQ('TS-PILE'!$E$56:$E$75)=0,0,'TO HOP NLAN'!E34*'TS-PILE'!$E$72/SUMSQ('TS-PILE'!$E$56:$E$75))+IF(SUMSQ('TS-PILE'!$D$56:$D$75)=0,0,'TO HOP NLAN'!F34*'TS-PILE'!$D$72/SUMSQ('TS-PILE'!$D$56:$D$75))),IF('TS-PILE'!$B$73="",-1E+99,'TO HOP NLAN'!D34/ncoc+IF(SUMSQ('TS-PILE'!$E$56:$E$75)=0,0,'TO HOP NLAN'!E34*'TS-PILE'!$E$73/SUMSQ('TS-PILE'!$E$56:$E$75))+IF(SUMSQ('TS-PILE'!$D$56:$D$75)=0,0,'TO HOP NLAN'!F34*'TS-PILE'!$D$73/SUMSQ('TS-PILE'!$D$56:$D$75))),IF('TS-PILE'!$B$74="",-1E+99,'TO HOP NLAN'!D34/ncoc+IF(SUMSQ('TS-PILE'!$E$56:$E$75)=0,0,'TO HOP NLAN'!E34*'TS-PILE'!$E$74/SUMSQ('TS-PILE'!$E$56:$E$75))+IF(SUMSQ('TS-PILE'!$D$56:$D$75)=0,0,'TO HOP NLAN'!F34*'TS-PILE'!$D$74/SUMSQ('TS-PILE'!$D$56:$D$75))),IF('TS-PILE'!$B$75="",-1E+99,'TO HOP NLAN'!D34/ncoc+IF(SUMSQ('TS-PILE'!$E$56:$E$75)=0,0,'TO HOP NLAN'!E34*'TS-PILE'!$E$75/SUMSQ('TS-PILE'!$E$56:$E$75))+IF(SUMSQ('TS-PILE'!$D$56:$D$75)=0,0,'TO HOP NLAN'!F34*'TS-PILE'!$D$75/SUMSQ('TS-PILE'!$D$56:$D$75)))))</f>
        <v>0</v>
      </c>
      <c r="D34" s="46">
        <f>IF(A34="",0,MIN(IF('TS-PILE'!$B$56="",1E+99,'TO HOP NLAN'!D34/ncoc+IF(SUMSQ('TS-PILE'!$E$56:$E$75)=0,0,'TO HOP NLAN'!E34*'TS-PILE'!$E$56/SUMSQ('TS-PILE'!$E$56:$E$75))+IF(SUMSQ('TS-PILE'!$D$56:$D$75)=0,0,'TO HOP NLAN'!F34*'TS-PILE'!$D$56/SUMSQ('TS-PILE'!$D$56:$D$75))),IF('TS-PILE'!$B$57="",1E+99,'TO HOP NLAN'!D34/ncoc+IF(SUMSQ('TS-PILE'!$E$56:$E$75)=0,0,'TO HOP NLAN'!E34*'TS-PILE'!$E$57/SUMSQ('TS-PILE'!$E$56:$E$75))+IF(SUMSQ('TS-PILE'!$D$56:$D$75)=0,0,'TO HOP NLAN'!F34*'TS-PILE'!$D$57/SUMSQ('TS-PILE'!$D$56:$D$75))),IF('TS-PILE'!$B$58="",1E+99,'TO HOP NLAN'!D34/ncoc+IF(SUMSQ('TS-PILE'!$E$56:$E$75)=0,0,'TO HOP NLAN'!E34*'TS-PILE'!$E$58/SUMSQ('TS-PILE'!$E$56:$E$75))+IF(SUMSQ('TS-PILE'!$D$56:$D$75)=0,0,'TO HOP NLAN'!F34*'TS-PILE'!$D$58/SUMSQ('TS-PILE'!$D$56:$D$75))),IF('TS-PILE'!$B$59="",1E+99,'TO HOP NLAN'!D34/ncoc+IF(SUMSQ('TS-PILE'!$E$56:$E$75)=0,0,'TO HOP NLAN'!E34*'TS-PILE'!$E$59/SUMSQ('TS-PILE'!$E$56:$E$75))+IF(SUMSQ('TS-PILE'!$D$56:$D$75)=0,0,'TO HOP NLAN'!F34*'TS-PILE'!$D$59/SUMSQ('TS-PILE'!$D$56:$D$75))),IF('TS-PILE'!$B$60="",1E+99,'TO HOP NLAN'!D34/ncoc+IF(SUMSQ('TS-PILE'!$E$56:$E$75)=0,0,'TO HOP NLAN'!E34*'TS-PILE'!$E$60/SUMSQ('TS-PILE'!$E$56:$E$75))+IF(SUMSQ('TS-PILE'!$D$56:$D$75)=0,0,'TO HOP NLAN'!F34*'TS-PILE'!$D$60/SUMSQ('TS-PILE'!$D$56:$D$75))),IF('TS-PILE'!$B$61="",1E+99,'TO HOP NLAN'!D34/ncoc+IF(SUMSQ('TS-PILE'!$E$56:$E$75)=0,0,'TO HOP NLAN'!E34*'TS-PILE'!$E$61/SUMSQ('TS-PILE'!$E$56:$E$75))+IF(SUMSQ('TS-PILE'!$D$56:$D$75)=0,0,'TO HOP NLAN'!F34*'TS-PILE'!$D$61/SUMSQ('TS-PILE'!$D$56:$D$75))),IF('TS-PILE'!$B$62="",1E+99,'TO HOP NLAN'!D34/ncoc+IF(SUMSQ('TS-PILE'!$E$56:$E$75)=0,0,'TO HOP NLAN'!E34*'TS-PILE'!$E$62/SUMSQ('TS-PILE'!$E$56:$E$75))+IF(SUMSQ('TS-PILE'!$D$56:$D$75)=0,0,'TO HOP NLAN'!F34*'TS-PILE'!$D$62/SUMSQ('TS-PILE'!$D$56:$D$75))),IF('TS-PILE'!$B$63="",1E+99,'TO HOP NLAN'!D34/ncoc+IF(SUMSQ('TS-PILE'!$E$56:$E$75)=0,0,'TO HOP NLAN'!E34*'TS-PILE'!$E$63/SUMSQ('TS-PILE'!$E$56:$E$75))+IF(SUMSQ('TS-PILE'!$D$56:$D$75)=0,0,'TO HOP NLAN'!F34*'TS-PILE'!$D$63/SUMSQ('TS-PILE'!$D$56:$D$75))),IF('TS-PILE'!$B$64="",1E+99,'TO HOP NLAN'!D34/ncoc+IF(SUMSQ('TS-PILE'!$E$56:$E$75)=0,0,'TO HOP NLAN'!E34*'TS-PILE'!$E$64/SUMSQ('TS-PILE'!$E$56:$E$75))+IF(SUMSQ('TS-PILE'!$D$56:$D$75)=0,0,'TO HOP NLAN'!F34*'TS-PILE'!$D$64/SUMSQ('TS-PILE'!$D$56:$D$75))),IF('TS-PILE'!$B$65="",1E+99,'TO HOP NLAN'!D34/ncoc+IF(SUMSQ('TS-PILE'!$E$56:$E$75)=0,0,'TO HOP NLAN'!E34*'TS-PILE'!$E$65/SUMSQ('TS-PILE'!$E$56:$E$75))+IF(SUMSQ('TS-PILE'!$D$56:$D$75)=0,0,'TO HOP NLAN'!F34*'TS-PILE'!$D$65/SUMSQ('TS-PILE'!$D$56:$D$75))),IF('TS-PILE'!$B$66="",1E+99,'TO HOP NLAN'!D34/ncoc+IF(SUMSQ('TS-PILE'!$E$56:$E$75)=0,0,'TO HOP NLAN'!E34*'TS-PILE'!$E$66/SUMSQ('TS-PILE'!$E$56:$E$75))+IF(SUMSQ('TS-PILE'!$D$56:$D$75)=0,0,'TO HOP NLAN'!F34*'TS-PILE'!$D$66/SUMSQ('TS-PILE'!$D$56:$D$75))),IF('TS-PILE'!$B$67="",1E+99,'TO HOP NLAN'!D34/ncoc+IF(SUMSQ('TS-PILE'!$E$56:$E$75)=0,0,'TO HOP NLAN'!E34*'TS-PILE'!$E$67/SUMSQ('TS-PILE'!$E$56:$E$75))+IF(SUMSQ('TS-PILE'!$D$56:$D$75)=0,0,'TO HOP NLAN'!F34*'TS-PILE'!$D$67/SUMSQ('TS-PILE'!$D$56:$D$75))),IF('TS-PILE'!$B$68="",1E+99,'TO HOP NLAN'!D34/ncoc+IF(SUMSQ('TS-PILE'!$E$56:$E$75)=0,0,'TO HOP NLAN'!E34*'TS-PILE'!$E$68/SUMSQ('TS-PILE'!$E$56:$E$75))+IF(SUMSQ('TS-PILE'!$D$56:$D$75)=0,0,'TO HOP NLAN'!F34*'TS-PILE'!$D$68/SUMSQ('TS-PILE'!$D$56:$D$75))),IF('TS-PILE'!$B$69="",1E+99,'TO HOP NLAN'!D34/ncoc+IF(SUMSQ('TS-PILE'!$E$56:$E$75)=0,0,'TO HOP NLAN'!E34*'TS-PILE'!$E$69/SUMSQ('TS-PILE'!$E$56:$E$75))+IF(SUMSQ('TS-PILE'!$D$56:$D$75)=0,0,'TO HOP NLAN'!F34*'TS-PILE'!$D$69/SUMSQ('TS-PILE'!$D$56:$D$75))),IF('TS-PILE'!$B$70="",1E+99,'TO HOP NLAN'!D34/ncoc+IF(SUMSQ('TS-PILE'!$E$56:$E$75)=0,0,'TO HOP NLAN'!E34*'TS-PILE'!$E$70/SUMSQ('TS-PILE'!$E$56:$E$75))+IF(SUMSQ('TS-PILE'!$D$56:$D$75)=0,0,'TO HOP NLAN'!F34*'TS-PILE'!$D$70/SUMSQ('TS-PILE'!$D$56:$D$75))),IF('TS-PILE'!$B$71="",1E+99,'TO HOP NLAN'!D34/ncoc+IF(SUMSQ('TS-PILE'!$E$56:$E$75)=0,0,'TO HOP NLAN'!E34*'TS-PILE'!$E$71/SUMSQ('TS-PILE'!$E$56:$E$75))+IF(SUMSQ('TS-PILE'!$D$56:$D$75)=0,0,'TO HOP NLAN'!F34*'TS-PILE'!$D$71/SUMSQ('TS-PILE'!$D$56:$D$75))),IF('TS-PILE'!$B$72="",1E+99,'TO HOP NLAN'!D34/ncoc+IF(SUMSQ('TS-PILE'!$E$56:$E$75)=0,0,'TO HOP NLAN'!E34*'TS-PILE'!$E$72/SUMSQ('TS-PILE'!$E$56:$E$75))+IF(SUMSQ('TS-PILE'!$D$56:$D$75)=0,0,'TO HOP NLAN'!F34*'TS-PILE'!$D$72/SUMSQ('TS-PILE'!$D$56:$D$75))),IF('TS-PILE'!$B$73="",1E+99,'TO HOP NLAN'!D34/ncoc+IF(SUMSQ('TS-PILE'!$E$56:$E$75)=0,0,'TO HOP NLAN'!E34*'TS-PILE'!$E$73/SUMSQ('TS-PILE'!$E$56:$E$75))+IF(SUMSQ('TS-PILE'!$D$56:$D$75)=0,0,'TO HOP NLAN'!F34*'TS-PILE'!$D$73/SUMSQ('TS-PILE'!$D$56:$D$75))),IF('TS-PILE'!$B$74="",1E+99,'TO HOP NLAN'!D34/ncoc+IF(SUMSQ('TS-PILE'!$E$56:$E$75)=0,0,'TO HOP NLAN'!E34*'TS-PILE'!$E$74/SUMSQ('TS-PILE'!$E$56:$E$75))+IF(SUMSQ('TS-PILE'!$D$56:$D$75)=0,0,'TO HOP NLAN'!F34*'TS-PILE'!$D$74/SUMSQ('TS-PILE'!$D$56:$D$75))),IF('TS-PILE'!$B$75="",1E+99,'TO HOP NLAN'!D34/ncoc+IF(SUMSQ('TS-PILE'!$E$56:$E$75)=0,0,'TO HOP NLAN'!E34*'TS-PILE'!$E$75/SUMSQ('TS-PILE'!$E$56:$E$75))+IF(SUMSQ('TS-PILE'!$D$56:$D$75)=0,0,'TO HOP NLAN'!F34*'TS-PILE'!$D$75/SUMSQ('TS-PILE'!$D$56:$D$75)))))</f>
        <v>0</v>
      </c>
      <c r="E34" s="46">
        <f t="shared" si="0"/>
        <v>-9.9999999999999997E+98</v>
      </c>
      <c r="F34" s="46">
        <f t="shared" si="1"/>
        <v>9.9999999999999997E+98</v>
      </c>
      <c r="G34" s="46">
        <f t="shared" si="2"/>
        <v>-9.9999999999999997E+98</v>
      </c>
      <c r="H34" s="46">
        <f t="shared" si="3"/>
        <v>9.9999999999999997E+98</v>
      </c>
    </row>
    <row r="35" spans="1:8" x14ac:dyDescent="0.3">
      <c r="A35" s="40" t="str">
        <f>'TO HOP NLAN'!A35</f>
        <v/>
      </c>
      <c r="B35" s="40" t="str">
        <f>'TO HOP NLAN'!L35</f>
        <v>SERVICE</v>
      </c>
      <c r="C35" s="46">
        <f>IF(A35="",0,MAX(IF('TS-PILE'!$B$56="",-1E+99,'TO HOP NLAN'!D35/ncoc+IF(SUMSQ('TS-PILE'!$E$56:$E$75)=0,0,'TO HOP NLAN'!E35*'TS-PILE'!$E$56/SUMSQ('TS-PILE'!$E$56:$E$75))+IF(SUMSQ('TS-PILE'!$D$56:$D$75)=0,0,'TO HOP NLAN'!F35*'TS-PILE'!$D$56/SUMSQ('TS-PILE'!$D$56:$D$75))),IF('TS-PILE'!$B$57="",-1E+99,'TO HOP NLAN'!D35/ncoc+IF(SUMSQ('TS-PILE'!$E$56:$E$75)=0,0,'TO HOP NLAN'!E35*'TS-PILE'!$E$57/SUMSQ('TS-PILE'!$E$56:$E$75))+IF(SUMSQ('TS-PILE'!$D$56:$D$75)=0,0,'TO HOP NLAN'!F35*'TS-PILE'!$D$57/SUMSQ('TS-PILE'!$D$56:$D$75))),IF('TS-PILE'!$B$58="",-1E+99,'TO HOP NLAN'!D35/ncoc+IF(SUMSQ('TS-PILE'!$E$56:$E$75)=0,0,'TO HOP NLAN'!E35*'TS-PILE'!$E$58/SUMSQ('TS-PILE'!$E$56:$E$75))+IF(SUMSQ('TS-PILE'!$D$56:$D$75)=0,0,'TO HOP NLAN'!F35*'TS-PILE'!$D$58/SUMSQ('TS-PILE'!$D$56:$D$75))),IF('TS-PILE'!$B$59="",-1E+99,'TO HOP NLAN'!D35/ncoc+IF(SUMSQ('TS-PILE'!$E$56:$E$75)=0,0,'TO HOP NLAN'!E35*'TS-PILE'!$E$59/SUMSQ('TS-PILE'!$E$56:$E$75))+IF(SUMSQ('TS-PILE'!$D$56:$D$75)=0,0,'TO HOP NLAN'!F35*'TS-PILE'!$D$59/SUMSQ('TS-PILE'!$D$56:$D$75))),IF('TS-PILE'!$B$60="",-1E+99,'TO HOP NLAN'!D35/ncoc+IF(SUMSQ('TS-PILE'!$E$56:$E$75)=0,0,'TO HOP NLAN'!E35*'TS-PILE'!$E$60/SUMSQ('TS-PILE'!$E$56:$E$75))+IF(SUMSQ('TS-PILE'!$D$56:$D$75)=0,0,'TO HOP NLAN'!F35*'TS-PILE'!$D$60/SUMSQ('TS-PILE'!$D$56:$D$75))),IF('TS-PILE'!$B$61="",-1E+99,'TO HOP NLAN'!D35/ncoc+IF(SUMSQ('TS-PILE'!$E$56:$E$75)=0,0,'TO HOP NLAN'!E35*'TS-PILE'!$E$61/SUMSQ('TS-PILE'!$E$56:$E$75))+IF(SUMSQ('TS-PILE'!$D$56:$D$75)=0,0,'TO HOP NLAN'!F35*'TS-PILE'!$D$61/SUMSQ('TS-PILE'!$D$56:$D$75))),IF('TS-PILE'!$B$62="",-1E+99,'TO HOP NLAN'!D35/ncoc+IF(SUMSQ('TS-PILE'!$E$56:$E$75)=0,0,'TO HOP NLAN'!E35*'TS-PILE'!$E$62/SUMSQ('TS-PILE'!$E$56:$E$75))+IF(SUMSQ('TS-PILE'!$D$56:$D$75)=0,0,'TO HOP NLAN'!F35*'TS-PILE'!$D$62/SUMSQ('TS-PILE'!$D$56:$D$75))),IF('TS-PILE'!$B$63="",-1E+99,'TO HOP NLAN'!D35/ncoc+IF(SUMSQ('TS-PILE'!$E$56:$E$75)=0,0,'TO HOP NLAN'!E35*'TS-PILE'!$E$63/SUMSQ('TS-PILE'!$E$56:$E$75))+IF(SUMSQ('TS-PILE'!$D$56:$D$75)=0,0,'TO HOP NLAN'!F35*'TS-PILE'!$D$63/SUMSQ('TS-PILE'!$D$56:$D$75))),IF('TS-PILE'!$B$64="",-1E+99,'TO HOP NLAN'!D35/ncoc+IF(SUMSQ('TS-PILE'!$E$56:$E$75)=0,0,'TO HOP NLAN'!E35*'TS-PILE'!$E$64/SUMSQ('TS-PILE'!$E$56:$E$75))+IF(SUMSQ('TS-PILE'!$D$56:$D$75)=0,0,'TO HOP NLAN'!F35*'TS-PILE'!$D$64/SUMSQ('TS-PILE'!$D$56:$D$75))),IF('TS-PILE'!$B$65="",-1E+99,'TO HOP NLAN'!D35/ncoc+IF(SUMSQ('TS-PILE'!$E$56:$E$75)=0,0,'TO HOP NLAN'!E35*'TS-PILE'!$E$65/SUMSQ('TS-PILE'!$E$56:$E$75))+IF(SUMSQ('TS-PILE'!$D$56:$D$75)=0,0,'TO HOP NLAN'!F35*'TS-PILE'!$D$65/SUMSQ('TS-PILE'!$D$56:$D$75))),IF('TS-PILE'!$B$66="",-1E+99,'TO HOP NLAN'!D35/ncoc+IF(SUMSQ('TS-PILE'!$E$56:$E$75)=0,0,'TO HOP NLAN'!E35*'TS-PILE'!$E$66/SUMSQ('TS-PILE'!$E$56:$E$75))+IF(SUMSQ('TS-PILE'!$D$56:$D$75)=0,0,'TO HOP NLAN'!F35*'TS-PILE'!$D$66/SUMSQ('TS-PILE'!$D$56:$D$75))),IF('TS-PILE'!$B$67="",-1E+99,'TO HOP NLAN'!D35/ncoc+IF(SUMSQ('TS-PILE'!$E$56:$E$75)=0,0,'TO HOP NLAN'!E35*'TS-PILE'!$E$67/SUMSQ('TS-PILE'!$E$56:$E$75))+IF(SUMSQ('TS-PILE'!$D$56:$D$75)=0,0,'TO HOP NLAN'!F35*'TS-PILE'!$D$67/SUMSQ('TS-PILE'!$D$56:$D$75))),IF('TS-PILE'!$B$68="",-1E+99,'TO HOP NLAN'!D35/ncoc+IF(SUMSQ('TS-PILE'!$E$56:$E$75)=0,0,'TO HOP NLAN'!E35*'TS-PILE'!$E$68/SUMSQ('TS-PILE'!$E$56:$E$75))+IF(SUMSQ('TS-PILE'!$D$56:$D$75)=0,0,'TO HOP NLAN'!F35*'TS-PILE'!$D$68/SUMSQ('TS-PILE'!$D$56:$D$75))),IF('TS-PILE'!$B$69="",-1E+99,'TO HOP NLAN'!D35/ncoc+IF(SUMSQ('TS-PILE'!$E$56:$E$75)=0,0,'TO HOP NLAN'!E35*'TS-PILE'!$E$69/SUMSQ('TS-PILE'!$E$56:$E$75))+IF(SUMSQ('TS-PILE'!$D$56:$D$75)=0,0,'TO HOP NLAN'!F35*'TS-PILE'!$D$69/SUMSQ('TS-PILE'!$D$56:$D$75))),IF('TS-PILE'!$B$70="",-1E+99,'TO HOP NLAN'!D35/ncoc+IF(SUMSQ('TS-PILE'!$E$56:$E$75)=0,0,'TO HOP NLAN'!E35*'TS-PILE'!$E$70/SUMSQ('TS-PILE'!$E$56:$E$75))+IF(SUMSQ('TS-PILE'!$D$56:$D$75)=0,0,'TO HOP NLAN'!F35*'TS-PILE'!$D$70/SUMSQ('TS-PILE'!$D$56:$D$75))),IF('TS-PILE'!$B$71="",-1E+99,'TO HOP NLAN'!D35/ncoc+IF(SUMSQ('TS-PILE'!$E$56:$E$75)=0,0,'TO HOP NLAN'!E35*'TS-PILE'!$E$71/SUMSQ('TS-PILE'!$E$56:$E$75))+IF(SUMSQ('TS-PILE'!$D$56:$D$75)=0,0,'TO HOP NLAN'!F35*'TS-PILE'!$D$71/SUMSQ('TS-PILE'!$D$56:$D$75))),IF('TS-PILE'!$B$72="",-1E+99,'TO HOP NLAN'!D35/ncoc+IF(SUMSQ('TS-PILE'!$E$56:$E$75)=0,0,'TO HOP NLAN'!E35*'TS-PILE'!$E$72/SUMSQ('TS-PILE'!$E$56:$E$75))+IF(SUMSQ('TS-PILE'!$D$56:$D$75)=0,0,'TO HOP NLAN'!F35*'TS-PILE'!$D$72/SUMSQ('TS-PILE'!$D$56:$D$75))),IF('TS-PILE'!$B$73="",-1E+99,'TO HOP NLAN'!D35/ncoc+IF(SUMSQ('TS-PILE'!$E$56:$E$75)=0,0,'TO HOP NLAN'!E35*'TS-PILE'!$E$73/SUMSQ('TS-PILE'!$E$56:$E$75))+IF(SUMSQ('TS-PILE'!$D$56:$D$75)=0,0,'TO HOP NLAN'!F35*'TS-PILE'!$D$73/SUMSQ('TS-PILE'!$D$56:$D$75))),IF('TS-PILE'!$B$74="",-1E+99,'TO HOP NLAN'!D35/ncoc+IF(SUMSQ('TS-PILE'!$E$56:$E$75)=0,0,'TO HOP NLAN'!E35*'TS-PILE'!$E$74/SUMSQ('TS-PILE'!$E$56:$E$75))+IF(SUMSQ('TS-PILE'!$D$56:$D$75)=0,0,'TO HOP NLAN'!F35*'TS-PILE'!$D$74/SUMSQ('TS-PILE'!$D$56:$D$75))),IF('TS-PILE'!$B$75="",-1E+99,'TO HOP NLAN'!D35/ncoc+IF(SUMSQ('TS-PILE'!$E$56:$E$75)=0,0,'TO HOP NLAN'!E35*'TS-PILE'!$E$75/SUMSQ('TS-PILE'!$E$56:$E$75))+IF(SUMSQ('TS-PILE'!$D$56:$D$75)=0,0,'TO HOP NLAN'!F35*'TS-PILE'!$D$75/SUMSQ('TS-PILE'!$D$56:$D$75)))))</f>
        <v>0</v>
      </c>
      <c r="D35" s="46">
        <f>IF(A35="",0,MIN(IF('TS-PILE'!$B$56="",1E+99,'TO HOP NLAN'!D35/ncoc+IF(SUMSQ('TS-PILE'!$E$56:$E$75)=0,0,'TO HOP NLAN'!E35*'TS-PILE'!$E$56/SUMSQ('TS-PILE'!$E$56:$E$75))+IF(SUMSQ('TS-PILE'!$D$56:$D$75)=0,0,'TO HOP NLAN'!F35*'TS-PILE'!$D$56/SUMSQ('TS-PILE'!$D$56:$D$75))),IF('TS-PILE'!$B$57="",1E+99,'TO HOP NLAN'!D35/ncoc+IF(SUMSQ('TS-PILE'!$E$56:$E$75)=0,0,'TO HOP NLAN'!E35*'TS-PILE'!$E$57/SUMSQ('TS-PILE'!$E$56:$E$75))+IF(SUMSQ('TS-PILE'!$D$56:$D$75)=0,0,'TO HOP NLAN'!F35*'TS-PILE'!$D$57/SUMSQ('TS-PILE'!$D$56:$D$75))),IF('TS-PILE'!$B$58="",1E+99,'TO HOP NLAN'!D35/ncoc+IF(SUMSQ('TS-PILE'!$E$56:$E$75)=0,0,'TO HOP NLAN'!E35*'TS-PILE'!$E$58/SUMSQ('TS-PILE'!$E$56:$E$75))+IF(SUMSQ('TS-PILE'!$D$56:$D$75)=0,0,'TO HOP NLAN'!F35*'TS-PILE'!$D$58/SUMSQ('TS-PILE'!$D$56:$D$75))),IF('TS-PILE'!$B$59="",1E+99,'TO HOP NLAN'!D35/ncoc+IF(SUMSQ('TS-PILE'!$E$56:$E$75)=0,0,'TO HOP NLAN'!E35*'TS-PILE'!$E$59/SUMSQ('TS-PILE'!$E$56:$E$75))+IF(SUMSQ('TS-PILE'!$D$56:$D$75)=0,0,'TO HOP NLAN'!F35*'TS-PILE'!$D$59/SUMSQ('TS-PILE'!$D$56:$D$75))),IF('TS-PILE'!$B$60="",1E+99,'TO HOP NLAN'!D35/ncoc+IF(SUMSQ('TS-PILE'!$E$56:$E$75)=0,0,'TO HOP NLAN'!E35*'TS-PILE'!$E$60/SUMSQ('TS-PILE'!$E$56:$E$75))+IF(SUMSQ('TS-PILE'!$D$56:$D$75)=0,0,'TO HOP NLAN'!F35*'TS-PILE'!$D$60/SUMSQ('TS-PILE'!$D$56:$D$75))),IF('TS-PILE'!$B$61="",1E+99,'TO HOP NLAN'!D35/ncoc+IF(SUMSQ('TS-PILE'!$E$56:$E$75)=0,0,'TO HOP NLAN'!E35*'TS-PILE'!$E$61/SUMSQ('TS-PILE'!$E$56:$E$75))+IF(SUMSQ('TS-PILE'!$D$56:$D$75)=0,0,'TO HOP NLAN'!F35*'TS-PILE'!$D$61/SUMSQ('TS-PILE'!$D$56:$D$75))),IF('TS-PILE'!$B$62="",1E+99,'TO HOP NLAN'!D35/ncoc+IF(SUMSQ('TS-PILE'!$E$56:$E$75)=0,0,'TO HOP NLAN'!E35*'TS-PILE'!$E$62/SUMSQ('TS-PILE'!$E$56:$E$75))+IF(SUMSQ('TS-PILE'!$D$56:$D$75)=0,0,'TO HOP NLAN'!F35*'TS-PILE'!$D$62/SUMSQ('TS-PILE'!$D$56:$D$75))),IF('TS-PILE'!$B$63="",1E+99,'TO HOP NLAN'!D35/ncoc+IF(SUMSQ('TS-PILE'!$E$56:$E$75)=0,0,'TO HOP NLAN'!E35*'TS-PILE'!$E$63/SUMSQ('TS-PILE'!$E$56:$E$75))+IF(SUMSQ('TS-PILE'!$D$56:$D$75)=0,0,'TO HOP NLAN'!F35*'TS-PILE'!$D$63/SUMSQ('TS-PILE'!$D$56:$D$75))),IF('TS-PILE'!$B$64="",1E+99,'TO HOP NLAN'!D35/ncoc+IF(SUMSQ('TS-PILE'!$E$56:$E$75)=0,0,'TO HOP NLAN'!E35*'TS-PILE'!$E$64/SUMSQ('TS-PILE'!$E$56:$E$75))+IF(SUMSQ('TS-PILE'!$D$56:$D$75)=0,0,'TO HOP NLAN'!F35*'TS-PILE'!$D$64/SUMSQ('TS-PILE'!$D$56:$D$75))),IF('TS-PILE'!$B$65="",1E+99,'TO HOP NLAN'!D35/ncoc+IF(SUMSQ('TS-PILE'!$E$56:$E$75)=0,0,'TO HOP NLAN'!E35*'TS-PILE'!$E$65/SUMSQ('TS-PILE'!$E$56:$E$75))+IF(SUMSQ('TS-PILE'!$D$56:$D$75)=0,0,'TO HOP NLAN'!F35*'TS-PILE'!$D$65/SUMSQ('TS-PILE'!$D$56:$D$75))),IF('TS-PILE'!$B$66="",1E+99,'TO HOP NLAN'!D35/ncoc+IF(SUMSQ('TS-PILE'!$E$56:$E$75)=0,0,'TO HOP NLAN'!E35*'TS-PILE'!$E$66/SUMSQ('TS-PILE'!$E$56:$E$75))+IF(SUMSQ('TS-PILE'!$D$56:$D$75)=0,0,'TO HOP NLAN'!F35*'TS-PILE'!$D$66/SUMSQ('TS-PILE'!$D$56:$D$75))),IF('TS-PILE'!$B$67="",1E+99,'TO HOP NLAN'!D35/ncoc+IF(SUMSQ('TS-PILE'!$E$56:$E$75)=0,0,'TO HOP NLAN'!E35*'TS-PILE'!$E$67/SUMSQ('TS-PILE'!$E$56:$E$75))+IF(SUMSQ('TS-PILE'!$D$56:$D$75)=0,0,'TO HOP NLAN'!F35*'TS-PILE'!$D$67/SUMSQ('TS-PILE'!$D$56:$D$75))),IF('TS-PILE'!$B$68="",1E+99,'TO HOP NLAN'!D35/ncoc+IF(SUMSQ('TS-PILE'!$E$56:$E$75)=0,0,'TO HOP NLAN'!E35*'TS-PILE'!$E$68/SUMSQ('TS-PILE'!$E$56:$E$75))+IF(SUMSQ('TS-PILE'!$D$56:$D$75)=0,0,'TO HOP NLAN'!F35*'TS-PILE'!$D$68/SUMSQ('TS-PILE'!$D$56:$D$75))),IF('TS-PILE'!$B$69="",1E+99,'TO HOP NLAN'!D35/ncoc+IF(SUMSQ('TS-PILE'!$E$56:$E$75)=0,0,'TO HOP NLAN'!E35*'TS-PILE'!$E$69/SUMSQ('TS-PILE'!$E$56:$E$75))+IF(SUMSQ('TS-PILE'!$D$56:$D$75)=0,0,'TO HOP NLAN'!F35*'TS-PILE'!$D$69/SUMSQ('TS-PILE'!$D$56:$D$75))),IF('TS-PILE'!$B$70="",1E+99,'TO HOP NLAN'!D35/ncoc+IF(SUMSQ('TS-PILE'!$E$56:$E$75)=0,0,'TO HOP NLAN'!E35*'TS-PILE'!$E$70/SUMSQ('TS-PILE'!$E$56:$E$75))+IF(SUMSQ('TS-PILE'!$D$56:$D$75)=0,0,'TO HOP NLAN'!F35*'TS-PILE'!$D$70/SUMSQ('TS-PILE'!$D$56:$D$75))),IF('TS-PILE'!$B$71="",1E+99,'TO HOP NLAN'!D35/ncoc+IF(SUMSQ('TS-PILE'!$E$56:$E$75)=0,0,'TO HOP NLAN'!E35*'TS-PILE'!$E$71/SUMSQ('TS-PILE'!$E$56:$E$75))+IF(SUMSQ('TS-PILE'!$D$56:$D$75)=0,0,'TO HOP NLAN'!F35*'TS-PILE'!$D$71/SUMSQ('TS-PILE'!$D$56:$D$75))),IF('TS-PILE'!$B$72="",1E+99,'TO HOP NLAN'!D35/ncoc+IF(SUMSQ('TS-PILE'!$E$56:$E$75)=0,0,'TO HOP NLAN'!E35*'TS-PILE'!$E$72/SUMSQ('TS-PILE'!$E$56:$E$75))+IF(SUMSQ('TS-PILE'!$D$56:$D$75)=0,0,'TO HOP NLAN'!F35*'TS-PILE'!$D$72/SUMSQ('TS-PILE'!$D$56:$D$75))),IF('TS-PILE'!$B$73="",1E+99,'TO HOP NLAN'!D35/ncoc+IF(SUMSQ('TS-PILE'!$E$56:$E$75)=0,0,'TO HOP NLAN'!E35*'TS-PILE'!$E$73/SUMSQ('TS-PILE'!$E$56:$E$75))+IF(SUMSQ('TS-PILE'!$D$56:$D$75)=0,0,'TO HOP NLAN'!F35*'TS-PILE'!$D$73/SUMSQ('TS-PILE'!$D$56:$D$75))),IF('TS-PILE'!$B$74="",1E+99,'TO HOP NLAN'!D35/ncoc+IF(SUMSQ('TS-PILE'!$E$56:$E$75)=0,0,'TO HOP NLAN'!E35*'TS-PILE'!$E$74/SUMSQ('TS-PILE'!$E$56:$E$75))+IF(SUMSQ('TS-PILE'!$D$56:$D$75)=0,0,'TO HOP NLAN'!F35*'TS-PILE'!$D$74/SUMSQ('TS-PILE'!$D$56:$D$75))),IF('TS-PILE'!$B$75="",1E+99,'TO HOP NLAN'!D35/ncoc+IF(SUMSQ('TS-PILE'!$E$56:$E$75)=0,0,'TO HOP NLAN'!E35*'TS-PILE'!$E$75/SUMSQ('TS-PILE'!$E$56:$E$75))+IF(SUMSQ('TS-PILE'!$D$56:$D$75)=0,0,'TO HOP NLAN'!F35*'TS-PILE'!$D$75/SUMSQ('TS-PILE'!$D$56:$D$75)))))</f>
        <v>0</v>
      </c>
      <c r="E35" s="46">
        <f t="shared" si="0"/>
        <v>-9.9999999999999997E+98</v>
      </c>
      <c r="F35" s="46">
        <f t="shared" si="1"/>
        <v>9.9999999999999997E+98</v>
      </c>
      <c r="G35" s="46">
        <f t="shared" si="2"/>
        <v>-9.9999999999999997E+98</v>
      </c>
      <c r="H35" s="46">
        <f t="shared" si="3"/>
        <v>9.9999999999999997E+98</v>
      </c>
    </row>
    <row r="36" spans="1:8" x14ac:dyDescent="0.3">
      <c r="A36" s="40" t="str">
        <f>'TO HOP NLAN'!A36</f>
        <v/>
      </c>
      <c r="B36" s="40" t="str">
        <f>'TO HOP NLAN'!L36</f>
        <v>SERVICE</v>
      </c>
      <c r="C36" s="46">
        <f>IF(A36="",0,MAX(IF('TS-PILE'!$B$56="",-1E+99,'TO HOP NLAN'!D36/ncoc+IF(SUMSQ('TS-PILE'!$E$56:$E$75)=0,0,'TO HOP NLAN'!E36*'TS-PILE'!$E$56/SUMSQ('TS-PILE'!$E$56:$E$75))+IF(SUMSQ('TS-PILE'!$D$56:$D$75)=0,0,'TO HOP NLAN'!F36*'TS-PILE'!$D$56/SUMSQ('TS-PILE'!$D$56:$D$75))),IF('TS-PILE'!$B$57="",-1E+99,'TO HOP NLAN'!D36/ncoc+IF(SUMSQ('TS-PILE'!$E$56:$E$75)=0,0,'TO HOP NLAN'!E36*'TS-PILE'!$E$57/SUMSQ('TS-PILE'!$E$56:$E$75))+IF(SUMSQ('TS-PILE'!$D$56:$D$75)=0,0,'TO HOP NLAN'!F36*'TS-PILE'!$D$57/SUMSQ('TS-PILE'!$D$56:$D$75))),IF('TS-PILE'!$B$58="",-1E+99,'TO HOP NLAN'!D36/ncoc+IF(SUMSQ('TS-PILE'!$E$56:$E$75)=0,0,'TO HOP NLAN'!E36*'TS-PILE'!$E$58/SUMSQ('TS-PILE'!$E$56:$E$75))+IF(SUMSQ('TS-PILE'!$D$56:$D$75)=0,0,'TO HOP NLAN'!F36*'TS-PILE'!$D$58/SUMSQ('TS-PILE'!$D$56:$D$75))),IF('TS-PILE'!$B$59="",-1E+99,'TO HOP NLAN'!D36/ncoc+IF(SUMSQ('TS-PILE'!$E$56:$E$75)=0,0,'TO HOP NLAN'!E36*'TS-PILE'!$E$59/SUMSQ('TS-PILE'!$E$56:$E$75))+IF(SUMSQ('TS-PILE'!$D$56:$D$75)=0,0,'TO HOP NLAN'!F36*'TS-PILE'!$D$59/SUMSQ('TS-PILE'!$D$56:$D$75))),IF('TS-PILE'!$B$60="",-1E+99,'TO HOP NLAN'!D36/ncoc+IF(SUMSQ('TS-PILE'!$E$56:$E$75)=0,0,'TO HOP NLAN'!E36*'TS-PILE'!$E$60/SUMSQ('TS-PILE'!$E$56:$E$75))+IF(SUMSQ('TS-PILE'!$D$56:$D$75)=0,0,'TO HOP NLAN'!F36*'TS-PILE'!$D$60/SUMSQ('TS-PILE'!$D$56:$D$75))),IF('TS-PILE'!$B$61="",-1E+99,'TO HOP NLAN'!D36/ncoc+IF(SUMSQ('TS-PILE'!$E$56:$E$75)=0,0,'TO HOP NLAN'!E36*'TS-PILE'!$E$61/SUMSQ('TS-PILE'!$E$56:$E$75))+IF(SUMSQ('TS-PILE'!$D$56:$D$75)=0,0,'TO HOP NLAN'!F36*'TS-PILE'!$D$61/SUMSQ('TS-PILE'!$D$56:$D$75))),IF('TS-PILE'!$B$62="",-1E+99,'TO HOP NLAN'!D36/ncoc+IF(SUMSQ('TS-PILE'!$E$56:$E$75)=0,0,'TO HOP NLAN'!E36*'TS-PILE'!$E$62/SUMSQ('TS-PILE'!$E$56:$E$75))+IF(SUMSQ('TS-PILE'!$D$56:$D$75)=0,0,'TO HOP NLAN'!F36*'TS-PILE'!$D$62/SUMSQ('TS-PILE'!$D$56:$D$75))),IF('TS-PILE'!$B$63="",-1E+99,'TO HOP NLAN'!D36/ncoc+IF(SUMSQ('TS-PILE'!$E$56:$E$75)=0,0,'TO HOP NLAN'!E36*'TS-PILE'!$E$63/SUMSQ('TS-PILE'!$E$56:$E$75))+IF(SUMSQ('TS-PILE'!$D$56:$D$75)=0,0,'TO HOP NLAN'!F36*'TS-PILE'!$D$63/SUMSQ('TS-PILE'!$D$56:$D$75))),IF('TS-PILE'!$B$64="",-1E+99,'TO HOP NLAN'!D36/ncoc+IF(SUMSQ('TS-PILE'!$E$56:$E$75)=0,0,'TO HOP NLAN'!E36*'TS-PILE'!$E$64/SUMSQ('TS-PILE'!$E$56:$E$75))+IF(SUMSQ('TS-PILE'!$D$56:$D$75)=0,0,'TO HOP NLAN'!F36*'TS-PILE'!$D$64/SUMSQ('TS-PILE'!$D$56:$D$75))),IF('TS-PILE'!$B$65="",-1E+99,'TO HOP NLAN'!D36/ncoc+IF(SUMSQ('TS-PILE'!$E$56:$E$75)=0,0,'TO HOP NLAN'!E36*'TS-PILE'!$E$65/SUMSQ('TS-PILE'!$E$56:$E$75))+IF(SUMSQ('TS-PILE'!$D$56:$D$75)=0,0,'TO HOP NLAN'!F36*'TS-PILE'!$D$65/SUMSQ('TS-PILE'!$D$56:$D$75))),IF('TS-PILE'!$B$66="",-1E+99,'TO HOP NLAN'!D36/ncoc+IF(SUMSQ('TS-PILE'!$E$56:$E$75)=0,0,'TO HOP NLAN'!E36*'TS-PILE'!$E$66/SUMSQ('TS-PILE'!$E$56:$E$75))+IF(SUMSQ('TS-PILE'!$D$56:$D$75)=0,0,'TO HOP NLAN'!F36*'TS-PILE'!$D$66/SUMSQ('TS-PILE'!$D$56:$D$75))),IF('TS-PILE'!$B$67="",-1E+99,'TO HOP NLAN'!D36/ncoc+IF(SUMSQ('TS-PILE'!$E$56:$E$75)=0,0,'TO HOP NLAN'!E36*'TS-PILE'!$E$67/SUMSQ('TS-PILE'!$E$56:$E$75))+IF(SUMSQ('TS-PILE'!$D$56:$D$75)=0,0,'TO HOP NLAN'!F36*'TS-PILE'!$D$67/SUMSQ('TS-PILE'!$D$56:$D$75))),IF('TS-PILE'!$B$68="",-1E+99,'TO HOP NLAN'!D36/ncoc+IF(SUMSQ('TS-PILE'!$E$56:$E$75)=0,0,'TO HOP NLAN'!E36*'TS-PILE'!$E$68/SUMSQ('TS-PILE'!$E$56:$E$75))+IF(SUMSQ('TS-PILE'!$D$56:$D$75)=0,0,'TO HOP NLAN'!F36*'TS-PILE'!$D$68/SUMSQ('TS-PILE'!$D$56:$D$75))),IF('TS-PILE'!$B$69="",-1E+99,'TO HOP NLAN'!D36/ncoc+IF(SUMSQ('TS-PILE'!$E$56:$E$75)=0,0,'TO HOP NLAN'!E36*'TS-PILE'!$E$69/SUMSQ('TS-PILE'!$E$56:$E$75))+IF(SUMSQ('TS-PILE'!$D$56:$D$75)=0,0,'TO HOP NLAN'!F36*'TS-PILE'!$D$69/SUMSQ('TS-PILE'!$D$56:$D$75))),IF('TS-PILE'!$B$70="",-1E+99,'TO HOP NLAN'!D36/ncoc+IF(SUMSQ('TS-PILE'!$E$56:$E$75)=0,0,'TO HOP NLAN'!E36*'TS-PILE'!$E$70/SUMSQ('TS-PILE'!$E$56:$E$75))+IF(SUMSQ('TS-PILE'!$D$56:$D$75)=0,0,'TO HOP NLAN'!F36*'TS-PILE'!$D$70/SUMSQ('TS-PILE'!$D$56:$D$75))),IF('TS-PILE'!$B$71="",-1E+99,'TO HOP NLAN'!D36/ncoc+IF(SUMSQ('TS-PILE'!$E$56:$E$75)=0,0,'TO HOP NLAN'!E36*'TS-PILE'!$E$71/SUMSQ('TS-PILE'!$E$56:$E$75))+IF(SUMSQ('TS-PILE'!$D$56:$D$75)=0,0,'TO HOP NLAN'!F36*'TS-PILE'!$D$71/SUMSQ('TS-PILE'!$D$56:$D$75))),IF('TS-PILE'!$B$72="",-1E+99,'TO HOP NLAN'!D36/ncoc+IF(SUMSQ('TS-PILE'!$E$56:$E$75)=0,0,'TO HOP NLAN'!E36*'TS-PILE'!$E$72/SUMSQ('TS-PILE'!$E$56:$E$75))+IF(SUMSQ('TS-PILE'!$D$56:$D$75)=0,0,'TO HOP NLAN'!F36*'TS-PILE'!$D$72/SUMSQ('TS-PILE'!$D$56:$D$75))),IF('TS-PILE'!$B$73="",-1E+99,'TO HOP NLAN'!D36/ncoc+IF(SUMSQ('TS-PILE'!$E$56:$E$75)=0,0,'TO HOP NLAN'!E36*'TS-PILE'!$E$73/SUMSQ('TS-PILE'!$E$56:$E$75))+IF(SUMSQ('TS-PILE'!$D$56:$D$75)=0,0,'TO HOP NLAN'!F36*'TS-PILE'!$D$73/SUMSQ('TS-PILE'!$D$56:$D$75))),IF('TS-PILE'!$B$74="",-1E+99,'TO HOP NLAN'!D36/ncoc+IF(SUMSQ('TS-PILE'!$E$56:$E$75)=0,0,'TO HOP NLAN'!E36*'TS-PILE'!$E$74/SUMSQ('TS-PILE'!$E$56:$E$75))+IF(SUMSQ('TS-PILE'!$D$56:$D$75)=0,0,'TO HOP NLAN'!F36*'TS-PILE'!$D$74/SUMSQ('TS-PILE'!$D$56:$D$75))),IF('TS-PILE'!$B$75="",-1E+99,'TO HOP NLAN'!D36/ncoc+IF(SUMSQ('TS-PILE'!$E$56:$E$75)=0,0,'TO HOP NLAN'!E36*'TS-PILE'!$E$75/SUMSQ('TS-PILE'!$E$56:$E$75))+IF(SUMSQ('TS-PILE'!$D$56:$D$75)=0,0,'TO HOP NLAN'!F36*'TS-PILE'!$D$75/SUMSQ('TS-PILE'!$D$56:$D$75)))))</f>
        <v>0</v>
      </c>
      <c r="D36" s="46">
        <f>IF(A36="",0,MIN(IF('TS-PILE'!$B$56="",1E+99,'TO HOP NLAN'!D36/ncoc+IF(SUMSQ('TS-PILE'!$E$56:$E$75)=0,0,'TO HOP NLAN'!E36*'TS-PILE'!$E$56/SUMSQ('TS-PILE'!$E$56:$E$75))+IF(SUMSQ('TS-PILE'!$D$56:$D$75)=0,0,'TO HOP NLAN'!F36*'TS-PILE'!$D$56/SUMSQ('TS-PILE'!$D$56:$D$75))),IF('TS-PILE'!$B$57="",1E+99,'TO HOP NLAN'!D36/ncoc+IF(SUMSQ('TS-PILE'!$E$56:$E$75)=0,0,'TO HOP NLAN'!E36*'TS-PILE'!$E$57/SUMSQ('TS-PILE'!$E$56:$E$75))+IF(SUMSQ('TS-PILE'!$D$56:$D$75)=0,0,'TO HOP NLAN'!F36*'TS-PILE'!$D$57/SUMSQ('TS-PILE'!$D$56:$D$75))),IF('TS-PILE'!$B$58="",1E+99,'TO HOP NLAN'!D36/ncoc+IF(SUMSQ('TS-PILE'!$E$56:$E$75)=0,0,'TO HOP NLAN'!E36*'TS-PILE'!$E$58/SUMSQ('TS-PILE'!$E$56:$E$75))+IF(SUMSQ('TS-PILE'!$D$56:$D$75)=0,0,'TO HOP NLAN'!F36*'TS-PILE'!$D$58/SUMSQ('TS-PILE'!$D$56:$D$75))),IF('TS-PILE'!$B$59="",1E+99,'TO HOP NLAN'!D36/ncoc+IF(SUMSQ('TS-PILE'!$E$56:$E$75)=0,0,'TO HOP NLAN'!E36*'TS-PILE'!$E$59/SUMSQ('TS-PILE'!$E$56:$E$75))+IF(SUMSQ('TS-PILE'!$D$56:$D$75)=0,0,'TO HOP NLAN'!F36*'TS-PILE'!$D$59/SUMSQ('TS-PILE'!$D$56:$D$75))),IF('TS-PILE'!$B$60="",1E+99,'TO HOP NLAN'!D36/ncoc+IF(SUMSQ('TS-PILE'!$E$56:$E$75)=0,0,'TO HOP NLAN'!E36*'TS-PILE'!$E$60/SUMSQ('TS-PILE'!$E$56:$E$75))+IF(SUMSQ('TS-PILE'!$D$56:$D$75)=0,0,'TO HOP NLAN'!F36*'TS-PILE'!$D$60/SUMSQ('TS-PILE'!$D$56:$D$75))),IF('TS-PILE'!$B$61="",1E+99,'TO HOP NLAN'!D36/ncoc+IF(SUMSQ('TS-PILE'!$E$56:$E$75)=0,0,'TO HOP NLAN'!E36*'TS-PILE'!$E$61/SUMSQ('TS-PILE'!$E$56:$E$75))+IF(SUMSQ('TS-PILE'!$D$56:$D$75)=0,0,'TO HOP NLAN'!F36*'TS-PILE'!$D$61/SUMSQ('TS-PILE'!$D$56:$D$75))),IF('TS-PILE'!$B$62="",1E+99,'TO HOP NLAN'!D36/ncoc+IF(SUMSQ('TS-PILE'!$E$56:$E$75)=0,0,'TO HOP NLAN'!E36*'TS-PILE'!$E$62/SUMSQ('TS-PILE'!$E$56:$E$75))+IF(SUMSQ('TS-PILE'!$D$56:$D$75)=0,0,'TO HOP NLAN'!F36*'TS-PILE'!$D$62/SUMSQ('TS-PILE'!$D$56:$D$75))),IF('TS-PILE'!$B$63="",1E+99,'TO HOP NLAN'!D36/ncoc+IF(SUMSQ('TS-PILE'!$E$56:$E$75)=0,0,'TO HOP NLAN'!E36*'TS-PILE'!$E$63/SUMSQ('TS-PILE'!$E$56:$E$75))+IF(SUMSQ('TS-PILE'!$D$56:$D$75)=0,0,'TO HOP NLAN'!F36*'TS-PILE'!$D$63/SUMSQ('TS-PILE'!$D$56:$D$75))),IF('TS-PILE'!$B$64="",1E+99,'TO HOP NLAN'!D36/ncoc+IF(SUMSQ('TS-PILE'!$E$56:$E$75)=0,0,'TO HOP NLAN'!E36*'TS-PILE'!$E$64/SUMSQ('TS-PILE'!$E$56:$E$75))+IF(SUMSQ('TS-PILE'!$D$56:$D$75)=0,0,'TO HOP NLAN'!F36*'TS-PILE'!$D$64/SUMSQ('TS-PILE'!$D$56:$D$75))),IF('TS-PILE'!$B$65="",1E+99,'TO HOP NLAN'!D36/ncoc+IF(SUMSQ('TS-PILE'!$E$56:$E$75)=0,0,'TO HOP NLAN'!E36*'TS-PILE'!$E$65/SUMSQ('TS-PILE'!$E$56:$E$75))+IF(SUMSQ('TS-PILE'!$D$56:$D$75)=0,0,'TO HOP NLAN'!F36*'TS-PILE'!$D$65/SUMSQ('TS-PILE'!$D$56:$D$75))),IF('TS-PILE'!$B$66="",1E+99,'TO HOP NLAN'!D36/ncoc+IF(SUMSQ('TS-PILE'!$E$56:$E$75)=0,0,'TO HOP NLAN'!E36*'TS-PILE'!$E$66/SUMSQ('TS-PILE'!$E$56:$E$75))+IF(SUMSQ('TS-PILE'!$D$56:$D$75)=0,0,'TO HOP NLAN'!F36*'TS-PILE'!$D$66/SUMSQ('TS-PILE'!$D$56:$D$75))),IF('TS-PILE'!$B$67="",1E+99,'TO HOP NLAN'!D36/ncoc+IF(SUMSQ('TS-PILE'!$E$56:$E$75)=0,0,'TO HOP NLAN'!E36*'TS-PILE'!$E$67/SUMSQ('TS-PILE'!$E$56:$E$75))+IF(SUMSQ('TS-PILE'!$D$56:$D$75)=0,0,'TO HOP NLAN'!F36*'TS-PILE'!$D$67/SUMSQ('TS-PILE'!$D$56:$D$75))),IF('TS-PILE'!$B$68="",1E+99,'TO HOP NLAN'!D36/ncoc+IF(SUMSQ('TS-PILE'!$E$56:$E$75)=0,0,'TO HOP NLAN'!E36*'TS-PILE'!$E$68/SUMSQ('TS-PILE'!$E$56:$E$75))+IF(SUMSQ('TS-PILE'!$D$56:$D$75)=0,0,'TO HOP NLAN'!F36*'TS-PILE'!$D$68/SUMSQ('TS-PILE'!$D$56:$D$75))),IF('TS-PILE'!$B$69="",1E+99,'TO HOP NLAN'!D36/ncoc+IF(SUMSQ('TS-PILE'!$E$56:$E$75)=0,0,'TO HOP NLAN'!E36*'TS-PILE'!$E$69/SUMSQ('TS-PILE'!$E$56:$E$75))+IF(SUMSQ('TS-PILE'!$D$56:$D$75)=0,0,'TO HOP NLAN'!F36*'TS-PILE'!$D$69/SUMSQ('TS-PILE'!$D$56:$D$75))),IF('TS-PILE'!$B$70="",1E+99,'TO HOP NLAN'!D36/ncoc+IF(SUMSQ('TS-PILE'!$E$56:$E$75)=0,0,'TO HOP NLAN'!E36*'TS-PILE'!$E$70/SUMSQ('TS-PILE'!$E$56:$E$75))+IF(SUMSQ('TS-PILE'!$D$56:$D$75)=0,0,'TO HOP NLAN'!F36*'TS-PILE'!$D$70/SUMSQ('TS-PILE'!$D$56:$D$75))),IF('TS-PILE'!$B$71="",1E+99,'TO HOP NLAN'!D36/ncoc+IF(SUMSQ('TS-PILE'!$E$56:$E$75)=0,0,'TO HOP NLAN'!E36*'TS-PILE'!$E$71/SUMSQ('TS-PILE'!$E$56:$E$75))+IF(SUMSQ('TS-PILE'!$D$56:$D$75)=0,0,'TO HOP NLAN'!F36*'TS-PILE'!$D$71/SUMSQ('TS-PILE'!$D$56:$D$75))),IF('TS-PILE'!$B$72="",1E+99,'TO HOP NLAN'!D36/ncoc+IF(SUMSQ('TS-PILE'!$E$56:$E$75)=0,0,'TO HOP NLAN'!E36*'TS-PILE'!$E$72/SUMSQ('TS-PILE'!$E$56:$E$75))+IF(SUMSQ('TS-PILE'!$D$56:$D$75)=0,0,'TO HOP NLAN'!F36*'TS-PILE'!$D$72/SUMSQ('TS-PILE'!$D$56:$D$75))),IF('TS-PILE'!$B$73="",1E+99,'TO HOP NLAN'!D36/ncoc+IF(SUMSQ('TS-PILE'!$E$56:$E$75)=0,0,'TO HOP NLAN'!E36*'TS-PILE'!$E$73/SUMSQ('TS-PILE'!$E$56:$E$75))+IF(SUMSQ('TS-PILE'!$D$56:$D$75)=0,0,'TO HOP NLAN'!F36*'TS-PILE'!$D$73/SUMSQ('TS-PILE'!$D$56:$D$75))),IF('TS-PILE'!$B$74="",1E+99,'TO HOP NLAN'!D36/ncoc+IF(SUMSQ('TS-PILE'!$E$56:$E$75)=0,0,'TO HOP NLAN'!E36*'TS-PILE'!$E$74/SUMSQ('TS-PILE'!$E$56:$E$75))+IF(SUMSQ('TS-PILE'!$D$56:$D$75)=0,0,'TO HOP NLAN'!F36*'TS-PILE'!$D$74/SUMSQ('TS-PILE'!$D$56:$D$75))),IF('TS-PILE'!$B$75="",1E+99,'TO HOP NLAN'!D36/ncoc+IF(SUMSQ('TS-PILE'!$E$56:$E$75)=0,0,'TO HOP NLAN'!E36*'TS-PILE'!$E$75/SUMSQ('TS-PILE'!$E$56:$E$75))+IF(SUMSQ('TS-PILE'!$D$56:$D$75)=0,0,'TO HOP NLAN'!F36*'TS-PILE'!$D$75/SUMSQ('TS-PILE'!$D$56:$D$75)))))</f>
        <v>0</v>
      </c>
      <c r="E36" s="46">
        <f t="shared" si="0"/>
        <v>-9.9999999999999997E+98</v>
      </c>
      <c r="F36" s="46">
        <f t="shared" si="1"/>
        <v>9.9999999999999997E+98</v>
      </c>
      <c r="G36" s="46">
        <f t="shared" si="2"/>
        <v>-9.9999999999999997E+98</v>
      </c>
      <c r="H36" s="46">
        <f t="shared" si="3"/>
        <v>9.9999999999999997E+98</v>
      </c>
    </row>
    <row r="37" spans="1:8" x14ac:dyDescent="0.3">
      <c r="A37" s="40" t="str">
        <f>'TO HOP NLAN'!A37</f>
        <v/>
      </c>
      <c r="B37" s="40" t="str">
        <f>'TO HOP NLAN'!L37</f>
        <v>SERVICE</v>
      </c>
      <c r="C37" s="46">
        <f>IF(A37="",0,MAX(IF('TS-PILE'!$B$56="",-1E+99,'TO HOP NLAN'!D37/ncoc+IF(SUMSQ('TS-PILE'!$E$56:$E$75)=0,0,'TO HOP NLAN'!E37*'TS-PILE'!$E$56/SUMSQ('TS-PILE'!$E$56:$E$75))+IF(SUMSQ('TS-PILE'!$D$56:$D$75)=0,0,'TO HOP NLAN'!F37*'TS-PILE'!$D$56/SUMSQ('TS-PILE'!$D$56:$D$75))),IF('TS-PILE'!$B$57="",-1E+99,'TO HOP NLAN'!D37/ncoc+IF(SUMSQ('TS-PILE'!$E$56:$E$75)=0,0,'TO HOP NLAN'!E37*'TS-PILE'!$E$57/SUMSQ('TS-PILE'!$E$56:$E$75))+IF(SUMSQ('TS-PILE'!$D$56:$D$75)=0,0,'TO HOP NLAN'!F37*'TS-PILE'!$D$57/SUMSQ('TS-PILE'!$D$56:$D$75))),IF('TS-PILE'!$B$58="",-1E+99,'TO HOP NLAN'!D37/ncoc+IF(SUMSQ('TS-PILE'!$E$56:$E$75)=0,0,'TO HOP NLAN'!E37*'TS-PILE'!$E$58/SUMSQ('TS-PILE'!$E$56:$E$75))+IF(SUMSQ('TS-PILE'!$D$56:$D$75)=0,0,'TO HOP NLAN'!F37*'TS-PILE'!$D$58/SUMSQ('TS-PILE'!$D$56:$D$75))),IF('TS-PILE'!$B$59="",-1E+99,'TO HOP NLAN'!D37/ncoc+IF(SUMSQ('TS-PILE'!$E$56:$E$75)=0,0,'TO HOP NLAN'!E37*'TS-PILE'!$E$59/SUMSQ('TS-PILE'!$E$56:$E$75))+IF(SUMSQ('TS-PILE'!$D$56:$D$75)=0,0,'TO HOP NLAN'!F37*'TS-PILE'!$D$59/SUMSQ('TS-PILE'!$D$56:$D$75))),IF('TS-PILE'!$B$60="",-1E+99,'TO HOP NLAN'!D37/ncoc+IF(SUMSQ('TS-PILE'!$E$56:$E$75)=0,0,'TO HOP NLAN'!E37*'TS-PILE'!$E$60/SUMSQ('TS-PILE'!$E$56:$E$75))+IF(SUMSQ('TS-PILE'!$D$56:$D$75)=0,0,'TO HOP NLAN'!F37*'TS-PILE'!$D$60/SUMSQ('TS-PILE'!$D$56:$D$75))),IF('TS-PILE'!$B$61="",-1E+99,'TO HOP NLAN'!D37/ncoc+IF(SUMSQ('TS-PILE'!$E$56:$E$75)=0,0,'TO HOP NLAN'!E37*'TS-PILE'!$E$61/SUMSQ('TS-PILE'!$E$56:$E$75))+IF(SUMSQ('TS-PILE'!$D$56:$D$75)=0,0,'TO HOP NLAN'!F37*'TS-PILE'!$D$61/SUMSQ('TS-PILE'!$D$56:$D$75))),IF('TS-PILE'!$B$62="",-1E+99,'TO HOP NLAN'!D37/ncoc+IF(SUMSQ('TS-PILE'!$E$56:$E$75)=0,0,'TO HOP NLAN'!E37*'TS-PILE'!$E$62/SUMSQ('TS-PILE'!$E$56:$E$75))+IF(SUMSQ('TS-PILE'!$D$56:$D$75)=0,0,'TO HOP NLAN'!F37*'TS-PILE'!$D$62/SUMSQ('TS-PILE'!$D$56:$D$75))),IF('TS-PILE'!$B$63="",-1E+99,'TO HOP NLAN'!D37/ncoc+IF(SUMSQ('TS-PILE'!$E$56:$E$75)=0,0,'TO HOP NLAN'!E37*'TS-PILE'!$E$63/SUMSQ('TS-PILE'!$E$56:$E$75))+IF(SUMSQ('TS-PILE'!$D$56:$D$75)=0,0,'TO HOP NLAN'!F37*'TS-PILE'!$D$63/SUMSQ('TS-PILE'!$D$56:$D$75))),IF('TS-PILE'!$B$64="",-1E+99,'TO HOP NLAN'!D37/ncoc+IF(SUMSQ('TS-PILE'!$E$56:$E$75)=0,0,'TO HOP NLAN'!E37*'TS-PILE'!$E$64/SUMSQ('TS-PILE'!$E$56:$E$75))+IF(SUMSQ('TS-PILE'!$D$56:$D$75)=0,0,'TO HOP NLAN'!F37*'TS-PILE'!$D$64/SUMSQ('TS-PILE'!$D$56:$D$75))),IF('TS-PILE'!$B$65="",-1E+99,'TO HOP NLAN'!D37/ncoc+IF(SUMSQ('TS-PILE'!$E$56:$E$75)=0,0,'TO HOP NLAN'!E37*'TS-PILE'!$E$65/SUMSQ('TS-PILE'!$E$56:$E$75))+IF(SUMSQ('TS-PILE'!$D$56:$D$75)=0,0,'TO HOP NLAN'!F37*'TS-PILE'!$D$65/SUMSQ('TS-PILE'!$D$56:$D$75))),IF('TS-PILE'!$B$66="",-1E+99,'TO HOP NLAN'!D37/ncoc+IF(SUMSQ('TS-PILE'!$E$56:$E$75)=0,0,'TO HOP NLAN'!E37*'TS-PILE'!$E$66/SUMSQ('TS-PILE'!$E$56:$E$75))+IF(SUMSQ('TS-PILE'!$D$56:$D$75)=0,0,'TO HOP NLAN'!F37*'TS-PILE'!$D$66/SUMSQ('TS-PILE'!$D$56:$D$75))),IF('TS-PILE'!$B$67="",-1E+99,'TO HOP NLAN'!D37/ncoc+IF(SUMSQ('TS-PILE'!$E$56:$E$75)=0,0,'TO HOP NLAN'!E37*'TS-PILE'!$E$67/SUMSQ('TS-PILE'!$E$56:$E$75))+IF(SUMSQ('TS-PILE'!$D$56:$D$75)=0,0,'TO HOP NLAN'!F37*'TS-PILE'!$D$67/SUMSQ('TS-PILE'!$D$56:$D$75))),IF('TS-PILE'!$B$68="",-1E+99,'TO HOP NLAN'!D37/ncoc+IF(SUMSQ('TS-PILE'!$E$56:$E$75)=0,0,'TO HOP NLAN'!E37*'TS-PILE'!$E$68/SUMSQ('TS-PILE'!$E$56:$E$75))+IF(SUMSQ('TS-PILE'!$D$56:$D$75)=0,0,'TO HOP NLAN'!F37*'TS-PILE'!$D$68/SUMSQ('TS-PILE'!$D$56:$D$75))),IF('TS-PILE'!$B$69="",-1E+99,'TO HOP NLAN'!D37/ncoc+IF(SUMSQ('TS-PILE'!$E$56:$E$75)=0,0,'TO HOP NLAN'!E37*'TS-PILE'!$E$69/SUMSQ('TS-PILE'!$E$56:$E$75))+IF(SUMSQ('TS-PILE'!$D$56:$D$75)=0,0,'TO HOP NLAN'!F37*'TS-PILE'!$D$69/SUMSQ('TS-PILE'!$D$56:$D$75))),IF('TS-PILE'!$B$70="",-1E+99,'TO HOP NLAN'!D37/ncoc+IF(SUMSQ('TS-PILE'!$E$56:$E$75)=0,0,'TO HOP NLAN'!E37*'TS-PILE'!$E$70/SUMSQ('TS-PILE'!$E$56:$E$75))+IF(SUMSQ('TS-PILE'!$D$56:$D$75)=0,0,'TO HOP NLAN'!F37*'TS-PILE'!$D$70/SUMSQ('TS-PILE'!$D$56:$D$75))),IF('TS-PILE'!$B$71="",-1E+99,'TO HOP NLAN'!D37/ncoc+IF(SUMSQ('TS-PILE'!$E$56:$E$75)=0,0,'TO HOP NLAN'!E37*'TS-PILE'!$E$71/SUMSQ('TS-PILE'!$E$56:$E$75))+IF(SUMSQ('TS-PILE'!$D$56:$D$75)=0,0,'TO HOP NLAN'!F37*'TS-PILE'!$D$71/SUMSQ('TS-PILE'!$D$56:$D$75))),IF('TS-PILE'!$B$72="",-1E+99,'TO HOP NLAN'!D37/ncoc+IF(SUMSQ('TS-PILE'!$E$56:$E$75)=0,0,'TO HOP NLAN'!E37*'TS-PILE'!$E$72/SUMSQ('TS-PILE'!$E$56:$E$75))+IF(SUMSQ('TS-PILE'!$D$56:$D$75)=0,0,'TO HOP NLAN'!F37*'TS-PILE'!$D$72/SUMSQ('TS-PILE'!$D$56:$D$75))),IF('TS-PILE'!$B$73="",-1E+99,'TO HOP NLAN'!D37/ncoc+IF(SUMSQ('TS-PILE'!$E$56:$E$75)=0,0,'TO HOP NLAN'!E37*'TS-PILE'!$E$73/SUMSQ('TS-PILE'!$E$56:$E$75))+IF(SUMSQ('TS-PILE'!$D$56:$D$75)=0,0,'TO HOP NLAN'!F37*'TS-PILE'!$D$73/SUMSQ('TS-PILE'!$D$56:$D$75))),IF('TS-PILE'!$B$74="",-1E+99,'TO HOP NLAN'!D37/ncoc+IF(SUMSQ('TS-PILE'!$E$56:$E$75)=0,0,'TO HOP NLAN'!E37*'TS-PILE'!$E$74/SUMSQ('TS-PILE'!$E$56:$E$75))+IF(SUMSQ('TS-PILE'!$D$56:$D$75)=0,0,'TO HOP NLAN'!F37*'TS-PILE'!$D$74/SUMSQ('TS-PILE'!$D$56:$D$75))),IF('TS-PILE'!$B$75="",-1E+99,'TO HOP NLAN'!D37/ncoc+IF(SUMSQ('TS-PILE'!$E$56:$E$75)=0,0,'TO HOP NLAN'!E37*'TS-PILE'!$E$75/SUMSQ('TS-PILE'!$E$56:$E$75))+IF(SUMSQ('TS-PILE'!$D$56:$D$75)=0,0,'TO HOP NLAN'!F37*'TS-PILE'!$D$75/SUMSQ('TS-PILE'!$D$56:$D$75)))))</f>
        <v>0</v>
      </c>
      <c r="D37" s="46">
        <f>IF(A37="",0,MIN(IF('TS-PILE'!$B$56="",1E+99,'TO HOP NLAN'!D37/ncoc+IF(SUMSQ('TS-PILE'!$E$56:$E$75)=0,0,'TO HOP NLAN'!E37*'TS-PILE'!$E$56/SUMSQ('TS-PILE'!$E$56:$E$75))+IF(SUMSQ('TS-PILE'!$D$56:$D$75)=0,0,'TO HOP NLAN'!F37*'TS-PILE'!$D$56/SUMSQ('TS-PILE'!$D$56:$D$75))),IF('TS-PILE'!$B$57="",1E+99,'TO HOP NLAN'!D37/ncoc+IF(SUMSQ('TS-PILE'!$E$56:$E$75)=0,0,'TO HOP NLAN'!E37*'TS-PILE'!$E$57/SUMSQ('TS-PILE'!$E$56:$E$75))+IF(SUMSQ('TS-PILE'!$D$56:$D$75)=0,0,'TO HOP NLAN'!F37*'TS-PILE'!$D$57/SUMSQ('TS-PILE'!$D$56:$D$75))),IF('TS-PILE'!$B$58="",1E+99,'TO HOP NLAN'!D37/ncoc+IF(SUMSQ('TS-PILE'!$E$56:$E$75)=0,0,'TO HOP NLAN'!E37*'TS-PILE'!$E$58/SUMSQ('TS-PILE'!$E$56:$E$75))+IF(SUMSQ('TS-PILE'!$D$56:$D$75)=0,0,'TO HOP NLAN'!F37*'TS-PILE'!$D$58/SUMSQ('TS-PILE'!$D$56:$D$75))),IF('TS-PILE'!$B$59="",1E+99,'TO HOP NLAN'!D37/ncoc+IF(SUMSQ('TS-PILE'!$E$56:$E$75)=0,0,'TO HOP NLAN'!E37*'TS-PILE'!$E$59/SUMSQ('TS-PILE'!$E$56:$E$75))+IF(SUMSQ('TS-PILE'!$D$56:$D$75)=0,0,'TO HOP NLAN'!F37*'TS-PILE'!$D$59/SUMSQ('TS-PILE'!$D$56:$D$75))),IF('TS-PILE'!$B$60="",1E+99,'TO HOP NLAN'!D37/ncoc+IF(SUMSQ('TS-PILE'!$E$56:$E$75)=0,0,'TO HOP NLAN'!E37*'TS-PILE'!$E$60/SUMSQ('TS-PILE'!$E$56:$E$75))+IF(SUMSQ('TS-PILE'!$D$56:$D$75)=0,0,'TO HOP NLAN'!F37*'TS-PILE'!$D$60/SUMSQ('TS-PILE'!$D$56:$D$75))),IF('TS-PILE'!$B$61="",1E+99,'TO HOP NLAN'!D37/ncoc+IF(SUMSQ('TS-PILE'!$E$56:$E$75)=0,0,'TO HOP NLAN'!E37*'TS-PILE'!$E$61/SUMSQ('TS-PILE'!$E$56:$E$75))+IF(SUMSQ('TS-PILE'!$D$56:$D$75)=0,0,'TO HOP NLAN'!F37*'TS-PILE'!$D$61/SUMSQ('TS-PILE'!$D$56:$D$75))),IF('TS-PILE'!$B$62="",1E+99,'TO HOP NLAN'!D37/ncoc+IF(SUMSQ('TS-PILE'!$E$56:$E$75)=0,0,'TO HOP NLAN'!E37*'TS-PILE'!$E$62/SUMSQ('TS-PILE'!$E$56:$E$75))+IF(SUMSQ('TS-PILE'!$D$56:$D$75)=0,0,'TO HOP NLAN'!F37*'TS-PILE'!$D$62/SUMSQ('TS-PILE'!$D$56:$D$75))),IF('TS-PILE'!$B$63="",1E+99,'TO HOP NLAN'!D37/ncoc+IF(SUMSQ('TS-PILE'!$E$56:$E$75)=0,0,'TO HOP NLAN'!E37*'TS-PILE'!$E$63/SUMSQ('TS-PILE'!$E$56:$E$75))+IF(SUMSQ('TS-PILE'!$D$56:$D$75)=0,0,'TO HOP NLAN'!F37*'TS-PILE'!$D$63/SUMSQ('TS-PILE'!$D$56:$D$75))),IF('TS-PILE'!$B$64="",1E+99,'TO HOP NLAN'!D37/ncoc+IF(SUMSQ('TS-PILE'!$E$56:$E$75)=0,0,'TO HOP NLAN'!E37*'TS-PILE'!$E$64/SUMSQ('TS-PILE'!$E$56:$E$75))+IF(SUMSQ('TS-PILE'!$D$56:$D$75)=0,0,'TO HOP NLAN'!F37*'TS-PILE'!$D$64/SUMSQ('TS-PILE'!$D$56:$D$75))),IF('TS-PILE'!$B$65="",1E+99,'TO HOP NLAN'!D37/ncoc+IF(SUMSQ('TS-PILE'!$E$56:$E$75)=0,0,'TO HOP NLAN'!E37*'TS-PILE'!$E$65/SUMSQ('TS-PILE'!$E$56:$E$75))+IF(SUMSQ('TS-PILE'!$D$56:$D$75)=0,0,'TO HOP NLAN'!F37*'TS-PILE'!$D$65/SUMSQ('TS-PILE'!$D$56:$D$75))),IF('TS-PILE'!$B$66="",1E+99,'TO HOP NLAN'!D37/ncoc+IF(SUMSQ('TS-PILE'!$E$56:$E$75)=0,0,'TO HOP NLAN'!E37*'TS-PILE'!$E$66/SUMSQ('TS-PILE'!$E$56:$E$75))+IF(SUMSQ('TS-PILE'!$D$56:$D$75)=0,0,'TO HOP NLAN'!F37*'TS-PILE'!$D$66/SUMSQ('TS-PILE'!$D$56:$D$75))),IF('TS-PILE'!$B$67="",1E+99,'TO HOP NLAN'!D37/ncoc+IF(SUMSQ('TS-PILE'!$E$56:$E$75)=0,0,'TO HOP NLAN'!E37*'TS-PILE'!$E$67/SUMSQ('TS-PILE'!$E$56:$E$75))+IF(SUMSQ('TS-PILE'!$D$56:$D$75)=0,0,'TO HOP NLAN'!F37*'TS-PILE'!$D$67/SUMSQ('TS-PILE'!$D$56:$D$75))),IF('TS-PILE'!$B$68="",1E+99,'TO HOP NLAN'!D37/ncoc+IF(SUMSQ('TS-PILE'!$E$56:$E$75)=0,0,'TO HOP NLAN'!E37*'TS-PILE'!$E$68/SUMSQ('TS-PILE'!$E$56:$E$75))+IF(SUMSQ('TS-PILE'!$D$56:$D$75)=0,0,'TO HOP NLAN'!F37*'TS-PILE'!$D$68/SUMSQ('TS-PILE'!$D$56:$D$75))),IF('TS-PILE'!$B$69="",1E+99,'TO HOP NLAN'!D37/ncoc+IF(SUMSQ('TS-PILE'!$E$56:$E$75)=0,0,'TO HOP NLAN'!E37*'TS-PILE'!$E$69/SUMSQ('TS-PILE'!$E$56:$E$75))+IF(SUMSQ('TS-PILE'!$D$56:$D$75)=0,0,'TO HOP NLAN'!F37*'TS-PILE'!$D$69/SUMSQ('TS-PILE'!$D$56:$D$75))),IF('TS-PILE'!$B$70="",1E+99,'TO HOP NLAN'!D37/ncoc+IF(SUMSQ('TS-PILE'!$E$56:$E$75)=0,0,'TO HOP NLAN'!E37*'TS-PILE'!$E$70/SUMSQ('TS-PILE'!$E$56:$E$75))+IF(SUMSQ('TS-PILE'!$D$56:$D$75)=0,0,'TO HOP NLAN'!F37*'TS-PILE'!$D$70/SUMSQ('TS-PILE'!$D$56:$D$75))),IF('TS-PILE'!$B$71="",1E+99,'TO HOP NLAN'!D37/ncoc+IF(SUMSQ('TS-PILE'!$E$56:$E$75)=0,0,'TO HOP NLAN'!E37*'TS-PILE'!$E$71/SUMSQ('TS-PILE'!$E$56:$E$75))+IF(SUMSQ('TS-PILE'!$D$56:$D$75)=0,0,'TO HOP NLAN'!F37*'TS-PILE'!$D$71/SUMSQ('TS-PILE'!$D$56:$D$75))),IF('TS-PILE'!$B$72="",1E+99,'TO HOP NLAN'!D37/ncoc+IF(SUMSQ('TS-PILE'!$E$56:$E$75)=0,0,'TO HOP NLAN'!E37*'TS-PILE'!$E$72/SUMSQ('TS-PILE'!$E$56:$E$75))+IF(SUMSQ('TS-PILE'!$D$56:$D$75)=0,0,'TO HOP NLAN'!F37*'TS-PILE'!$D$72/SUMSQ('TS-PILE'!$D$56:$D$75))),IF('TS-PILE'!$B$73="",1E+99,'TO HOP NLAN'!D37/ncoc+IF(SUMSQ('TS-PILE'!$E$56:$E$75)=0,0,'TO HOP NLAN'!E37*'TS-PILE'!$E$73/SUMSQ('TS-PILE'!$E$56:$E$75))+IF(SUMSQ('TS-PILE'!$D$56:$D$75)=0,0,'TO HOP NLAN'!F37*'TS-PILE'!$D$73/SUMSQ('TS-PILE'!$D$56:$D$75))),IF('TS-PILE'!$B$74="",1E+99,'TO HOP NLAN'!D37/ncoc+IF(SUMSQ('TS-PILE'!$E$56:$E$75)=0,0,'TO HOP NLAN'!E37*'TS-PILE'!$E$74/SUMSQ('TS-PILE'!$E$56:$E$75))+IF(SUMSQ('TS-PILE'!$D$56:$D$75)=0,0,'TO HOP NLAN'!F37*'TS-PILE'!$D$74/SUMSQ('TS-PILE'!$D$56:$D$75))),IF('TS-PILE'!$B$75="",1E+99,'TO HOP NLAN'!D37/ncoc+IF(SUMSQ('TS-PILE'!$E$56:$E$75)=0,0,'TO HOP NLAN'!E37*'TS-PILE'!$E$75/SUMSQ('TS-PILE'!$E$56:$E$75))+IF(SUMSQ('TS-PILE'!$D$56:$D$75)=0,0,'TO HOP NLAN'!F37*'TS-PILE'!$D$75/SUMSQ('TS-PILE'!$D$56:$D$75)))))</f>
        <v>0</v>
      </c>
      <c r="E37" s="46">
        <f t="shared" si="0"/>
        <v>-9.9999999999999997E+98</v>
      </c>
      <c r="F37" s="46">
        <f t="shared" si="1"/>
        <v>9.9999999999999997E+98</v>
      </c>
      <c r="G37" s="46">
        <f t="shared" si="2"/>
        <v>-9.9999999999999997E+98</v>
      </c>
      <c r="H37" s="46">
        <f t="shared" si="3"/>
        <v>9.9999999999999997E+98</v>
      </c>
    </row>
    <row r="38" spans="1:8" x14ac:dyDescent="0.3">
      <c r="A38" s="40" t="str">
        <f>'TO HOP NLAN'!A38</f>
        <v/>
      </c>
      <c r="B38" s="40" t="str">
        <f>'TO HOP NLAN'!L38</f>
        <v>SERVICE</v>
      </c>
      <c r="C38" s="46">
        <f>IF(A38="",0,MAX(IF('TS-PILE'!$B$56="",-1E+99,'TO HOP NLAN'!D38/ncoc+IF(SUMSQ('TS-PILE'!$E$56:$E$75)=0,0,'TO HOP NLAN'!E38*'TS-PILE'!$E$56/SUMSQ('TS-PILE'!$E$56:$E$75))+IF(SUMSQ('TS-PILE'!$D$56:$D$75)=0,0,'TO HOP NLAN'!F38*'TS-PILE'!$D$56/SUMSQ('TS-PILE'!$D$56:$D$75))),IF('TS-PILE'!$B$57="",-1E+99,'TO HOP NLAN'!D38/ncoc+IF(SUMSQ('TS-PILE'!$E$56:$E$75)=0,0,'TO HOP NLAN'!E38*'TS-PILE'!$E$57/SUMSQ('TS-PILE'!$E$56:$E$75))+IF(SUMSQ('TS-PILE'!$D$56:$D$75)=0,0,'TO HOP NLAN'!F38*'TS-PILE'!$D$57/SUMSQ('TS-PILE'!$D$56:$D$75))),IF('TS-PILE'!$B$58="",-1E+99,'TO HOP NLAN'!D38/ncoc+IF(SUMSQ('TS-PILE'!$E$56:$E$75)=0,0,'TO HOP NLAN'!E38*'TS-PILE'!$E$58/SUMSQ('TS-PILE'!$E$56:$E$75))+IF(SUMSQ('TS-PILE'!$D$56:$D$75)=0,0,'TO HOP NLAN'!F38*'TS-PILE'!$D$58/SUMSQ('TS-PILE'!$D$56:$D$75))),IF('TS-PILE'!$B$59="",-1E+99,'TO HOP NLAN'!D38/ncoc+IF(SUMSQ('TS-PILE'!$E$56:$E$75)=0,0,'TO HOP NLAN'!E38*'TS-PILE'!$E$59/SUMSQ('TS-PILE'!$E$56:$E$75))+IF(SUMSQ('TS-PILE'!$D$56:$D$75)=0,0,'TO HOP NLAN'!F38*'TS-PILE'!$D$59/SUMSQ('TS-PILE'!$D$56:$D$75))),IF('TS-PILE'!$B$60="",-1E+99,'TO HOP NLAN'!D38/ncoc+IF(SUMSQ('TS-PILE'!$E$56:$E$75)=0,0,'TO HOP NLAN'!E38*'TS-PILE'!$E$60/SUMSQ('TS-PILE'!$E$56:$E$75))+IF(SUMSQ('TS-PILE'!$D$56:$D$75)=0,0,'TO HOP NLAN'!F38*'TS-PILE'!$D$60/SUMSQ('TS-PILE'!$D$56:$D$75))),IF('TS-PILE'!$B$61="",-1E+99,'TO HOP NLAN'!D38/ncoc+IF(SUMSQ('TS-PILE'!$E$56:$E$75)=0,0,'TO HOP NLAN'!E38*'TS-PILE'!$E$61/SUMSQ('TS-PILE'!$E$56:$E$75))+IF(SUMSQ('TS-PILE'!$D$56:$D$75)=0,0,'TO HOP NLAN'!F38*'TS-PILE'!$D$61/SUMSQ('TS-PILE'!$D$56:$D$75))),IF('TS-PILE'!$B$62="",-1E+99,'TO HOP NLAN'!D38/ncoc+IF(SUMSQ('TS-PILE'!$E$56:$E$75)=0,0,'TO HOP NLAN'!E38*'TS-PILE'!$E$62/SUMSQ('TS-PILE'!$E$56:$E$75))+IF(SUMSQ('TS-PILE'!$D$56:$D$75)=0,0,'TO HOP NLAN'!F38*'TS-PILE'!$D$62/SUMSQ('TS-PILE'!$D$56:$D$75))),IF('TS-PILE'!$B$63="",-1E+99,'TO HOP NLAN'!D38/ncoc+IF(SUMSQ('TS-PILE'!$E$56:$E$75)=0,0,'TO HOP NLAN'!E38*'TS-PILE'!$E$63/SUMSQ('TS-PILE'!$E$56:$E$75))+IF(SUMSQ('TS-PILE'!$D$56:$D$75)=0,0,'TO HOP NLAN'!F38*'TS-PILE'!$D$63/SUMSQ('TS-PILE'!$D$56:$D$75))),IF('TS-PILE'!$B$64="",-1E+99,'TO HOP NLAN'!D38/ncoc+IF(SUMSQ('TS-PILE'!$E$56:$E$75)=0,0,'TO HOP NLAN'!E38*'TS-PILE'!$E$64/SUMSQ('TS-PILE'!$E$56:$E$75))+IF(SUMSQ('TS-PILE'!$D$56:$D$75)=0,0,'TO HOP NLAN'!F38*'TS-PILE'!$D$64/SUMSQ('TS-PILE'!$D$56:$D$75))),IF('TS-PILE'!$B$65="",-1E+99,'TO HOP NLAN'!D38/ncoc+IF(SUMSQ('TS-PILE'!$E$56:$E$75)=0,0,'TO HOP NLAN'!E38*'TS-PILE'!$E$65/SUMSQ('TS-PILE'!$E$56:$E$75))+IF(SUMSQ('TS-PILE'!$D$56:$D$75)=0,0,'TO HOP NLAN'!F38*'TS-PILE'!$D$65/SUMSQ('TS-PILE'!$D$56:$D$75))),IF('TS-PILE'!$B$66="",-1E+99,'TO HOP NLAN'!D38/ncoc+IF(SUMSQ('TS-PILE'!$E$56:$E$75)=0,0,'TO HOP NLAN'!E38*'TS-PILE'!$E$66/SUMSQ('TS-PILE'!$E$56:$E$75))+IF(SUMSQ('TS-PILE'!$D$56:$D$75)=0,0,'TO HOP NLAN'!F38*'TS-PILE'!$D$66/SUMSQ('TS-PILE'!$D$56:$D$75))),IF('TS-PILE'!$B$67="",-1E+99,'TO HOP NLAN'!D38/ncoc+IF(SUMSQ('TS-PILE'!$E$56:$E$75)=0,0,'TO HOP NLAN'!E38*'TS-PILE'!$E$67/SUMSQ('TS-PILE'!$E$56:$E$75))+IF(SUMSQ('TS-PILE'!$D$56:$D$75)=0,0,'TO HOP NLAN'!F38*'TS-PILE'!$D$67/SUMSQ('TS-PILE'!$D$56:$D$75))),IF('TS-PILE'!$B$68="",-1E+99,'TO HOP NLAN'!D38/ncoc+IF(SUMSQ('TS-PILE'!$E$56:$E$75)=0,0,'TO HOP NLAN'!E38*'TS-PILE'!$E$68/SUMSQ('TS-PILE'!$E$56:$E$75))+IF(SUMSQ('TS-PILE'!$D$56:$D$75)=0,0,'TO HOP NLAN'!F38*'TS-PILE'!$D$68/SUMSQ('TS-PILE'!$D$56:$D$75))),IF('TS-PILE'!$B$69="",-1E+99,'TO HOP NLAN'!D38/ncoc+IF(SUMSQ('TS-PILE'!$E$56:$E$75)=0,0,'TO HOP NLAN'!E38*'TS-PILE'!$E$69/SUMSQ('TS-PILE'!$E$56:$E$75))+IF(SUMSQ('TS-PILE'!$D$56:$D$75)=0,0,'TO HOP NLAN'!F38*'TS-PILE'!$D$69/SUMSQ('TS-PILE'!$D$56:$D$75))),IF('TS-PILE'!$B$70="",-1E+99,'TO HOP NLAN'!D38/ncoc+IF(SUMSQ('TS-PILE'!$E$56:$E$75)=0,0,'TO HOP NLAN'!E38*'TS-PILE'!$E$70/SUMSQ('TS-PILE'!$E$56:$E$75))+IF(SUMSQ('TS-PILE'!$D$56:$D$75)=0,0,'TO HOP NLAN'!F38*'TS-PILE'!$D$70/SUMSQ('TS-PILE'!$D$56:$D$75))),IF('TS-PILE'!$B$71="",-1E+99,'TO HOP NLAN'!D38/ncoc+IF(SUMSQ('TS-PILE'!$E$56:$E$75)=0,0,'TO HOP NLAN'!E38*'TS-PILE'!$E$71/SUMSQ('TS-PILE'!$E$56:$E$75))+IF(SUMSQ('TS-PILE'!$D$56:$D$75)=0,0,'TO HOP NLAN'!F38*'TS-PILE'!$D$71/SUMSQ('TS-PILE'!$D$56:$D$75))),IF('TS-PILE'!$B$72="",-1E+99,'TO HOP NLAN'!D38/ncoc+IF(SUMSQ('TS-PILE'!$E$56:$E$75)=0,0,'TO HOP NLAN'!E38*'TS-PILE'!$E$72/SUMSQ('TS-PILE'!$E$56:$E$75))+IF(SUMSQ('TS-PILE'!$D$56:$D$75)=0,0,'TO HOP NLAN'!F38*'TS-PILE'!$D$72/SUMSQ('TS-PILE'!$D$56:$D$75))),IF('TS-PILE'!$B$73="",-1E+99,'TO HOP NLAN'!D38/ncoc+IF(SUMSQ('TS-PILE'!$E$56:$E$75)=0,0,'TO HOP NLAN'!E38*'TS-PILE'!$E$73/SUMSQ('TS-PILE'!$E$56:$E$75))+IF(SUMSQ('TS-PILE'!$D$56:$D$75)=0,0,'TO HOP NLAN'!F38*'TS-PILE'!$D$73/SUMSQ('TS-PILE'!$D$56:$D$75))),IF('TS-PILE'!$B$74="",-1E+99,'TO HOP NLAN'!D38/ncoc+IF(SUMSQ('TS-PILE'!$E$56:$E$75)=0,0,'TO HOP NLAN'!E38*'TS-PILE'!$E$74/SUMSQ('TS-PILE'!$E$56:$E$75))+IF(SUMSQ('TS-PILE'!$D$56:$D$75)=0,0,'TO HOP NLAN'!F38*'TS-PILE'!$D$74/SUMSQ('TS-PILE'!$D$56:$D$75))),IF('TS-PILE'!$B$75="",-1E+99,'TO HOP NLAN'!D38/ncoc+IF(SUMSQ('TS-PILE'!$E$56:$E$75)=0,0,'TO HOP NLAN'!E38*'TS-PILE'!$E$75/SUMSQ('TS-PILE'!$E$56:$E$75))+IF(SUMSQ('TS-PILE'!$D$56:$D$75)=0,0,'TO HOP NLAN'!F38*'TS-PILE'!$D$75/SUMSQ('TS-PILE'!$D$56:$D$75)))))</f>
        <v>0</v>
      </c>
      <c r="D38" s="46">
        <f>IF(A38="",0,MIN(IF('TS-PILE'!$B$56="",1E+99,'TO HOP NLAN'!D38/ncoc+IF(SUMSQ('TS-PILE'!$E$56:$E$75)=0,0,'TO HOP NLAN'!E38*'TS-PILE'!$E$56/SUMSQ('TS-PILE'!$E$56:$E$75))+IF(SUMSQ('TS-PILE'!$D$56:$D$75)=0,0,'TO HOP NLAN'!F38*'TS-PILE'!$D$56/SUMSQ('TS-PILE'!$D$56:$D$75))),IF('TS-PILE'!$B$57="",1E+99,'TO HOP NLAN'!D38/ncoc+IF(SUMSQ('TS-PILE'!$E$56:$E$75)=0,0,'TO HOP NLAN'!E38*'TS-PILE'!$E$57/SUMSQ('TS-PILE'!$E$56:$E$75))+IF(SUMSQ('TS-PILE'!$D$56:$D$75)=0,0,'TO HOP NLAN'!F38*'TS-PILE'!$D$57/SUMSQ('TS-PILE'!$D$56:$D$75))),IF('TS-PILE'!$B$58="",1E+99,'TO HOP NLAN'!D38/ncoc+IF(SUMSQ('TS-PILE'!$E$56:$E$75)=0,0,'TO HOP NLAN'!E38*'TS-PILE'!$E$58/SUMSQ('TS-PILE'!$E$56:$E$75))+IF(SUMSQ('TS-PILE'!$D$56:$D$75)=0,0,'TO HOP NLAN'!F38*'TS-PILE'!$D$58/SUMSQ('TS-PILE'!$D$56:$D$75))),IF('TS-PILE'!$B$59="",1E+99,'TO HOP NLAN'!D38/ncoc+IF(SUMSQ('TS-PILE'!$E$56:$E$75)=0,0,'TO HOP NLAN'!E38*'TS-PILE'!$E$59/SUMSQ('TS-PILE'!$E$56:$E$75))+IF(SUMSQ('TS-PILE'!$D$56:$D$75)=0,0,'TO HOP NLAN'!F38*'TS-PILE'!$D$59/SUMSQ('TS-PILE'!$D$56:$D$75))),IF('TS-PILE'!$B$60="",1E+99,'TO HOP NLAN'!D38/ncoc+IF(SUMSQ('TS-PILE'!$E$56:$E$75)=0,0,'TO HOP NLAN'!E38*'TS-PILE'!$E$60/SUMSQ('TS-PILE'!$E$56:$E$75))+IF(SUMSQ('TS-PILE'!$D$56:$D$75)=0,0,'TO HOP NLAN'!F38*'TS-PILE'!$D$60/SUMSQ('TS-PILE'!$D$56:$D$75))),IF('TS-PILE'!$B$61="",1E+99,'TO HOP NLAN'!D38/ncoc+IF(SUMSQ('TS-PILE'!$E$56:$E$75)=0,0,'TO HOP NLAN'!E38*'TS-PILE'!$E$61/SUMSQ('TS-PILE'!$E$56:$E$75))+IF(SUMSQ('TS-PILE'!$D$56:$D$75)=0,0,'TO HOP NLAN'!F38*'TS-PILE'!$D$61/SUMSQ('TS-PILE'!$D$56:$D$75))),IF('TS-PILE'!$B$62="",1E+99,'TO HOP NLAN'!D38/ncoc+IF(SUMSQ('TS-PILE'!$E$56:$E$75)=0,0,'TO HOP NLAN'!E38*'TS-PILE'!$E$62/SUMSQ('TS-PILE'!$E$56:$E$75))+IF(SUMSQ('TS-PILE'!$D$56:$D$75)=0,0,'TO HOP NLAN'!F38*'TS-PILE'!$D$62/SUMSQ('TS-PILE'!$D$56:$D$75))),IF('TS-PILE'!$B$63="",1E+99,'TO HOP NLAN'!D38/ncoc+IF(SUMSQ('TS-PILE'!$E$56:$E$75)=0,0,'TO HOP NLAN'!E38*'TS-PILE'!$E$63/SUMSQ('TS-PILE'!$E$56:$E$75))+IF(SUMSQ('TS-PILE'!$D$56:$D$75)=0,0,'TO HOP NLAN'!F38*'TS-PILE'!$D$63/SUMSQ('TS-PILE'!$D$56:$D$75))),IF('TS-PILE'!$B$64="",1E+99,'TO HOP NLAN'!D38/ncoc+IF(SUMSQ('TS-PILE'!$E$56:$E$75)=0,0,'TO HOP NLAN'!E38*'TS-PILE'!$E$64/SUMSQ('TS-PILE'!$E$56:$E$75))+IF(SUMSQ('TS-PILE'!$D$56:$D$75)=0,0,'TO HOP NLAN'!F38*'TS-PILE'!$D$64/SUMSQ('TS-PILE'!$D$56:$D$75))),IF('TS-PILE'!$B$65="",1E+99,'TO HOP NLAN'!D38/ncoc+IF(SUMSQ('TS-PILE'!$E$56:$E$75)=0,0,'TO HOP NLAN'!E38*'TS-PILE'!$E$65/SUMSQ('TS-PILE'!$E$56:$E$75))+IF(SUMSQ('TS-PILE'!$D$56:$D$75)=0,0,'TO HOP NLAN'!F38*'TS-PILE'!$D$65/SUMSQ('TS-PILE'!$D$56:$D$75))),IF('TS-PILE'!$B$66="",1E+99,'TO HOP NLAN'!D38/ncoc+IF(SUMSQ('TS-PILE'!$E$56:$E$75)=0,0,'TO HOP NLAN'!E38*'TS-PILE'!$E$66/SUMSQ('TS-PILE'!$E$56:$E$75))+IF(SUMSQ('TS-PILE'!$D$56:$D$75)=0,0,'TO HOP NLAN'!F38*'TS-PILE'!$D$66/SUMSQ('TS-PILE'!$D$56:$D$75))),IF('TS-PILE'!$B$67="",1E+99,'TO HOP NLAN'!D38/ncoc+IF(SUMSQ('TS-PILE'!$E$56:$E$75)=0,0,'TO HOP NLAN'!E38*'TS-PILE'!$E$67/SUMSQ('TS-PILE'!$E$56:$E$75))+IF(SUMSQ('TS-PILE'!$D$56:$D$75)=0,0,'TO HOP NLAN'!F38*'TS-PILE'!$D$67/SUMSQ('TS-PILE'!$D$56:$D$75))),IF('TS-PILE'!$B$68="",1E+99,'TO HOP NLAN'!D38/ncoc+IF(SUMSQ('TS-PILE'!$E$56:$E$75)=0,0,'TO HOP NLAN'!E38*'TS-PILE'!$E$68/SUMSQ('TS-PILE'!$E$56:$E$75))+IF(SUMSQ('TS-PILE'!$D$56:$D$75)=0,0,'TO HOP NLAN'!F38*'TS-PILE'!$D$68/SUMSQ('TS-PILE'!$D$56:$D$75))),IF('TS-PILE'!$B$69="",1E+99,'TO HOP NLAN'!D38/ncoc+IF(SUMSQ('TS-PILE'!$E$56:$E$75)=0,0,'TO HOP NLAN'!E38*'TS-PILE'!$E$69/SUMSQ('TS-PILE'!$E$56:$E$75))+IF(SUMSQ('TS-PILE'!$D$56:$D$75)=0,0,'TO HOP NLAN'!F38*'TS-PILE'!$D$69/SUMSQ('TS-PILE'!$D$56:$D$75))),IF('TS-PILE'!$B$70="",1E+99,'TO HOP NLAN'!D38/ncoc+IF(SUMSQ('TS-PILE'!$E$56:$E$75)=0,0,'TO HOP NLAN'!E38*'TS-PILE'!$E$70/SUMSQ('TS-PILE'!$E$56:$E$75))+IF(SUMSQ('TS-PILE'!$D$56:$D$75)=0,0,'TO HOP NLAN'!F38*'TS-PILE'!$D$70/SUMSQ('TS-PILE'!$D$56:$D$75))),IF('TS-PILE'!$B$71="",1E+99,'TO HOP NLAN'!D38/ncoc+IF(SUMSQ('TS-PILE'!$E$56:$E$75)=0,0,'TO HOP NLAN'!E38*'TS-PILE'!$E$71/SUMSQ('TS-PILE'!$E$56:$E$75))+IF(SUMSQ('TS-PILE'!$D$56:$D$75)=0,0,'TO HOP NLAN'!F38*'TS-PILE'!$D$71/SUMSQ('TS-PILE'!$D$56:$D$75))),IF('TS-PILE'!$B$72="",1E+99,'TO HOP NLAN'!D38/ncoc+IF(SUMSQ('TS-PILE'!$E$56:$E$75)=0,0,'TO HOP NLAN'!E38*'TS-PILE'!$E$72/SUMSQ('TS-PILE'!$E$56:$E$75))+IF(SUMSQ('TS-PILE'!$D$56:$D$75)=0,0,'TO HOP NLAN'!F38*'TS-PILE'!$D$72/SUMSQ('TS-PILE'!$D$56:$D$75))),IF('TS-PILE'!$B$73="",1E+99,'TO HOP NLAN'!D38/ncoc+IF(SUMSQ('TS-PILE'!$E$56:$E$75)=0,0,'TO HOP NLAN'!E38*'TS-PILE'!$E$73/SUMSQ('TS-PILE'!$E$56:$E$75))+IF(SUMSQ('TS-PILE'!$D$56:$D$75)=0,0,'TO HOP NLAN'!F38*'TS-PILE'!$D$73/SUMSQ('TS-PILE'!$D$56:$D$75))),IF('TS-PILE'!$B$74="",1E+99,'TO HOP NLAN'!D38/ncoc+IF(SUMSQ('TS-PILE'!$E$56:$E$75)=0,0,'TO HOP NLAN'!E38*'TS-PILE'!$E$74/SUMSQ('TS-PILE'!$E$56:$E$75))+IF(SUMSQ('TS-PILE'!$D$56:$D$75)=0,0,'TO HOP NLAN'!F38*'TS-PILE'!$D$74/SUMSQ('TS-PILE'!$D$56:$D$75))),IF('TS-PILE'!$B$75="",1E+99,'TO HOP NLAN'!D38/ncoc+IF(SUMSQ('TS-PILE'!$E$56:$E$75)=0,0,'TO HOP NLAN'!E38*'TS-PILE'!$E$75/SUMSQ('TS-PILE'!$E$56:$E$75))+IF(SUMSQ('TS-PILE'!$D$56:$D$75)=0,0,'TO HOP NLAN'!F38*'TS-PILE'!$D$75/SUMSQ('TS-PILE'!$D$56:$D$75)))))</f>
        <v>0</v>
      </c>
      <c r="E38" s="46">
        <f t="shared" si="0"/>
        <v>-9.9999999999999997E+98</v>
      </c>
      <c r="F38" s="46">
        <f t="shared" si="1"/>
        <v>9.9999999999999997E+98</v>
      </c>
      <c r="G38" s="46">
        <f t="shared" si="2"/>
        <v>-9.9999999999999997E+98</v>
      </c>
      <c r="H38" s="46">
        <f t="shared" si="3"/>
        <v>9.9999999999999997E+98</v>
      </c>
    </row>
    <row r="39" spans="1:8" x14ac:dyDescent="0.3">
      <c r="A39" s="40" t="str">
        <f>'TO HOP NLAN'!A39</f>
        <v/>
      </c>
      <c r="B39" s="40" t="str">
        <f>'TO HOP NLAN'!L39</f>
        <v>SERVICE</v>
      </c>
      <c r="C39" s="46">
        <f>IF(A39="",0,MAX(IF('TS-PILE'!$B$56="",-1E+99,'TO HOP NLAN'!D39/ncoc+IF(SUMSQ('TS-PILE'!$E$56:$E$75)=0,0,'TO HOP NLAN'!E39*'TS-PILE'!$E$56/SUMSQ('TS-PILE'!$E$56:$E$75))+IF(SUMSQ('TS-PILE'!$D$56:$D$75)=0,0,'TO HOP NLAN'!F39*'TS-PILE'!$D$56/SUMSQ('TS-PILE'!$D$56:$D$75))),IF('TS-PILE'!$B$57="",-1E+99,'TO HOP NLAN'!D39/ncoc+IF(SUMSQ('TS-PILE'!$E$56:$E$75)=0,0,'TO HOP NLAN'!E39*'TS-PILE'!$E$57/SUMSQ('TS-PILE'!$E$56:$E$75))+IF(SUMSQ('TS-PILE'!$D$56:$D$75)=0,0,'TO HOP NLAN'!F39*'TS-PILE'!$D$57/SUMSQ('TS-PILE'!$D$56:$D$75))),IF('TS-PILE'!$B$58="",-1E+99,'TO HOP NLAN'!D39/ncoc+IF(SUMSQ('TS-PILE'!$E$56:$E$75)=0,0,'TO HOP NLAN'!E39*'TS-PILE'!$E$58/SUMSQ('TS-PILE'!$E$56:$E$75))+IF(SUMSQ('TS-PILE'!$D$56:$D$75)=0,0,'TO HOP NLAN'!F39*'TS-PILE'!$D$58/SUMSQ('TS-PILE'!$D$56:$D$75))),IF('TS-PILE'!$B$59="",-1E+99,'TO HOP NLAN'!D39/ncoc+IF(SUMSQ('TS-PILE'!$E$56:$E$75)=0,0,'TO HOP NLAN'!E39*'TS-PILE'!$E$59/SUMSQ('TS-PILE'!$E$56:$E$75))+IF(SUMSQ('TS-PILE'!$D$56:$D$75)=0,0,'TO HOP NLAN'!F39*'TS-PILE'!$D$59/SUMSQ('TS-PILE'!$D$56:$D$75))),IF('TS-PILE'!$B$60="",-1E+99,'TO HOP NLAN'!D39/ncoc+IF(SUMSQ('TS-PILE'!$E$56:$E$75)=0,0,'TO HOP NLAN'!E39*'TS-PILE'!$E$60/SUMSQ('TS-PILE'!$E$56:$E$75))+IF(SUMSQ('TS-PILE'!$D$56:$D$75)=0,0,'TO HOP NLAN'!F39*'TS-PILE'!$D$60/SUMSQ('TS-PILE'!$D$56:$D$75))),IF('TS-PILE'!$B$61="",-1E+99,'TO HOP NLAN'!D39/ncoc+IF(SUMSQ('TS-PILE'!$E$56:$E$75)=0,0,'TO HOP NLAN'!E39*'TS-PILE'!$E$61/SUMSQ('TS-PILE'!$E$56:$E$75))+IF(SUMSQ('TS-PILE'!$D$56:$D$75)=0,0,'TO HOP NLAN'!F39*'TS-PILE'!$D$61/SUMSQ('TS-PILE'!$D$56:$D$75))),IF('TS-PILE'!$B$62="",-1E+99,'TO HOP NLAN'!D39/ncoc+IF(SUMSQ('TS-PILE'!$E$56:$E$75)=0,0,'TO HOP NLAN'!E39*'TS-PILE'!$E$62/SUMSQ('TS-PILE'!$E$56:$E$75))+IF(SUMSQ('TS-PILE'!$D$56:$D$75)=0,0,'TO HOP NLAN'!F39*'TS-PILE'!$D$62/SUMSQ('TS-PILE'!$D$56:$D$75))),IF('TS-PILE'!$B$63="",-1E+99,'TO HOP NLAN'!D39/ncoc+IF(SUMSQ('TS-PILE'!$E$56:$E$75)=0,0,'TO HOP NLAN'!E39*'TS-PILE'!$E$63/SUMSQ('TS-PILE'!$E$56:$E$75))+IF(SUMSQ('TS-PILE'!$D$56:$D$75)=0,0,'TO HOP NLAN'!F39*'TS-PILE'!$D$63/SUMSQ('TS-PILE'!$D$56:$D$75))),IF('TS-PILE'!$B$64="",-1E+99,'TO HOP NLAN'!D39/ncoc+IF(SUMSQ('TS-PILE'!$E$56:$E$75)=0,0,'TO HOP NLAN'!E39*'TS-PILE'!$E$64/SUMSQ('TS-PILE'!$E$56:$E$75))+IF(SUMSQ('TS-PILE'!$D$56:$D$75)=0,0,'TO HOP NLAN'!F39*'TS-PILE'!$D$64/SUMSQ('TS-PILE'!$D$56:$D$75))),IF('TS-PILE'!$B$65="",-1E+99,'TO HOP NLAN'!D39/ncoc+IF(SUMSQ('TS-PILE'!$E$56:$E$75)=0,0,'TO HOP NLAN'!E39*'TS-PILE'!$E$65/SUMSQ('TS-PILE'!$E$56:$E$75))+IF(SUMSQ('TS-PILE'!$D$56:$D$75)=0,0,'TO HOP NLAN'!F39*'TS-PILE'!$D$65/SUMSQ('TS-PILE'!$D$56:$D$75))),IF('TS-PILE'!$B$66="",-1E+99,'TO HOP NLAN'!D39/ncoc+IF(SUMSQ('TS-PILE'!$E$56:$E$75)=0,0,'TO HOP NLAN'!E39*'TS-PILE'!$E$66/SUMSQ('TS-PILE'!$E$56:$E$75))+IF(SUMSQ('TS-PILE'!$D$56:$D$75)=0,0,'TO HOP NLAN'!F39*'TS-PILE'!$D$66/SUMSQ('TS-PILE'!$D$56:$D$75))),IF('TS-PILE'!$B$67="",-1E+99,'TO HOP NLAN'!D39/ncoc+IF(SUMSQ('TS-PILE'!$E$56:$E$75)=0,0,'TO HOP NLAN'!E39*'TS-PILE'!$E$67/SUMSQ('TS-PILE'!$E$56:$E$75))+IF(SUMSQ('TS-PILE'!$D$56:$D$75)=0,0,'TO HOP NLAN'!F39*'TS-PILE'!$D$67/SUMSQ('TS-PILE'!$D$56:$D$75))),IF('TS-PILE'!$B$68="",-1E+99,'TO HOP NLAN'!D39/ncoc+IF(SUMSQ('TS-PILE'!$E$56:$E$75)=0,0,'TO HOP NLAN'!E39*'TS-PILE'!$E$68/SUMSQ('TS-PILE'!$E$56:$E$75))+IF(SUMSQ('TS-PILE'!$D$56:$D$75)=0,0,'TO HOP NLAN'!F39*'TS-PILE'!$D$68/SUMSQ('TS-PILE'!$D$56:$D$75))),IF('TS-PILE'!$B$69="",-1E+99,'TO HOP NLAN'!D39/ncoc+IF(SUMSQ('TS-PILE'!$E$56:$E$75)=0,0,'TO HOP NLAN'!E39*'TS-PILE'!$E$69/SUMSQ('TS-PILE'!$E$56:$E$75))+IF(SUMSQ('TS-PILE'!$D$56:$D$75)=0,0,'TO HOP NLAN'!F39*'TS-PILE'!$D$69/SUMSQ('TS-PILE'!$D$56:$D$75))),IF('TS-PILE'!$B$70="",-1E+99,'TO HOP NLAN'!D39/ncoc+IF(SUMSQ('TS-PILE'!$E$56:$E$75)=0,0,'TO HOP NLAN'!E39*'TS-PILE'!$E$70/SUMSQ('TS-PILE'!$E$56:$E$75))+IF(SUMSQ('TS-PILE'!$D$56:$D$75)=0,0,'TO HOP NLAN'!F39*'TS-PILE'!$D$70/SUMSQ('TS-PILE'!$D$56:$D$75))),IF('TS-PILE'!$B$71="",-1E+99,'TO HOP NLAN'!D39/ncoc+IF(SUMSQ('TS-PILE'!$E$56:$E$75)=0,0,'TO HOP NLAN'!E39*'TS-PILE'!$E$71/SUMSQ('TS-PILE'!$E$56:$E$75))+IF(SUMSQ('TS-PILE'!$D$56:$D$75)=0,0,'TO HOP NLAN'!F39*'TS-PILE'!$D$71/SUMSQ('TS-PILE'!$D$56:$D$75))),IF('TS-PILE'!$B$72="",-1E+99,'TO HOP NLAN'!D39/ncoc+IF(SUMSQ('TS-PILE'!$E$56:$E$75)=0,0,'TO HOP NLAN'!E39*'TS-PILE'!$E$72/SUMSQ('TS-PILE'!$E$56:$E$75))+IF(SUMSQ('TS-PILE'!$D$56:$D$75)=0,0,'TO HOP NLAN'!F39*'TS-PILE'!$D$72/SUMSQ('TS-PILE'!$D$56:$D$75))),IF('TS-PILE'!$B$73="",-1E+99,'TO HOP NLAN'!D39/ncoc+IF(SUMSQ('TS-PILE'!$E$56:$E$75)=0,0,'TO HOP NLAN'!E39*'TS-PILE'!$E$73/SUMSQ('TS-PILE'!$E$56:$E$75))+IF(SUMSQ('TS-PILE'!$D$56:$D$75)=0,0,'TO HOP NLAN'!F39*'TS-PILE'!$D$73/SUMSQ('TS-PILE'!$D$56:$D$75))),IF('TS-PILE'!$B$74="",-1E+99,'TO HOP NLAN'!D39/ncoc+IF(SUMSQ('TS-PILE'!$E$56:$E$75)=0,0,'TO HOP NLAN'!E39*'TS-PILE'!$E$74/SUMSQ('TS-PILE'!$E$56:$E$75))+IF(SUMSQ('TS-PILE'!$D$56:$D$75)=0,0,'TO HOP NLAN'!F39*'TS-PILE'!$D$74/SUMSQ('TS-PILE'!$D$56:$D$75))),IF('TS-PILE'!$B$75="",-1E+99,'TO HOP NLAN'!D39/ncoc+IF(SUMSQ('TS-PILE'!$E$56:$E$75)=0,0,'TO HOP NLAN'!E39*'TS-PILE'!$E$75/SUMSQ('TS-PILE'!$E$56:$E$75))+IF(SUMSQ('TS-PILE'!$D$56:$D$75)=0,0,'TO HOP NLAN'!F39*'TS-PILE'!$D$75/SUMSQ('TS-PILE'!$D$56:$D$75)))))</f>
        <v>0</v>
      </c>
      <c r="D39" s="46">
        <f>IF(A39="",0,MIN(IF('TS-PILE'!$B$56="",1E+99,'TO HOP NLAN'!D39/ncoc+IF(SUMSQ('TS-PILE'!$E$56:$E$75)=0,0,'TO HOP NLAN'!E39*'TS-PILE'!$E$56/SUMSQ('TS-PILE'!$E$56:$E$75))+IF(SUMSQ('TS-PILE'!$D$56:$D$75)=0,0,'TO HOP NLAN'!F39*'TS-PILE'!$D$56/SUMSQ('TS-PILE'!$D$56:$D$75))),IF('TS-PILE'!$B$57="",1E+99,'TO HOP NLAN'!D39/ncoc+IF(SUMSQ('TS-PILE'!$E$56:$E$75)=0,0,'TO HOP NLAN'!E39*'TS-PILE'!$E$57/SUMSQ('TS-PILE'!$E$56:$E$75))+IF(SUMSQ('TS-PILE'!$D$56:$D$75)=0,0,'TO HOP NLAN'!F39*'TS-PILE'!$D$57/SUMSQ('TS-PILE'!$D$56:$D$75))),IF('TS-PILE'!$B$58="",1E+99,'TO HOP NLAN'!D39/ncoc+IF(SUMSQ('TS-PILE'!$E$56:$E$75)=0,0,'TO HOP NLAN'!E39*'TS-PILE'!$E$58/SUMSQ('TS-PILE'!$E$56:$E$75))+IF(SUMSQ('TS-PILE'!$D$56:$D$75)=0,0,'TO HOP NLAN'!F39*'TS-PILE'!$D$58/SUMSQ('TS-PILE'!$D$56:$D$75))),IF('TS-PILE'!$B$59="",1E+99,'TO HOP NLAN'!D39/ncoc+IF(SUMSQ('TS-PILE'!$E$56:$E$75)=0,0,'TO HOP NLAN'!E39*'TS-PILE'!$E$59/SUMSQ('TS-PILE'!$E$56:$E$75))+IF(SUMSQ('TS-PILE'!$D$56:$D$75)=0,0,'TO HOP NLAN'!F39*'TS-PILE'!$D$59/SUMSQ('TS-PILE'!$D$56:$D$75))),IF('TS-PILE'!$B$60="",1E+99,'TO HOP NLAN'!D39/ncoc+IF(SUMSQ('TS-PILE'!$E$56:$E$75)=0,0,'TO HOP NLAN'!E39*'TS-PILE'!$E$60/SUMSQ('TS-PILE'!$E$56:$E$75))+IF(SUMSQ('TS-PILE'!$D$56:$D$75)=0,0,'TO HOP NLAN'!F39*'TS-PILE'!$D$60/SUMSQ('TS-PILE'!$D$56:$D$75))),IF('TS-PILE'!$B$61="",1E+99,'TO HOP NLAN'!D39/ncoc+IF(SUMSQ('TS-PILE'!$E$56:$E$75)=0,0,'TO HOP NLAN'!E39*'TS-PILE'!$E$61/SUMSQ('TS-PILE'!$E$56:$E$75))+IF(SUMSQ('TS-PILE'!$D$56:$D$75)=0,0,'TO HOP NLAN'!F39*'TS-PILE'!$D$61/SUMSQ('TS-PILE'!$D$56:$D$75))),IF('TS-PILE'!$B$62="",1E+99,'TO HOP NLAN'!D39/ncoc+IF(SUMSQ('TS-PILE'!$E$56:$E$75)=0,0,'TO HOP NLAN'!E39*'TS-PILE'!$E$62/SUMSQ('TS-PILE'!$E$56:$E$75))+IF(SUMSQ('TS-PILE'!$D$56:$D$75)=0,0,'TO HOP NLAN'!F39*'TS-PILE'!$D$62/SUMSQ('TS-PILE'!$D$56:$D$75))),IF('TS-PILE'!$B$63="",1E+99,'TO HOP NLAN'!D39/ncoc+IF(SUMSQ('TS-PILE'!$E$56:$E$75)=0,0,'TO HOP NLAN'!E39*'TS-PILE'!$E$63/SUMSQ('TS-PILE'!$E$56:$E$75))+IF(SUMSQ('TS-PILE'!$D$56:$D$75)=0,0,'TO HOP NLAN'!F39*'TS-PILE'!$D$63/SUMSQ('TS-PILE'!$D$56:$D$75))),IF('TS-PILE'!$B$64="",1E+99,'TO HOP NLAN'!D39/ncoc+IF(SUMSQ('TS-PILE'!$E$56:$E$75)=0,0,'TO HOP NLAN'!E39*'TS-PILE'!$E$64/SUMSQ('TS-PILE'!$E$56:$E$75))+IF(SUMSQ('TS-PILE'!$D$56:$D$75)=0,0,'TO HOP NLAN'!F39*'TS-PILE'!$D$64/SUMSQ('TS-PILE'!$D$56:$D$75))),IF('TS-PILE'!$B$65="",1E+99,'TO HOP NLAN'!D39/ncoc+IF(SUMSQ('TS-PILE'!$E$56:$E$75)=0,0,'TO HOP NLAN'!E39*'TS-PILE'!$E$65/SUMSQ('TS-PILE'!$E$56:$E$75))+IF(SUMSQ('TS-PILE'!$D$56:$D$75)=0,0,'TO HOP NLAN'!F39*'TS-PILE'!$D$65/SUMSQ('TS-PILE'!$D$56:$D$75))),IF('TS-PILE'!$B$66="",1E+99,'TO HOP NLAN'!D39/ncoc+IF(SUMSQ('TS-PILE'!$E$56:$E$75)=0,0,'TO HOP NLAN'!E39*'TS-PILE'!$E$66/SUMSQ('TS-PILE'!$E$56:$E$75))+IF(SUMSQ('TS-PILE'!$D$56:$D$75)=0,0,'TO HOP NLAN'!F39*'TS-PILE'!$D$66/SUMSQ('TS-PILE'!$D$56:$D$75))),IF('TS-PILE'!$B$67="",1E+99,'TO HOP NLAN'!D39/ncoc+IF(SUMSQ('TS-PILE'!$E$56:$E$75)=0,0,'TO HOP NLAN'!E39*'TS-PILE'!$E$67/SUMSQ('TS-PILE'!$E$56:$E$75))+IF(SUMSQ('TS-PILE'!$D$56:$D$75)=0,0,'TO HOP NLAN'!F39*'TS-PILE'!$D$67/SUMSQ('TS-PILE'!$D$56:$D$75))),IF('TS-PILE'!$B$68="",1E+99,'TO HOP NLAN'!D39/ncoc+IF(SUMSQ('TS-PILE'!$E$56:$E$75)=0,0,'TO HOP NLAN'!E39*'TS-PILE'!$E$68/SUMSQ('TS-PILE'!$E$56:$E$75))+IF(SUMSQ('TS-PILE'!$D$56:$D$75)=0,0,'TO HOP NLAN'!F39*'TS-PILE'!$D$68/SUMSQ('TS-PILE'!$D$56:$D$75))),IF('TS-PILE'!$B$69="",1E+99,'TO HOP NLAN'!D39/ncoc+IF(SUMSQ('TS-PILE'!$E$56:$E$75)=0,0,'TO HOP NLAN'!E39*'TS-PILE'!$E$69/SUMSQ('TS-PILE'!$E$56:$E$75))+IF(SUMSQ('TS-PILE'!$D$56:$D$75)=0,0,'TO HOP NLAN'!F39*'TS-PILE'!$D$69/SUMSQ('TS-PILE'!$D$56:$D$75))),IF('TS-PILE'!$B$70="",1E+99,'TO HOP NLAN'!D39/ncoc+IF(SUMSQ('TS-PILE'!$E$56:$E$75)=0,0,'TO HOP NLAN'!E39*'TS-PILE'!$E$70/SUMSQ('TS-PILE'!$E$56:$E$75))+IF(SUMSQ('TS-PILE'!$D$56:$D$75)=0,0,'TO HOP NLAN'!F39*'TS-PILE'!$D$70/SUMSQ('TS-PILE'!$D$56:$D$75))),IF('TS-PILE'!$B$71="",1E+99,'TO HOP NLAN'!D39/ncoc+IF(SUMSQ('TS-PILE'!$E$56:$E$75)=0,0,'TO HOP NLAN'!E39*'TS-PILE'!$E$71/SUMSQ('TS-PILE'!$E$56:$E$75))+IF(SUMSQ('TS-PILE'!$D$56:$D$75)=0,0,'TO HOP NLAN'!F39*'TS-PILE'!$D$71/SUMSQ('TS-PILE'!$D$56:$D$75))),IF('TS-PILE'!$B$72="",1E+99,'TO HOP NLAN'!D39/ncoc+IF(SUMSQ('TS-PILE'!$E$56:$E$75)=0,0,'TO HOP NLAN'!E39*'TS-PILE'!$E$72/SUMSQ('TS-PILE'!$E$56:$E$75))+IF(SUMSQ('TS-PILE'!$D$56:$D$75)=0,0,'TO HOP NLAN'!F39*'TS-PILE'!$D$72/SUMSQ('TS-PILE'!$D$56:$D$75))),IF('TS-PILE'!$B$73="",1E+99,'TO HOP NLAN'!D39/ncoc+IF(SUMSQ('TS-PILE'!$E$56:$E$75)=0,0,'TO HOP NLAN'!E39*'TS-PILE'!$E$73/SUMSQ('TS-PILE'!$E$56:$E$75))+IF(SUMSQ('TS-PILE'!$D$56:$D$75)=0,0,'TO HOP NLAN'!F39*'TS-PILE'!$D$73/SUMSQ('TS-PILE'!$D$56:$D$75))),IF('TS-PILE'!$B$74="",1E+99,'TO HOP NLAN'!D39/ncoc+IF(SUMSQ('TS-PILE'!$E$56:$E$75)=0,0,'TO HOP NLAN'!E39*'TS-PILE'!$E$74/SUMSQ('TS-PILE'!$E$56:$E$75))+IF(SUMSQ('TS-PILE'!$D$56:$D$75)=0,0,'TO HOP NLAN'!F39*'TS-PILE'!$D$74/SUMSQ('TS-PILE'!$D$56:$D$75))),IF('TS-PILE'!$B$75="",1E+99,'TO HOP NLAN'!D39/ncoc+IF(SUMSQ('TS-PILE'!$E$56:$E$75)=0,0,'TO HOP NLAN'!E39*'TS-PILE'!$E$75/SUMSQ('TS-PILE'!$E$56:$E$75))+IF(SUMSQ('TS-PILE'!$D$56:$D$75)=0,0,'TO HOP NLAN'!F39*'TS-PILE'!$D$75/SUMSQ('TS-PILE'!$D$56:$D$75)))))</f>
        <v>0</v>
      </c>
      <c r="E39" s="46">
        <f t="shared" si="0"/>
        <v>-9.9999999999999997E+98</v>
      </c>
      <c r="F39" s="46">
        <f t="shared" si="1"/>
        <v>9.9999999999999997E+98</v>
      </c>
      <c r="G39" s="46">
        <f t="shared" si="2"/>
        <v>-9.9999999999999997E+98</v>
      </c>
      <c r="H39" s="46">
        <f t="shared" si="3"/>
        <v>9.9999999999999997E+98</v>
      </c>
    </row>
    <row r="40" spans="1:8" x14ac:dyDescent="0.3">
      <c r="A40" s="40" t="str">
        <f>'TO HOP NLAN'!A40</f>
        <v/>
      </c>
      <c r="B40" s="40" t="str">
        <f>'TO HOP NLAN'!L40</f>
        <v>SERVICE</v>
      </c>
      <c r="C40" s="46">
        <f>IF(A40="",0,MAX(IF('TS-PILE'!$B$56="",-1E+99,'TO HOP NLAN'!D40/ncoc+IF(SUMSQ('TS-PILE'!$E$56:$E$75)=0,0,'TO HOP NLAN'!E40*'TS-PILE'!$E$56/SUMSQ('TS-PILE'!$E$56:$E$75))+IF(SUMSQ('TS-PILE'!$D$56:$D$75)=0,0,'TO HOP NLAN'!F40*'TS-PILE'!$D$56/SUMSQ('TS-PILE'!$D$56:$D$75))),IF('TS-PILE'!$B$57="",-1E+99,'TO HOP NLAN'!D40/ncoc+IF(SUMSQ('TS-PILE'!$E$56:$E$75)=0,0,'TO HOP NLAN'!E40*'TS-PILE'!$E$57/SUMSQ('TS-PILE'!$E$56:$E$75))+IF(SUMSQ('TS-PILE'!$D$56:$D$75)=0,0,'TO HOP NLAN'!F40*'TS-PILE'!$D$57/SUMSQ('TS-PILE'!$D$56:$D$75))),IF('TS-PILE'!$B$58="",-1E+99,'TO HOP NLAN'!D40/ncoc+IF(SUMSQ('TS-PILE'!$E$56:$E$75)=0,0,'TO HOP NLAN'!E40*'TS-PILE'!$E$58/SUMSQ('TS-PILE'!$E$56:$E$75))+IF(SUMSQ('TS-PILE'!$D$56:$D$75)=0,0,'TO HOP NLAN'!F40*'TS-PILE'!$D$58/SUMSQ('TS-PILE'!$D$56:$D$75))),IF('TS-PILE'!$B$59="",-1E+99,'TO HOP NLAN'!D40/ncoc+IF(SUMSQ('TS-PILE'!$E$56:$E$75)=0,0,'TO HOP NLAN'!E40*'TS-PILE'!$E$59/SUMSQ('TS-PILE'!$E$56:$E$75))+IF(SUMSQ('TS-PILE'!$D$56:$D$75)=0,0,'TO HOP NLAN'!F40*'TS-PILE'!$D$59/SUMSQ('TS-PILE'!$D$56:$D$75))),IF('TS-PILE'!$B$60="",-1E+99,'TO HOP NLAN'!D40/ncoc+IF(SUMSQ('TS-PILE'!$E$56:$E$75)=0,0,'TO HOP NLAN'!E40*'TS-PILE'!$E$60/SUMSQ('TS-PILE'!$E$56:$E$75))+IF(SUMSQ('TS-PILE'!$D$56:$D$75)=0,0,'TO HOP NLAN'!F40*'TS-PILE'!$D$60/SUMSQ('TS-PILE'!$D$56:$D$75))),IF('TS-PILE'!$B$61="",-1E+99,'TO HOP NLAN'!D40/ncoc+IF(SUMSQ('TS-PILE'!$E$56:$E$75)=0,0,'TO HOP NLAN'!E40*'TS-PILE'!$E$61/SUMSQ('TS-PILE'!$E$56:$E$75))+IF(SUMSQ('TS-PILE'!$D$56:$D$75)=0,0,'TO HOP NLAN'!F40*'TS-PILE'!$D$61/SUMSQ('TS-PILE'!$D$56:$D$75))),IF('TS-PILE'!$B$62="",-1E+99,'TO HOP NLAN'!D40/ncoc+IF(SUMSQ('TS-PILE'!$E$56:$E$75)=0,0,'TO HOP NLAN'!E40*'TS-PILE'!$E$62/SUMSQ('TS-PILE'!$E$56:$E$75))+IF(SUMSQ('TS-PILE'!$D$56:$D$75)=0,0,'TO HOP NLAN'!F40*'TS-PILE'!$D$62/SUMSQ('TS-PILE'!$D$56:$D$75))),IF('TS-PILE'!$B$63="",-1E+99,'TO HOP NLAN'!D40/ncoc+IF(SUMSQ('TS-PILE'!$E$56:$E$75)=0,0,'TO HOP NLAN'!E40*'TS-PILE'!$E$63/SUMSQ('TS-PILE'!$E$56:$E$75))+IF(SUMSQ('TS-PILE'!$D$56:$D$75)=0,0,'TO HOP NLAN'!F40*'TS-PILE'!$D$63/SUMSQ('TS-PILE'!$D$56:$D$75))),IF('TS-PILE'!$B$64="",-1E+99,'TO HOP NLAN'!D40/ncoc+IF(SUMSQ('TS-PILE'!$E$56:$E$75)=0,0,'TO HOP NLAN'!E40*'TS-PILE'!$E$64/SUMSQ('TS-PILE'!$E$56:$E$75))+IF(SUMSQ('TS-PILE'!$D$56:$D$75)=0,0,'TO HOP NLAN'!F40*'TS-PILE'!$D$64/SUMSQ('TS-PILE'!$D$56:$D$75))),IF('TS-PILE'!$B$65="",-1E+99,'TO HOP NLAN'!D40/ncoc+IF(SUMSQ('TS-PILE'!$E$56:$E$75)=0,0,'TO HOP NLAN'!E40*'TS-PILE'!$E$65/SUMSQ('TS-PILE'!$E$56:$E$75))+IF(SUMSQ('TS-PILE'!$D$56:$D$75)=0,0,'TO HOP NLAN'!F40*'TS-PILE'!$D$65/SUMSQ('TS-PILE'!$D$56:$D$75))),IF('TS-PILE'!$B$66="",-1E+99,'TO HOP NLAN'!D40/ncoc+IF(SUMSQ('TS-PILE'!$E$56:$E$75)=0,0,'TO HOP NLAN'!E40*'TS-PILE'!$E$66/SUMSQ('TS-PILE'!$E$56:$E$75))+IF(SUMSQ('TS-PILE'!$D$56:$D$75)=0,0,'TO HOP NLAN'!F40*'TS-PILE'!$D$66/SUMSQ('TS-PILE'!$D$56:$D$75))),IF('TS-PILE'!$B$67="",-1E+99,'TO HOP NLAN'!D40/ncoc+IF(SUMSQ('TS-PILE'!$E$56:$E$75)=0,0,'TO HOP NLAN'!E40*'TS-PILE'!$E$67/SUMSQ('TS-PILE'!$E$56:$E$75))+IF(SUMSQ('TS-PILE'!$D$56:$D$75)=0,0,'TO HOP NLAN'!F40*'TS-PILE'!$D$67/SUMSQ('TS-PILE'!$D$56:$D$75))),IF('TS-PILE'!$B$68="",-1E+99,'TO HOP NLAN'!D40/ncoc+IF(SUMSQ('TS-PILE'!$E$56:$E$75)=0,0,'TO HOP NLAN'!E40*'TS-PILE'!$E$68/SUMSQ('TS-PILE'!$E$56:$E$75))+IF(SUMSQ('TS-PILE'!$D$56:$D$75)=0,0,'TO HOP NLAN'!F40*'TS-PILE'!$D$68/SUMSQ('TS-PILE'!$D$56:$D$75))),IF('TS-PILE'!$B$69="",-1E+99,'TO HOP NLAN'!D40/ncoc+IF(SUMSQ('TS-PILE'!$E$56:$E$75)=0,0,'TO HOP NLAN'!E40*'TS-PILE'!$E$69/SUMSQ('TS-PILE'!$E$56:$E$75))+IF(SUMSQ('TS-PILE'!$D$56:$D$75)=0,0,'TO HOP NLAN'!F40*'TS-PILE'!$D$69/SUMSQ('TS-PILE'!$D$56:$D$75))),IF('TS-PILE'!$B$70="",-1E+99,'TO HOP NLAN'!D40/ncoc+IF(SUMSQ('TS-PILE'!$E$56:$E$75)=0,0,'TO HOP NLAN'!E40*'TS-PILE'!$E$70/SUMSQ('TS-PILE'!$E$56:$E$75))+IF(SUMSQ('TS-PILE'!$D$56:$D$75)=0,0,'TO HOP NLAN'!F40*'TS-PILE'!$D$70/SUMSQ('TS-PILE'!$D$56:$D$75))),IF('TS-PILE'!$B$71="",-1E+99,'TO HOP NLAN'!D40/ncoc+IF(SUMSQ('TS-PILE'!$E$56:$E$75)=0,0,'TO HOP NLAN'!E40*'TS-PILE'!$E$71/SUMSQ('TS-PILE'!$E$56:$E$75))+IF(SUMSQ('TS-PILE'!$D$56:$D$75)=0,0,'TO HOP NLAN'!F40*'TS-PILE'!$D$71/SUMSQ('TS-PILE'!$D$56:$D$75))),IF('TS-PILE'!$B$72="",-1E+99,'TO HOP NLAN'!D40/ncoc+IF(SUMSQ('TS-PILE'!$E$56:$E$75)=0,0,'TO HOP NLAN'!E40*'TS-PILE'!$E$72/SUMSQ('TS-PILE'!$E$56:$E$75))+IF(SUMSQ('TS-PILE'!$D$56:$D$75)=0,0,'TO HOP NLAN'!F40*'TS-PILE'!$D$72/SUMSQ('TS-PILE'!$D$56:$D$75))),IF('TS-PILE'!$B$73="",-1E+99,'TO HOP NLAN'!D40/ncoc+IF(SUMSQ('TS-PILE'!$E$56:$E$75)=0,0,'TO HOP NLAN'!E40*'TS-PILE'!$E$73/SUMSQ('TS-PILE'!$E$56:$E$75))+IF(SUMSQ('TS-PILE'!$D$56:$D$75)=0,0,'TO HOP NLAN'!F40*'TS-PILE'!$D$73/SUMSQ('TS-PILE'!$D$56:$D$75))),IF('TS-PILE'!$B$74="",-1E+99,'TO HOP NLAN'!D40/ncoc+IF(SUMSQ('TS-PILE'!$E$56:$E$75)=0,0,'TO HOP NLAN'!E40*'TS-PILE'!$E$74/SUMSQ('TS-PILE'!$E$56:$E$75))+IF(SUMSQ('TS-PILE'!$D$56:$D$75)=0,0,'TO HOP NLAN'!F40*'TS-PILE'!$D$74/SUMSQ('TS-PILE'!$D$56:$D$75))),IF('TS-PILE'!$B$75="",-1E+99,'TO HOP NLAN'!D40/ncoc+IF(SUMSQ('TS-PILE'!$E$56:$E$75)=0,0,'TO HOP NLAN'!E40*'TS-PILE'!$E$75/SUMSQ('TS-PILE'!$E$56:$E$75))+IF(SUMSQ('TS-PILE'!$D$56:$D$75)=0,0,'TO HOP NLAN'!F40*'TS-PILE'!$D$75/SUMSQ('TS-PILE'!$D$56:$D$75)))))</f>
        <v>0</v>
      </c>
      <c r="D40" s="46">
        <f>IF(A40="",0,MIN(IF('TS-PILE'!$B$56="",1E+99,'TO HOP NLAN'!D40/ncoc+IF(SUMSQ('TS-PILE'!$E$56:$E$75)=0,0,'TO HOP NLAN'!E40*'TS-PILE'!$E$56/SUMSQ('TS-PILE'!$E$56:$E$75))+IF(SUMSQ('TS-PILE'!$D$56:$D$75)=0,0,'TO HOP NLAN'!F40*'TS-PILE'!$D$56/SUMSQ('TS-PILE'!$D$56:$D$75))),IF('TS-PILE'!$B$57="",1E+99,'TO HOP NLAN'!D40/ncoc+IF(SUMSQ('TS-PILE'!$E$56:$E$75)=0,0,'TO HOP NLAN'!E40*'TS-PILE'!$E$57/SUMSQ('TS-PILE'!$E$56:$E$75))+IF(SUMSQ('TS-PILE'!$D$56:$D$75)=0,0,'TO HOP NLAN'!F40*'TS-PILE'!$D$57/SUMSQ('TS-PILE'!$D$56:$D$75))),IF('TS-PILE'!$B$58="",1E+99,'TO HOP NLAN'!D40/ncoc+IF(SUMSQ('TS-PILE'!$E$56:$E$75)=0,0,'TO HOP NLAN'!E40*'TS-PILE'!$E$58/SUMSQ('TS-PILE'!$E$56:$E$75))+IF(SUMSQ('TS-PILE'!$D$56:$D$75)=0,0,'TO HOP NLAN'!F40*'TS-PILE'!$D$58/SUMSQ('TS-PILE'!$D$56:$D$75))),IF('TS-PILE'!$B$59="",1E+99,'TO HOP NLAN'!D40/ncoc+IF(SUMSQ('TS-PILE'!$E$56:$E$75)=0,0,'TO HOP NLAN'!E40*'TS-PILE'!$E$59/SUMSQ('TS-PILE'!$E$56:$E$75))+IF(SUMSQ('TS-PILE'!$D$56:$D$75)=0,0,'TO HOP NLAN'!F40*'TS-PILE'!$D$59/SUMSQ('TS-PILE'!$D$56:$D$75))),IF('TS-PILE'!$B$60="",1E+99,'TO HOP NLAN'!D40/ncoc+IF(SUMSQ('TS-PILE'!$E$56:$E$75)=0,0,'TO HOP NLAN'!E40*'TS-PILE'!$E$60/SUMSQ('TS-PILE'!$E$56:$E$75))+IF(SUMSQ('TS-PILE'!$D$56:$D$75)=0,0,'TO HOP NLAN'!F40*'TS-PILE'!$D$60/SUMSQ('TS-PILE'!$D$56:$D$75))),IF('TS-PILE'!$B$61="",1E+99,'TO HOP NLAN'!D40/ncoc+IF(SUMSQ('TS-PILE'!$E$56:$E$75)=0,0,'TO HOP NLAN'!E40*'TS-PILE'!$E$61/SUMSQ('TS-PILE'!$E$56:$E$75))+IF(SUMSQ('TS-PILE'!$D$56:$D$75)=0,0,'TO HOP NLAN'!F40*'TS-PILE'!$D$61/SUMSQ('TS-PILE'!$D$56:$D$75))),IF('TS-PILE'!$B$62="",1E+99,'TO HOP NLAN'!D40/ncoc+IF(SUMSQ('TS-PILE'!$E$56:$E$75)=0,0,'TO HOP NLAN'!E40*'TS-PILE'!$E$62/SUMSQ('TS-PILE'!$E$56:$E$75))+IF(SUMSQ('TS-PILE'!$D$56:$D$75)=0,0,'TO HOP NLAN'!F40*'TS-PILE'!$D$62/SUMSQ('TS-PILE'!$D$56:$D$75))),IF('TS-PILE'!$B$63="",1E+99,'TO HOP NLAN'!D40/ncoc+IF(SUMSQ('TS-PILE'!$E$56:$E$75)=0,0,'TO HOP NLAN'!E40*'TS-PILE'!$E$63/SUMSQ('TS-PILE'!$E$56:$E$75))+IF(SUMSQ('TS-PILE'!$D$56:$D$75)=0,0,'TO HOP NLAN'!F40*'TS-PILE'!$D$63/SUMSQ('TS-PILE'!$D$56:$D$75))),IF('TS-PILE'!$B$64="",1E+99,'TO HOP NLAN'!D40/ncoc+IF(SUMSQ('TS-PILE'!$E$56:$E$75)=0,0,'TO HOP NLAN'!E40*'TS-PILE'!$E$64/SUMSQ('TS-PILE'!$E$56:$E$75))+IF(SUMSQ('TS-PILE'!$D$56:$D$75)=0,0,'TO HOP NLAN'!F40*'TS-PILE'!$D$64/SUMSQ('TS-PILE'!$D$56:$D$75))),IF('TS-PILE'!$B$65="",1E+99,'TO HOP NLAN'!D40/ncoc+IF(SUMSQ('TS-PILE'!$E$56:$E$75)=0,0,'TO HOP NLAN'!E40*'TS-PILE'!$E$65/SUMSQ('TS-PILE'!$E$56:$E$75))+IF(SUMSQ('TS-PILE'!$D$56:$D$75)=0,0,'TO HOP NLAN'!F40*'TS-PILE'!$D$65/SUMSQ('TS-PILE'!$D$56:$D$75))),IF('TS-PILE'!$B$66="",1E+99,'TO HOP NLAN'!D40/ncoc+IF(SUMSQ('TS-PILE'!$E$56:$E$75)=0,0,'TO HOP NLAN'!E40*'TS-PILE'!$E$66/SUMSQ('TS-PILE'!$E$56:$E$75))+IF(SUMSQ('TS-PILE'!$D$56:$D$75)=0,0,'TO HOP NLAN'!F40*'TS-PILE'!$D$66/SUMSQ('TS-PILE'!$D$56:$D$75))),IF('TS-PILE'!$B$67="",1E+99,'TO HOP NLAN'!D40/ncoc+IF(SUMSQ('TS-PILE'!$E$56:$E$75)=0,0,'TO HOP NLAN'!E40*'TS-PILE'!$E$67/SUMSQ('TS-PILE'!$E$56:$E$75))+IF(SUMSQ('TS-PILE'!$D$56:$D$75)=0,0,'TO HOP NLAN'!F40*'TS-PILE'!$D$67/SUMSQ('TS-PILE'!$D$56:$D$75))),IF('TS-PILE'!$B$68="",1E+99,'TO HOP NLAN'!D40/ncoc+IF(SUMSQ('TS-PILE'!$E$56:$E$75)=0,0,'TO HOP NLAN'!E40*'TS-PILE'!$E$68/SUMSQ('TS-PILE'!$E$56:$E$75))+IF(SUMSQ('TS-PILE'!$D$56:$D$75)=0,0,'TO HOP NLAN'!F40*'TS-PILE'!$D$68/SUMSQ('TS-PILE'!$D$56:$D$75))),IF('TS-PILE'!$B$69="",1E+99,'TO HOP NLAN'!D40/ncoc+IF(SUMSQ('TS-PILE'!$E$56:$E$75)=0,0,'TO HOP NLAN'!E40*'TS-PILE'!$E$69/SUMSQ('TS-PILE'!$E$56:$E$75))+IF(SUMSQ('TS-PILE'!$D$56:$D$75)=0,0,'TO HOP NLAN'!F40*'TS-PILE'!$D$69/SUMSQ('TS-PILE'!$D$56:$D$75))),IF('TS-PILE'!$B$70="",1E+99,'TO HOP NLAN'!D40/ncoc+IF(SUMSQ('TS-PILE'!$E$56:$E$75)=0,0,'TO HOP NLAN'!E40*'TS-PILE'!$E$70/SUMSQ('TS-PILE'!$E$56:$E$75))+IF(SUMSQ('TS-PILE'!$D$56:$D$75)=0,0,'TO HOP NLAN'!F40*'TS-PILE'!$D$70/SUMSQ('TS-PILE'!$D$56:$D$75))),IF('TS-PILE'!$B$71="",1E+99,'TO HOP NLAN'!D40/ncoc+IF(SUMSQ('TS-PILE'!$E$56:$E$75)=0,0,'TO HOP NLAN'!E40*'TS-PILE'!$E$71/SUMSQ('TS-PILE'!$E$56:$E$75))+IF(SUMSQ('TS-PILE'!$D$56:$D$75)=0,0,'TO HOP NLAN'!F40*'TS-PILE'!$D$71/SUMSQ('TS-PILE'!$D$56:$D$75))),IF('TS-PILE'!$B$72="",1E+99,'TO HOP NLAN'!D40/ncoc+IF(SUMSQ('TS-PILE'!$E$56:$E$75)=0,0,'TO HOP NLAN'!E40*'TS-PILE'!$E$72/SUMSQ('TS-PILE'!$E$56:$E$75))+IF(SUMSQ('TS-PILE'!$D$56:$D$75)=0,0,'TO HOP NLAN'!F40*'TS-PILE'!$D$72/SUMSQ('TS-PILE'!$D$56:$D$75))),IF('TS-PILE'!$B$73="",1E+99,'TO HOP NLAN'!D40/ncoc+IF(SUMSQ('TS-PILE'!$E$56:$E$75)=0,0,'TO HOP NLAN'!E40*'TS-PILE'!$E$73/SUMSQ('TS-PILE'!$E$56:$E$75))+IF(SUMSQ('TS-PILE'!$D$56:$D$75)=0,0,'TO HOP NLAN'!F40*'TS-PILE'!$D$73/SUMSQ('TS-PILE'!$D$56:$D$75))),IF('TS-PILE'!$B$74="",1E+99,'TO HOP NLAN'!D40/ncoc+IF(SUMSQ('TS-PILE'!$E$56:$E$75)=0,0,'TO HOP NLAN'!E40*'TS-PILE'!$E$74/SUMSQ('TS-PILE'!$E$56:$E$75))+IF(SUMSQ('TS-PILE'!$D$56:$D$75)=0,0,'TO HOP NLAN'!F40*'TS-PILE'!$D$74/SUMSQ('TS-PILE'!$D$56:$D$75))),IF('TS-PILE'!$B$75="",1E+99,'TO HOP NLAN'!D40/ncoc+IF(SUMSQ('TS-PILE'!$E$56:$E$75)=0,0,'TO HOP NLAN'!E40*'TS-PILE'!$E$75/SUMSQ('TS-PILE'!$E$56:$E$75))+IF(SUMSQ('TS-PILE'!$D$56:$D$75)=0,0,'TO HOP NLAN'!F40*'TS-PILE'!$D$75/SUMSQ('TS-PILE'!$D$56:$D$75)))))</f>
        <v>0</v>
      </c>
      <c r="E40" s="46">
        <f t="shared" si="0"/>
        <v>-9.9999999999999997E+98</v>
      </c>
      <c r="F40" s="46">
        <f t="shared" si="1"/>
        <v>9.9999999999999997E+98</v>
      </c>
      <c r="G40" s="46">
        <f t="shared" si="2"/>
        <v>-9.9999999999999997E+98</v>
      </c>
      <c r="H40" s="46">
        <f t="shared" si="3"/>
        <v>9.9999999999999997E+98</v>
      </c>
    </row>
    <row r="41" spans="1:8" x14ac:dyDescent="0.3">
      <c r="A41" s="40" t="str">
        <f>'TO HOP NLAN'!A41</f>
        <v/>
      </c>
      <c r="B41" s="40" t="str">
        <f>'TO HOP NLAN'!L41</f>
        <v>SERVICE</v>
      </c>
      <c r="C41" s="46">
        <f>IF(A41="",0,MAX(IF('TS-PILE'!$B$56="",-1E+99,'TO HOP NLAN'!D41/ncoc+IF(SUMSQ('TS-PILE'!$E$56:$E$75)=0,0,'TO HOP NLAN'!E41*'TS-PILE'!$E$56/SUMSQ('TS-PILE'!$E$56:$E$75))+IF(SUMSQ('TS-PILE'!$D$56:$D$75)=0,0,'TO HOP NLAN'!F41*'TS-PILE'!$D$56/SUMSQ('TS-PILE'!$D$56:$D$75))),IF('TS-PILE'!$B$57="",-1E+99,'TO HOP NLAN'!D41/ncoc+IF(SUMSQ('TS-PILE'!$E$56:$E$75)=0,0,'TO HOP NLAN'!E41*'TS-PILE'!$E$57/SUMSQ('TS-PILE'!$E$56:$E$75))+IF(SUMSQ('TS-PILE'!$D$56:$D$75)=0,0,'TO HOP NLAN'!F41*'TS-PILE'!$D$57/SUMSQ('TS-PILE'!$D$56:$D$75))),IF('TS-PILE'!$B$58="",-1E+99,'TO HOP NLAN'!D41/ncoc+IF(SUMSQ('TS-PILE'!$E$56:$E$75)=0,0,'TO HOP NLAN'!E41*'TS-PILE'!$E$58/SUMSQ('TS-PILE'!$E$56:$E$75))+IF(SUMSQ('TS-PILE'!$D$56:$D$75)=0,0,'TO HOP NLAN'!F41*'TS-PILE'!$D$58/SUMSQ('TS-PILE'!$D$56:$D$75))),IF('TS-PILE'!$B$59="",-1E+99,'TO HOP NLAN'!D41/ncoc+IF(SUMSQ('TS-PILE'!$E$56:$E$75)=0,0,'TO HOP NLAN'!E41*'TS-PILE'!$E$59/SUMSQ('TS-PILE'!$E$56:$E$75))+IF(SUMSQ('TS-PILE'!$D$56:$D$75)=0,0,'TO HOP NLAN'!F41*'TS-PILE'!$D$59/SUMSQ('TS-PILE'!$D$56:$D$75))),IF('TS-PILE'!$B$60="",-1E+99,'TO HOP NLAN'!D41/ncoc+IF(SUMSQ('TS-PILE'!$E$56:$E$75)=0,0,'TO HOP NLAN'!E41*'TS-PILE'!$E$60/SUMSQ('TS-PILE'!$E$56:$E$75))+IF(SUMSQ('TS-PILE'!$D$56:$D$75)=0,0,'TO HOP NLAN'!F41*'TS-PILE'!$D$60/SUMSQ('TS-PILE'!$D$56:$D$75))),IF('TS-PILE'!$B$61="",-1E+99,'TO HOP NLAN'!D41/ncoc+IF(SUMSQ('TS-PILE'!$E$56:$E$75)=0,0,'TO HOP NLAN'!E41*'TS-PILE'!$E$61/SUMSQ('TS-PILE'!$E$56:$E$75))+IF(SUMSQ('TS-PILE'!$D$56:$D$75)=0,0,'TO HOP NLAN'!F41*'TS-PILE'!$D$61/SUMSQ('TS-PILE'!$D$56:$D$75))),IF('TS-PILE'!$B$62="",-1E+99,'TO HOP NLAN'!D41/ncoc+IF(SUMSQ('TS-PILE'!$E$56:$E$75)=0,0,'TO HOP NLAN'!E41*'TS-PILE'!$E$62/SUMSQ('TS-PILE'!$E$56:$E$75))+IF(SUMSQ('TS-PILE'!$D$56:$D$75)=0,0,'TO HOP NLAN'!F41*'TS-PILE'!$D$62/SUMSQ('TS-PILE'!$D$56:$D$75))),IF('TS-PILE'!$B$63="",-1E+99,'TO HOP NLAN'!D41/ncoc+IF(SUMSQ('TS-PILE'!$E$56:$E$75)=0,0,'TO HOP NLAN'!E41*'TS-PILE'!$E$63/SUMSQ('TS-PILE'!$E$56:$E$75))+IF(SUMSQ('TS-PILE'!$D$56:$D$75)=0,0,'TO HOP NLAN'!F41*'TS-PILE'!$D$63/SUMSQ('TS-PILE'!$D$56:$D$75))),IF('TS-PILE'!$B$64="",-1E+99,'TO HOP NLAN'!D41/ncoc+IF(SUMSQ('TS-PILE'!$E$56:$E$75)=0,0,'TO HOP NLAN'!E41*'TS-PILE'!$E$64/SUMSQ('TS-PILE'!$E$56:$E$75))+IF(SUMSQ('TS-PILE'!$D$56:$D$75)=0,0,'TO HOP NLAN'!F41*'TS-PILE'!$D$64/SUMSQ('TS-PILE'!$D$56:$D$75))),IF('TS-PILE'!$B$65="",-1E+99,'TO HOP NLAN'!D41/ncoc+IF(SUMSQ('TS-PILE'!$E$56:$E$75)=0,0,'TO HOP NLAN'!E41*'TS-PILE'!$E$65/SUMSQ('TS-PILE'!$E$56:$E$75))+IF(SUMSQ('TS-PILE'!$D$56:$D$75)=0,0,'TO HOP NLAN'!F41*'TS-PILE'!$D$65/SUMSQ('TS-PILE'!$D$56:$D$75))),IF('TS-PILE'!$B$66="",-1E+99,'TO HOP NLAN'!D41/ncoc+IF(SUMSQ('TS-PILE'!$E$56:$E$75)=0,0,'TO HOP NLAN'!E41*'TS-PILE'!$E$66/SUMSQ('TS-PILE'!$E$56:$E$75))+IF(SUMSQ('TS-PILE'!$D$56:$D$75)=0,0,'TO HOP NLAN'!F41*'TS-PILE'!$D$66/SUMSQ('TS-PILE'!$D$56:$D$75))),IF('TS-PILE'!$B$67="",-1E+99,'TO HOP NLAN'!D41/ncoc+IF(SUMSQ('TS-PILE'!$E$56:$E$75)=0,0,'TO HOP NLAN'!E41*'TS-PILE'!$E$67/SUMSQ('TS-PILE'!$E$56:$E$75))+IF(SUMSQ('TS-PILE'!$D$56:$D$75)=0,0,'TO HOP NLAN'!F41*'TS-PILE'!$D$67/SUMSQ('TS-PILE'!$D$56:$D$75))),IF('TS-PILE'!$B$68="",-1E+99,'TO HOP NLAN'!D41/ncoc+IF(SUMSQ('TS-PILE'!$E$56:$E$75)=0,0,'TO HOP NLAN'!E41*'TS-PILE'!$E$68/SUMSQ('TS-PILE'!$E$56:$E$75))+IF(SUMSQ('TS-PILE'!$D$56:$D$75)=0,0,'TO HOP NLAN'!F41*'TS-PILE'!$D$68/SUMSQ('TS-PILE'!$D$56:$D$75))),IF('TS-PILE'!$B$69="",-1E+99,'TO HOP NLAN'!D41/ncoc+IF(SUMSQ('TS-PILE'!$E$56:$E$75)=0,0,'TO HOP NLAN'!E41*'TS-PILE'!$E$69/SUMSQ('TS-PILE'!$E$56:$E$75))+IF(SUMSQ('TS-PILE'!$D$56:$D$75)=0,0,'TO HOP NLAN'!F41*'TS-PILE'!$D$69/SUMSQ('TS-PILE'!$D$56:$D$75))),IF('TS-PILE'!$B$70="",-1E+99,'TO HOP NLAN'!D41/ncoc+IF(SUMSQ('TS-PILE'!$E$56:$E$75)=0,0,'TO HOP NLAN'!E41*'TS-PILE'!$E$70/SUMSQ('TS-PILE'!$E$56:$E$75))+IF(SUMSQ('TS-PILE'!$D$56:$D$75)=0,0,'TO HOP NLAN'!F41*'TS-PILE'!$D$70/SUMSQ('TS-PILE'!$D$56:$D$75))),IF('TS-PILE'!$B$71="",-1E+99,'TO HOP NLAN'!D41/ncoc+IF(SUMSQ('TS-PILE'!$E$56:$E$75)=0,0,'TO HOP NLAN'!E41*'TS-PILE'!$E$71/SUMSQ('TS-PILE'!$E$56:$E$75))+IF(SUMSQ('TS-PILE'!$D$56:$D$75)=0,0,'TO HOP NLAN'!F41*'TS-PILE'!$D$71/SUMSQ('TS-PILE'!$D$56:$D$75))),IF('TS-PILE'!$B$72="",-1E+99,'TO HOP NLAN'!D41/ncoc+IF(SUMSQ('TS-PILE'!$E$56:$E$75)=0,0,'TO HOP NLAN'!E41*'TS-PILE'!$E$72/SUMSQ('TS-PILE'!$E$56:$E$75))+IF(SUMSQ('TS-PILE'!$D$56:$D$75)=0,0,'TO HOP NLAN'!F41*'TS-PILE'!$D$72/SUMSQ('TS-PILE'!$D$56:$D$75))),IF('TS-PILE'!$B$73="",-1E+99,'TO HOP NLAN'!D41/ncoc+IF(SUMSQ('TS-PILE'!$E$56:$E$75)=0,0,'TO HOP NLAN'!E41*'TS-PILE'!$E$73/SUMSQ('TS-PILE'!$E$56:$E$75))+IF(SUMSQ('TS-PILE'!$D$56:$D$75)=0,0,'TO HOP NLAN'!F41*'TS-PILE'!$D$73/SUMSQ('TS-PILE'!$D$56:$D$75))),IF('TS-PILE'!$B$74="",-1E+99,'TO HOP NLAN'!D41/ncoc+IF(SUMSQ('TS-PILE'!$E$56:$E$75)=0,0,'TO HOP NLAN'!E41*'TS-PILE'!$E$74/SUMSQ('TS-PILE'!$E$56:$E$75))+IF(SUMSQ('TS-PILE'!$D$56:$D$75)=0,0,'TO HOP NLAN'!F41*'TS-PILE'!$D$74/SUMSQ('TS-PILE'!$D$56:$D$75))),IF('TS-PILE'!$B$75="",-1E+99,'TO HOP NLAN'!D41/ncoc+IF(SUMSQ('TS-PILE'!$E$56:$E$75)=0,0,'TO HOP NLAN'!E41*'TS-PILE'!$E$75/SUMSQ('TS-PILE'!$E$56:$E$75))+IF(SUMSQ('TS-PILE'!$D$56:$D$75)=0,0,'TO HOP NLAN'!F41*'TS-PILE'!$D$75/SUMSQ('TS-PILE'!$D$56:$D$75)))))</f>
        <v>0</v>
      </c>
      <c r="D41" s="46">
        <f>IF(A41="",0,MIN(IF('TS-PILE'!$B$56="",1E+99,'TO HOP NLAN'!D41/ncoc+IF(SUMSQ('TS-PILE'!$E$56:$E$75)=0,0,'TO HOP NLAN'!E41*'TS-PILE'!$E$56/SUMSQ('TS-PILE'!$E$56:$E$75))+IF(SUMSQ('TS-PILE'!$D$56:$D$75)=0,0,'TO HOP NLAN'!F41*'TS-PILE'!$D$56/SUMSQ('TS-PILE'!$D$56:$D$75))),IF('TS-PILE'!$B$57="",1E+99,'TO HOP NLAN'!D41/ncoc+IF(SUMSQ('TS-PILE'!$E$56:$E$75)=0,0,'TO HOP NLAN'!E41*'TS-PILE'!$E$57/SUMSQ('TS-PILE'!$E$56:$E$75))+IF(SUMSQ('TS-PILE'!$D$56:$D$75)=0,0,'TO HOP NLAN'!F41*'TS-PILE'!$D$57/SUMSQ('TS-PILE'!$D$56:$D$75))),IF('TS-PILE'!$B$58="",1E+99,'TO HOP NLAN'!D41/ncoc+IF(SUMSQ('TS-PILE'!$E$56:$E$75)=0,0,'TO HOP NLAN'!E41*'TS-PILE'!$E$58/SUMSQ('TS-PILE'!$E$56:$E$75))+IF(SUMSQ('TS-PILE'!$D$56:$D$75)=0,0,'TO HOP NLAN'!F41*'TS-PILE'!$D$58/SUMSQ('TS-PILE'!$D$56:$D$75))),IF('TS-PILE'!$B$59="",1E+99,'TO HOP NLAN'!D41/ncoc+IF(SUMSQ('TS-PILE'!$E$56:$E$75)=0,0,'TO HOP NLAN'!E41*'TS-PILE'!$E$59/SUMSQ('TS-PILE'!$E$56:$E$75))+IF(SUMSQ('TS-PILE'!$D$56:$D$75)=0,0,'TO HOP NLAN'!F41*'TS-PILE'!$D$59/SUMSQ('TS-PILE'!$D$56:$D$75))),IF('TS-PILE'!$B$60="",1E+99,'TO HOP NLAN'!D41/ncoc+IF(SUMSQ('TS-PILE'!$E$56:$E$75)=0,0,'TO HOP NLAN'!E41*'TS-PILE'!$E$60/SUMSQ('TS-PILE'!$E$56:$E$75))+IF(SUMSQ('TS-PILE'!$D$56:$D$75)=0,0,'TO HOP NLAN'!F41*'TS-PILE'!$D$60/SUMSQ('TS-PILE'!$D$56:$D$75))),IF('TS-PILE'!$B$61="",1E+99,'TO HOP NLAN'!D41/ncoc+IF(SUMSQ('TS-PILE'!$E$56:$E$75)=0,0,'TO HOP NLAN'!E41*'TS-PILE'!$E$61/SUMSQ('TS-PILE'!$E$56:$E$75))+IF(SUMSQ('TS-PILE'!$D$56:$D$75)=0,0,'TO HOP NLAN'!F41*'TS-PILE'!$D$61/SUMSQ('TS-PILE'!$D$56:$D$75))),IF('TS-PILE'!$B$62="",1E+99,'TO HOP NLAN'!D41/ncoc+IF(SUMSQ('TS-PILE'!$E$56:$E$75)=0,0,'TO HOP NLAN'!E41*'TS-PILE'!$E$62/SUMSQ('TS-PILE'!$E$56:$E$75))+IF(SUMSQ('TS-PILE'!$D$56:$D$75)=0,0,'TO HOP NLAN'!F41*'TS-PILE'!$D$62/SUMSQ('TS-PILE'!$D$56:$D$75))),IF('TS-PILE'!$B$63="",1E+99,'TO HOP NLAN'!D41/ncoc+IF(SUMSQ('TS-PILE'!$E$56:$E$75)=0,0,'TO HOP NLAN'!E41*'TS-PILE'!$E$63/SUMSQ('TS-PILE'!$E$56:$E$75))+IF(SUMSQ('TS-PILE'!$D$56:$D$75)=0,0,'TO HOP NLAN'!F41*'TS-PILE'!$D$63/SUMSQ('TS-PILE'!$D$56:$D$75))),IF('TS-PILE'!$B$64="",1E+99,'TO HOP NLAN'!D41/ncoc+IF(SUMSQ('TS-PILE'!$E$56:$E$75)=0,0,'TO HOP NLAN'!E41*'TS-PILE'!$E$64/SUMSQ('TS-PILE'!$E$56:$E$75))+IF(SUMSQ('TS-PILE'!$D$56:$D$75)=0,0,'TO HOP NLAN'!F41*'TS-PILE'!$D$64/SUMSQ('TS-PILE'!$D$56:$D$75))),IF('TS-PILE'!$B$65="",1E+99,'TO HOP NLAN'!D41/ncoc+IF(SUMSQ('TS-PILE'!$E$56:$E$75)=0,0,'TO HOP NLAN'!E41*'TS-PILE'!$E$65/SUMSQ('TS-PILE'!$E$56:$E$75))+IF(SUMSQ('TS-PILE'!$D$56:$D$75)=0,0,'TO HOP NLAN'!F41*'TS-PILE'!$D$65/SUMSQ('TS-PILE'!$D$56:$D$75))),IF('TS-PILE'!$B$66="",1E+99,'TO HOP NLAN'!D41/ncoc+IF(SUMSQ('TS-PILE'!$E$56:$E$75)=0,0,'TO HOP NLAN'!E41*'TS-PILE'!$E$66/SUMSQ('TS-PILE'!$E$56:$E$75))+IF(SUMSQ('TS-PILE'!$D$56:$D$75)=0,0,'TO HOP NLAN'!F41*'TS-PILE'!$D$66/SUMSQ('TS-PILE'!$D$56:$D$75))),IF('TS-PILE'!$B$67="",1E+99,'TO HOP NLAN'!D41/ncoc+IF(SUMSQ('TS-PILE'!$E$56:$E$75)=0,0,'TO HOP NLAN'!E41*'TS-PILE'!$E$67/SUMSQ('TS-PILE'!$E$56:$E$75))+IF(SUMSQ('TS-PILE'!$D$56:$D$75)=0,0,'TO HOP NLAN'!F41*'TS-PILE'!$D$67/SUMSQ('TS-PILE'!$D$56:$D$75))),IF('TS-PILE'!$B$68="",1E+99,'TO HOP NLAN'!D41/ncoc+IF(SUMSQ('TS-PILE'!$E$56:$E$75)=0,0,'TO HOP NLAN'!E41*'TS-PILE'!$E$68/SUMSQ('TS-PILE'!$E$56:$E$75))+IF(SUMSQ('TS-PILE'!$D$56:$D$75)=0,0,'TO HOP NLAN'!F41*'TS-PILE'!$D$68/SUMSQ('TS-PILE'!$D$56:$D$75))),IF('TS-PILE'!$B$69="",1E+99,'TO HOP NLAN'!D41/ncoc+IF(SUMSQ('TS-PILE'!$E$56:$E$75)=0,0,'TO HOP NLAN'!E41*'TS-PILE'!$E$69/SUMSQ('TS-PILE'!$E$56:$E$75))+IF(SUMSQ('TS-PILE'!$D$56:$D$75)=0,0,'TO HOP NLAN'!F41*'TS-PILE'!$D$69/SUMSQ('TS-PILE'!$D$56:$D$75))),IF('TS-PILE'!$B$70="",1E+99,'TO HOP NLAN'!D41/ncoc+IF(SUMSQ('TS-PILE'!$E$56:$E$75)=0,0,'TO HOP NLAN'!E41*'TS-PILE'!$E$70/SUMSQ('TS-PILE'!$E$56:$E$75))+IF(SUMSQ('TS-PILE'!$D$56:$D$75)=0,0,'TO HOP NLAN'!F41*'TS-PILE'!$D$70/SUMSQ('TS-PILE'!$D$56:$D$75))),IF('TS-PILE'!$B$71="",1E+99,'TO HOP NLAN'!D41/ncoc+IF(SUMSQ('TS-PILE'!$E$56:$E$75)=0,0,'TO HOP NLAN'!E41*'TS-PILE'!$E$71/SUMSQ('TS-PILE'!$E$56:$E$75))+IF(SUMSQ('TS-PILE'!$D$56:$D$75)=0,0,'TO HOP NLAN'!F41*'TS-PILE'!$D$71/SUMSQ('TS-PILE'!$D$56:$D$75))),IF('TS-PILE'!$B$72="",1E+99,'TO HOP NLAN'!D41/ncoc+IF(SUMSQ('TS-PILE'!$E$56:$E$75)=0,0,'TO HOP NLAN'!E41*'TS-PILE'!$E$72/SUMSQ('TS-PILE'!$E$56:$E$75))+IF(SUMSQ('TS-PILE'!$D$56:$D$75)=0,0,'TO HOP NLAN'!F41*'TS-PILE'!$D$72/SUMSQ('TS-PILE'!$D$56:$D$75))),IF('TS-PILE'!$B$73="",1E+99,'TO HOP NLAN'!D41/ncoc+IF(SUMSQ('TS-PILE'!$E$56:$E$75)=0,0,'TO HOP NLAN'!E41*'TS-PILE'!$E$73/SUMSQ('TS-PILE'!$E$56:$E$75))+IF(SUMSQ('TS-PILE'!$D$56:$D$75)=0,0,'TO HOP NLAN'!F41*'TS-PILE'!$D$73/SUMSQ('TS-PILE'!$D$56:$D$75))),IF('TS-PILE'!$B$74="",1E+99,'TO HOP NLAN'!D41/ncoc+IF(SUMSQ('TS-PILE'!$E$56:$E$75)=0,0,'TO HOP NLAN'!E41*'TS-PILE'!$E$74/SUMSQ('TS-PILE'!$E$56:$E$75))+IF(SUMSQ('TS-PILE'!$D$56:$D$75)=0,0,'TO HOP NLAN'!F41*'TS-PILE'!$D$74/SUMSQ('TS-PILE'!$D$56:$D$75))),IF('TS-PILE'!$B$75="",1E+99,'TO HOP NLAN'!D41/ncoc+IF(SUMSQ('TS-PILE'!$E$56:$E$75)=0,0,'TO HOP NLAN'!E41*'TS-PILE'!$E$75/SUMSQ('TS-PILE'!$E$56:$E$75))+IF(SUMSQ('TS-PILE'!$D$56:$D$75)=0,0,'TO HOP NLAN'!F41*'TS-PILE'!$D$75/SUMSQ('TS-PILE'!$D$56:$D$75)))))</f>
        <v>0</v>
      </c>
      <c r="E41" s="46">
        <f t="shared" si="0"/>
        <v>-9.9999999999999997E+98</v>
      </c>
      <c r="F41" s="46">
        <f t="shared" si="1"/>
        <v>9.9999999999999997E+98</v>
      </c>
      <c r="G41" s="46">
        <f t="shared" si="2"/>
        <v>-9.9999999999999997E+98</v>
      </c>
      <c r="H41" s="46">
        <f t="shared" si="3"/>
        <v>9.9999999999999997E+98</v>
      </c>
    </row>
    <row r="42" spans="1:8" x14ac:dyDescent="0.3">
      <c r="A42" s="40" t="str">
        <f>'TO HOP NLAN'!A42</f>
        <v/>
      </c>
      <c r="B42" s="40" t="str">
        <f>'TO HOP NLAN'!L42</f>
        <v>SERVICE</v>
      </c>
      <c r="C42" s="46">
        <f>IF(A42="",0,MAX(IF('TS-PILE'!$B$56="",-1E+99,'TO HOP NLAN'!D42/ncoc+IF(SUMSQ('TS-PILE'!$E$56:$E$75)=0,0,'TO HOP NLAN'!E42*'TS-PILE'!$E$56/SUMSQ('TS-PILE'!$E$56:$E$75))+IF(SUMSQ('TS-PILE'!$D$56:$D$75)=0,0,'TO HOP NLAN'!F42*'TS-PILE'!$D$56/SUMSQ('TS-PILE'!$D$56:$D$75))),IF('TS-PILE'!$B$57="",-1E+99,'TO HOP NLAN'!D42/ncoc+IF(SUMSQ('TS-PILE'!$E$56:$E$75)=0,0,'TO HOP NLAN'!E42*'TS-PILE'!$E$57/SUMSQ('TS-PILE'!$E$56:$E$75))+IF(SUMSQ('TS-PILE'!$D$56:$D$75)=0,0,'TO HOP NLAN'!F42*'TS-PILE'!$D$57/SUMSQ('TS-PILE'!$D$56:$D$75))),IF('TS-PILE'!$B$58="",-1E+99,'TO HOP NLAN'!D42/ncoc+IF(SUMSQ('TS-PILE'!$E$56:$E$75)=0,0,'TO HOP NLAN'!E42*'TS-PILE'!$E$58/SUMSQ('TS-PILE'!$E$56:$E$75))+IF(SUMSQ('TS-PILE'!$D$56:$D$75)=0,0,'TO HOP NLAN'!F42*'TS-PILE'!$D$58/SUMSQ('TS-PILE'!$D$56:$D$75))),IF('TS-PILE'!$B$59="",-1E+99,'TO HOP NLAN'!D42/ncoc+IF(SUMSQ('TS-PILE'!$E$56:$E$75)=0,0,'TO HOP NLAN'!E42*'TS-PILE'!$E$59/SUMSQ('TS-PILE'!$E$56:$E$75))+IF(SUMSQ('TS-PILE'!$D$56:$D$75)=0,0,'TO HOP NLAN'!F42*'TS-PILE'!$D$59/SUMSQ('TS-PILE'!$D$56:$D$75))),IF('TS-PILE'!$B$60="",-1E+99,'TO HOP NLAN'!D42/ncoc+IF(SUMSQ('TS-PILE'!$E$56:$E$75)=0,0,'TO HOP NLAN'!E42*'TS-PILE'!$E$60/SUMSQ('TS-PILE'!$E$56:$E$75))+IF(SUMSQ('TS-PILE'!$D$56:$D$75)=0,0,'TO HOP NLAN'!F42*'TS-PILE'!$D$60/SUMSQ('TS-PILE'!$D$56:$D$75))),IF('TS-PILE'!$B$61="",-1E+99,'TO HOP NLAN'!D42/ncoc+IF(SUMSQ('TS-PILE'!$E$56:$E$75)=0,0,'TO HOP NLAN'!E42*'TS-PILE'!$E$61/SUMSQ('TS-PILE'!$E$56:$E$75))+IF(SUMSQ('TS-PILE'!$D$56:$D$75)=0,0,'TO HOP NLAN'!F42*'TS-PILE'!$D$61/SUMSQ('TS-PILE'!$D$56:$D$75))),IF('TS-PILE'!$B$62="",-1E+99,'TO HOP NLAN'!D42/ncoc+IF(SUMSQ('TS-PILE'!$E$56:$E$75)=0,0,'TO HOP NLAN'!E42*'TS-PILE'!$E$62/SUMSQ('TS-PILE'!$E$56:$E$75))+IF(SUMSQ('TS-PILE'!$D$56:$D$75)=0,0,'TO HOP NLAN'!F42*'TS-PILE'!$D$62/SUMSQ('TS-PILE'!$D$56:$D$75))),IF('TS-PILE'!$B$63="",-1E+99,'TO HOP NLAN'!D42/ncoc+IF(SUMSQ('TS-PILE'!$E$56:$E$75)=0,0,'TO HOP NLAN'!E42*'TS-PILE'!$E$63/SUMSQ('TS-PILE'!$E$56:$E$75))+IF(SUMSQ('TS-PILE'!$D$56:$D$75)=0,0,'TO HOP NLAN'!F42*'TS-PILE'!$D$63/SUMSQ('TS-PILE'!$D$56:$D$75))),IF('TS-PILE'!$B$64="",-1E+99,'TO HOP NLAN'!D42/ncoc+IF(SUMSQ('TS-PILE'!$E$56:$E$75)=0,0,'TO HOP NLAN'!E42*'TS-PILE'!$E$64/SUMSQ('TS-PILE'!$E$56:$E$75))+IF(SUMSQ('TS-PILE'!$D$56:$D$75)=0,0,'TO HOP NLAN'!F42*'TS-PILE'!$D$64/SUMSQ('TS-PILE'!$D$56:$D$75))),IF('TS-PILE'!$B$65="",-1E+99,'TO HOP NLAN'!D42/ncoc+IF(SUMSQ('TS-PILE'!$E$56:$E$75)=0,0,'TO HOP NLAN'!E42*'TS-PILE'!$E$65/SUMSQ('TS-PILE'!$E$56:$E$75))+IF(SUMSQ('TS-PILE'!$D$56:$D$75)=0,0,'TO HOP NLAN'!F42*'TS-PILE'!$D$65/SUMSQ('TS-PILE'!$D$56:$D$75))),IF('TS-PILE'!$B$66="",-1E+99,'TO HOP NLAN'!D42/ncoc+IF(SUMSQ('TS-PILE'!$E$56:$E$75)=0,0,'TO HOP NLAN'!E42*'TS-PILE'!$E$66/SUMSQ('TS-PILE'!$E$56:$E$75))+IF(SUMSQ('TS-PILE'!$D$56:$D$75)=0,0,'TO HOP NLAN'!F42*'TS-PILE'!$D$66/SUMSQ('TS-PILE'!$D$56:$D$75))),IF('TS-PILE'!$B$67="",-1E+99,'TO HOP NLAN'!D42/ncoc+IF(SUMSQ('TS-PILE'!$E$56:$E$75)=0,0,'TO HOP NLAN'!E42*'TS-PILE'!$E$67/SUMSQ('TS-PILE'!$E$56:$E$75))+IF(SUMSQ('TS-PILE'!$D$56:$D$75)=0,0,'TO HOP NLAN'!F42*'TS-PILE'!$D$67/SUMSQ('TS-PILE'!$D$56:$D$75))),IF('TS-PILE'!$B$68="",-1E+99,'TO HOP NLAN'!D42/ncoc+IF(SUMSQ('TS-PILE'!$E$56:$E$75)=0,0,'TO HOP NLAN'!E42*'TS-PILE'!$E$68/SUMSQ('TS-PILE'!$E$56:$E$75))+IF(SUMSQ('TS-PILE'!$D$56:$D$75)=0,0,'TO HOP NLAN'!F42*'TS-PILE'!$D$68/SUMSQ('TS-PILE'!$D$56:$D$75))),IF('TS-PILE'!$B$69="",-1E+99,'TO HOP NLAN'!D42/ncoc+IF(SUMSQ('TS-PILE'!$E$56:$E$75)=0,0,'TO HOP NLAN'!E42*'TS-PILE'!$E$69/SUMSQ('TS-PILE'!$E$56:$E$75))+IF(SUMSQ('TS-PILE'!$D$56:$D$75)=0,0,'TO HOP NLAN'!F42*'TS-PILE'!$D$69/SUMSQ('TS-PILE'!$D$56:$D$75))),IF('TS-PILE'!$B$70="",-1E+99,'TO HOP NLAN'!D42/ncoc+IF(SUMSQ('TS-PILE'!$E$56:$E$75)=0,0,'TO HOP NLAN'!E42*'TS-PILE'!$E$70/SUMSQ('TS-PILE'!$E$56:$E$75))+IF(SUMSQ('TS-PILE'!$D$56:$D$75)=0,0,'TO HOP NLAN'!F42*'TS-PILE'!$D$70/SUMSQ('TS-PILE'!$D$56:$D$75))),IF('TS-PILE'!$B$71="",-1E+99,'TO HOP NLAN'!D42/ncoc+IF(SUMSQ('TS-PILE'!$E$56:$E$75)=0,0,'TO HOP NLAN'!E42*'TS-PILE'!$E$71/SUMSQ('TS-PILE'!$E$56:$E$75))+IF(SUMSQ('TS-PILE'!$D$56:$D$75)=0,0,'TO HOP NLAN'!F42*'TS-PILE'!$D$71/SUMSQ('TS-PILE'!$D$56:$D$75))),IF('TS-PILE'!$B$72="",-1E+99,'TO HOP NLAN'!D42/ncoc+IF(SUMSQ('TS-PILE'!$E$56:$E$75)=0,0,'TO HOP NLAN'!E42*'TS-PILE'!$E$72/SUMSQ('TS-PILE'!$E$56:$E$75))+IF(SUMSQ('TS-PILE'!$D$56:$D$75)=0,0,'TO HOP NLAN'!F42*'TS-PILE'!$D$72/SUMSQ('TS-PILE'!$D$56:$D$75))),IF('TS-PILE'!$B$73="",-1E+99,'TO HOP NLAN'!D42/ncoc+IF(SUMSQ('TS-PILE'!$E$56:$E$75)=0,0,'TO HOP NLAN'!E42*'TS-PILE'!$E$73/SUMSQ('TS-PILE'!$E$56:$E$75))+IF(SUMSQ('TS-PILE'!$D$56:$D$75)=0,0,'TO HOP NLAN'!F42*'TS-PILE'!$D$73/SUMSQ('TS-PILE'!$D$56:$D$75))),IF('TS-PILE'!$B$74="",-1E+99,'TO HOP NLAN'!D42/ncoc+IF(SUMSQ('TS-PILE'!$E$56:$E$75)=0,0,'TO HOP NLAN'!E42*'TS-PILE'!$E$74/SUMSQ('TS-PILE'!$E$56:$E$75))+IF(SUMSQ('TS-PILE'!$D$56:$D$75)=0,0,'TO HOP NLAN'!F42*'TS-PILE'!$D$74/SUMSQ('TS-PILE'!$D$56:$D$75))),IF('TS-PILE'!$B$75="",-1E+99,'TO HOP NLAN'!D42/ncoc+IF(SUMSQ('TS-PILE'!$E$56:$E$75)=0,0,'TO HOP NLAN'!E42*'TS-PILE'!$E$75/SUMSQ('TS-PILE'!$E$56:$E$75))+IF(SUMSQ('TS-PILE'!$D$56:$D$75)=0,0,'TO HOP NLAN'!F42*'TS-PILE'!$D$75/SUMSQ('TS-PILE'!$D$56:$D$75)))))</f>
        <v>0</v>
      </c>
      <c r="D42" s="46">
        <f>IF(A42="",0,MIN(IF('TS-PILE'!$B$56="",1E+99,'TO HOP NLAN'!D42/ncoc+IF(SUMSQ('TS-PILE'!$E$56:$E$75)=0,0,'TO HOP NLAN'!E42*'TS-PILE'!$E$56/SUMSQ('TS-PILE'!$E$56:$E$75))+IF(SUMSQ('TS-PILE'!$D$56:$D$75)=0,0,'TO HOP NLAN'!F42*'TS-PILE'!$D$56/SUMSQ('TS-PILE'!$D$56:$D$75))),IF('TS-PILE'!$B$57="",1E+99,'TO HOP NLAN'!D42/ncoc+IF(SUMSQ('TS-PILE'!$E$56:$E$75)=0,0,'TO HOP NLAN'!E42*'TS-PILE'!$E$57/SUMSQ('TS-PILE'!$E$56:$E$75))+IF(SUMSQ('TS-PILE'!$D$56:$D$75)=0,0,'TO HOP NLAN'!F42*'TS-PILE'!$D$57/SUMSQ('TS-PILE'!$D$56:$D$75))),IF('TS-PILE'!$B$58="",1E+99,'TO HOP NLAN'!D42/ncoc+IF(SUMSQ('TS-PILE'!$E$56:$E$75)=0,0,'TO HOP NLAN'!E42*'TS-PILE'!$E$58/SUMSQ('TS-PILE'!$E$56:$E$75))+IF(SUMSQ('TS-PILE'!$D$56:$D$75)=0,0,'TO HOP NLAN'!F42*'TS-PILE'!$D$58/SUMSQ('TS-PILE'!$D$56:$D$75))),IF('TS-PILE'!$B$59="",1E+99,'TO HOP NLAN'!D42/ncoc+IF(SUMSQ('TS-PILE'!$E$56:$E$75)=0,0,'TO HOP NLAN'!E42*'TS-PILE'!$E$59/SUMSQ('TS-PILE'!$E$56:$E$75))+IF(SUMSQ('TS-PILE'!$D$56:$D$75)=0,0,'TO HOP NLAN'!F42*'TS-PILE'!$D$59/SUMSQ('TS-PILE'!$D$56:$D$75))),IF('TS-PILE'!$B$60="",1E+99,'TO HOP NLAN'!D42/ncoc+IF(SUMSQ('TS-PILE'!$E$56:$E$75)=0,0,'TO HOP NLAN'!E42*'TS-PILE'!$E$60/SUMSQ('TS-PILE'!$E$56:$E$75))+IF(SUMSQ('TS-PILE'!$D$56:$D$75)=0,0,'TO HOP NLAN'!F42*'TS-PILE'!$D$60/SUMSQ('TS-PILE'!$D$56:$D$75))),IF('TS-PILE'!$B$61="",1E+99,'TO HOP NLAN'!D42/ncoc+IF(SUMSQ('TS-PILE'!$E$56:$E$75)=0,0,'TO HOP NLAN'!E42*'TS-PILE'!$E$61/SUMSQ('TS-PILE'!$E$56:$E$75))+IF(SUMSQ('TS-PILE'!$D$56:$D$75)=0,0,'TO HOP NLAN'!F42*'TS-PILE'!$D$61/SUMSQ('TS-PILE'!$D$56:$D$75))),IF('TS-PILE'!$B$62="",1E+99,'TO HOP NLAN'!D42/ncoc+IF(SUMSQ('TS-PILE'!$E$56:$E$75)=0,0,'TO HOP NLAN'!E42*'TS-PILE'!$E$62/SUMSQ('TS-PILE'!$E$56:$E$75))+IF(SUMSQ('TS-PILE'!$D$56:$D$75)=0,0,'TO HOP NLAN'!F42*'TS-PILE'!$D$62/SUMSQ('TS-PILE'!$D$56:$D$75))),IF('TS-PILE'!$B$63="",1E+99,'TO HOP NLAN'!D42/ncoc+IF(SUMSQ('TS-PILE'!$E$56:$E$75)=0,0,'TO HOP NLAN'!E42*'TS-PILE'!$E$63/SUMSQ('TS-PILE'!$E$56:$E$75))+IF(SUMSQ('TS-PILE'!$D$56:$D$75)=0,0,'TO HOP NLAN'!F42*'TS-PILE'!$D$63/SUMSQ('TS-PILE'!$D$56:$D$75))),IF('TS-PILE'!$B$64="",1E+99,'TO HOP NLAN'!D42/ncoc+IF(SUMSQ('TS-PILE'!$E$56:$E$75)=0,0,'TO HOP NLAN'!E42*'TS-PILE'!$E$64/SUMSQ('TS-PILE'!$E$56:$E$75))+IF(SUMSQ('TS-PILE'!$D$56:$D$75)=0,0,'TO HOP NLAN'!F42*'TS-PILE'!$D$64/SUMSQ('TS-PILE'!$D$56:$D$75))),IF('TS-PILE'!$B$65="",1E+99,'TO HOP NLAN'!D42/ncoc+IF(SUMSQ('TS-PILE'!$E$56:$E$75)=0,0,'TO HOP NLAN'!E42*'TS-PILE'!$E$65/SUMSQ('TS-PILE'!$E$56:$E$75))+IF(SUMSQ('TS-PILE'!$D$56:$D$75)=0,0,'TO HOP NLAN'!F42*'TS-PILE'!$D$65/SUMSQ('TS-PILE'!$D$56:$D$75))),IF('TS-PILE'!$B$66="",1E+99,'TO HOP NLAN'!D42/ncoc+IF(SUMSQ('TS-PILE'!$E$56:$E$75)=0,0,'TO HOP NLAN'!E42*'TS-PILE'!$E$66/SUMSQ('TS-PILE'!$E$56:$E$75))+IF(SUMSQ('TS-PILE'!$D$56:$D$75)=0,0,'TO HOP NLAN'!F42*'TS-PILE'!$D$66/SUMSQ('TS-PILE'!$D$56:$D$75))),IF('TS-PILE'!$B$67="",1E+99,'TO HOP NLAN'!D42/ncoc+IF(SUMSQ('TS-PILE'!$E$56:$E$75)=0,0,'TO HOP NLAN'!E42*'TS-PILE'!$E$67/SUMSQ('TS-PILE'!$E$56:$E$75))+IF(SUMSQ('TS-PILE'!$D$56:$D$75)=0,0,'TO HOP NLAN'!F42*'TS-PILE'!$D$67/SUMSQ('TS-PILE'!$D$56:$D$75))),IF('TS-PILE'!$B$68="",1E+99,'TO HOP NLAN'!D42/ncoc+IF(SUMSQ('TS-PILE'!$E$56:$E$75)=0,0,'TO HOP NLAN'!E42*'TS-PILE'!$E$68/SUMSQ('TS-PILE'!$E$56:$E$75))+IF(SUMSQ('TS-PILE'!$D$56:$D$75)=0,0,'TO HOP NLAN'!F42*'TS-PILE'!$D$68/SUMSQ('TS-PILE'!$D$56:$D$75))),IF('TS-PILE'!$B$69="",1E+99,'TO HOP NLAN'!D42/ncoc+IF(SUMSQ('TS-PILE'!$E$56:$E$75)=0,0,'TO HOP NLAN'!E42*'TS-PILE'!$E$69/SUMSQ('TS-PILE'!$E$56:$E$75))+IF(SUMSQ('TS-PILE'!$D$56:$D$75)=0,0,'TO HOP NLAN'!F42*'TS-PILE'!$D$69/SUMSQ('TS-PILE'!$D$56:$D$75))),IF('TS-PILE'!$B$70="",1E+99,'TO HOP NLAN'!D42/ncoc+IF(SUMSQ('TS-PILE'!$E$56:$E$75)=0,0,'TO HOP NLAN'!E42*'TS-PILE'!$E$70/SUMSQ('TS-PILE'!$E$56:$E$75))+IF(SUMSQ('TS-PILE'!$D$56:$D$75)=0,0,'TO HOP NLAN'!F42*'TS-PILE'!$D$70/SUMSQ('TS-PILE'!$D$56:$D$75))),IF('TS-PILE'!$B$71="",1E+99,'TO HOP NLAN'!D42/ncoc+IF(SUMSQ('TS-PILE'!$E$56:$E$75)=0,0,'TO HOP NLAN'!E42*'TS-PILE'!$E$71/SUMSQ('TS-PILE'!$E$56:$E$75))+IF(SUMSQ('TS-PILE'!$D$56:$D$75)=0,0,'TO HOP NLAN'!F42*'TS-PILE'!$D$71/SUMSQ('TS-PILE'!$D$56:$D$75))),IF('TS-PILE'!$B$72="",1E+99,'TO HOP NLAN'!D42/ncoc+IF(SUMSQ('TS-PILE'!$E$56:$E$75)=0,0,'TO HOP NLAN'!E42*'TS-PILE'!$E$72/SUMSQ('TS-PILE'!$E$56:$E$75))+IF(SUMSQ('TS-PILE'!$D$56:$D$75)=0,0,'TO HOP NLAN'!F42*'TS-PILE'!$D$72/SUMSQ('TS-PILE'!$D$56:$D$75))),IF('TS-PILE'!$B$73="",1E+99,'TO HOP NLAN'!D42/ncoc+IF(SUMSQ('TS-PILE'!$E$56:$E$75)=0,0,'TO HOP NLAN'!E42*'TS-PILE'!$E$73/SUMSQ('TS-PILE'!$E$56:$E$75))+IF(SUMSQ('TS-PILE'!$D$56:$D$75)=0,0,'TO HOP NLAN'!F42*'TS-PILE'!$D$73/SUMSQ('TS-PILE'!$D$56:$D$75))),IF('TS-PILE'!$B$74="",1E+99,'TO HOP NLAN'!D42/ncoc+IF(SUMSQ('TS-PILE'!$E$56:$E$75)=0,0,'TO HOP NLAN'!E42*'TS-PILE'!$E$74/SUMSQ('TS-PILE'!$E$56:$E$75))+IF(SUMSQ('TS-PILE'!$D$56:$D$75)=0,0,'TO HOP NLAN'!F42*'TS-PILE'!$D$74/SUMSQ('TS-PILE'!$D$56:$D$75))),IF('TS-PILE'!$B$75="",1E+99,'TO HOP NLAN'!D42/ncoc+IF(SUMSQ('TS-PILE'!$E$56:$E$75)=0,0,'TO HOP NLAN'!E42*'TS-PILE'!$E$75/SUMSQ('TS-PILE'!$E$56:$E$75))+IF(SUMSQ('TS-PILE'!$D$56:$D$75)=0,0,'TO HOP NLAN'!F42*'TS-PILE'!$D$75/SUMSQ('TS-PILE'!$D$56:$D$75)))))</f>
        <v>0</v>
      </c>
      <c r="E42" s="46">
        <f t="shared" si="0"/>
        <v>-9.9999999999999997E+98</v>
      </c>
      <c r="F42" s="46">
        <f t="shared" si="1"/>
        <v>9.9999999999999997E+98</v>
      </c>
      <c r="G42" s="46">
        <f t="shared" si="2"/>
        <v>-9.9999999999999997E+98</v>
      </c>
      <c r="H42" s="46">
        <f t="shared" si="3"/>
        <v>9.9999999999999997E+98</v>
      </c>
    </row>
    <row r="43" spans="1:8" x14ac:dyDescent="0.3">
      <c r="A43" s="40" t="str">
        <f>'TO HOP NLAN'!A43</f>
        <v/>
      </c>
      <c r="B43" s="40" t="str">
        <f>'TO HOP NLAN'!L43</f>
        <v>SERVICE</v>
      </c>
      <c r="C43" s="46">
        <f>IF(A43="",0,MAX(IF('TS-PILE'!$B$56="",-1E+99,'TO HOP NLAN'!D43/ncoc+IF(SUMSQ('TS-PILE'!$E$56:$E$75)=0,0,'TO HOP NLAN'!E43*'TS-PILE'!$E$56/SUMSQ('TS-PILE'!$E$56:$E$75))+IF(SUMSQ('TS-PILE'!$D$56:$D$75)=0,0,'TO HOP NLAN'!F43*'TS-PILE'!$D$56/SUMSQ('TS-PILE'!$D$56:$D$75))),IF('TS-PILE'!$B$57="",-1E+99,'TO HOP NLAN'!D43/ncoc+IF(SUMSQ('TS-PILE'!$E$56:$E$75)=0,0,'TO HOP NLAN'!E43*'TS-PILE'!$E$57/SUMSQ('TS-PILE'!$E$56:$E$75))+IF(SUMSQ('TS-PILE'!$D$56:$D$75)=0,0,'TO HOP NLAN'!F43*'TS-PILE'!$D$57/SUMSQ('TS-PILE'!$D$56:$D$75))),IF('TS-PILE'!$B$58="",-1E+99,'TO HOP NLAN'!D43/ncoc+IF(SUMSQ('TS-PILE'!$E$56:$E$75)=0,0,'TO HOP NLAN'!E43*'TS-PILE'!$E$58/SUMSQ('TS-PILE'!$E$56:$E$75))+IF(SUMSQ('TS-PILE'!$D$56:$D$75)=0,0,'TO HOP NLAN'!F43*'TS-PILE'!$D$58/SUMSQ('TS-PILE'!$D$56:$D$75))),IF('TS-PILE'!$B$59="",-1E+99,'TO HOP NLAN'!D43/ncoc+IF(SUMSQ('TS-PILE'!$E$56:$E$75)=0,0,'TO HOP NLAN'!E43*'TS-PILE'!$E$59/SUMSQ('TS-PILE'!$E$56:$E$75))+IF(SUMSQ('TS-PILE'!$D$56:$D$75)=0,0,'TO HOP NLAN'!F43*'TS-PILE'!$D$59/SUMSQ('TS-PILE'!$D$56:$D$75))),IF('TS-PILE'!$B$60="",-1E+99,'TO HOP NLAN'!D43/ncoc+IF(SUMSQ('TS-PILE'!$E$56:$E$75)=0,0,'TO HOP NLAN'!E43*'TS-PILE'!$E$60/SUMSQ('TS-PILE'!$E$56:$E$75))+IF(SUMSQ('TS-PILE'!$D$56:$D$75)=0,0,'TO HOP NLAN'!F43*'TS-PILE'!$D$60/SUMSQ('TS-PILE'!$D$56:$D$75))),IF('TS-PILE'!$B$61="",-1E+99,'TO HOP NLAN'!D43/ncoc+IF(SUMSQ('TS-PILE'!$E$56:$E$75)=0,0,'TO HOP NLAN'!E43*'TS-PILE'!$E$61/SUMSQ('TS-PILE'!$E$56:$E$75))+IF(SUMSQ('TS-PILE'!$D$56:$D$75)=0,0,'TO HOP NLAN'!F43*'TS-PILE'!$D$61/SUMSQ('TS-PILE'!$D$56:$D$75))),IF('TS-PILE'!$B$62="",-1E+99,'TO HOP NLAN'!D43/ncoc+IF(SUMSQ('TS-PILE'!$E$56:$E$75)=0,0,'TO HOP NLAN'!E43*'TS-PILE'!$E$62/SUMSQ('TS-PILE'!$E$56:$E$75))+IF(SUMSQ('TS-PILE'!$D$56:$D$75)=0,0,'TO HOP NLAN'!F43*'TS-PILE'!$D$62/SUMSQ('TS-PILE'!$D$56:$D$75))),IF('TS-PILE'!$B$63="",-1E+99,'TO HOP NLAN'!D43/ncoc+IF(SUMSQ('TS-PILE'!$E$56:$E$75)=0,0,'TO HOP NLAN'!E43*'TS-PILE'!$E$63/SUMSQ('TS-PILE'!$E$56:$E$75))+IF(SUMSQ('TS-PILE'!$D$56:$D$75)=0,0,'TO HOP NLAN'!F43*'TS-PILE'!$D$63/SUMSQ('TS-PILE'!$D$56:$D$75))),IF('TS-PILE'!$B$64="",-1E+99,'TO HOP NLAN'!D43/ncoc+IF(SUMSQ('TS-PILE'!$E$56:$E$75)=0,0,'TO HOP NLAN'!E43*'TS-PILE'!$E$64/SUMSQ('TS-PILE'!$E$56:$E$75))+IF(SUMSQ('TS-PILE'!$D$56:$D$75)=0,0,'TO HOP NLAN'!F43*'TS-PILE'!$D$64/SUMSQ('TS-PILE'!$D$56:$D$75))),IF('TS-PILE'!$B$65="",-1E+99,'TO HOP NLAN'!D43/ncoc+IF(SUMSQ('TS-PILE'!$E$56:$E$75)=0,0,'TO HOP NLAN'!E43*'TS-PILE'!$E$65/SUMSQ('TS-PILE'!$E$56:$E$75))+IF(SUMSQ('TS-PILE'!$D$56:$D$75)=0,0,'TO HOP NLAN'!F43*'TS-PILE'!$D$65/SUMSQ('TS-PILE'!$D$56:$D$75))),IF('TS-PILE'!$B$66="",-1E+99,'TO HOP NLAN'!D43/ncoc+IF(SUMSQ('TS-PILE'!$E$56:$E$75)=0,0,'TO HOP NLAN'!E43*'TS-PILE'!$E$66/SUMSQ('TS-PILE'!$E$56:$E$75))+IF(SUMSQ('TS-PILE'!$D$56:$D$75)=0,0,'TO HOP NLAN'!F43*'TS-PILE'!$D$66/SUMSQ('TS-PILE'!$D$56:$D$75))),IF('TS-PILE'!$B$67="",-1E+99,'TO HOP NLAN'!D43/ncoc+IF(SUMSQ('TS-PILE'!$E$56:$E$75)=0,0,'TO HOP NLAN'!E43*'TS-PILE'!$E$67/SUMSQ('TS-PILE'!$E$56:$E$75))+IF(SUMSQ('TS-PILE'!$D$56:$D$75)=0,0,'TO HOP NLAN'!F43*'TS-PILE'!$D$67/SUMSQ('TS-PILE'!$D$56:$D$75))),IF('TS-PILE'!$B$68="",-1E+99,'TO HOP NLAN'!D43/ncoc+IF(SUMSQ('TS-PILE'!$E$56:$E$75)=0,0,'TO HOP NLAN'!E43*'TS-PILE'!$E$68/SUMSQ('TS-PILE'!$E$56:$E$75))+IF(SUMSQ('TS-PILE'!$D$56:$D$75)=0,0,'TO HOP NLAN'!F43*'TS-PILE'!$D$68/SUMSQ('TS-PILE'!$D$56:$D$75))),IF('TS-PILE'!$B$69="",-1E+99,'TO HOP NLAN'!D43/ncoc+IF(SUMSQ('TS-PILE'!$E$56:$E$75)=0,0,'TO HOP NLAN'!E43*'TS-PILE'!$E$69/SUMSQ('TS-PILE'!$E$56:$E$75))+IF(SUMSQ('TS-PILE'!$D$56:$D$75)=0,0,'TO HOP NLAN'!F43*'TS-PILE'!$D$69/SUMSQ('TS-PILE'!$D$56:$D$75))),IF('TS-PILE'!$B$70="",-1E+99,'TO HOP NLAN'!D43/ncoc+IF(SUMSQ('TS-PILE'!$E$56:$E$75)=0,0,'TO HOP NLAN'!E43*'TS-PILE'!$E$70/SUMSQ('TS-PILE'!$E$56:$E$75))+IF(SUMSQ('TS-PILE'!$D$56:$D$75)=0,0,'TO HOP NLAN'!F43*'TS-PILE'!$D$70/SUMSQ('TS-PILE'!$D$56:$D$75))),IF('TS-PILE'!$B$71="",-1E+99,'TO HOP NLAN'!D43/ncoc+IF(SUMSQ('TS-PILE'!$E$56:$E$75)=0,0,'TO HOP NLAN'!E43*'TS-PILE'!$E$71/SUMSQ('TS-PILE'!$E$56:$E$75))+IF(SUMSQ('TS-PILE'!$D$56:$D$75)=0,0,'TO HOP NLAN'!F43*'TS-PILE'!$D$71/SUMSQ('TS-PILE'!$D$56:$D$75))),IF('TS-PILE'!$B$72="",-1E+99,'TO HOP NLAN'!D43/ncoc+IF(SUMSQ('TS-PILE'!$E$56:$E$75)=0,0,'TO HOP NLAN'!E43*'TS-PILE'!$E$72/SUMSQ('TS-PILE'!$E$56:$E$75))+IF(SUMSQ('TS-PILE'!$D$56:$D$75)=0,0,'TO HOP NLAN'!F43*'TS-PILE'!$D$72/SUMSQ('TS-PILE'!$D$56:$D$75))),IF('TS-PILE'!$B$73="",-1E+99,'TO HOP NLAN'!D43/ncoc+IF(SUMSQ('TS-PILE'!$E$56:$E$75)=0,0,'TO HOP NLAN'!E43*'TS-PILE'!$E$73/SUMSQ('TS-PILE'!$E$56:$E$75))+IF(SUMSQ('TS-PILE'!$D$56:$D$75)=0,0,'TO HOP NLAN'!F43*'TS-PILE'!$D$73/SUMSQ('TS-PILE'!$D$56:$D$75))),IF('TS-PILE'!$B$74="",-1E+99,'TO HOP NLAN'!D43/ncoc+IF(SUMSQ('TS-PILE'!$E$56:$E$75)=0,0,'TO HOP NLAN'!E43*'TS-PILE'!$E$74/SUMSQ('TS-PILE'!$E$56:$E$75))+IF(SUMSQ('TS-PILE'!$D$56:$D$75)=0,0,'TO HOP NLAN'!F43*'TS-PILE'!$D$74/SUMSQ('TS-PILE'!$D$56:$D$75))),IF('TS-PILE'!$B$75="",-1E+99,'TO HOP NLAN'!D43/ncoc+IF(SUMSQ('TS-PILE'!$E$56:$E$75)=0,0,'TO HOP NLAN'!E43*'TS-PILE'!$E$75/SUMSQ('TS-PILE'!$E$56:$E$75))+IF(SUMSQ('TS-PILE'!$D$56:$D$75)=0,0,'TO HOP NLAN'!F43*'TS-PILE'!$D$75/SUMSQ('TS-PILE'!$D$56:$D$75)))))</f>
        <v>0</v>
      </c>
      <c r="D43" s="46">
        <f>IF(A43="",0,MIN(IF('TS-PILE'!$B$56="",1E+99,'TO HOP NLAN'!D43/ncoc+IF(SUMSQ('TS-PILE'!$E$56:$E$75)=0,0,'TO HOP NLAN'!E43*'TS-PILE'!$E$56/SUMSQ('TS-PILE'!$E$56:$E$75))+IF(SUMSQ('TS-PILE'!$D$56:$D$75)=0,0,'TO HOP NLAN'!F43*'TS-PILE'!$D$56/SUMSQ('TS-PILE'!$D$56:$D$75))),IF('TS-PILE'!$B$57="",1E+99,'TO HOP NLAN'!D43/ncoc+IF(SUMSQ('TS-PILE'!$E$56:$E$75)=0,0,'TO HOP NLAN'!E43*'TS-PILE'!$E$57/SUMSQ('TS-PILE'!$E$56:$E$75))+IF(SUMSQ('TS-PILE'!$D$56:$D$75)=0,0,'TO HOP NLAN'!F43*'TS-PILE'!$D$57/SUMSQ('TS-PILE'!$D$56:$D$75))),IF('TS-PILE'!$B$58="",1E+99,'TO HOP NLAN'!D43/ncoc+IF(SUMSQ('TS-PILE'!$E$56:$E$75)=0,0,'TO HOP NLAN'!E43*'TS-PILE'!$E$58/SUMSQ('TS-PILE'!$E$56:$E$75))+IF(SUMSQ('TS-PILE'!$D$56:$D$75)=0,0,'TO HOP NLAN'!F43*'TS-PILE'!$D$58/SUMSQ('TS-PILE'!$D$56:$D$75))),IF('TS-PILE'!$B$59="",1E+99,'TO HOP NLAN'!D43/ncoc+IF(SUMSQ('TS-PILE'!$E$56:$E$75)=0,0,'TO HOP NLAN'!E43*'TS-PILE'!$E$59/SUMSQ('TS-PILE'!$E$56:$E$75))+IF(SUMSQ('TS-PILE'!$D$56:$D$75)=0,0,'TO HOP NLAN'!F43*'TS-PILE'!$D$59/SUMSQ('TS-PILE'!$D$56:$D$75))),IF('TS-PILE'!$B$60="",1E+99,'TO HOP NLAN'!D43/ncoc+IF(SUMSQ('TS-PILE'!$E$56:$E$75)=0,0,'TO HOP NLAN'!E43*'TS-PILE'!$E$60/SUMSQ('TS-PILE'!$E$56:$E$75))+IF(SUMSQ('TS-PILE'!$D$56:$D$75)=0,0,'TO HOP NLAN'!F43*'TS-PILE'!$D$60/SUMSQ('TS-PILE'!$D$56:$D$75))),IF('TS-PILE'!$B$61="",1E+99,'TO HOP NLAN'!D43/ncoc+IF(SUMSQ('TS-PILE'!$E$56:$E$75)=0,0,'TO HOP NLAN'!E43*'TS-PILE'!$E$61/SUMSQ('TS-PILE'!$E$56:$E$75))+IF(SUMSQ('TS-PILE'!$D$56:$D$75)=0,0,'TO HOP NLAN'!F43*'TS-PILE'!$D$61/SUMSQ('TS-PILE'!$D$56:$D$75))),IF('TS-PILE'!$B$62="",1E+99,'TO HOP NLAN'!D43/ncoc+IF(SUMSQ('TS-PILE'!$E$56:$E$75)=0,0,'TO HOP NLAN'!E43*'TS-PILE'!$E$62/SUMSQ('TS-PILE'!$E$56:$E$75))+IF(SUMSQ('TS-PILE'!$D$56:$D$75)=0,0,'TO HOP NLAN'!F43*'TS-PILE'!$D$62/SUMSQ('TS-PILE'!$D$56:$D$75))),IF('TS-PILE'!$B$63="",1E+99,'TO HOP NLAN'!D43/ncoc+IF(SUMSQ('TS-PILE'!$E$56:$E$75)=0,0,'TO HOP NLAN'!E43*'TS-PILE'!$E$63/SUMSQ('TS-PILE'!$E$56:$E$75))+IF(SUMSQ('TS-PILE'!$D$56:$D$75)=0,0,'TO HOP NLAN'!F43*'TS-PILE'!$D$63/SUMSQ('TS-PILE'!$D$56:$D$75))),IF('TS-PILE'!$B$64="",1E+99,'TO HOP NLAN'!D43/ncoc+IF(SUMSQ('TS-PILE'!$E$56:$E$75)=0,0,'TO HOP NLAN'!E43*'TS-PILE'!$E$64/SUMSQ('TS-PILE'!$E$56:$E$75))+IF(SUMSQ('TS-PILE'!$D$56:$D$75)=0,0,'TO HOP NLAN'!F43*'TS-PILE'!$D$64/SUMSQ('TS-PILE'!$D$56:$D$75))),IF('TS-PILE'!$B$65="",1E+99,'TO HOP NLAN'!D43/ncoc+IF(SUMSQ('TS-PILE'!$E$56:$E$75)=0,0,'TO HOP NLAN'!E43*'TS-PILE'!$E$65/SUMSQ('TS-PILE'!$E$56:$E$75))+IF(SUMSQ('TS-PILE'!$D$56:$D$75)=0,0,'TO HOP NLAN'!F43*'TS-PILE'!$D$65/SUMSQ('TS-PILE'!$D$56:$D$75))),IF('TS-PILE'!$B$66="",1E+99,'TO HOP NLAN'!D43/ncoc+IF(SUMSQ('TS-PILE'!$E$56:$E$75)=0,0,'TO HOP NLAN'!E43*'TS-PILE'!$E$66/SUMSQ('TS-PILE'!$E$56:$E$75))+IF(SUMSQ('TS-PILE'!$D$56:$D$75)=0,0,'TO HOP NLAN'!F43*'TS-PILE'!$D$66/SUMSQ('TS-PILE'!$D$56:$D$75))),IF('TS-PILE'!$B$67="",1E+99,'TO HOP NLAN'!D43/ncoc+IF(SUMSQ('TS-PILE'!$E$56:$E$75)=0,0,'TO HOP NLAN'!E43*'TS-PILE'!$E$67/SUMSQ('TS-PILE'!$E$56:$E$75))+IF(SUMSQ('TS-PILE'!$D$56:$D$75)=0,0,'TO HOP NLAN'!F43*'TS-PILE'!$D$67/SUMSQ('TS-PILE'!$D$56:$D$75))),IF('TS-PILE'!$B$68="",1E+99,'TO HOP NLAN'!D43/ncoc+IF(SUMSQ('TS-PILE'!$E$56:$E$75)=0,0,'TO HOP NLAN'!E43*'TS-PILE'!$E$68/SUMSQ('TS-PILE'!$E$56:$E$75))+IF(SUMSQ('TS-PILE'!$D$56:$D$75)=0,0,'TO HOP NLAN'!F43*'TS-PILE'!$D$68/SUMSQ('TS-PILE'!$D$56:$D$75))),IF('TS-PILE'!$B$69="",1E+99,'TO HOP NLAN'!D43/ncoc+IF(SUMSQ('TS-PILE'!$E$56:$E$75)=0,0,'TO HOP NLAN'!E43*'TS-PILE'!$E$69/SUMSQ('TS-PILE'!$E$56:$E$75))+IF(SUMSQ('TS-PILE'!$D$56:$D$75)=0,0,'TO HOP NLAN'!F43*'TS-PILE'!$D$69/SUMSQ('TS-PILE'!$D$56:$D$75))),IF('TS-PILE'!$B$70="",1E+99,'TO HOP NLAN'!D43/ncoc+IF(SUMSQ('TS-PILE'!$E$56:$E$75)=0,0,'TO HOP NLAN'!E43*'TS-PILE'!$E$70/SUMSQ('TS-PILE'!$E$56:$E$75))+IF(SUMSQ('TS-PILE'!$D$56:$D$75)=0,0,'TO HOP NLAN'!F43*'TS-PILE'!$D$70/SUMSQ('TS-PILE'!$D$56:$D$75))),IF('TS-PILE'!$B$71="",1E+99,'TO HOP NLAN'!D43/ncoc+IF(SUMSQ('TS-PILE'!$E$56:$E$75)=0,0,'TO HOP NLAN'!E43*'TS-PILE'!$E$71/SUMSQ('TS-PILE'!$E$56:$E$75))+IF(SUMSQ('TS-PILE'!$D$56:$D$75)=0,0,'TO HOP NLAN'!F43*'TS-PILE'!$D$71/SUMSQ('TS-PILE'!$D$56:$D$75))),IF('TS-PILE'!$B$72="",1E+99,'TO HOP NLAN'!D43/ncoc+IF(SUMSQ('TS-PILE'!$E$56:$E$75)=0,0,'TO HOP NLAN'!E43*'TS-PILE'!$E$72/SUMSQ('TS-PILE'!$E$56:$E$75))+IF(SUMSQ('TS-PILE'!$D$56:$D$75)=0,0,'TO HOP NLAN'!F43*'TS-PILE'!$D$72/SUMSQ('TS-PILE'!$D$56:$D$75))),IF('TS-PILE'!$B$73="",1E+99,'TO HOP NLAN'!D43/ncoc+IF(SUMSQ('TS-PILE'!$E$56:$E$75)=0,0,'TO HOP NLAN'!E43*'TS-PILE'!$E$73/SUMSQ('TS-PILE'!$E$56:$E$75))+IF(SUMSQ('TS-PILE'!$D$56:$D$75)=0,0,'TO HOP NLAN'!F43*'TS-PILE'!$D$73/SUMSQ('TS-PILE'!$D$56:$D$75))),IF('TS-PILE'!$B$74="",1E+99,'TO HOP NLAN'!D43/ncoc+IF(SUMSQ('TS-PILE'!$E$56:$E$75)=0,0,'TO HOP NLAN'!E43*'TS-PILE'!$E$74/SUMSQ('TS-PILE'!$E$56:$E$75))+IF(SUMSQ('TS-PILE'!$D$56:$D$75)=0,0,'TO HOP NLAN'!F43*'TS-PILE'!$D$74/SUMSQ('TS-PILE'!$D$56:$D$75))),IF('TS-PILE'!$B$75="",1E+99,'TO HOP NLAN'!D43/ncoc+IF(SUMSQ('TS-PILE'!$E$56:$E$75)=0,0,'TO HOP NLAN'!E43*'TS-PILE'!$E$75/SUMSQ('TS-PILE'!$E$56:$E$75))+IF(SUMSQ('TS-PILE'!$D$56:$D$75)=0,0,'TO HOP NLAN'!F43*'TS-PILE'!$D$75/SUMSQ('TS-PILE'!$D$56:$D$75)))))</f>
        <v>0</v>
      </c>
      <c r="E43" s="46">
        <f t="shared" si="0"/>
        <v>-9.9999999999999997E+98</v>
      </c>
      <c r="F43" s="46">
        <f t="shared" si="1"/>
        <v>9.9999999999999997E+98</v>
      </c>
      <c r="G43" s="46">
        <f t="shared" si="2"/>
        <v>-9.9999999999999997E+98</v>
      </c>
      <c r="H43" s="46">
        <f t="shared" si="3"/>
        <v>9.9999999999999997E+98</v>
      </c>
    </row>
    <row r="44" spans="1:8" x14ac:dyDescent="0.3">
      <c r="A44" s="40" t="str">
        <f>'TO HOP NLAN'!A44</f>
        <v/>
      </c>
      <c r="B44" s="40" t="str">
        <f>'TO HOP NLAN'!L44</f>
        <v>SERVICE</v>
      </c>
      <c r="C44" s="46">
        <f>IF(A44="",0,MAX(IF('TS-PILE'!$B$56="",-1E+99,'TO HOP NLAN'!D44/ncoc+IF(SUMSQ('TS-PILE'!$E$56:$E$75)=0,0,'TO HOP NLAN'!E44*'TS-PILE'!$E$56/SUMSQ('TS-PILE'!$E$56:$E$75))+IF(SUMSQ('TS-PILE'!$D$56:$D$75)=0,0,'TO HOP NLAN'!F44*'TS-PILE'!$D$56/SUMSQ('TS-PILE'!$D$56:$D$75))),IF('TS-PILE'!$B$57="",-1E+99,'TO HOP NLAN'!D44/ncoc+IF(SUMSQ('TS-PILE'!$E$56:$E$75)=0,0,'TO HOP NLAN'!E44*'TS-PILE'!$E$57/SUMSQ('TS-PILE'!$E$56:$E$75))+IF(SUMSQ('TS-PILE'!$D$56:$D$75)=0,0,'TO HOP NLAN'!F44*'TS-PILE'!$D$57/SUMSQ('TS-PILE'!$D$56:$D$75))),IF('TS-PILE'!$B$58="",-1E+99,'TO HOP NLAN'!D44/ncoc+IF(SUMSQ('TS-PILE'!$E$56:$E$75)=0,0,'TO HOP NLAN'!E44*'TS-PILE'!$E$58/SUMSQ('TS-PILE'!$E$56:$E$75))+IF(SUMSQ('TS-PILE'!$D$56:$D$75)=0,0,'TO HOP NLAN'!F44*'TS-PILE'!$D$58/SUMSQ('TS-PILE'!$D$56:$D$75))),IF('TS-PILE'!$B$59="",-1E+99,'TO HOP NLAN'!D44/ncoc+IF(SUMSQ('TS-PILE'!$E$56:$E$75)=0,0,'TO HOP NLAN'!E44*'TS-PILE'!$E$59/SUMSQ('TS-PILE'!$E$56:$E$75))+IF(SUMSQ('TS-PILE'!$D$56:$D$75)=0,0,'TO HOP NLAN'!F44*'TS-PILE'!$D$59/SUMSQ('TS-PILE'!$D$56:$D$75))),IF('TS-PILE'!$B$60="",-1E+99,'TO HOP NLAN'!D44/ncoc+IF(SUMSQ('TS-PILE'!$E$56:$E$75)=0,0,'TO HOP NLAN'!E44*'TS-PILE'!$E$60/SUMSQ('TS-PILE'!$E$56:$E$75))+IF(SUMSQ('TS-PILE'!$D$56:$D$75)=0,0,'TO HOP NLAN'!F44*'TS-PILE'!$D$60/SUMSQ('TS-PILE'!$D$56:$D$75))),IF('TS-PILE'!$B$61="",-1E+99,'TO HOP NLAN'!D44/ncoc+IF(SUMSQ('TS-PILE'!$E$56:$E$75)=0,0,'TO HOP NLAN'!E44*'TS-PILE'!$E$61/SUMSQ('TS-PILE'!$E$56:$E$75))+IF(SUMSQ('TS-PILE'!$D$56:$D$75)=0,0,'TO HOP NLAN'!F44*'TS-PILE'!$D$61/SUMSQ('TS-PILE'!$D$56:$D$75))),IF('TS-PILE'!$B$62="",-1E+99,'TO HOP NLAN'!D44/ncoc+IF(SUMSQ('TS-PILE'!$E$56:$E$75)=0,0,'TO HOP NLAN'!E44*'TS-PILE'!$E$62/SUMSQ('TS-PILE'!$E$56:$E$75))+IF(SUMSQ('TS-PILE'!$D$56:$D$75)=0,0,'TO HOP NLAN'!F44*'TS-PILE'!$D$62/SUMSQ('TS-PILE'!$D$56:$D$75))),IF('TS-PILE'!$B$63="",-1E+99,'TO HOP NLAN'!D44/ncoc+IF(SUMSQ('TS-PILE'!$E$56:$E$75)=0,0,'TO HOP NLAN'!E44*'TS-PILE'!$E$63/SUMSQ('TS-PILE'!$E$56:$E$75))+IF(SUMSQ('TS-PILE'!$D$56:$D$75)=0,0,'TO HOP NLAN'!F44*'TS-PILE'!$D$63/SUMSQ('TS-PILE'!$D$56:$D$75))),IF('TS-PILE'!$B$64="",-1E+99,'TO HOP NLAN'!D44/ncoc+IF(SUMSQ('TS-PILE'!$E$56:$E$75)=0,0,'TO HOP NLAN'!E44*'TS-PILE'!$E$64/SUMSQ('TS-PILE'!$E$56:$E$75))+IF(SUMSQ('TS-PILE'!$D$56:$D$75)=0,0,'TO HOP NLAN'!F44*'TS-PILE'!$D$64/SUMSQ('TS-PILE'!$D$56:$D$75))),IF('TS-PILE'!$B$65="",-1E+99,'TO HOP NLAN'!D44/ncoc+IF(SUMSQ('TS-PILE'!$E$56:$E$75)=0,0,'TO HOP NLAN'!E44*'TS-PILE'!$E$65/SUMSQ('TS-PILE'!$E$56:$E$75))+IF(SUMSQ('TS-PILE'!$D$56:$D$75)=0,0,'TO HOP NLAN'!F44*'TS-PILE'!$D$65/SUMSQ('TS-PILE'!$D$56:$D$75))),IF('TS-PILE'!$B$66="",-1E+99,'TO HOP NLAN'!D44/ncoc+IF(SUMSQ('TS-PILE'!$E$56:$E$75)=0,0,'TO HOP NLAN'!E44*'TS-PILE'!$E$66/SUMSQ('TS-PILE'!$E$56:$E$75))+IF(SUMSQ('TS-PILE'!$D$56:$D$75)=0,0,'TO HOP NLAN'!F44*'TS-PILE'!$D$66/SUMSQ('TS-PILE'!$D$56:$D$75))),IF('TS-PILE'!$B$67="",-1E+99,'TO HOP NLAN'!D44/ncoc+IF(SUMSQ('TS-PILE'!$E$56:$E$75)=0,0,'TO HOP NLAN'!E44*'TS-PILE'!$E$67/SUMSQ('TS-PILE'!$E$56:$E$75))+IF(SUMSQ('TS-PILE'!$D$56:$D$75)=0,0,'TO HOP NLAN'!F44*'TS-PILE'!$D$67/SUMSQ('TS-PILE'!$D$56:$D$75))),IF('TS-PILE'!$B$68="",-1E+99,'TO HOP NLAN'!D44/ncoc+IF(SUMSQ('TS-PILE'!$E$56:$E$75)=0,0,'TO HOP NLAN'!E44*'TS-PILE'!$E$68/SUMSQ('TS-PILE'!$E$56:$E$75))+IF(SUMSQ('TS-PILE'!$D$56:$D$75)=0,0,'TO HOP NLAN'!F44*'TS-PILE'!$D$68/SUMSQ('TS-PILE'!$D$56:$D$75))),IF('TS-PILE'!$B$69="",-1E+99,'TO HOP NLAN'!D44/ncoc+IF(SUMSQ('TS-PILE'!$E$56:$E$75)=0,0,'TO HOP NLAN'!E44*'TS-PILE'!$E$69/SUMSQ('TS-PILE'!$E$56:$E$75))+IF(SUMSQ('TS-PILE'!$D$56:$D$75)=0,0,'TO HOP NLAN'!F44*'TS-PILE'!$D$69/SUMSQ('TS-PILE'!$D$56:$D$75))),IF('TS-PILE'!$B$70="",-1E+99,'TO HOP NLAN'!D44/ncoc+IF(SUMSQ('TS-PILE'!$E$56:$E$75)=0,0,'TO HOP NLAN'!E44*'TS-PILE'!$E$70/SUMSQ('TS-PILE'!$E$56:$E$75))+IF(SUMSQ('TS-PILE'!$D$56:$D$75)=0,0,'TO HOP NLAN'!F44*'TS-PILE'!$D$70/SUMSQ('TS-PILE'!$D$56:$D$75))),IF('TS-PILE'!$B$71="",-1E+99,'TO HOP NLAN'!D44/ncoc+IF(SUMSQ('TS-PILE'!$E$56:$E$75)=0,0,'TO HOP NLAN'!E44*'TS-PILE'!$E$71/SUMSQ('TS-PILE'!$E$56:$E$75))+IF(SUMSQ('TS-PILE'!$D$56:$D$75)=0,0,'TO HOP NLAN'!F44*'TS-PILE'!$D$71/SUMSQ('TS-PILE'!$D$56:$D$75))),IF('TS-PILE'!$B$72="",-1E+99,'TO HOP NLAN'!D44/ncoc+IF(SUMSQ('TS-PILE'!$E$56:$E$75)=0,0,'TO HOP NLAN'!E44*'TS-PILE'!$E$72/SUMSQ('TS-PILE'!$E$56:$E$75))+IF(SUMSQ('TS-PILE'!$D$56:$D$75)=0,0,'TO HOP NLAN'!F44*'TS-PILE'!$D$72/SUMSQ('TS-PILE'!$D$56:$D$75))),IF('TS-PILE'!$B$73="",-1E+99,'TO HOP NLAN'!D44/ncoc+IF(SUMSQ('TS-PILE'!$E$56:$E$75)=0,0,'TO HOP NLAN'!E44*'TS-PILE'!$E$73/SUMSQ('TS-PILE'!$E$56:$E$75))+IF(SUMSQ('TS-PILE'!$D$56:$D$75)=0,0,'TO HOP NLAN'!F44*'TS-PILE'!$D$73/SUMSQ('TS-PILE'!$D$56:$D$75))),IF('TS-PILE'!$B$74="",-1E+99,'TO HOP NLAN'!D44/ncoc+IF(SUMSQ('TS-PILE'!$E$56:$E$75)=0,0,'TO HOP NLAN'!E44*'TS-PILE'!$E$74/SUMSQ('TS-PILE'!$E$56:$E$75))+IF(SUMSQ('TS-PILE'!$D$56:$D$75)=0,0,'TO HOP NLAN'!F44*'TS-PILE'!$D$74/SUMSQ('TS-PILE'!$D$56:$D$75))),IF('TS-PILE'!$B$75="",-1E+99,'TO HOP NLAN'!D44/ncoc+IF(SUMSQ('TS-PILE'!$E$56:$E$75)=0,0,'TO HOP NLAN'!E44*'TS-PILE'!$E$75/SUMSQ('TS-PILE'!$E$56:$E$75))+IF(SUMSQ('TS-PILE'!$D$56:$D$75)=0,0,'TO HOP NLAN'!F44*'TS-PILE'!$D$75/SUMSQ('TS-PILE'!$D$56:$D$75)))))</f>
        <v>0</v>
      </c>
      <c r="D44" s="46">
        <f>IF(A44="",0,MIN(IF('TS-PILE'!$B$56="",1E+99,'TO HOP NLAN'!D44/ncoc+IF(SUMSQ('TS-PILE'!$E$56:$E$75)=0,0,'TO HOP NLAN'!E44*'TS-PILE'!$E$56/SUMSQ('TS-PILE'!$E$56:$E$75))+IF(SUMSQ('TS-PILE'!$D$56:$D$75)=0,0,'TO HOP NLAN'!F44*'TS-PILE'!$D$56/SUMSQ('TS-PILE'!$D$56:$D$75))),IF('TS-PILE'!$B$57="",1E+99,'TO HOP NLAN'!D44/ncoc+IF(SUMSQ('TS-PILE'!$E$56:$E$75)=0,0,'TO HOP NLAN'!E44*'TS-PILE'!$E$57/SUMSQ('TS-PILE'!$E$56:$E$75))+IF(SUMSQ('TS-PILE'!$D$56:$D$75)=0,0,'TO HOP NLAN'!F44*'TS-PILE'!$D$57/SUMSQ('TS-PILE'!$D$56:$D$75))),IF('TS-PILE'!$B$58="",1E+99,'TO HOP NLAN'!D44/ncoc+IF(SUMSQ('TS-PILE'!$E$56:$E$75)=0,0,'TO HOP NLAN'!E44*'TS-PILE'!$E$58/SUMSQ('TS-PILE'!$E$56:$E$75))+IF(SUMSQ('TS-PILE'!$D$56:$D$75)=0,0,'TO HOP NLAN'!F44*'TS-PILE'!$D$58/SUMSQ('TS-PILE'!$D$56:$D$75))),IF('TS-PILE'!$B$59="",1E+99,'TO HOP NLAN'!D44/ncoc+IF(SUMSQ('TS-PILE'!$E$56:$E$75)=0,0,'TO HOP NLAN'!E44*'TS-PILE'!$E$59/SUMSQ('TS-PILE'!$E$56:$E$75))+IF(SUMSQ('TS-PILE'!$D$56:$D$75)=0,0,'TO HOP NLAN'!F44*'TS-PILE'!$D$59/SUMSQ('TS-PILE'!$D$56:$D$75))),IF('TS-PILE'!$B$60="",1E+99,'TO HOP NLAN'!D44/ncoc+IF(SUMSQ('TS-PILE'!$E$56:$E$75)=0,0,'TO HOP NLAN'!E44*'TS-PILE'!$E$60/SUMSQ('TS-PILE'!$E$56:$E$75))+IF(SUMSQ('TS-PILE'!$D$56:$D$75)=0,0,'TO HOP NLAN'!F44*'TS-PILE'!$D$60/SUMSQ('TS-PILE'!$D$56:$D$75))),IF('TS-PILE'!$B$61="",1E+99,'TO HOP NLAN'!D44/ncoc+IF(SUMSQ('TS-PILE'!$E$56:$E$75)=0,0,'TO HOP NLAN'!E44*'TS-PILE'!$E$61/SUMSQ('TS-PILE'!$E$56:$E$75))+IF(SUMSQ('TS-PILE'!$D$56:$D$75)=0,0,'TO HOP NLAN'!F44*'TS-PILE'!$D$61/SUMSQ('TS-PILE'!$D$56:$D$75))),IF('TS-PILE'!$B$62="",1E+99,'TO HOP NLAN'!D44/ncoc+IF(SUMSQ('TS-PILE'!$E$56:$E$75)=0,0,'TO HOP NLAN'!E44*'TS-PILE'!$E$62/SUMSQ('TS-PILE'!$E$56:$E$75))+IF(SUMSQ('TS-PILE'!$D$56:$D$75)=0,0,'TO HOP NLAN'!F44*'TS-PILE'!$D$62/SUMSQ('TS-PILE'!$D$56:$D$75))),IF('TS-PILE'!$B$63="",1E+99,'TO HOP NLAN'!D44/ncoc+IF(SUMSQ('TS-PILE'!$E$56:$E$75)=0,0,'TO HOP NLAN'!E44*'TS-PILE'!$E$63/SUMSQ('TS-PILE'!$E$56:$E$75))+IF(SUMSQ('TS-PILE'!$D$56:$D$75)=0,0,'TO HOP NLAN'!F44*'TS-PILE'!$D$63/SUMSQ('TS-PILE'!$D$56:$D$75))),IF('TS-PILE'!$B$64="",1E+99,'TO HOP NLAN'!D44/ncoc+IF(SUMSQ('TS-PILE'!$E$56:$E$75)=0,0,'TO HOP NLAN'!E44*'TS-PILE'!$E$64/SUMSQ('TS-PILE'!$E$56:$E$75))+IF(SUMSQ('TS-PILE'!$D$56:$D$75)=0,0,'TO HOP NLAN'!F44*'TS-PILE'!$D$64/SUMSQ('TS-PILE'!$D$56:$D$75))),IF('TS-PILE'!$B$65="",1E+99,'TO HOP NLAN'!D44/ncoc+IF(SUMSQ('TS-PILE'!$E$56:$E$75)=0,0,'TO HOP NLAN'!E44*'TS-PILE'!$E$65/SUMSQ('TS-PILE'!$E$56:$E$75))+IF(SUMSQ('TS-PILE'!$D$56:$D$75)=0,0,'TO HOP NLAN'!F44*'TS-PILE'!$D$65/SUMSQ('TS-PILE'!$D$56:$D$75))),IF('TS-PILE'!$B$66="",1E+99,'TO HOP NLAN'!D44/ncoc+IF(SUMSQ('TS-PILE'!$E$56:$E$75)=0,0,'TO HOP NLAN'!E44*'TS-PILE'!$E$66/SUMSQ('TS-PILE'!$E$56:$E$75))+IF(SUMSQ('TS-PILE'!$D$56:$D$75)=0,0,'TO HOP NLAN'!F44*'TS-PILE'!$D$66/SUMSQ('TS-PILE'!$D$56:$D$75))),IF('TS-PILE'!$B$67="",1E+99,'TO HOP NLAN'!D44/ncoc+IF(SUMSQ('TS-PILE'!$E$56:$E$75)=0,0,'TO HOP NLAN'!E44*'TS-PILE'!$E$67/SUMSQ('TS-PILE'!$E$56:$E$75))+IF(SUMSQ('TS-PILE'!$D$56:$D$75)=0,0,'TO HOP NLAN'!F44*'TS-PILE'!$D$67/SUMSQ('TS-PILE'!$D$56:$D$75))),IF('TS-PILE'!$B$68="",1E+99,'TO HOP NLAN'!D44/ncoc+IF(SUMSQ('TS-PILE'!$E$56:$E$75)=0,0,'TO HOP NLAN'!E44*'TS-PILE'!$E$68/SUMSQ('TS-PILE'!$E$56:$E$75))+IF(SUMSQ('TS-PILE'!$D$56:$D$75)=0,0,'TO HOP NLAN'!F44*'TS-PILE'!$D$68/SUMSQ('TS-PILE'!$D$56:$D$75))),IF('TS-PILE'!$B$69="",1E+99,'TO HOP NLAN'!D44/ncoc+IF(SUMSQ('TS-PILE'!$E$56:$E$75)=0,0,'TO HOP NLAN'!E44*'TS-PILE'!$E$69/SUMSQ('TS-PILE'!$E$56:$E$75))+IF(SUMSQ('TS-PILE'!$D$56:$D$75)=0,0,'TO HOP NLAN'!F44*'TS-PILE'!$D$69/SUMSQ('TS-PILE'!$D$56:$D$75))),IF('TS-PILE'!$B$70="",1E+99,'TO HOP NLAN'!D44/ncoc+IF(SUMSQ('TS-PILE'!$E$56:$E$75)=0,0,'TO HOP NLAN'!E44*'TS-PILE'!$E$70/SUMSQ('TS-PILE'!$E$56:$E$75))+IF(SUMSQ('TS-PILE'!$D$56:$D$75)=0,0,'TO HOP NLAN'!F44*'TS-PILE'!$D$70/SUMSQ('TS-PILE'!$D$56:$D$75))),IF('TS-PILE'!$B$71="",1E+99,'TO HOP NLAN'!D44/ncoc+IF(SUMSQ('TS-PILE'!$E$56:$E$75)=0,0,'TO HOP NLAN'!E44*'TS-PILE'!$E$71/SUMSQ('TS-PILE'!$E$56:$E$75))+IF(SUMSQ('TS-PILE'!$D$56:$D$75)=0,0,'TO HOP NLAN'!F44*'TS-PILE'!$D$71/SUMSQ('TS-PILE'!$D$56:$D$75))),IF('TS-PILE'!$B$72="",1E+99,'TO HOP NLAN'!D44/ncoc+IF(SUMSQ('TS-PILE'!$E$56:$E$75)=0,0,'TO HOP NLAN'!E44*'TS-PILE'!$E$72/SUMSQ('TS-PILE'!$E$56:$E$75))+IF(SUMSQ('TS-PILE'!$D$56:$D$75)=0,0,'TO HOP NLAN'!F44*'TS-PILE'!$D$72/SUMSQ('TS-PILE'!$D$56:$D$75))),IF('TS-PILE'!$B$73="",1E+99,'TO HOP NLAN'!D44/ncoc+IF(SUMSQ('TS-PILE'!$E$56:$E$75)=0,0,'TO HOP NLAN'!E44*'TS-PILE'!$E$73/SUMSQ('TS-PILE'!$E$56:$E$75))+IF(SUMSQ('TS-PILE'!$D$56:$D$75)=0,0,'TO HOP NLAN'!F44*'TS-PILE'!$D$73/SUMSQ('TS-PILE'!$D$56:$D$75))),IF('TS-PILE'!$B$74="",1E+99,'TO HOP NLAN'!D44/ncoc+IF(SUMSQ('TS-PILE'!$E$56:$E$75)=0,0,'TO HOP NLAN'!E44*'TS-PILE'!$E$74/SUMSQ('TS-PILE'!$E$56:$E$75))+IF(SUMSQ('TS-PILE'!$D$56:$D$75)=0,0,'TO HOP NLAN'!F44*'TS-PILE'!$D$74/SUMSQ('TS-PILE'!$D$56:$D$75))),IF('TS-PILE'!$B$75="",1E+99,'TO HOP NLAN'!D44/ncoc+IF(SUMSQ('TS-PILE'!$E$56:$E$75)=0,0,'TO HOP NLAN'!E44*'TS-PILE'!$E$75/SUMSQ('TS-PILE'!$E$56:$E$75))+IF(SUMSQ('TS-PILE'!$D$56:$D$75)=0,0,'TO HOP NLAN'!F44*'TS-PILE'!$D$75/SUMSQ('TS-PILE'!$D$56:$D$75)))))</f>
        <v>0</v>
      </c>
      <c r="E44" s="46">
        <f t="shared" si="0"/>
        <v>-9.9999999999999997E+98</v>
      </c>
      <c r="F44" s="46">
        <f t="shared" si="1"/>
        <v>9.9999999999999997E+98</v>
      </c>
      <c r="G44" s="46">
        <f t="shared" si="2"/>
        <v>-9.9999999999999997E+98</v>
      </c>
      <c r="H44" s="46">
        <f t="shared" si="3"/>
        <v>9.9999999999999997E+98</v>
      </c>
    </row>
    <row r="45" spans="1:8" x14ac:dyDescent="0.3">
      <c r="A45" s="40" t="str">
        <f>'TO HOP NLAN'!A45</f>
        <v/>
      </c>
      <c r="B45" s="40" t="str">
        <f>'TO HOP NLAN'!L45</f>
        <v>SERVICE</v>
      </c>
      <c r="C45" s="46">
        <f>IF(A45="",0,MAX(IF('TS-PILE'!$B$56="",-1E+99,'TO HOP NLAN'!D45/ncoc+IF(SUMSQ('TS-PILE'!$E$56:$E$75)=0,0,'TO HOP NLAN'!E45*'TS-PILE'!$E$56/SUMSQ('TS-PILE'!$E$56:$E$75))+IF(SUMSQ('TS-PILE'!$D$56:$D$75)=0,0,'TO HOP NLAN'!F45*'TS-PILE'!$D$56/SUMSQ('TS-PILE'!$D$56:$D$75))),IF('TS-PILE'!$B$57="",-1E+99,'TO HOP NLAN'!D45/ncoc+IF(SUMSQ('TS-PILE'!$E$56:$E$75)=0,0,'TO HOP NLAN'!E45*'TS-PILE'!$E$57/SUMSQ('TS-PILE'!$E$56:$E$75))+IF(SUMSQ('TS-PILE'!$D$56:$D$75)=0,0,'TO HOP NLAN'!F45*'TS-PILE'!$D$57/SUMSQ('TS-PILE'!$D$56:$D$75))),IF('TS-PILE'!$B$58="",-1E+99,'TO HOP NLAN'!D45/ncoc+IF(SUMSQ('TS-PILE'!$E$56:$E$75)=0,0,'TO HOP NLAN'!E45*'TS-PILE'!$E$58/SUMSQ('TS-PILE'!$E$56:$E$75))+IF(SUMSQ('TS-PILE'!$D$56:$D$75)=0,0,'TO HOP NLAN'!F45*'TS-PILE'!$D$58/SUMSQ('TS-PILE'!$D$56:$D$75))),IF('TS-PILE'!$B$59="",-1E+99,'TO HOP NLAN'!D45/ncoc+IF(SUMSQ('TS-PILE'!$E$56:$E$75)=0,0,'TO HOP NLAN'!E45*'TS-PILE'!$E$59/SUMSQ('TS-PILE'!$E$56:$E$75))+IF(SUMSQ('TS-PILE'!$D$56:$D$75)=0,0,'TO HOP NLAN'!F45*'TS-PILE'!$D$59/SUMSQ('TS-PILE'!$D$56:$D$75))),IF('TS-PILE'!$B$60="",-1E+99,'TO HOP NLAN'!D45/ncoc+IF(SUMSQ('TS-PILE'!$E$56:$E$75)=0,0,'TO HOP NLAN'!E45*'TS-PILE'!$E$60/SUMSQ('TS-PILE'!$E$56:$E$75))+IF(SUMSQ('TS-PILE'!$D$56:$D$75)=0,0,'TO HOP NLAN'!F45*'TS-PILE'!$D$60/SUMSQ('TS-PILE'!$D$56:$D$75))),IF('TS-PILE'!$B$61="",-1E+99,'TO HOP NLAN'!D45/ncoc+IF(SUMSQ('TS-PILE'!$E$56:$E$75)=0,0,'TO HOP NLAN'!E45*'TS-PILE'!$E$61/SUMSQ('TS-PILE'!$E$56:$E$75))+IF(SUMSQ('TS-PILE'!$D$56:$D$75)=0,0,'TO HOP NLAN'!F45*'TS-PILE'!$D$61/SUMSQ('TS-PILE'!$D$56:$D$75))),IF('TS-PILE'!$B$62="",-1E+99,'TO HOP NLAN'!D45/ncoc+IF(SUMSQ('TS-PILE'!$E$56:$E$75)=0,0,'TO HOP NLAN'!E45*'TS-PILE'!$E$62/SUMSQ('TS-PILE'!$E$56:$E$75))+IF(SUMSQ('TS-PILE'!$D$56:$D$75)=0,0,'TO HOP NLAN'!F45*'TS-PILE'!$D$62/SUMSQ('TS-PILE'!$D$56:$D$75))),IF('TS-PILE'!$B$63="",-1E+99,'TO HOP NLAN'!D45/ncoc+IF(SUMSQ('TS-PILE'!$E$56:$E$75)=0,0,'TO HOP NLAN'!E45*'TS-PILE'!$E$63/SUMSQ('TS-PILE'!$E$56:$E$75))+IF(SUMSQ('TS-PILE'!$D$56:$D$75)=0,0,'TO HOP NLAN'!F45*'TS-PILE'!$D$63/SUMSQ('TS-PILE'!$D$56:$D$75))),IF('TS-PILE'!$B$64="",-1E+99,'TO HOP NLAN'!D45/ncoc+IF(SUMSQ('TS-PILE'!$E$56:$E$75)=0,0,'TO HOP NLAN'!E45*'TS-PILE'!$E$64/SUMSQ('TS-PILE'!$E$56:$E$75))+IF(SUMSQ('TS-PILE'!$D$56:$D$75)=0,0,'TO HOP NLAN'!F45*'TS-PILE'!$D$64/SUMSQ('TS-PILE'!$D$56:$D$75))),IF('TS-PILE'!$B$65="",-1E+99,'TO HOP NLAN'!D45/ncoc+IF(SUMSQ('TS-PILE'!$E$56:$E$75)=0,0,'TO HOP NLAN'!E45*'TS-PILE'!$E$65/SUMSQ('TS-PILE'!$E$56:$E$75))+IF(SUMSQ('TS-PILE'!$D$56:$D$75)=0,0,'TO HOP NLAN'!F45*'TS-PILE'!$D$65/SUMSQ('TS-PILE'!$D$56:$D$75))),IF('TS-PILE'!$B$66="",-1E+99,'TO HOP NLAN'!D45/ncoc+IF(SUMSQ('TS-PILE'!$E$56:$E$75)=0,0,'TO HOP NLAN'!E45*'TS-PILE'!$E$66/SUMSQ('TS-PILE'!$E$56:$E$75))+IF(SUMSQ('TS-PILE'!$D$56:$D$75)=0,0,'TO HOP NLAN'!F45*'TS-PILE'!$D$66/SUMSQ('TS-PILE'!$D$56:$D$75))),IF('TS-PILE'!$B$67="",-1E+99,'TO HOP NLAN'!D45/ncoc+IF(SUMSQ('TS-PILE'!$E$56:$E$75)=0,0,'TO HOP NLAN'!E45*'TS-PILE'!$E$67/SUMSQ('TS-PILE'!$E$56:$E$75))+IF(SUMSQ('TS-PILE'!$D$56:$D$75)=0,0,'TO HOP NLAN'!F45*'TS-PILE'!$D$67/SUMSQ('TS-PILE'!$D$56:$D$75))),IF('TS-PILE'!$B$68="",-1E+99,'TO HOP NLAN'!D45/ncoc+IF(SUMSQ('TS-PILE'!$E$56:$E$75)=0,0,'TO HOP NLAN'!E45*'TS-PILE'!$E$68/SUMSQ('TS-PILE'!$E$56:$E$75))+IF(SUMSQ('TS-PILE'!$D$56:$D$75)=0,0,'TO HOP NLAN'!F45*'TS-PILE'!$D$68/SUMSQ('TS-PILE'!$D$56:$D$75))),IF('TS-PILE'!$B$69="",-1E+99,'TO HOP NLAN'!D45/ncoc+IF(SUMSQ('TS-PILE'!$E$56:$E$75)=0,0,'TO HOP NLAN'!E45*'TS-PILE'!$E$69/SUMSQ('TS-PILE'!$E$56:$E$75))+IF(SUMSQ('TS-PILE'!$D$56:$D$75)=0,0,'TO HOP NLAN'!F45*'TS-PILE'!$D$69/SUMSQ('TS-PILE'!$D$56:$D$75))),IF('TS-PILE'!$B$70="",-1E+99,'TO HOP NLAN'!D45/ncoc+IF(SUMSQ('TS-PILE'!$E$56:$E$75)=0,0,'TO HOP NLAN'!E45*'TS-PILE'!$E$70/SUMSQ('TS-PILE'!$E$56:$E$75))+IF(SUMSQ('TS-PILE'!$D$56:$D$75)=0,0,'TO HOP NLAN'!F45*'TS-PILE'!$D$70/SUMSQ('TS-PILE'!$D$56:$D$75))),IF('TS-PILE'!$B$71="",-1E+99,'TO HOP NLAN'!D45/ncoc+IF(SUMSQ('TS-PILE'!$E$56:$E$75)=0,0,'TO HOP NLAN'!E45*'TS-PILE'!$E$71/SUMSQ('TS-PILE'!$E$56:$E$75))+IF(SUMSQ('TS-PILE'!$D$56:$D$75)=0,0,'TO HOP NLAN'!F45*'TS-PILE'!$D$71/SUMSQ('TS-PILE'!$D$56:$D$75))),IF('TS-PILE'!$B$72="",-1E+99,'TO HOP NLAN'!D45/ncoc+IF(SUMSQ('TS-PILE'!$E$56:$E$75)=0,0,'TO HOP NLAN'!E45*'TS-PILE'!$E$72/SUMSQ('TS-PILE'!$E$56:$E$75))+IF(SUMSQ('TS-PILE'!$D$56:$D$75)=0,0,'TO HOP NLAN'!F45*'TS-PILE'!$D$72/SUMSQ('TS-PILE'!$D$56:$D$75))),IF('TS-PILE'!$B$73="",-1E+99,'TO HOP NLAN'!D45/ncoc+IF(SUMSQ('TS-PILE'!$E$56:$E$75)=0,0,'TO HOP NLAN'!E45*'TS-PILE'!$E$73/SUMSQ('TS-PILE'!$E$56:$E$75))+IF(SUMSQ('TS-PILE'!$D$56:$D$75)=0,0,'TO HOP NLAN'!F45*'TS-PILE'!$D$73/SUMSQ('TS-PILE'!$D$56:$D$75))),IF('TS-PILE'!$B$74="",-1E+99,'TO HOP NLAN'!D45/ncoc+IF(SUMSQ('TS-PILE'!$E$56:$E$75)=0,0,'TO HOP NLAN'!E45*'TS-PILE'!$E$74/SUMSQ('TS-PILE'!$E$56:$E$75))+IF(SUMSQ('TS-PILE'!$D$56:$D$75)=0,0,'TO HOP NLAN'!F45*'TS-PILE'!$D$74/SUMSQ('TS-PILE'!$D$56:$D$75))),IF('TS-PILE'!$B$75="",-1E+99,'TO HOP NLAN'!D45/ncoc+IF(SUMSQ('TS-PILE'!$E$56:$E$75)=0,0,'TO HOP NLAN'!E45*'TS-PILE'!$E$75/SUMSQ('TS-PILE'!$E$56:$E$75))+IF(SUMSQ('TS-PILE'!$D$56:$D$75)=0,0,'TO HOP NLAN'!F45*'TS-PILE'!$D$75/SUMSQ('TS-PILE'!$D$56:$D$75)))))</f>
        <v>0</v>
      </c>
      <c r="D45" s="46">
        <f>IF(A45="",0,MIN(IF('TS-PILE'!$B$56="",1E+99,'TO HOP NLAN'!D45/ncoc+IF(SUMSQ('TS-PILE'!$E$56:$E$75)=0,0,'TO HOP NLAN'!E45*'TS-PILE'!$E$56/SUMSQ('TS-PILE'!$E$56:$E$75))+IF(SUMSQ('TS-PILE'!$D$56:$D$75)=0,0,'TO HOP NLAN'!F45*'TS-PILE'!$D$56/SUMSQ('TS-PILE'!$D$56:$D$75))),IF('TS-PILE'!$B$57="",1E+99,'TO HOP NLAN'!D45/ncoc+IF(SUMSQ('TS-PILE'!$E$56:$E$75)=0,0,'TO HOP NLAN'!E45*'TS-PILE'!$E$57/SUMSQ('TS-PILE'!$E$56:$E$75))+IF(SUMSQ('TS-PILE'!$D$56:$D$75)=0,0,'TO HOP NLAN'!F45*'TS-PILE'!$D$57/SUMSQ('TS-PILE'!$D$56:$D$75))),IF('TS-PILE'!$B$58="",1E+99,'TO HOP NLAN'!D45/ncoc+IF(SUMSQ('TS-PILE'!$E$56:$E$75)=0,0,'TO HOP NLAN'!E45*'TS-PILE'!$E$58/SUMSQ('TS-PILE'!$E$56:$E$75))+IF(SUMSQ('TS-PILE'!$D$56:$D$75)=0,0,'TO HOP NLAN'!F45*'TS-PILE'!$D$58/SUMSQ('TS-PILE'!$D$56:$D$75))),IF('TS-PILE'!$B$59="",1E+99,'TO HOP NLAN'!D45/ncoc+IF(SUMSQ('TS-PILE'!$E$56:$E$75)=0,0,'TO HOP NLAN'!E45*'TS-PILE'!$E$59/SUMSQ('TS-PILE'!$E$56:$E$75))+IF(SUMSQ('TS-PILE'!$D$56:$D$75)=0,0,'TO HOP NLAN'!F45*'TS-PILE'!$D$59/SUMSQ('TS-PILE'!$D$56:$D$75))),IF('TS-PILE'!$B$60="",1E+99,'TO HOP NLAN'!D45/ncoc+IF(SUMSQ('TS-PILE'!$E$56:$E$75)=0,0,'TO HOP NLAN'!E45*'TS-PILE'!$E$60/SUMSQ('TS-PILE'!$E$56:$E$75))+IF(SUMSQ('TS-PILE'!$D$56:$D$75)=0,0,'TO HOP NLAN'!F45*'TS-PILE'!$D$60/SUMSQ('TS-PILE'!$D$56:$D$75))),IF('TS-PILE'!$B$61="",1E+99,'TO HOP NLAN'!D45/ncoc+IF(SUMSQ('TS-PILE'!$E$56:$E$75)=0,0,'TO HOP NLAN'!E45*'TS-PILE'!$E$61/SUMSQ('TS-PILE'!$E$56:$E$75))+IF(SUMSQ('TS-PILE'!$D$56:$D$75)=0,0,'TO HOP NLAN'!F45*'TS-PILE'!$D$61/SUMSQ('TS-PILE'!$D$56:$D$75))),IF('TS-PILE'!$B$62="",1E+99,'TO HOP NLAN'!D45/ncoc+IF(SUMSQ('TS-PILE'!$E$56:$E$75)=0,0,'TO HOP NLAN'!E45*'TS-PILE'!$E$62/SUMSQ('TS-PILE'!$E$56:$E$75))+IF(SUMSQ('TS-PILE'!$D$56:$D$75)=0,0,'TO HOP NLAN'!F45*'TS-PILE'!$D$62/SUMSQ('TS-PILE'!$D$56:$D$75))),IF('TS-PILE'!$B$63="",1E+99,'TO HOP NLAN'!D45/ncoc+IF(SUMSQ('TS-PILE'!$E$56:$E$75)=0,0,'TO HOP NLAN'!E45*'TS-PILE'!$E$63/SUMSQ('TS-PILE'!$E$56:$E$75))+IF(SUMSQ('TS-PILE'!$D$56:$D$75)=0,0,'TO HOP NLAN'!F45*'TS-PILE'!$D$63/SUMSQ('TS-PILE'!$D$56:$D$75))),IF('TS-PILE'!$B$64="",1E+99,'TO HOP NLAN'!D45/ncoc+IF(SUMSQ('TS-PILE'!$E$56:$E$75)=0,0,'TO HOP NLAN'!E45*'TS-PILE'!$E$64/SUMSQ('TS-PILE'!$E$56:$E$75))+IF(SUMSQ('TS-PILE'!$D$56:$D$75)=0,0,'TO HOP NLAN'!F45*'TS-PILE'!$D$64/SUMSQ('TS-PILE'!$D$56:$D$75))),IF('TS-PILE'!$B$65="",1E+99,'TO HOP NLAN'!D45/ncoc+IF(SUMSQ('TS-PILE'!$E$56:$E$75)=0,0,'TO HOP NLAN'!E45*'TS-PILE'!$E$65/SUMSQ('TS-PILE'!$E$56:$E$75))+IF(SUMSQ('TS-PILE'!$D$56:$D$75)=0,0,'TO HOP NLAN'!F45*'TS-PILE'!$D$65/SUMSQ('TS-PILE'!$D$56:$D$75))),IF('TS-PILE'!$B$66="",1E+99,'TO HOP NLAN'!D45/ncoc+IF(SUMSQ('TS-PILE'!$E$56:$E$75)=0,0,'TO HOP NLAN'!E45*'TS-PILE'!$E$66/SUMSQ('TS-PILE'!$E$56:$E$75))+IF(SUMSQ('TS-PILE'!$D$56:$D$75)=0,0,'TO HOP NLAN'!F45*'TS-PILE'!$D$66/SUMSQ('TS-PILE'!$D$56:$D$75))),IF('TS-PILE'!$B$67="",1E+99,'TO HOP NLAN'!D45/ncoc+IF(SUMSQ('TS-PILE'!$E$56:$E$75)=0,0,'TO HOP NLAN'!E45*'TS-PILE'!$E$67/SUMSQ('TS-PILE'!$E$56:$E$75))+IF(SUMSQ('TS-PILE'!$D$56:$D$75)=0,0,'TO HOP NLAN'!F45*'TS-PILE'!$D$67/SUMSQ('TS-PILE'!$D$56:$D$75))),IF('TS-PILE'!$B$68="",1E+99,'TO HOP NLAN'!D45/ncoc+IF(SUMSQ('TS-PILE'!$E$56:$E$75)=0,0,'TO HOP NLAN'!E45*'TS-PILE'!$E$68/SUMSQ('TS-PILE'!$E$56:$E$75))+IF(SUMSQ('TS-PILE'!$D$56:$D$75)=0,0,'TO HOP NLAN'!F45*'TS-PILE'!$D$68/SUMSQ('TS-PILE'!$D$56:$D$75))),IF('TS-PILE'!$B$69="",1E+99,'TO HOP NLAN'!D45/ncoc+IF(SUMSQ('TS-PILE'!$E$56:$E$75)=0,0,'TO HOP NLAN'!E45*'TS-PILE'!$E$69/SUMSQ('TS-PILE'!$E$56:$E$75))+IF(SUMSQ('TS-PILE'!$D$56:$D$75)=0,0,'TO HOP NLAN'!F45*'TS-PILE'!$D$69/SUMSQ('TS-PILE'!$D$56:$D$75))),IF('TS-PILE'!$B$70="",1E+99,'TO HOP NLAN'!D45/ncoc+IF(SUMSQ('TS-PILE'!$E$56:$E$75)=0,0,'TO HOP NLAN'!E45*'TS-PILE'!$E$70/SUMSQ('TS-PILE'!$E$56:$E$75))+IF(SUMSQ('TS-PILE'!$D$56:$D$75)=0,0,'TO HOP NLAN'!F45*'TS-PILE'!$D$70/SUMSQ('TS-PILE'!$D$56:$D$75))),IF('TS-PILE'!$B$71="",1E+99,'TO HOP NLAN'!D45/ncoc+IF(SUMSQ('TS-PILE'!$E$56:$E$75)=0,0,'TO HOP NLAN'!E45*'TS-PILE'!$E$71/SUMSQ('TS-PILE'!$E$56:$E$75))+IF(SUMSQ('TS-PILE'!$D$56:$D$75)=0,0,'TO HOP NLAN'!F45*'TS-PILE'!$D$71/SUMSQ('TS-PILE'!$D$56:$D$75))),IF('TS-PILE'!$B$72="",1E+99,'TO HOP NLAN'!D45/ncoc+IF(SUMSQ('TS-PILE'!$E$56:$E$75)=0,0,'TO HOP NLAN'!E45*'TS-PILE'!$E$72/SUMSQ('TS-PILE'!$E$56:$E$75))+IF(SUMSQ('TS-PILE'!$D$56:$D$75)=0,0,'TO HOP NLAN'!F45*'TS-PILE'!$D$72/SUMSQ('TS-PILE'!$D$56:$D$75))),IF('TS-PILE'!$B$73="",1E+99,'TO HOP NLAN'!D45/ncoc+IF(SUMSQ('TS-PILE'!$E$56:$E$75)=0,0,'TO HOP NLAN'!E45*'TS-PILE'!$E$73/SUMSQ('TS-PILE'!$E$56:$E$75))+IF(SUMSQ('TS-PILE'!$D$56:$D$75)=0,0,'TO HOP NLAN'!F45*'TS-PILE'!$D$73/SUMSQ('TS-PILE'!$D$56:$D$75))),IF('TS-PILE'!$B$74="",1E+99,'TO HOP NLAN'!D45/ncoc+IF(SUMSQ('TS-PILE'!$E$56:$E$75)=0,0,'TO HOP NLAN'!E45*'TS-PILE'!$E$74/SUMSQ('TS-PILE'!$E$56:$E$75))+IF(SUMSQ('TS-PILE'!$D$56:$D$75)=0,0,'TO HOP NLAN'!F45*'TS-PILE'!$D$74/SUMSQ('TS-PILE'!$D$56:$D$75))),IF('TS-PILE'!$B$75="",1E+99,'TO HOP NLAN'!D45/ncoc+IF(SUMSQ('TS-PILE'!$E$56:$E$75)=0,0,'TO HOP NLAN'!E45*'TS-PILE'!$E$75/SUMSQ('TS-PILE'!$E$56:$E$75))+IF(SUMSQ('TS-PILE'!$D$56:$D$75)=0,0,'TO HOP NLAN'!F45*'TS-PILE'!$D$75/SUMSQ('TS-PILE'!$D$56:$D$75)))))</f>
        <v>0</v>
      </c>
      <c r="E45" s="46">
        <f t="shared" si="0"/>
        <v>-9.9999999999999997E+98</v>
      </c>
      <c r="F45" s="46">
        <f t="shared" si="1"/>
        <v>9.9999999999999997E+98</v>
      </c>
      <c r="G45" s="46">
        <f t="shared" si="2"/>
        <v>-9.9999999999999997E+98</v>
      </c>
      <c r="H45" s="46">
        <f t="shared" si="3"/>
        <v>9.9999999999999997E+98</v>
      </c>
    </row>
    <row r="46" spans="1:8" x14ac:dyDescent="0.3">
      <c r="A46" s="40" t="str">
        <f>'TO HOP NLAN'!A46</f>
        <v/>
      </c>
      <c r="B46" s="40" t="str">
        <f>'TO HOP NLAN'!L46</f>
        <v>SERVICE</v>
      </c>
      <c r="C46" s="46">
        <f>IF(A46="",0,MAX(IF('TS-PILE'!$B$56="",-1E+99,'TO HOP NLAN'!D46/ncoc+IF(SUMSQ('TS-PILE'!$E$56:$E$75)=0,0,'TO HOP NLAN'!E46*'TS-PILE'!$E$56/SUMSQ('TS-PILE'!$E$56:$E$75))+IF(SUMSQ('TS-PILE'!$D$56:$D$75)=0,0,'TO HOP NLAN'!F46*'TS-PILE'!$D$56/SUMSQ('TS-PILE'!$D$56:$D$75))),IF('TS-PILE'!$B$57="",-1E+99,'TO HOP NLAN'!D46/ncoc+IF(SUMSQ('TS-PILE'!$E$56:$E$75)=0,0,'TO HOP NLAN'!E46*'TS-PILE'!$E$57/SUMSQ('TS-PILE'!$E$56:$E$75))+IF(SUMSQ('TS-PILE'!$D$56:$D$75)=0,0,'TO HOP NLAN'!F46*'TS-PILE'!$D$57/SUMSQ('TS-PILE'!$D$56:$D$75))),IF('TS-PILE'!$B$58="",-1E+99,'TO HOP NLAN'!D46/ncoc+IF(SUMSQ('TS-PILE'!$E$56:$E$75)=0,0,'TO HOP NLAN'!E46*'TS-PILE'!$E$58/SUMSQ('TS-PILE'!$E$56:$E$75))+IF(SUMSQ('TS-PILE'!$D$56:$D$75)=0,0,'TO HOP NLAN'!F46*'TS-PILE'!$D$58/SUMSQ('TS-PILE'!$D$56:$D$75))),IF('TS-PILE'!$B$59="",-1E+99,'TO HOP NLAN'!D46/ncoc+IF(SUMSQ('TS-PILE'!$E$56:$E$75)=0,0,'TO HOP NLAN'!E46*'TS-PILE'!$E$59/SUMSQ('TS-PILE'!$E$56:$E$75))+IF(SUMSQ('TS-PILE'!$D$56:$D$75)=0,0,'TO HOP NLAN'!F46*'TS-PILE'!$D$59/SUMSQ('TS-PILE'!$D$56:$D$75))),IF('TS-PILE'!$B$60="",-1E+99,'TO HOP NLAN'!D46/ncoc+IF(SUMSQ('TS-PILE'!$E$56:$E$75)=0,0,'TO HOP NLAN'!E46*'TS-PILE'!$E$60/SUMSQ('TS-PILE'!$E$56:$E$75))+IF(SUMSQ('TS-PILE'!$D$56:$D$75)=0,0,'TO HOP NLAN'!F46*'TS-PILE'!$D$60/SUMSQ('TS-PILE'!$D$56:$D$75))),IF('TS-PILE'!$B$61="",-1E+99,'TO HOP NLAN'!D46/ncoc+IF(SUMSQ('TS-PILE'!$E$56:$E$75)=0,0,'TO HOP NLAN'!E46*'TS-PILE'!$E$61/SUMSQ('TS-PILE'!$E$56:$E$75))+IF(SUMSQ('TS-PILE'!$D$56:$D$75)=0,0,'TO HOP NLAN'!F46*'TS-PILE'!$D$61/SUMSQ('TS-PILE'!$D$56:$D$75))),IF('TS-PILE'!$B$62="",-1E+99,'TO HOP NLAN'!D46/ncoc+IF(SUMSQ('TS-PILE'!$E$56:$E$75)=0,0,'TO HOP NLAN'!E46*'TS-PILE'!$E$62/SUMSQ('TS-PILE'!$E$56:$E$75))+IF(SUMSQ('TS-PILE'!$D$56:$D$75)=0,0,'TO HOP NLAN'!F46*'TS-PILE'!$D$62/SUMSQ('TS-PILE'!$D$56:$D$75))),IF('TS-PILE'!$B$63="",-1E+99,'TO HOP NLAN'!D46/ncoc+IF(SUMSQ('TS-PILE'!$E$56:$E$75)=0,0,'TO HOP NLAN'!E46*'TS-PILE'!$E$63/SUMSQ('TS-PILE'!$E$56:$E$75))+IF(SUMSQ('TS-PILE'!$D$56:$D$75)=0,0,'TO HOP NLAN'!F46*'TS-PILE'!$D$63/SUMSQ('TS-PILE'!$D$56:$D$75))),IF('TS-PILE'!$B$64="",-1E+99,'TO HOP NLAN'!D46/ncoc+IF(SUMSQ('TS-PILE'!$E$56:$E$75)=0,0,'TO HOP NLAN'!E46*'TS-PILE'!$E$64/SUMSQ('TS-PILE'!$E$56:$E$75))+IF(SUMSQ('TS-PILE'!$D$56:$D$75)=0,0,'TO HOP NLAN'!F46*'TS-PILE'!$D$64/SUMSQ('TS-PILE'!$D$56:$D$75))),IF('TS-PILE'!$B$65="",-1E+99,'TO HOP NLAN'!D46/ncoc+IF(SUMSQ('TS-PILE'!$E$56:$E$75)=0,0,'TO HOP NLAN'!E46*'TS-PILE'!$E$65/SUMSQ('TS-PILE'!$E$56:$E$75))+IF(SUMSQ('TS-PILE'!$D$56:$D$75)=0,0,'TO HOP NLAN'!F46*'TS-PILE'!$D$65/SUMSQ('TS-PILE'!$D$56:$D$75))),IF('TS-PILE'!$B$66="",-1E+99,'TO HOP NLAN'!D46/ncoc+IF(SUMSQ('TS-PILE'!$E$56:$E$75)=0,0,'TO HOP NLAN'!E46*'TS-PILE'!$E$66/SUMSQ('TS-PILE'!$E$56:$E$75))+IF(SUMSQ('TS-PILE'!$D$56:$D$75)=0,0,'TO HOP NLAN'!F46*'TS-PILE'!$D$66/SUMSQ('TS-PILE'!$D$56:$D$75))),IF('TS-PILE'!$B$67="",-1E+99,'TO HOP NLAN'!D46/ncoc+IF(SUMSQ('TS-PILE'!$E$56:$E$75)=0,0,'TO HOP NLAN'!E46*'TS-PILE'!$E$67/SUMSQ('TS-PILE'!$E$56:$E$75))+IF(SUMSQ('TS-PILE'!$D$56:$D$75)=0,0,'TO HOP NLAN'!F46*'TS-PILE'!$D$67/SUMSQ('TS-PILE'!$D$56:$D$75))),IF('TS-PILE'!$B$68="",-1E+99,'TO HOP NLAN'!D46/ncoc+IF(SUMSQ('TS-PILE'!$E$56:$E$75)=0,0,'TO HOP NLAN'!E46*'TS-PILE'!$E$68/SUMSQ('TS-PILE'!$E$56:$E$75))+IF(SUMSQ('TS-PILE'!$D$56:$D$75)=0,0,'TO HOP NLAN'!F46*'TS-PILE'!$D$68/SUMSQ('TS-PILE'!$D$56:$D$75))),IF('TS-PILE'!$B$69="",-1E+99,'TO HOP NLAN'!D46/ncoc+IF(SUMSQ('TS-PILE'!$E$56:$E$75)=0,0,'TO HOP NLAN'!E46*'TS-PILE'!$E$69/SUMSQ('TS-PILE'!$E$56:$E$75))+IF(SUMSQ('TS-PILE'!$D$56:$D$75)=0,0,'TO HOP NLAN'!F46*'TS-PILE'!$D$69/SUMSQ('TS-PILE'!$D$56:$D$75))),IF('TS-PILE'!$B$70="",-1E+99,'TO HOP NLAN'!D46/ncoc+IF(SUMSQ('TS-PILE'!$E$56:$E$75)=0,0,'TO HOP NLAN'!E46*'TS-PILE'!$E$70/SUMSQ('TS-PILE'!$E$56:$E$75))+IF(SUMSQ('TS-PILE'!$D$56:$D$75)=0,0,'TO HOP NLAN'!F46*'TS-PILE'!$D$70/SUMSQ('TS-PILE'!$D$56:$D$75))),IF('TS-PILE'!$B$71="",-1E+99,'TO HOP NLAN'!D46/ncoc+IF(SUMSQ('TS-PILE'!$E$56:$E$75)=0,0,'TO HOP NLAN'!E46*'TS-PILE'!$E$71/SUMSQ('TS-PILE'!$E$56:$E$75))+IF(SUMSQ('TS-PILE'!$D$56:$D$75)=0,0,'TO HOP NLAN'!F46*'TS-PILE'!$D$71/SUMSQ('TS-PILE'!$D$56:$D$75))),IF('TS-PILE'!$B$72="",-1E+99,'TO HOP NLAN'!D46/ncoc+IF(SUMSQ('TS-PILE'!$E$56:$E$75)=0,0,'TO HOP NLAN'!E46*'TS-PILE'!$E$72/SUMSQ('TS-PILE'!$E$56:$E$75))+IF(SUMSQ('TS-PILE'!$D$56:$D$75)=0,0,'TO HOP NLAN'!F46*'TS-PILE'!$D$72/SUMSQ('TS-PILE'!$D$56:$D$75))),IF('TS-PILE'!$B$73="",-1E+99,'TO HOP NLAN'!D46/ncoc+IF(SUMSQ('TS-PILE'!$E$56:$E$75)=0,0,'TO HOP NLAN'!E46*'TS-PILE'!$E$73/SUMSQ('TS-PILE'!$E$56:$E$75))+IF(SUMSQ('TS-PILE'!$D$56:$D$75)=0,0,'TO HOP NLAN'!F46*'TS-PILE'!$D$73/SUMSQ('TS-PILE'!$D$56:$D$75))),IF('TS-PILE'!$B$74="",-1E+99,'TO HOP NLAN'!D46/ncoc+IF(SUMSQ('TS-PILE'!$E$56:$E$75)=0,0,'TO HOP NLAN'!E46*'TS-PILE'!$E$74/SUMSQ('TS-PILE'!$E$56:$E$75))+IF(SUMSQ('TS-PILE'!$D$56:$D$75)=0,0,'TO HOP NLAN'!F46*'TS-PILE'!$D$74/SUMSQ('TS-PILE'!$D$56:$D$75))),IF('TS-PILE'!$B$75="",-1E+99,'TO HOP NLAN'!D46/ncoc+IF(SUMSQ('TS-PILE'!$E$56:$E$75)=0,0,'TO HOP NLAN'!E46*'TS-PILE'!$E$75/SUMSQ('TS-PILE'!$E$56:$E$75))+IF(SUMSQ('TS-PILE'!$D$56:$D$75)=0,0,'TO HOP NLAN'!F46*'TS-PILE'!$D$75/SUMSQ('TS-PILE'!$D$56:$D$75)))))</f>
        <v>0</v>
      </c>
      <c r="D46" s="46">
        <f>IF(A46="",0,MIN(IF('TS-PILE'!$B$56="",1E+99,'TO HOP NLAN'!D46/ncoc+IF(SUMSQ('TS-PILE'!$E$56:$E$75)=0,0,'TO HOP NLAN'!E46*'TS-PILE'!$E$56/SUMSQ('TS-PILE'!$E$56:$E$75))+IF(SUMSQ('TS-PILE'!$D$56:$D$75)=0,0,'TO HOP NLAN'!F46*'TS-PILE'!$D$56/SUMSQ('TS-PILE'!$D$56:$D$75))),IF('TS-PILE'!$B$57="",1E+99,'TO HOP NLAN'!D46/ncoc+IF(SUMSQ('TS-PILE'!$E$56:$E$75)=0,0,'TO HOP NLAN'!E46*'TS-PILE'!$E$57/SUMSQ('TS-PILE'!$E$56:$E$75))+IF(SUMSQ('TS-PILE'!$D$56:$D$75)=0,0,'TO HOP NLAN'!F46*'TS-PILE'!$D$57/SUMSQ('TS-PILE'!$D$56:$D$75))),IF('TS-PILE'!$B$58="",1E+99,'TO HOP NLAN'!D46/ncoc+IF(SUMSQ('TS-PILE'!$E$56:$E$75)=0,0,'TO HOP NLAN'!E46*'TS-PILE'!$E$58/SUMSQ('TS-PILE'!$E$56:$E$75))+IF(SUMSQ('TS-PILE'!$D$56:$D$75)=0,0,'TO HOP NLAN'!F46*'TS-PILE'!$D$58/SUMSQ('TS-PILE'!$D$56:$D$75))),IF('TS-PILE'!$B$59="",1E+99,'TO HOP NLAN'!D46/ncoc+IF(SUMSQ('TS-PILE'!$E$56:$E$75)=0,0,'TO HOP NLAN'!E46*'TS-PILE'!$E$59/SUMSQ('TS-PILE'!$E$56:$E$75))+IF(SUMSQ('TS-PILE'!$D$56:$D$75)=0,0,'TO HOP NLAN'!F46*'TS-PILE'!$D$59/SUMSQ('TS-PILE'!$D$56:$D$75))),IF('TS-PILE'!$B$60="",1E+99,'TO HOP NLAN'!D46/ncoc+IF(SUMSQ('TS-PILE'!$E$56:$E$75)=0,0,'TO HOP NLAN'!E46*'TS-PILE'!$E$60/SUMSQ('TS-PILE'!$E$56:$E$75))+IF(SUMSQ('TS-PILE'!$D$56:$D$75)=0,0,'TO HOP NLAN'!F46*'TS-PILE'!$D$60/SUMSQ('TS-PILE'!$D$56:$D$75))),IF('TS-PILE'!$B$61="",1E+99,'TO HOP NLAN'!D46/ncoc+IF(SUMSQ('TS-PILE'!$E$56:$E$75)=0,0,'TO HOP NLAN'!E46*'TS-PILE'!$E$61/SUMSQ('TS-PILE'!$E$56:$E$75))+IF(SUMSQ('TS-PILE'!$D$56:$D$75)=0,0,'TO HOP NLAN'!F46*'TS-PILE'!$D$61/SUMSQ('TS-PILE'!$D$56:$D$75))),IF('TS-PILE'!$B$62="",1E+99,'TO HOP NLAN'!D46/ncoc+IF(SUMSQ('TS-PILE'!$E$56:$E$75)=0,0,'TO HOP NLAN'!E46*'TS-PILE'!$E$62/SUMSQ('TS-PILE'!$E$56:$E$75))+IF(SUMSQ('TS-PILE'!$D$56:$D$75)=0,0,'TO HOP NLAN'!F46*'TS-PILE'!$D$62/SUMSQ('TS-PILE'!$D$56:$D$75))),IF('TS-PILE'!$B$63="",1E+99,'TO HOP NLAN'!D46/ncoc+IF(SUMSQ('TS-PILE'!$E$56:$E$75)=0,0,'TO HOP NLAN'!E46*'TS-PILE'!$E$63/SUMSQ('TS-PILE'!$E$56:$E$75))+IF(SUMSQ('TS-PILE'!$D$56:$D$75)=0,0,'TO HOP NLAN'!F46*'TS-PILE'!$D$63/SUMSQ('TS-PILE'!$D$56:$D$75))),IF('TS-PILE'!$B$64="",1E+99,'TO HOP NLAN'!D46/ncoc+IF(SUMSQ('TS-PILE'!$E$56:$E$75)=0,0,'TO HOP NLAN'!E46*'TS-PILE'!$E$64/SUMSQ('TS-PILE'!$E$56:$E$75))+IF(SUMSQ('TS-PILE'!$D$56:$D$75)=0,0,'TO HOP NLAN'!F46*'TS-PILE'!$D$64/SUMSQ('TS-PILE'!$D$56:$D$75))),IF('TS-PILE'!$B$65="",1E+99,'TO HOP NLAN'!D46/ncoc+IF(SUMSQ('TS-PILE'!$E$56:$E$75)=0,0,'TO HOP NLAN'!E46*'TS-PILE'!$E$65/SUMSQ('TS-PILE'!$E$56:$E$75))+IF(SUMSQ('TS-PILE'!$D$56:$D$75)=0,0,'TO HOP NLAN'!F46*'TS-PILE'!$D$65/SUMSQ('TS-PILE'!$D$56:$D$75))),IF('TS-PILE'!$B$66="",1E+99,'TO HOP NLAN'!D46/ncoc+IF(SUMSQ('TS-PILE'!$E$56:$E$75)=0,0,'TO HOP NLAN'!E46*'TS-PILE'!$E$66/SUMSQ('TS-PILE'!$E$56:$E$75))+IF(SUMSQ('TS-PILE'!$D$56:$D$75)=0,0,'TO HOP NLAN'!F46*'TS-PILE'!$D$66/SUMSQ('TS-PILE'!$D$56:$D$75))),IF('TS-PILE'!$B$67="",1E+99,'TO HOP NLAN'!D46/ncoc+IF(SUMSQ('TS-PILE'!$E$56:$E$75)=0,0,'TO HOP NLAN'!E46*'TS-PILE'!$E$67/SUMSQ('TS-PILE'!$E$56:$E$75))+IF(SUMSQ('TS-PILE'!$D$56:$D$75)=0,0,'TO HOP NLAN'!F46*'TS-PILE'!$D$67/SUMSQ('TS-PILE'!$D$56:$D$75))),IF('TS-PILE'!$B$68="",1E+99,'TO HOP NLAN'!D46/ncoc+IF(SUMSQ('TS-PILE'!$E$56:$E$75)=0,0,'TO HOP NLAN'!E46*'TS-PILE'!$E$68/SUMSQ('TS-PILE'!$E$56:$E$75))+IF(SUMSQ('TS-PILE'!$D$56:$D$75)=0,0,'TO HOP NLAN'!F46*'TS-PILE'!$D$68/SUMSQ('TS-PILE'!$D$56:$D$75))),IF('TS-PILE'!$B$69="",1E+99,'TO HOP NLAN'!D46/ncoc+IF(SUMSQ('TS-PILE'!$E$56:$E$75)=0,0,'TO HOP NLAN'!E46*'TS-PILE'!$E$69/SUMSQ('TS-PILE'!$E$56:$E$75))+IF(SUMSQ('TS-PILE'!$D$56:$D$75)=0,0,'TO HOP NLAN'!F46*'TS-PILE'!$D$69/SUMSQ('TS-PILE'!$D$56:$D$75))),IF('TS-PILE'!$B$70="",1E+99,'TO HOP NLAN'!D46/ncoc+IF(SUMSQ('TS-PILE'!$E$56:$E$75)=0,0,'TO HOP NLAN'!E46*'TS-PILE'!$E$70/SUMSQ('TS-PILE'!$E$56:$E$75))+IF(SUMSQ('TS-PILE'!$D$56:$D$75)=0,0,'TO HOP NLAN'!F46*'TS-PILE'!$D$70/SUMSQ('TS-PILE'!$D$56:$D$75))),IF('TS-PILE'!$B$71="",1E+99,'TO HOP NLAN'!D46/ncoc+IF(SUMSQ('TS-PILE'!$E$56:$E$75)=0,0,'TO HOP NLAN'!E46*'TS-PILE'!$E$71/SUMSQ('TS-PILE'!$E$56:$E$75))+IF(SUMSQ('TS-PILE'!$D$56:$D$75)=0,0,'TO HOP NLAN'!F46*'TS-PILE'!$D$71/SUMSQ('TS-PILE'!$D$56:$D$75))),IF('TS-PILE'!$B$72="",1E+99,'TO HOP NLAN'!D46/ncoc+IF(SUMSQ('TS-PILE'!$E$56:$E$75)=0,0,'TO HOP NLAN'!E46*'TS-PILE'!$E$72/SUMSQ('TS-PILE'!$E$56:$E$75))+IF(SUMSQ('TS-PILE'!$D$56:$D$75)=0,0,'TO HOP NLAN'!F46*'TS-PILE'!$D$72/SUMSQ('TS-PILE'!$D$56:$D$75))),IF('TS-PILE'!$B$73="",1E+99,'TO HOP NLAN'!D46/ncoc+IF(SUMSQ('TS-PILE'!$E$56:$E$75)=0,0,'TO HOP NLAN'!E46*'TS-PILE'!$E$73/SUMSQ('TS-PILE'!$E$56:$E$75))+IF(SUMSQ('TS-PILE'!$D$56:$D$75)=0,0,'TO HOP NLAN'!F46*'TS-PILE'!$D$73/SUMSQ('TS-PILE'!$D$56:$D$75))),IF('TS-PILE'!$B$74="",1E+99,'TO HOP NLAN'!D46/ncoc+IF(SUMSQ('TS-PILE'!$E$56:$E$75)=0,0,'TO HOP NLAN'!E46*'TS-PILE'!$E$74/SUMSQ('TS-PILE'!$E$56:$E$75))+IF(SUMSQ('TS-PILE'!$D$56:$D$75)=0,0,'TO HOP NLAN'!F46*'TS-PILE'!$D$74/SUMSQ('TS-PILE'!$D$56:$D$75))),IF('TS-PILE'!$B$75="",1E+99,'TO HOP NLAN'!D46/ncoc+IF(SUMSQ('TS-PILE'!$E$56:$E$75)=0,0,'TO HOP NLAN'!E46*'TS-PILE'!$E$75/SUMSQ('TS-PILE'!$E$56:$E$75))+IF(SUMSQ('TS-PILE'!$D$56:$D$75)=0,0,'TO HOP NLAN'!F46*'TS-PILE'!$D$75/SUMSQ('TS-PILE'!$D$56:$D$75)))))</f>
        <v>0</v>
      </c>
      <c r="E46" s="46">
        <f t="shared" si="0"/>
        <v>-9.9999999999999997E+98</v>
      </c>
      <c r="F46" s="46">
        <f t="shared" si="1"/>
        <v>9.9999999999999997E+98</v>
      </c>
      <c r="G46" s="46">
        <f t="shared" si="2"/>
        <v>-9.9999999999999997E+98</v>
      </c>
      <c r="H46" s="46">
        <f t="shared" si="3"/>
        <v>9.9999999999999997E+98</v>
      </c>
    </row>
    <row r="47" spans="1:8" x14ac:dyDescent="0.3">
      <c r="A47" s="40" t="str">
        <f>'TO HOP NLAN'!A47</f>
        <v/>
      </c>
      <c r="B47" s="40" t="str">
        <f>'TO HOP NLAN'!L47</f>
        <v>SERVICE</v>
      </c>
      <c r="C47" s="46">
        <f>IF(A47="",0,MAX(IF('TS-PILE'!$B$56="",-1E+99,'TO HOP NLAN'!D47/ncoc+IF(SUMSQ('TS-PILE'!$E$56:$E$75)=0,0,'TO HOP NLAN'!E47*'TS-PILE'!$E$56/SUMSQ('TS-PILE'!$E$56:$E$75))+IF(SUMSQ('TS-PILE'!$D$56:$D$75)=0,0,'TO HOP NLAN'!F47*'TS-PILE'!$D$56/SUMSQ('TS-PILE'!$D$56:$D$75))),IF('TS-PILE'!$B$57="",-1E+99,'TO HOP NLAN'!D47/ncoc+IF(SUMSQ('TS-PILE'!$E$56:$E$75)=0,0,'TO HOP NLAN'!E47*'TS-PILE'!$E$57/SUMSQ('TS-PILE'!$E$56:$E$75))+IF(SUMSQ('TS-PILE'!$D$56:$D$75)=0,0,'TO HOP NLAN'!F47*'TS-PILE'!$D$57/SUMSQ('TS-PILE'!$D$56:$D$75))),IF('TS-PILE'!$B$58="",-1E+99,'TO HOP NLAN'!D47/ncoc+IF(SUMSQ('TS-PILE'!$E$56:$E$75)=0,0,'TO HOP NLAN'!E47*'TS-PILE'!$E$58/SUMSQ('TS-PILE'!$E$56:$E$75))+IF(SUMSQ('TS-PILE'!$D$56:$D$75)=0,0,'TO HOP NLAN'!F47*'TS-PILE'!$D$58/SUMSQ('TS-PILE'!$D$56:$D$75))),IF('TS-PILE'!$B$59="",-1E+99,'TO HOP NLAN'!D47/ncoc+IF(SUMSQ('TS-PILE'!$E$56:$E$75)=0,0,'TO HOP NLAN'!E47*'TS-PILE'!$E$59/SUMSQ('TS-PILE'!$E$56:$E$75))+IF(SUMSQ('TS-PILE'!$D$56:$D$75)=0,0,'TO HOP NLAN'!F47*'TS-PILE'!$D$59/SUMSQ('TS-PILE'!$D$56:$D$75))),IF('TS-PILE'!$B$60="",-1E+99,'TO HOP NLAN'!D47/ncoc+IF(SUMSQ('TS-PILE'!$E$56:$E$75)=0,0,'TO HOP NLAN'!E47*'TS-PILE'!$E$60/SUMSQ('TS-PILE'!$E$56:$E$75))+IF(SUMSQ('TS-PILE'!$D$56:$D$75)=0,0,'TO HOP NLAN'!F47*'TS-PILE'!$D$60/SUMSQ('TS-PILE'!$D$56:$D$75))),IF('TS-PILE'!$B$61="",-1E+99,'TO HOP NLAN'!D47/ncoc+IF(SUMSQ('TS-PILE'!$E$56:$E$75)=0,0,'TO HOP NLAN'!E47*'TS-PILE'!$E$61/SUMSQ('TS-PILE'!$E$56:$E$75))+IF(SUMSQ('TS-PILE'!$D$56:$D$75)=0,0,'TO HOP NLAN'!F47*'TS-PILE'!$D$61/SUMSQ('TS-PILE'!$D$56:$D$75))),IF('TS-PILE'!$B$62="",-1E+99,'TO HOP NLAN'!D47/ncoc+IF(SUMSQ('TS-PILE'!$E$56:$E$75)=0,0,'TO HOP NLAN'!E47*'TS-PILE'!$E$62/SUMSQ('TS-PILE'!$E$56:$E$75))+IF(SUMSQ('TS-PILE'!$D$56:$D$75)=0,0,'TO HOP NLAN'!F47*'TS-PILE'!$D$62/SUMSQ('TS-PILE'!$D$56:$D$75))),IF('TS-PILE'!$B$63="",-1E+99,'TO HOP NLAN'!D47/ncoc+IF(SUMSQ('TS-PILE'!$E$56:$E$75)=0,0,'TO HOP NLAN'!E47*'TS-PILE'!$E$63/SUMSQ('TS-PILE'!$E$56:$E$75))+IF(SUMSQ('TS-PILE'!$D$56:$D$75)=0,0,'TO HOP NLAN'!F47*'TS-PILE'!$D$63/SUMSQ('TS-PILE'!$D$56:$D$75))),IF('TS-PILE'!$B$64="",-1E+99,'TO HOP NLAN'!D47/ncoc+IF(SUMSQ('TS-PILE'!$E$56:$E$75)=0,0,'TO HOP NLAN'!E47*'TS-PILE'!$E$64/SUMSQ('TS-PILE'!$E$56:$E$75))+IF(SUMSQ('TS-PILE'!$D$56:$D$75)=0,0,'TO HOP NLAN'!F47*'TS-PILE'!$D$64/SUMSQ('TS-PILE'!$D$56:$D$75))),IF('TS-PILE'!$B$65="",-1E+99,'TO HOP NLAN'!D47/ncoc+IF(SUMSQ('TS-PILE'!$E$56:$E$75)=0,0,'TO HOP NLAN'!E47*'TS-PILE'!$E$65/SUMSQ('TS-PILE'!$E$56:$E$75))+IF(SUMSQ('TS-PILE'!$D$56:$D$75)=0,0,'TO HOP NLAN'!F47*'TS-PILE'!$D$65/SUMSQ('TS-PILE'!$D$56:$D$75))),IF('TS-PILE'!$B$66="",-1E+99,'TO HOP NLAN'!D47/ncoc+IF(SUMSQ('TS-PILE'!$E$56:$E$75)=0,0,'TO HOP NLAN'!E47*'TS-PILE'!$E$66/SUMSQ('TS-PILE'!$E$56:$E$75))+IF(SUMSQ('TS-PILE'!$D$56:$D$75)=0,0,'TO HOP NLAN'!F47*'TS-PILE'!$D$66/SUMSQ('TS-PILE'!$D$56:$D$75))),IF('TS-PILE'!$B$67="",-1E+99,'TO HOP NLAN'!D47/ncoc+IF(SUMSQ('TS-PILE'!$E$56:$E$75)=0,0,'TO HOP NLAN'!E47*'TS-PILE'!$E$67/SUMSQ('TS-PILE'!$E$56:$E$75))+IF(SUMSQ('TS-PILE'!$D$56:$D$75)=0,0,'TO HOP NLAN'!F47*'TS-PILE'!$D$67/SUMSQ('TS-PILE'!$D$56:$D$75))),IF('TS-PILE'!$B$68="",-1E+99,'TO HOP NLAN'!D47/ncoc+IF(SUMSQ('TS-PILE'!$E$56:$E$75)=0,0,'TO HOP NLAN'!E47*'TS-PILE'!$E$68/SUMSQ('TS-PILE'!$E$56:$E$75))+IF(SUMSQ('TS-PILE'!$D$56:$D$75)=0,0,'TO HOP NLAN'!F47*'TS-PILE'!$D$68/SUMSQ('TS-PILE'!$D$56:$D$75))),IF('TS-PILE'!$B$69="",-1E+99,'TO HOP NLAN'!D47/ncoc+IF(SUMSQ('TS-PILE'!$E$56:$E$75)=0,0,'TO HOP NLAN'!E47*'TS-PILE'!$E$69/SUMSQ('TS-PILE'!$E$56:$E$75))+IF(SUMSQ('TS-PILE'!$D$56:$D$75)=0,0,'TO HOP NLAN'!F47*'TS-PILE'!$D$69/SUMSQ('TS-PILE'!$D$56:$D$75))),IF('TS-PILE'!$B$70="",-1E+99,'TO HOP NLAN'!D47/ncoc+IF(SUMSQ('TS-PILE'!$E$56:$E$75)=0,0,'TO HOP NLAN'!E47*'TS-PILE'!$E$70/SUMSQ('TS-PILE'!$E$56:$E$75))+IF(SUMSQ('TS-PILE'!$D$56:$D$75)=0,0,'TO HOP NLAN'!F47*'TS-PILE'!$D$70/SUMSQ('TS-PILE'!$D$56:$D$75))),IF('TS-PILE'!$B$71="",-1E+99,'TO HOP NLAN'!D47/ncoc+IF(SUMSQ('TS-PILE'!$E$56:$E$75)=0,0,'TO HOP NLAN'!E47*'TS-PILE'!$E$71/SUMSQ('TS-PILE'!$E$56:$E$75))+IF(SUMSQ('TS-PILE'!$D$56:$D$75)=0,0,'TO HOP NLAN'!F47*'TS-PILE'!$D$71/SUMSQ('TS-PILE'!$D$56:$D$75))),IF('TS-PILE'!$B$72="",-1E+99,'TO HOP NLAN'!D47/ncoc+IF(SUMSQ('TS-PILE'!$E$56:$E$75)=0,0,'TO HOP NLAN'!E47*'TS-PILE'!$E$72/SUMSQ('TS-PILE'!$E$56:$E$75))+IF(SUMSQ('TS-PILE'!$D$56:$D$75)=0,0,'TO HOP NLAN'!F47*'TS-PILE'!$D$72/SUMSQ('TS-PILE'!$D$56:$D$75))),IF('TS-PILE'!$B$73="",-1E+99,'TO HOP NLAN'!D47/ncoc+IF(SUMSQ('TS-PILE'!$E$56:$E$75)=0,0,'TO HOP NLAN'!E47*'TS-PILE'!$E$73/SUMSQ('TS-PILE'!$E$56:$E$75))+IF(SUMSQ('TS-PILE'!$D$56:$D$75)=0,0,'TO HOP NLAN'!F47*'TS-PILE'!$D$73/SUMSQ('TS-PILE'!$D$56:$D$75))),IF('TS-PILE'!$B$74="",-1E+99,'TO HOP NLAN'!D47/ncoc+IF(SUMSQ('TS-PILE'!$E$56:$E$75)=0,0,'TO HOP NLAN'!E47*'TS-PILE'!$E$74/SUMSQ('TS-PILE'!$E$56:$E$75))+IF(SUMSQ('TS-PILE'!$D$56:$D$75)=0,0,'TO HOP NLAN'!F47*'TS-PILE'!$D$74/SUMSQ('TS-PILE'!$D$56:$D$75))),IF('TS-PILE'!$B$75="",-1E+99,'TO HOP NLAN'!D47/ncoc+IF(SUMSQ('TS-PILE'!$E$56:$E$75)=0,0,'TO HOP NLAN'!E47*'TS-PILE'!$E$75/SUMSQ('TS-PILE'!$E$56:$E$75))+IF(SUMSQ('TS-PILE'!$D$56:$D$75)=0,0,'TO HOP NLAN'!F47*'TS-PILE'!$D$75/SUMSQ('TS-PILE'!$D$56:$D$75)))))</f>
        <v>0</v>
      </c>
      <c r="D47" s="46">
        <f>IF(A47="",0,MIN(IF('TS-PILE'!$B$56="",1E+99,'TO HOP NLAN'!D47/ncoc+IF(SUMSQ('TS-PILE'!$E$56:$E$75)=0,0,'TO HOP NLAN'!E47*'TS-PILE'!$E$56/SUMSQ('TS-PILE'!$E$56:$E$75))+IF(SUMSQ('TS-PILE'!$D$56:$D$75)=0,0,'TO HOP NLAN'!F47*'TS-PILE'!$D$56/SUMSQ('TS-PILE'!$D$56:$D$75))),IF('TS-PILE'!$B$57="",1E+99,'TO HOP NLAN'!D47/ncoc+IF(SUMSQ('TS-PILE'!$E$56:$E$75)=0,0,'TO HOP NLAN'!E47*'TS-PILE'!$E$57/SUMSQ('TS-PILE'!$E$56:$E$75))+IF(SUMSQ('TS-PILE'!$D$56:$D$75)=0,0,'TO HOP NLAN'!F47*'TS-PILE'!$D$57/SUMSQ('TS-PILE'!$D$56:$D$75))),IF('TS-PILE'!$B$58="",1E+99,'TO HOP NLAN'!D47/ncoc+IF(SUMSQ('TS-PILE'!$E$56:$E$75)=0,0,'TO HOP NLAN'!E47*'TS-PILE'!$E$58/SUMSQ('TS-PILE'!$E$56:$E$75))+IF(SUMSQ('TS-PILE'!$D$56:$D$75)=0,0,'TO HOP NLAN'!F47*'TS-PILE'!$D$58/SUMSQ('TS-PILE'!$D$56:$D$75))),IF('TS-PILE'!$B$59="",1E+99,'TO HOP NLAN'!D47/ncoc+IF(SUMSQ('TS-PILE'!$E$56:$E$75)=0,0,'TO HOP NLAN'!E47*'TS-PILE'!$E$59/SUMSQ('TS-PILE'!$E$56:$E$75))+IF(SUMSQ('TS-PILE'!$D$56:$D$75)=0,0,'TO HOP NLAN'!F47*'TS-PILE'!$D$59/SUMSQ('TS-PILE'!$D$56:$D$75))),IF('TS-PILE'!$B$60="",1E+99,'TO HOP NLAN'!D47/ncoc+IF(SUMSQ('TS-PILE'!$E$56:$E$75)=0,0,'TO HOP NLAN'!E47*'TS-PILE'!$E$60/SUMSQ('TS-PILE'!$E$56:$E$75))+IF(SUMSQ('TS-PILE'!$D$56:$D$75)=0,0,'TO HOP NLAN'!F47*'TS-PILE'!$D$60/SUMSQ('TS-PILE'!$D$56:$D$75))),IF('TS-PILE'!$B$61="",1E+99,'TO HOP NLAN'!D47/ncoc+IF(SUMSQ('TS-PILE'!$E$56:$E$75)=0,0,'TO HOP NLAN'!E47*'TS-PILE'!$E$61/SUMSQ('TS-PILE'!$E$56:$E$75))+IF(SUMSQ('TS-PILE'!$D$56:$D$75)=0,0,'TO HOP NLAN'!F47*'TS-PILE'!$D$61/SUMSQ('TS-PILE'!$D$56:$D$75))),IF('TS-PILE'!$B$62="",1E+99,'TO HOP NLAN'!D47/ncoc+IF(SUMSQ('TS-PILE'!$E$56:$E$75)=0,0,'TO HOP NLAN'!E47*'TS-PILE'!$E$62/SUMSQ('TS-PILE'!$E$56:$E$75))+IF(SUMSQ('TS-PILE'!$D$56:$D$75)=0,0,'TO HOP NLAN'!F47*'TS-PILE'!$D$62/SUMSQ('TS-PILE'!$D$56:$D$75))),IF('TS-PILE'!$B$63="",1E+99,'TO HOP NLAN'!D47/ncoc+IF(SUMSQ('TS-PILE'!$E$56:$E$75)=0,0,'TO HOP NLAN'!E47*'TS-PILE'!$E$63/SUMSQ('TS-PILE'!$E$56:$E$75))+IF(SUMSQ('TS-PILE'!$D$56:$D$75)=0,0,'TO HOP NLAN'!F47*'TS-PILE'!$D$63/SUMSQ('TS-PILE'!$D$56:$D$75))),IF('TS-PILE'!$B$64="",1E+99,'TO HOP NLAN'!D47/ncoc+IF(SUMSQ('TS-PILE'!$E$56:$E$75)=0,0,'TO HOP NLAN'!E47*'TS-PILE'!$E$64/SUMSQ('TS-PILE'!$E$56:$E$75))+IF(SUMSQ('TS-PILE'!$D$56:$D$75)=0,0,'TO HOP NLAN'!F47*'TS-PILE'!$D$64/SUMSQ('TS-PILE'!$D$56:$D$75))),IF('TS-PILE'!$B$65="",1E+99,'TO HOP NLAN'!D47/ncoc+IF(SUMSQ('TS-PILE'!$E$56:$E$75)=0,0,'TO HOP NLAN'!E47*'TS-PILE'!$E$65/SUMSQ('TS-PILE'!$E$56:$E$75))+IF(SUMSQ('TS-PILE'!$D$56:$D$75)=0,0,'TO HOP NLAN'!F47*'TS-PILE'!$D$65/SUMSQ('TS-PILE'!$D$56:$D$75))),IF('TS-PILE'!$B$66="",1E+99,'TO HOP NLAN'!D47/ncoc+IF(SUMSQ('TS-PILE'!$E$56:$E$75)=0,0,'TO HOP NLAN'!E47*'TS-PILE'!$E$66/SUMSQ('TS-PILE'!$E$56:$E$75))+IF(SUMSQ('TS-PILE'!$D$56:$D$75)=0,0,'TO HOP NLAN'!F47*'TS-PILE'!$D$66/SUMSQ('TS-PILE'!$D$56:$D$75))),IF('TS-PILE'!$B$67="",1E+99,'TO HOP NLAN'!D47/ncoc+IF(SUMSQ('TS-PILE'!$E$56:$E$75)=0,0,'TO HOP NLAN'!E47*'TS-PILE'!$E$67/SUMSQ('TS-PILE'!$E$56:$E$75))+IF(SUMSQ('TS-PILE'!$D$56:$D$75)=0,0,'TO HOP NLAN'!F47*'TS-PILE'!$D$67/SUMSQ('TS-PILE'!$D$56:$D$75))),IF('TS-PILE'!$B$68="",1E+99,'TO HOP NLAN'!D47/ncoc+IF(SUMSQ('TS-PILE'!$E$56:$E$75)=0,0,'TO HOP NLAN'!E47*'TS-PILE'!$E$68/SUMSQ('TS-PILE'!$E$56:$E$75))+IF(SUMSQ('TS-PILE'!$D$56:$D$75)=0,0,'TO HOP NLAN'!F47*'TS-PILE'!$D$68/SUMSQ('TS-PILE'!$D$56:$D$75))),IF('TS-PILE'!$B$69="",1E+99,'TO HOP NLAN'!D47/ncoc+IF(SUMSQ('TS-PILE'!$E$56:$E$75)=0,0,'TO HOP NLAN'!E47*'TS-PILE'!$E$69/SUMSQ('TS-PILE'!$E$56:$E$75))+IF(SUMSQ('TS-PILE'!$D$56:$D$75)=0,0,'TO HOP NLAN'!F47*'TS-PILE'!$D$69/SUMSQ('TS-PILE'!$D$56:$D$75))),IF('TS-PILE'!$B$70="",1E+99,'TO HOP NLAN'!D47/ncoc+IF(SUMSQ('TS-PILE'!$E$56:$E$75)=0,0,'TO HOP NLAN'!E47*'TS-PILE'!$E$70/SUMSQ('TS-PILE'!$E$56:$E$75))+IF(SUMSQ('TS-PILE'!$D$56:$D$75)=0,0,'TO HOP NLAN'!F47*'TS-PILE'!$D$70/SUMSQ('TS-PILE'!$D$56:$D$75))),IF('TS-PILE'!$B$71="",1E+99,'TO HOP NLAN'!D47/ncoc+IF(SUMSQ('TS-PILE'!$E$56:$E$75)=0,0,'TO HOP NLAN'!E47*'TS-PILE'!$E$71/SUMSQ('TS-PILE'!$E$56:$E$75))+IF(SUMSQ('TS-PILE'!$D$56:$D$75)=0,0,'TO HOP NLAN'!F47*'TS-PILE'!$D$71/SUMSQ('TS-PILE'!$D$56:$D$75))),IF('TS-PILE'!$B$72="",1E+99,'TO HOP NLAN'!D47/ncoc+IF(SUMSQ('TS-PILE'!$E$56:$E$75)=0,0,'TO HOP NLAN'!E47*'TS-PILE'!$E$72/SUMSQ('TS-PILE'!$E$56:$E$75))+IF(SUMSQ('TS-PILE'!$D$56:$D$75)=0,0,'TO HOP NLAN'!F47*'TS-PILE'!$D$72/SUMSQ('TS-PILE'!$D$56:$D$75))),IF('TS-PILE'!$B$73="",1E+99,'TO HOP NLAN'!D47/ncoc+IF(SUMSQ('TS-PILE'!$E$56:$E$75)=0,0,'TO HOP NLAN'!E47*'TS-PILE'!$E$73/SUMSQ('TS-PILE'!$E$56:$E$75))+IF(SUMSQ('TS-PILE'!$D$56:$D$75)=0,0,'TO HOP NLAN'!F47*'TS-PILE'!$D$73/SUMSQ('TS-PILE'!$D$56:$D$75))),IF('TS-PILE'!$B$74="",1E+99,'TO HOP NLAN'!D47/ncoc+IF(SUMSQ('TS-PILE'!$E$56:$E$75)=0,0,'TO HOP NLAN'!E47*'TS-PILE'!$E$74/SUMSQ('TS-PILE'!$E$56:$E$75))+IF(SUMSQ('TS-PILE'!$D$56:$D$75)=0,0,'TO HOP NLAN'!F47*'TS-PILE'!$D$74/SUMSQ('TS-PILE'!$D$56:$D$75))),IF('TS-PILE'!$B$75="",1E+99,'TO HOP NLAN'!D47/ncoc+IF(SUMSQ('TS-PILE'!$E$56:$E$75)=0,0,'TO HOP NLAN'!E47*'TS-PILE'!$E$75/SUMSQ('TS-PILE'!$E$56:$E$75))+IF(SUMSQ('TS-PILE'!$D$56:$D$75)=0,0,'TO HOP NLAN'!F47*'TS-PILE'!$D$75/SUMSQ('TS-PILE'!$D$56:$D$75)))))</f>
        <v>0</v>
      </c>
      <c r="E47" s="46">
        <f t="shared" si="0"/>
        <v>-9.9999999999999997E+98</v>
      </c>
      <c r="F47" s="46">
        <f t="shared" si="1"/>
        <v>9.9999999999999997E+98</v>
      </c>
      <c r="G47" s="46">
        <f t="shared" si="2"/>
        <v>-9.9999999999999997E+98</v>
      </c>
      <c r="H47" s="46">
        <f t="shared" si="3"/>
        <v>9.9999999999999997E+98</v>
      </c>
    </row>
    <row r="48" spans="1:8" x14ac:dyDescent="0.3">
      <c r="A48" s="40" t="str">
        <f>'TO HOP NLAN'!A48</f>
        <v/>
      </c>
      <c r="B48" s="40" t="str">
        <f>'TO HOP NLAN'!L48</f>
        <v>SERVICE</v>
      </c>
      <c r="C48" s="46">
        <f>IF(A48="",0,MAX(IF('TS-PILE'!$B$56="",-1E+99,'TO HOP NLAN'!D48/ncoc+IF(SUMSQ('TS-PILE'!$E$56:$E$75)=0,0,'TO HOP NLAN'!E48*'TS-PILE'!$E$56/SUMSQ('TS-PILE'!$E$56:$E$75))+IF(SUMSQ('TS-PILE'!$D$56:$D$75)=0,0,'TO HOP NLAN'!F48*'TS-PILE'!$D$56/SUMSQ('TS-PILE'!$D$56:$D$75))),IF('TS-PILE'!$B$57="",-1E+99,'TO HOP NLAN'!D48/ncoc+IF(SUMSQ('TS-PILE'!$E$56:$E$75)=0,0,'TO HOP NLAN'!E48*'TS-PILE'!$E$57/SUMSQ('TS-PILE'!$E$56:$E$75))+IF(SUMSQ('TS-PILE'!$D$56:$D$75)=0,0,'TO HOP NLAN'!F48*'TS-PILE'!$D$57/SUMSQ('TS-PILE'!$D$56:$D$75))),IF('TS-PILE'!$B$58="",-1E+99,'TO HOP NLAN'!D48/ncoc+IF(SUMSQ('TS-PILE'!$E$56:$E$75)=0,0,'TO HOP NLAN'!E48*'TS-PILE'!$E$58/SUMSQ('TS-PILE'!$E$56:$E$75))+IF(SUMSQ('TS-PILE'!$D$56:$D$75)=0,0,'TO HOP NLAN'!F48*'TS-PILE'!$D$58/SUMSQ('TS-PILE'!$D$56:$D$75))),IF('TS-PILE'!$B$59="",-1E+99,'TO HOP NLAN'!D48/ncoc+IF(SUMSQ('TS-PILE'!$E$56:$E$75)=0,0,'TO HOP NLAN'!E48*'TS-PILE'!$E$59/SUMSQ('TS-PILE'!$E$56:$E$75))+IF(SUMSQ('TS-PILE'!$D$56:$D$75)=0,0,'TO HOP NLAN'!F48*'TS-PILE'!$D$59/SUMSQ('TS-PILE'!$D$56:$D$75))),IF('TS-PILE'!$B$60="",-1E+99,'TO HOP NLAN'!D48/ncoc+IF(SUMSQ('TS-PILE'!$E$56:$E$75)=0,0,'TO HOP NLAN'!E48*'TS-PILE'!$E$60/SUMSQ('TS-PILE'!$E$56:$E$75))+IF(SUMSQ('TS-PILE'!$D$56:$D$75)=0,0,'TO HOP NLAN'!F48*'TS-PILE'!$D$60/SUMSQ('TS-PILE'!$D$56:$D$75))),IF('TS-PILE'!$B$61="",-1E+99,'TO HOP NLAN'!D48/ncoc+IF(SUMSQ('TS-PILE'!$E$56:$E$75)=0,0,'TO HOP NLAN'!E48*'TS-PILE'!$E$61/SUMSQ('TS-PILE'!$E$56:$E$75))+IF(SUMSQ('TS-PILE'!$D$56:$D$75)=0,0,'TO HOP NLAN'!F48*'TS-PILE'!$D$61/SUMSQ('TS-PILE'!$D$56:$D$75))),IF('TS-PILE'!$B$62="",-1E+99,'TO HOP NLAN'!D48/ncoc+IF(SUMSQ('TS-PILE'!$E$56:$E$75)=0,0,'TO HOP NLAN'!E48*'TS-PILE'!$E$62/SUMSQ('TS-PILE'!$E$56:$E$75))+IF(SUMSQ('TS-PILE'!$D$56:$D$75)=0,0,'TO HOP NLAN'!F48*'TS-PILE'!$D$62/SUMSQ('TS-PILE'!$D$56:$D$75))),IF('TS-PILE'!$B$63="",-1E+99,'TO HOP NLAN'!D48/ncoc+IF(SUMSQ('TS-PILE'!$E$56:$E$75)=0,0,'TO HOP NLAN'!E48*'TS-PILE'!$E$63/SUMSQ('TS-PILE'!$E$56:$E$75))+IF(SUMSQ('TS-PILE'!$D$56:$D$75)=0,0,'TO HOP NLAN'!F48*'TS-PILE'!$D$63/SUMSQ('TS-PILE'!$D$56:$D$75))),IF('TS-PILE'!$B$64="",-1E+99,'TO HOP NLAN'!D48/ncoc+IF(SUMSQ('TS-PILE'!$E$56:$E$75)=0,0,'TO HOP NLAN'!E48*'TS-PILE'!$E$64/SUMSQ('TS-PILE'!$E$56:$E$75))+IF(SUMSQ('TS-PILE'!$D$56:$D$75)=0,0,'TO HOP NLAN'!F48*'TS-PILE'!$D$64/SUMSQ('TS-PILE'!$D$56:$D$75))),IF('TS-PILE'!$B$65="",-1E+99,'TO HOP NLAN'!D48/ncoc+IF(SUMSQ('TS-PILE'!$E$56:$E$75)=0,0,'TO HOP NLAN'!E48*'TS-PILE'!$E$65/SUMSQ('TS-PILE'!$E$56:$E$75))+IF(SUMSQ('TS-PILE'!$D$56:$D$75)=0,0,'TO HOP NLAN'!F48*'TS-PILE'!$D$65/SUMSQ('TS-PILE'!$D$56:$D$75))),IF('TS-PILE'!$B$66="",-1E+99,'TO HOP NLAN'!D48/ncoc+IF(SUMSQ('TS-PILE'!$E$56:$E$75)=0,0,'TO HOP NLAN'!E48*'TS-PILE'!$E$66/SUMSQ('TS-PILE'!$E$56:$E$75))+IF(SUMSQ('TS-PILE'!$D$56:$D$75)=0,0,'TO HOP NLAN'!F48*'TS-PILE'!$D$66/SUMSQ('TS-PILE'!$D$56:$D$75))),IF('TS-PILE'!$B$67="",-1E+99,'TO HOP NLAN'!D48/ncoc+IF(SUMSQ('TS-PILE'!$E$56:$E$75)=0,0,'TO HOP NLAN'!E48*'TS-PILE'!$E$67/SUMSQ('TS-PILE'!$E$56:$E$75))+IF(SUMSQ('TS-PILE'!$D$56:$D$75)=0,0,'TO HOP NLAN'!F48*'TS-PILE'!$D$67/SUMSQ('TS-PILE'!$D$56:$D$75))),IF('TS-PILE'!$B$68="",-1E+99,'TO HOP NLAN'!D48/ncoc+IF(SUMSQ('TS-PILE'!$E$56:$E$75)=0,0,'TO HOP NLAN'!E48*'TS-PILE'!$E$68/SUMSQ('TS-PILE'!$E$56:$E$75))+IF(SUMSQ('TS-PILE'!$D$56:$D$75)=0,0,'TO HOP NLAN'!F48*'TS-PILE'!$D$68/SUMSQ('TS-PILE'!$D$56:$D$75))),IF('TS-PILE'!$B$69="",-1E+99,'TO HOP NLAN'!D48/ncoc+IF(SUMSQ('TS-PILE'!$E$56:$E$75)=0,0,'TO HOP NLAN'!E48*'TS-PILE'!$E$69/SUMSQ('TS-PILE'!$E$56:$E$75))+IF(SUMSQ('TS-PILE'!$D$56:$D$75)=0,0,'TO HOP NLAN'!F48*'TS-PILE'!$D$69/SUMSQ('TS-PILE'!$D$56:$D$75))),IF('TS-PILE'!$B$70="",-1E+99,'TO HOP NLAN'!D48/ncoc+IF(SUMSQ('TS-PILE'!$E$56:$E$75)=0,0,'TO HOP NLAN'!E48*'TS-PILE'!$E$70/SUMSQ('TS-PILE'!$E$56:$E$75))+IF(SUMSQ('TS-PILE'!$D$56:$D$75)=0,0,'TO HOP NLAN'!F48*'TS-PILE'!$D$70/SUMSQ('TS-PILE'!$D$56:$D$75))),IF('TS-PILE'!$B$71="",-1E+99,'TO HOP NLAN'!D48/ncoc+IF(SUMSQ('TS-PILE'!$E$56:$E$75)=0,0,'TO HOP NLAN'!E48*'TS-PILE'!$E$71/SUMSQ('TS-PILE'!$E$56:$E$75))+IF(SUMSQ('TS-PILE'!$D$56:$D$75)=0,0,'TO HOP NLAN'!F48*'TS-PILE'!$D$71/SUMSQ('TS-PILE'!$D$56:$D$75))),IF('TS-PILE'!$B$72="",-1E+99,'TO HOP NLAN'!D48/ncoc+IF(SUMSQ('TS-PILE'!$E$56:$E$75)=0,0,'TO HOP NLAN'!E48*'TS-PILE'!$E$72/SUMSQ('TS-PILE'!$E$56:$E$75))+IF(SUMSQ('TS-PILE'!$D$56:$D$75)=0,0,'TO HOP NLAN'!F48*'TS-PILE'!$D$72/SUMSQ('TS-PILE'!$D$56:$D$75))),IF('TS-PILE'!$B$73="",-1E+99,'TO HOP NLAN'!D48/ncoc+IF(SUMSQ('TS-PILE'!$E$56:$E$75)=0,0,'TO HOP NLAN'!E48*'TS-PILE'!$E$73/SUMSQ('TS-PILE'!$E$56:$E$75))+IF(SUMSQ('TS-PILE'!$D$56:$D$75)=0,0,'TO HOP NLAN'!F48*'TS-PILE'!$D$73/SUMSQ('TS-PILE'!$D$56:$D$75))),IF('TS-PILE'!$B$74="",-1E+99,'TO HOP NLAN'!D48/ncoc+IF(SUMSQ('TS-PILE'!$E$56:$E$75)=0,0,'TO HOP NLAN'!E48*'TS-PILE'!$E$74/SUMSQ('TS-PILE'!$E$56:$E$75))+IF(SUMSQ('TS-PILE'!$D$56:$D$75)=0,0,'TO HOP NLAN'!F48*'TS-PILE'!$D$74/SUMSQ('TS-PILE'!$D$56:$D$75))),IF('TS-PILE'!$B$75="",-1E+99,'TO HOP NLAN'!D48/ncoc+IF(SUMSQ('TS-PILE'!$E$56:$E$75)=0,0,'TO HOP NLAN'!E48*'TS-PILE'!$E$75/SUMSQ('TS-PILE'!$E$56:$E$75))+IF(SUMSQ('TS-PILE'!$D$56:$D$75)=0,0,'TO HOP NLAN'!F48*'TS-PILE'!$D$75/SUMSQ('TS-PILE'!$D$56:$D$75)))))</f>
        <v>0</v>
      </c>
      <c r="D48" s="46">
        <f>IF(A48="",0,MIN(IF('TS-PILE'!$B$56="",1E+99,'TO HOP NLAN'!D48/ncoc+IF(SUMSQ('TS-PILE'!$E$56:$E$75)=0,0,'TO HOP NLAN'!E48*'TS-PILE'!$E$56/SUMSQ('TS-PILE'!$E$56:$E$75))+IF(SUMSQ('TS-PILE'!$D$56:$D$75)=0,0,'TO HOP NLAN'!F48*'TS-PILE'!$D$56/SUMSQ('TS-PILE'!$D$56:$D$75))),IF('TS-PILE'!$B$57="",1E+99,'TO HOP NLAN'!D48/ncoc+IF(SUMSQ('TS-PILE'!$E$56:$E$75)=0,0,'TO HOP NLAN'!E48*'TS-PILE'!$E$57/SUMSQ('TS-PILE'!$E$56:$E$75))+IF(SUMSQ('TS-PILE'!$D$56:$D$75)=0,0,'TO HOP NLAN'!F48*'TS-PILE'!$D$57/SUMSQ('TS-PILE'!$D$56:$D$75))),IF('TS-PILE'!$B$58="",1E+99,'TO HOP NLAN'!D48/ncoc+IF(SUMSQ('TS-PILE'!$E$56:$E$75)=0,0,'TO HOP NLAN'!E48*'TS-PILE'!$E$58/SUMSQ('TS-PILE'!$E$56:$E$75))+IF(SUMSQ('TS-PILE'!$D$56:$D$75)=0,0,'TO HOP NLAN'!F48*'TS-PILE'!$D$58/SUMSQ('TS-PILE'!$D$56:$D$75))),IF('TS-PILE'!$B$59="",1E+99,'TO HOP NLAN'!D48/ncoc+IF(SUMSQ('TS-PILE'!$E$56:$E$75)=0,0,'TO HOP NLAN'!E48*'TS-PILE'!$E$59/SUMSQ('TS-PILE'!$E$56:$E$75))+IF(SUMSQ('TS-PILE'!$D$56:$D$75)=0,0,'TO HOP NLAN'!F48*'TS-PILE'!$D$59/SUMSQ('TS-PILE'!$D$56:$D$75))),IF('TS-PILE'!$B$60="",1E+99,'TO HOP NLAN'!D48/ncoc+IF(SUMSQ('TS-PILE'!$E$56:$E$75)=0,0,'TO HOP NLAN'!E48*'TS-PILE'!$E$60/SUMSQ('TS-PILE'!$E$56:$E$75))+IF(SUMSQ('TS-PILE'!$D$56:$D$75)=0,0,'TO HOP NLAN'!F48*'TS-PILE'!$D$60/SUMSQ('TS-PILE'!$D$56:$D$75))),IF('TS-PILE'!$B$61="",1E+99,'TO HOP NLAN'!D48/ncoc+IF(SUMSQ('TS-PILE'!$E$56:$E$75)=0,0,'TO HOP NLAN'!E48*'TS-PILE'!$E$61/SUMSQ('TS-PILE'!$E$56:$E$75))+IF(SUMSQ('TS-PILE'!$D$56:$D$75)=0,0,'TO HOP NLAN'!F48*'TS-PILE'!$D$61/SUMSQ('TS-PILE'!$D$56:$D$75))),IF('TS-PILE'!$B$62="",1E+99,'TO HOP NLAN'!D48/ncoc+IF(SUMSQ('TS-PILE'!$E$56:$E$75)=0,0,'TO HOP NLAN'!E48*'TS-PILE'!$E$62/SUMSQ('TS-PILE'!$E$56:$E$75))+IF(SUMSQ('TS-PILE'!$D$56:$D$75)=0,0,'TO HOP NLAN'!F48*'TS-PILE'!$D$62/SUMSQ('TS-PILE'!$D$56:$D$75))),IF('TS-PILE'!$B$63="",1E+99,'TO HOP NLAN'!D48/ncoc+IF(SUMSQ('TS-PILE'!$E$56:$E$75)=0,0,'TO HOP NLAN'!E48*'TS-PILE'!$E$63/SUMSQ('TS-PILE'!$E$56:$E$75))+IF(SUMSQ('TS-PILE'!$D$56:$D$75)=0,0,'TO HOP NLAN'!F48*'TS-PILE'!$D$63/SUMSQ('TS-PILE'!$D$56:$D$75))),IF('TS-PILE'!$B$64="",1E+99,'TO HOP NLAN'!D48/ncoc+IF(SUMSQ('TS-PILE'!$E$56:$E$75)=0,0,'TO HOP NLAN'!E48*'TS-PILE'!$E$64/SUMSQ('TS-PILE'!$E$56:$E$75))+IF(SUMSQ('TS-PILE'!$D$56:$D$75)=0,0,'TO HOP NLAN'!F48*'TS-PILE'!$D$64/SUMSQ('TS-PILE'!$D$56:$D$75))),IF('TS-PILE'!$B$65="",1E+99,'TO HOP NLAN'!D48/ncoc+IF(SUMSQ('TS-PILE'!$E$56:$E$75)=0,0,'TO HOP NLAN'!E48*'TS-PILE'!$E$65/SUMSQ('TS-PILE'!$E$56:$E$75))+IF(SUMSQ('TS-PILE'!$D$56:$D$75)=0,0,'TO HOP NLAN'!F48*'TS-PILE'!$D$65/SUMSQ('TS-PILE'!$D$56:$D$75))),IF('TS-PILE'!$B$66="",1E+99,'TO HOP NLAN'!D48/ncoc+IF(SUMSQ('TS-PILE'!$E$56:$E$75)=0,0,'TO HOP NLAN'!E48*'TS-PILE'!$E$66/SUMSQ('TS-PILE'!$E$56:$E$75))+IF(SUMSQ('TS-PILE'!$D$56:$D$75)=0,0,'TO HOP NLAN'!F48*'TS-PILE'!$D$66/SUMSQ('TS-PILE'!$D$56:$D$75))),IF('TS-PILE'!$B$67="",1E+99,'TO HOP NLAN'!D48/ncoc+IF(SUMSQ('TS-PILE'!$E$56:$E$75)=0,0,'TO HOP NLAN'!E48*'TS-PILE'!$E$67/SUMSQ('TS-PILE'!$E$56:$E$75))+IF(SUMSQ('TS-PILE'!$D$56:$D$75)=0,0,'TO HOP NLAN'!F48*'TS-PILE'!$D$67/SUMSQ('TS-PILE'!$D$56:$D$75))),IF('TS-PILE'!$B$68="",1E+99,'TO HOP NLAN'!D48/ncoc+IF(SUMSQ('TS-PILE'!$E$56:$E$75)=0,0,'TO HOP NLAN'!E48*'TS-PILE'!$E$68/SUMSQ('TS-PILE'!$E$56:$E$75))+IF(SUMSQ('TS-PILE'!$D$56:$D$75)=0,0,'TO HOP NLAN'!F48*'TS-PILE'!$D$68/SUMSQ('TS-PILE'!$D$56:$D$75))),IF('TS-PILE'!$B$69="",1E+99,'TO HOP NLAN'!D48/ncoc+IF(SUMSQ('TS-PILE'!$E$56:$E$75)=0,0,'TO HOP NLAN'!E48*'TS-PILE'!$E$69/SUMSQ('TS-PILE'!$E$56:$E$75))+IF(SUMSQ('TS-PILE'!$D$56:$D$75)=0,0,'TO HOP NLAN'!F48*'TS-PILE'!$D$69/SUMSQ('TS-PILE'!$D$56:$D$75))),IF('TS-PILE'!$B$70="",1E+99,'TO HOP NLAN'!D48/ncoc+IF(SUMSQ('TS-PILE'!$E$56:$E$75)=0,0,'TO HOP NLAN'!E48*'TS-PILE'!$E$70/SUMSQ('TS-PILE'!$E$56:$E$75))+IF(SUMSQ('TS-PILE'!$D$56:$D$75)=0,0,'TO HOP NLAN'!F48*'TS-PILE'!$D$70/SUMSQ('TS-PILE'!$D$56:$D$75))),IF('TS-PILE'!$B$71="",1E+99,'TO HOP NLAN'!D48/ncoc+IF(SUMSQ('TS-PILE'!$E$56:$E$75)=0,0,'TO HOP NLAN'!E48*'TS-PILE'!$E$71/SUMSQ('TS-PILE'!$E$56:$E$75))+IF(SUMSQ('TS-PILE'!$D$56:$D$75)=0,0,'TO HOP NLAN'!F48*'TS-PILE'!$D$71/SUMSQ('TS-PILE'!$D$56:$D$75))),IF('TS-PILE'!$B$72="",1E+99,'TO HOP NLAN'!D48/ncoc+IF(SUMSQ('TS-PILE'!$E$56:$E$75)=0,0,'TO HOP NLAN'!E48*'TS-PILE'!$E$72/SUMSQ('TS-PILE'!$E$56:$E$75))+IF(SUMSQ('TS-PILE'!$D$56:$D$75)=0,0,'TO HOP NLAN'!F48*'TS-PILE'!$D$72/SUMSQ('TS-PILE'!$D$56:$D$75))),IF('TS-PILE'!$B$73="",1E+99,'TO HOP NLAN'!D48/ncoc+IF(SUMSQ('TS-PILE'!$E$56:$E$75)=0,0,'TO HOP NLAN'!E48*'TS-PILE'!$E$73/SUMSQ('TS-PILE'!$E$56:$E$75))+IF(SUMSQ('TS-PILE'!$D$56:$D$75)=0,0,'TO HOP NLAN'!F48*'TS-PILE'!$D$73/SUMSQ('TS-PILE'!$D$56:$D$75))),IF('TS-PILE'!$B$74="",1E+99,'TO HOP NLAN'!D48/ncoc+IF(SUMSQ('TS-PILE'!$E$56:$E$75)=0,0,'TO HOP NLAN'!E48*'TS-PILE'!$E$74/SUMSQ('TS-PILE'!$E$56:$E$75))+IF(SUMSQ('TS-PILE'!$D$56:$D$75)=0,0,'TO HOP NLAN'!F48*'TS-PILE'!$D$74/SUMSQ('TS-PILE'!$D$56:$D$75))),IF('TS-PILE'!$B$75="",1E+99,'TO HOP NLAN'!D48/ncoc+IF(SUMSQ('TS-PILE'!$E$56:$E$75)=0,0,'TO HOP NLAN'!E48*'TS-PILE'!$E$75/SUMSQ('TS-PILE'!$E$56:$E$75))+IF(SUMSQ('TS-PILE'!$D$56:$D$75)=0,0,'TO HOP NLAN'!F48*'TS-PILE'!$D$75/SUMSQ('TS-PILE'!$D$56:$D$75)))))</f>
        <v>0</v>
      </c>
      <c r="E48" s="46">
        <f t="shared" si="0"/>
        <v>-9.9999999999999997E+98</v>
      </c>
      <c r="F48" s="46">
        <f t="shared" si="1"/>
        <v>9.9999999999999997E+98</v>
      </c>
      <c r="G48" s="46">
        <f t="shared" si="2"/>
        <v>-9.9999999999999997E+98</v>
      </c>
      <c r="H48" s="46">
        <f t="shared" si="3"/>
        <v>9.9999999999999997E+98</v>
      </c>
    </row>
    <row r="49" spans="1:8" x14ac:dyDescent="0.3">
      <c r="A49" s="40" t="str">
        <f>'TO HOP NLAN'!A49</f>
        <v/>
      </c>
      <c r="B49" s="40" t="str">
        <f>'TO HOP NLAN'!L49</f>
        <v>SERVICE</v>
      </c>
      <c r="C49" s="46">
        <f>IF(A49="",0,MAX(IF('TS-PILE'!$B$56="",-1E+99,'TO HOP NLAN'!D49/ncoc+IF(SUMSQ('TS-PILE'!$E$56:$E$75)=0,0,'TO HOP NLAN'!E49*'TS-PILE'!$E$56/SUMSQ('TS-PILE'!$E$56:$E$75))+IF(SUMSQ('TS-PILE'!$D$56:$D$75)=0,0,'TO HOP NLAN'!F49*'TS-PILE'!$D$56/SUMSQ('TS-PILE'!$D$56:$D$75))),IF('TS-PILE'!$B$57="",-1E+99,'TO HOP NLAN'!D49/ncoc+IF(SUMSQ('TS-PILE'!$E$56:$E$75)=0,0,'TO HOP NLAN'!E49*'TS-PILE'!$E$57/SUMSQ('TS-PILE'!$E$56:$E$75))+IF(SUMSQ('TS-PILE'!$D$56:$D$75)=0,0,'TO HOP NLAN'!F49*'TS-PILE'!$D$57/SUMSQ('TS-PILE'!$D$56:$D$75))),IF('TS-PILE'!$B$58="",-1E+99,'TO HOP NLAN'!D49/ncoc+IF(SUMSQ('TS-PILE'!$E$56:$E$75)=0,0,'TO HOP NLAN'!E49*'TS-PILE'!$E$58/SUMSQ('TS-PILE'!$E$56:$E$75))+IF(SUMSQ('TS-PILE'!$D$56:$D$75)=0,0,'TO HOP NLAN'!F49*'TS-PILE'!$D$58/SUMSQ('TS-PILE'!$D$56:$D$75))),IF('TS-PILE'!$B$59="",-1E+99,'TO HOP NLAN'!D49/ncoc+IF(SUMSQ('TS-PILE'!$E$56:$E$75)=0,0,'TO HOP NLAN'!E49*'TS-PILE'!$E$59/SUMSQ('TS-PILE'!$E$56:$E$75))+IF(SUMSQ('TS-PILE'!$D$56:$D$75)=0,0,'TO HOP NLAN'!F49*'TS-PILE'!$D$59/SUMSQ('TS-PILE'!$D$56:$D$75))),IF('TS-PILE'!$B$60="",-1E+99,'TO HOP NLAN'!D49/ncoc+IF(SUMSQ('TS-PILE'!$E$56:$E$75)=0,0,'TO HOP NLAN'!E49*'TS-PILE'!$E$60/SUMSQ('TS-PILE'!$E$56:$E$75))+IF(SUMSQ('TS-PILE'!$D$56:$D$75)=0,0,'TO HOP NLAN'!F49*'TS-PILE'!$D$60/SUMSQ('TS-PILE'!$D$56:$D$75))),IF('TS-PILE'!$B$61="",-1E+99,'TO HOP NLAN'!D49/ncoc+IF(SUMSQ('TS-PILE'!$E$56:$E$75)=0,0,'TO HOP NLAN'!E49*'TS-PILE'!$E$61/SUMSQ('TS-PILE'!$E$56:$E$75))+IF(SUMSQ('TS-PILE'!$D$56:$D$75)=0,0,'TO HOP NLAN'!F49*'TS-PILE'!$D$61/SUMSQ('TS-PILE'!$D$56:$D$75))),IF('TS-PILE'!$B$62="",-1E+99,'TO HOP NLAN'!D49/ncoc+IF(SUMSQ('TS-PILE'!$E$56:$E$75)=0,0,'TO HOP NLAN'!E49*'TS-PILE'!$E$62/SUMSQ('TS-PILE'!$E$56:$E$75))+IF(SUMSQ('TS-PILE'!$D$56:$D$75)=0,0,'TO HOP NLAN'!F49*'TS-PILE'!$D$62/SUMSQ('TS-PILE'!$D$56:$D$75))),IF('TS-PILE'!$B$63="",-1E+99,'TO HOP NLAN'!D49/ncoc+IF(SUMSQ('TS-PILE'!$E$56:$E$75)=0,0,'TO HOP NLAN'!E49*'TS-PILE'!$E$63/SUMSQ('TS-PILE'!$E$56:$E$75))+IF(SUMSQ('TS-PILE'!$D$56:$D$75)=0,0,'TO HOP NLAN'!F49*'TS-PILE'!$D$63/SUMSQ('TS-PILE'!$D$56:$D$75))),IF('TS-PILE'!$B$64="",-1E+99,'TO HOP NLAN'!D49/ncoc+IF(SUMSQ('TS-PILE'!$E$56:$E$75)=0,0,'TO HOP NLAN'!E49*'TS-PILE'!$E$64/SUMSQ('TS-PILE'!$E$56:$E$75))+IF(SUMSQ('TS-PILE'!$D$56:$D$75)=0,0,'TO HOP NLAN'!F49*'TS-PILE'!$D$64/SUMSQ('TS-PILE'!$D$56:$D$75))),IF('TS-PILE'!$B$65="",-1E+99,'TO HOP NLAN'!D49/ncoc+IF(SUMSQ('TS-PILE'!$E$56:$E$75)=0,0,'TO HOP NLAN'!E49*'TS-PILE'!$E$65/SUMSQ('TS-PILE'!$E$56:$E$75))+IF(SUMSQ('TS-PILE'!$D$56:$D$75)=0,0,'TO HOP NLAN'!F49*'TS-PILE'!$D$65/SUMSQ('TS-PILE'!$D$56:$D$75))),IF('TS-PILE'!$B$66="",-1E+99,'TO HOP NLAN'!D49/ncoc+IF(SUMSQ('TS-PILE'!$E$56:$E$75)=0,0,'TO HOP NLAN'!E49*'TS-PILE'!$E$66/SUMSQ('TS-PILE'!$E$56:$E$75))+IF(SUMSQ('TS-PILE'!$D$56:$D$75)=0,0,'TO HOP NLAN'!F49*'TS-PILE'!$D$66/SUMSQ('TS-PILE'!$D$56:$D$75))),IF('TS-PILE'!$B$67="",-1E+99,'TO HOP NLAN'!D49/ncoc+IF(SUMSQ('TS-PILE'!$E$56:$E$75)=0,0,'TO HOP NLAN'!E49*'TS-PILE'!$E$67/SUMSQ('TS-PILE'!$E$56:$E$75))+IF(SUMSQ('TS-PILE'!$D$56:$D$75)=0,0,'TO HOP NLAN'!F49*'TS-PILE'!$D$67/SUMSQ('TS-PILE'!$D$56:$D$75))),IF('TS-PILE'!$B$68="",-1E+99,'TO HOP NLAN'!D49/ncoc+IF(SUMSQ('TS-PILE'!$E$56:$E$75)=0,0,'TO HOP NLAN'!E49*'TS-PILE'!$E$68/SUMSQ('TS-PILE'!$E$56:$E$75))+IF(SUMSQ('TS-PILE'!$D$56:$D$75)=0,0,'TO HOP NLAN'!F49*'TS-PILE'!$D$68/SUMSQ('TS-PILE'!$D$56:$D$75))),IF('TS-PILE'!$B$69="",-1E+99,'TO HOP NLAN'!D49/ncoc+IF(SUMSQ('TS-PILE'!$E$56:$E$75)=0,0,'TO HOP NLAN'!E49*'TS-PILE'!$E$69/SUMSQ('TS-PILE'!$E$56:$E$75))+IF(SUMSQ('TS-PILE'!$D$56:$D$75)=0,0,'TO HOP NLAN'!F49*'TS-PILE'!$D$69/SUMSQ('TS-PILE'!$D$56:$D$75))),IF('TS-PILE'!$B$70="",-1E+99,'TO HOP NLAN'!D49/ncoc+IF(SUMSQ('TS-PILE'!$E$56:$E$75)=0,0,'TO HOP NLAN'!E49*'TS-PILE'!$E$70/SUMSQ('TS-PILE'!$E$56:$E$75))+IF(SUMSQ('TS-PILE'!$D$56:$D$75)=0,0,'TO HOP NLAN'!F49*'TS-PILE'!$D$70/SUMSQ('TS-PILE'!$D$56:$D$75))),IF('TS-PILE'!$B$71="",-1E+99,'TO HOP NLAN'!D49/ncoc+IF(SUMSQ('TS-PILE'!$E$56:$E$75)=0,0,'TO HOP NLAN'!E49*'TS-PILE'!$E$71/SUMSQ('TS-PILE'!$E$56:$E$75))+IF(SUMSQ('TS-PILE'!$D$56:$D$75)=0,0,'TO HOP NLAN'!F49*'TS-PILE'!$D$71/SUMSQ('TS-PILE'!$D$56:$D$75))),IF('TS-PILE'!$B$72="",-1E+99,'TO HOP NLAN'!D49/ncoc+IF(SUMSQ('TS-PILE'!$E$56:$E$75)=0,0,'TO HOP NLAN'!E49*'TS-PILE'!$E$72/SUMSQ('TS-PILE'!$E$56:$E$75))+IF(SUMSQ('TS-PILE'!$D$56:$D$75)=0,0,'TO HOP NLAN'!F49*'TS-PILE'!$D$72/SUMSQ('TS-PILE'!$D$56:$D$75))),IF('TS-PILE'!$B$73="",-1E+99,'TO HOP NLAN'!D49/ncoc+IF(SUMSQ('TS-PILE'!$E$56:$E$75)=0,0,'TO HOP NLAN'!E49*'TS-PILE'!$E$73/SUMSQ('TS-PILE'!$E$56:$E$75))+IF(SUMSQ('TS-PILE'!$D$56:$D$75)=0,0,'TO HOP NLAN'!F49*'TS-PILE'!$D$73/SUMSQ('TS-PILE'!$D$56:$D$75))),IF('TS-PILE'!$B$74="",-1E+99,'TO HOP NLAN'!D49/ncoc+IF(SUMSQ('TS-PILE'!$E$56:$E$75)=0,0,'TO HOP NLAN'!E49*'TS-PILE'!$E$74/SUMSQ('TS-PILE'!$E$56:$E$75))+IF(SUMSQ('TS-PILE'!$D$56:$D$75)=0,0,'TO HOP NLAN'!F49*'TS-PILE'!$D$74/SUMSQ('TS-PILE'!$D$56:$D$75))),IF('TS-PILE'!$B$75="",-1E+99,'TO HOP NLAN'!D49/ncoc+IF(SUMSQ('TS-PILE'!$E$56:$E$75)=0,0,'TO HOP NLAN'!E49*'TS-PILE'!$E$75/SUMSQ('TS-PILE'!$E$56:$E$75))+IF(SUMSQ('TS-PILE'!$D$56:$D$75)=0,0,'TO HOP NLAN'!F49*'TS-PILE'!$D$75/SUMSQ('TS-PILE'!$D$56:$D$75)))))</f>
        <v>0</v>
      </c>
      <c r="D49" s="46">
        <f>IF(A49="",0,MIN(IF('TS-PILE'!$B$56="",1E+99,'TO HOP NLAN'!D49/ncoc+IF(SUMSQ('TS-PILE'!$E$56:$E$75)=0,0,'TO HOP NLAN'!E49*'TS-PILE'!$E$56/SUMSQ('TS-PILE'!$E$56:$E$75))+IF(SUMSQ('TS-PILE'!$D$56:$D$75)=0,0,'TO HOP NLAN'!F49*'TS-PILE'!$D$56/SUMSQ('TS-PILE'!$D$56:$D$75))),IF('TS-PILE'!$B$57="",1E+99,'TO HOP NLAN'!D49/ncoc+IF(SUMSQ('TS-PILE'!$E$56:$E$75)=0,0,'TO HOP NLAN'!E49*'TS-PILE'!$E$57/SUMSQ('TS-PILE'!$E$56:$E$75))+IF(SUMSQ('TS-PILE'!$D$56:$D$75)=0,0,'TO HOP NLAN'!F49*'TS-PILE'!$D$57/SUMSQ('TS-PILE'!$D$56:$D$75))),IF('TS-PILE'!$B$58="",1E+99,'TO HOP NLAN'!D49/ncoc+IF(SUMSQ('TS-PILE'!$E$56:$E$75)=0,0,'TO HOP NLAN'!E49*'TS-PILE'!$E$58/SUMSQ('TS-PILE'!$E$56:$E$75))+IF(SUMSQ('TS-PILE'!$D$56:$D$75)=0,0,'TO HOP NLAN'!F49*'TS-PILE'!$D$58/SUMSQ('TS-PILE'!$D$56:$D$75))),IF('TS-PILE'!$B$59="",1E+99,'TO HOP NLAN'!D49/ncoc+IF(SUMSQ('TS-PILE'!$E$56:$E$75)=0,0,'TO HOP NLAN'!E49*'TS-PILE'!$E$59/SUMSQ('TS-PILE'!$E$56:$E$75))+IF(SUMSQ('TS-PILE'!$D$56:$D$75)=0,0,'TO HOP NLAN'!F49*'TS-PILE'!$D$59/SUMSQ('TS-PILE'!$D$56:$D$75))),IF('TS-PILE'!$B$60="",1E+99,'TO HOP NLAN'!D49/ncoc+IF(SUMSQ('TS-PILE'!$E$56:$E$75)=0,0,'TO HOP NLAN'!E49*'TS-PILE'!$E$60/SUMSQ('TS-PILE'!$E$56:$E$75))+IF(SUMSQ('TS-PILE'!$D$56:$D$75)=0,0,'TO HOP NLAN'!F49*'TS-PILE'!$D$60/SUMSQ('TS-PILE'!$D$56:$D$75))),IF('TS-PILE'!$B$61="",1E+99,'TO HOP NLAN'!D49/ncoc+IF(SUMSQ('TS-PILE'!$E$56:$E$75)=0,0,'TO HOP NLAN'!E49*'TS-PILE'!$E$61/SUMSQ('TS-PILE'!$E$56:$E$75))+IF(SUMSQ('TS-PILE'!$D$56:$D$75)=0,0,'TO HOP NLAN'!F49*'TS-PILE'!$D$61/SUMSQ('TS-PILE'!$D$56:$D$75))),IF('TS-PILE'!$B$62="",1E+99,'TO HOP NLAN'!D49/ncoc+IF(SUMSQ('TS-PILE'!$E$56:$E$75)=0,0,'TO HOP NLAN'!E49*'TS-PILE'!$E$62/SUMSQ('TS-PILE'!$E$56:$E$75))+IF(SUMSQ('TS-PILE'!$D$56:$D$75)=0,0,'TO HOP NLAN'!F49*'TS-PILE'!$D$62/SUMSQ('TS-PILE'!$D$56:$D$75))),IF('TS-PILE'!$B$63="",1E+99,'TO HOP NLAN'!D49/ncoc+IF(SUMSQ('TS-PILE'!$E$56:$E$75)=0,0,'TO HOP NLAN'!E49*'TS-PILE'!$E$63/SUMSQ('TS-PILE'!$E$56:$E$75))+IF(SUMSQ('TS-PILE'!$D$56:$D$75)=0,0,'TO HOP NLAN'!F49*'TS-PILE'!$D$63/SUMSQ('TS-PILE'!$D$56:$D$75))),IF('TS-PILE'!$B$64="",1E+99,'TO HOP NLAN'!D49/ncoc+IF(SUMSQ('TS-PILE'!$E$56:$E$75)=0,0,'TO HOP NLAN'!E49*'TS-PILE'!$E$64/SUMSQ('TS-PILE'!$E$56:$E$75))+IF(SUMSQ('TS-PILE'!$D$56:$D$75)=0,0,'TO HOP NLAN'!F49*'TS-PILE'!$D$64/SUMSQ('TS-PILE'!$D$56:$D$75))),IF('TS-PILE'!$B$65="",1E+99,'TO HOP NLAN'!D49/ncoc+IF(SUMSQ('TS-PILE'!$E$56:$E$75)=0,0,'TO HOP NLAN'!E49*'TS-PILE'!$E$65/SUMSQ('TS-PILE'!$E$56:$E$75))+IF(SUMSQ('TS-PILE'!$D$56:$D$75)=0,0,'TO HOP NLAN'!F49*'TS-PILE'!$D$65/SUMSQ('TS-PILE'!$D$56:$D$75))),IF('TS-PILE'!$B$66="",1E+99,'TO HOP NLAN'!D49/ncoc+IF(SUMSQ('TS-PILE'!$E$56:$E$75)=0,0,'TO HOP NLAN'!E49*'TS-PILE'!$E$66/SUMSQ('TS-PILE'!$E$56:$E$75))+IF(SUMSQ('TS-PILE'!$D$56:$D$75)=0,0,'TO HOP NLAN'!F49*'TS-PILE'!$D$66/SUMSQ('TS-PILE'!$D$56:$D$75))),IF('TS-PILE'!$B$67="",1E+99,'TO HOP NLAN'!D49/ncoc+IF(SUMSQ('TS-PILE'!$E$56:$E$75)=0,0,'TO HOP NLAN'!E49*'TS-PILE'!$E$67/SUMSQ('TS-PILE'!$E$56:$E$75))+IF(SUMSQ('TS-PILE'!$D$56:$D$75)=0,0,'TO HOP NLAN'!F49*'TS-PILE'!$D$67/SUMSQ('TS-PILE'!$D$56:$D$75))),IF('TS-PILE'!$B$68="",1E+99,'TO HOP NLAN'!D49/ncoc+IF(SUMSQ('TS-PILE'!$E$56:$E$75)=0,0,'TO HOP NLAN'!E49*'TS-PILE'!$E$68/SUMSQ('TS-PILE'!$E$56:$E$75))+IF(SUMSQ('TS-PILE'!$D$56:$D$75)=0,0,'TO HOP NLAN'!F49*'TS-PILE'!$D$68/SUMSQ('TS-PILE'!$D$56:$D$75))),IF('TS-PILE'!$B$69="",1E+99,'TO HOP NLAN'!D49/ncoc+IF(SUMSQ('TS-PILE'!$E$56:$E$75)=0,0,'TO HOP NLAN'!E49*'TS-PILE'!$E$69/SUMSQ('TS-PILE'!$E$56:$E$75))+IF(SUMSQ('TS-PILE'!$D$56:$D$75)=0,0,'TO HOP NLAN'!F49*'TS-PILE'!$D$69/SUMSQ('TS-PILE'!$D$56:$D$75))),IF('TS-PILE'!$B$70="",1E+99,'TO HOP NLAN'!D49/ncoc+IF(SUMSQ('TS-PILE'!$E$56:$E$75)=0,0,'TO HOP NLAN'!E49*'TS-PILE'!$E$70/SUMSQ('TS-PILE'!$E$56:$E$75))+IF(SUMSQ('TS-PILE'!$D$56:$D$75)=0,0,'TO HOP NLAN'!F49*'TS-PILE'!$D$70/SUMSQ('TS-PILE'!$D$56:$D$75))),IF('TS-PILE'!$B$71="",1E+99,'TO HOP NLAN'!D49/ncoc+IF(SUMSQ('TS-PILE'!$E$56:$E$75)=0,0,'TO HOP NLAN'!E49*'TS-PILE'!$E$71/SUMSQ('TS-PILE'!$E$56:$E$75))+IF(SUMSQ('TS-PILE'!$D$56:$D$75)=0,0,'TO HOP NLAN'!F49*'TS-PILE'!$D$71/SUMSQ('TS-PILE'!$D$56:$D$75))),IF('TS-PILE'!$B$72="",1E+99,'TO HOP NLAN'!D49/ncoc+IF(SUMSQ('TS-PILE'!$E$56:$E$75)=0,0,'TO HOP NLAN'!E49*'TS-PILE'!$E$72/SUMSQ('TS-PILE'!$E$56:$E$75))+IF(SUMSQ('TS-PILE'!$D$56:$D$75)=0,0,'TO HOP NLAN'!F49*'TS-PILE'!$D$72/SUMSQ('TS-PILE'!$D$56:$D$75))),IF('TS-PILE'!$B$73="",1E+99,'TO HOP NLAN'!D49/ncoc+IF(SUMSQ('TS-PILE'!$E$56:$E$75)=0,0,'TO HOP NLAN'!E49*'TS-PILE'!$E$73/SUMSQ('TS-PILE'!$E$56:$E$75))+IF(SUMSQ('TS-PILE'!$D$56:$D$75)=0,0,'TO HOP NLAN'!F49*'TS-PILE'!$D$73/SUMSQ('TS-PILE'!$D$56:$D$75))),IF('TS-PILE'!$B$74="",1E+99,'TO HOP NLAN'!D49/ncoc+IF(SUMSQ('TS-PILE'!$E$56:$E$75)=0,0,'TO HOP NLAN'!E49*'TS-PILE'!$E$74/SUMSQ('TS-PILE'!$E$56:$E$75))+IF(SUMSQ('TS-PILE'!$D$56:$D$75)=0,0,'TO HOP NLAN'!F49*'TS-PILE'!$D$74/SUMSQ('TS-PILE'!$D$56:$D$75))),IF('TS-PILE'!$B$75="",1E+99,'TO HOP NLAN'!D49/ncoc+IF(SUMSQ('TS-PILE'!$E$56:$E$75)=0,0,'TO HOP NLAN'!E49*'TS-PILE'!$E$75/SUMSQ('TS-PILE'!$E$56:$E$75))+IF(SUMSQ('TS-PILE'!$D$56:$D$75)=0,0,'TO HOP NLAN'!F49*'TS-PILE'!$D$75/SUMSQ('TS-PILE'!$D$56:$D$75)))))</f>
        <v>0</v>
      </c>
      <c r="E49" s="46">
        <f t="shared" si="0"/>
        <v>-9.9999999999999997E+98</v>
      </c>
      <c r="F49" s="46">
        <f t="shared" si="1"/>
        <v>9.9999999999999997E+98</v>
      </c>
      <c r="G49" s="46">
        <f t="shared" si="2"/>
        <v>-9.9999999999999997E+98</v>
      </c>
      <c r="H49" s="46">
        <f t="shared" si="3"/>
        <v>9.9999999999999997E+98</v>
      </c>
    </row>
    <row r="50" spans="1:8" x14ac:dyDescent="0.3">
      <c r="A50" s="40" t="str">
        <f>'TO HOP NLAN'!A50</f>
        <v/>
      </c>
      <c r="B50" s="40" t="str">
        <f>'TO HOP NLAN'!L50</f>
        <v>SERVICE</v>
      </c>
      <c r="C50" s="46">
        <f>IF(A50="",0,MAX(IF('TS-PILE'!$B$56="",-1E+99,'TO HOP NLAN'!D50/ncoc+IF(SUMSQ('TS-PILE'!$E$56:$E$75)=0,0,'TO HOP NLAN'!E50*'TS-PILE'!$E$56/SUMSQ('TS-PILE'!$E$56:$E$75))+IF(SUMSQ('TS-PILE'!$D$56:$D$75)=0,0,'TO HOP NLAN'!F50*'TS-PILE'!$D$56/SUMSQ('TS-PILE'!$D$56:$D$75))),IF('TS-PILE'!$B$57="",-1E+99,'TO HOP NLAN'!D50/ncoc+IF(SUMSQ('TS-PILE'!$E$56:$E$75)=0,0,'TO HOP NLAN'!E50*'TS-PILE'!$E$57/SUMSQ('TS-PILE'!$E$56:$E$75))+IF(SUMSQ('TS-PILE'!$D$56:$D$75)=0,0,'TO HOP NLAN'!F50*'TS-PILE'!$D$57/SUMSQ('TS-PILE'!$D$56:$D$75))),IF('TS-PILE'!$B$58="",-1E+99,'TO HOP NLAN'!D50/ncoc+IF(SUMSQ('TS-PILE'!$E$56:$E$75)=0,0,'TO HOP NLAN'!E50*'TS-PILE'!$E$58/SUMSQ('TS-PILE'!$E$56:$E$75))+IF(SUMSQ('TS-PILE'!$D$56:$D$75)=0,0,'TO HOP NLAN'!F50*'TS-PILE'!$D$58/SUMSQ('TS-PILE'!$D$56:$D$75))),IF('TS-PILE'!$B$59="",-1E+99,'TO HOP NLAN'!D50/ncoc+IF(SUMSQ('TS-PILE'!$E$56:$E$75)=0,0,'TO HOP NLAN'!E50*'TS-PILE'!$E$59/SUMSQ('TS-PILE'!$E$56:$E$75))+IF(SUMSQ('TS-PILE'!$D$56:$D$75)=0,0,'TO HOP NLAN'!F50*'TS-PILE'!$D$59/SUMSQ('TS-PILE'!$D$56:$D$75))),IF('TS-PILE'!$B$60="",-1E+99,'TO HOP NLAN'!D50/ncoc+IF(SUMSQ('TS-PILE'!$E$56:$E$75)=0,0,'TO HOP NLAN'!E50*'TS-PILE'!$E$60/SUMSQ('TS-PILE'!$E$56:$E$75))+IF(SUMSQ('TS-PILE'!$D$56:$D$75)=0,0,'TO HOP NLAN'!F50*'TS-PILE'!$D$60/SUMSQ('TS-PILE'!$D$56:$D$75))),IF('TS-PILE'!$B$61="",-1E+99,'TO HOP NLAN'!D50/ncoc+IF(SUMSQ('TS-PILE'!$E$56:$E$75)=0,0,'TO HOP NLAN'!E50*'TS-PILE'!$E$61/SUMSQ('TS-PILE'!$E$56:$E$75))+IF(SUMSQ('TS-PILE'!$D$56:$D$75)=0,0,'TO HOP NLAN'!F50*'TS-PILE'!$D$61/SUMSQ('TS-PILE'!$D$56:$D$75))),IF('TS-PILE'!$B$62="",-1E+99,'TO HOP NLAN'!D50/ncoc+IF(SUMSQ('TS-PILE'!$E$56:$E$75)=0,0,'TO HOP NLAN'!E50*'TS-PILE'!$E$62/SUMSQ('TS-PILE'!$E$56:$E$75))+IF(SUMSQ('TS-PILE'!$D$56:$D$75)=0,0,'TO HOP NLAN'!F50*'TS-PILE'!$D$62/SUMSQ('TS-PILE'!$D$56:$D$75))),IF('TS-PILE'!$B$63="",-1E+99,'TO HOP NLAN'!D50/ncoc+IF(SUMSQ('TS-PILE'!$E$56:$E$75)=0,0,'TO HOP NLAN'!E50*'TS-PILE'!$E$63/SUMSQ('TS-PILE'!$E$56:$E$75))+IF(SUMSQ('TS-PILE'!$D$56:$D$75)=0,0,'TO HOP NLAN'!F50*'TS-PILE'!$D$63/SUMSQ('TS-PILE'!$D$56:$D$75))),IF('TS-PILE'!$B$64="",-1E+99,'TO HOP NLAN'!D50/ncoc+IF(SUMSQ('TS-PILE'!$E$56:$E$75)=0,0,'TO HOP NLAN'!E50*'TS-PILE'!$E$64/SUMSQ('TS-PILE'!$E$56:$E$75))+IF(SUMSQ('TS-PILE'!$D$56:$D$75)=0,0,'TO HOP NLAN'!F50*'TS-PILE'!$D$64/SUMSQ('TS-PILE'!$D$56:$D$75))),IF('TS-PILE'!$B$65="",-1E+99,'TO HOP NLAN'!D50/ncoc+IF(SUMSQ('TS-PILE'!$E$56:$E$75)=0,0,'TO HOP NLAN'!E50*'TS-PILE'!$E$65/SUMSQ('TS-PILE'!$E$56:$E$75))+IF(SUMSQ('TS-PILE'!$D$56:$D$75)=0,0,'TO HOP NLAN'!F50*'TS-PILE'!$D$65/SUMSQ('TS-PILE'!$D$56:$D$75))),IF('TS-PILE'!$B$66="",-1E+99,'TO HOP NLAN'!D50/ncoc+IF(SUMSQ('TS-PILE'!$E$56:$E$75)=0,0,'TO HOP NLAN'!E50*'TS-PILE'!$E$66/SUMSQ('TS-PILE'!$E$56:$E$75))+IF(SUMSQ('TS-PILE'!$D$56:$D$75)=0,0,'TO HOP NLAN'!F50*'TS-PILE'!$D$66/SUMSQ('TS-PILE'!$D$56:$D$75))),IF('TS-PILE'!$B$67="",-1E+99,'TO HOP NLAN'!D50/ncoc+IF(SUMSQ('TS-PILE'!$E$56:$E$75)=0,0,'TO HOP NLAN'!E50*'TS-PILE'!$E$67/SUMSQ('TS-PILE'!$E$56:$E$75))+IF(SUMSQ('TS-PILE'!$D$56:$D$75)=0,0,'TO HOP NLAN'!F50*'TS-PILE'!$D$67/SUMSQ('TS-PILE'!$D$56:$D$75))),IF('TS-PILE'!$B$68="",-1E+99,'TO HOP NLAN'!D50/ncoc+IF(SUMSQ('TS-PILE'!$E$56:$E$75)=0,0,'TO HOP NLAN'!E50*'TS-PILE'!$E$68/SUMSQ('TS-PILE'!$E$56:$E$75))+IF(SUMSQ('TS-PILE'!$D$56:$D$75)=0,0,'TO HOP NLAN'!F50*'TS-PILE'!$D$68/SUMSQ('TS-PILE'!$D$56:$D$75))),IF('TS-PILE'!$B$69="",-1E+99,'TO HOP NLAN'!D50/ncoc+IF(SUMSQ('TS-PILE'!$E$56:$E$75)=0,0,'TO HOP NLAN'!E50*'TS-PILE'!$E$69/SUMSQ('TS-PILE'!$E$56:$E$75))+IF(SUMSQ('TS-PILE'!$D$56:$D$75)=0,0,'TO HOP NLAN'!F50*'TS-PILE'!$D$69/SUMSQ('TS-PILE'!$D$56:$D$75))),IF('TS-PILE'!$B$70="",-1E+99,'TO HOP NLAN'!D50/ncoc+IF(SUMSQ('TS-PILE'!$E$56:$E$75)=0,0,'TO HOP NLAN'!E50*'TS-PILE'!$E$70/SUMSQ('TS-PILE'!$E$56:$E$75))+IF(SUMSQ('TS-PILE'!$D$56:$D$75)=0,0,'TO HOP NLAN'!F50*'TS-PILE'!$D$70/SUMSQ('TS-PILE'!$D$56:$D$75))),IF('TS-PILE'!$B$71="",-1E+99,'TO HOP NLAN'!D50/ncoc+IF(SUMSQ('TS-PILE'!$E$56:$E$75)=0,0,'TO HOP NLAN'!E50*'TS-PILE'!$E$71/SUMSQ('TS-PILE'!$E$56:$E$75))+IF(SUMSQ('TS-PILE'!$D$56:$D$75)=0,0,'TO HOP NLAN'!F50*'TS-PILE'!$D$71/SUMSQ('TS-PILE'!$D$56:$D$75))),IF('TS-PILE'!$B$72="",-1E+99,'TO HOP NLAN'!D50/ncoc+IF(SUMSQ('TS-PILE'!$E$56:$E$75)=0,0,'TO HOP NLAN'!E50*'TS-PILE'!$E$72/SUMSQ('TS-PILE'!$E$56:$E$75))+IF(SUMSQ('TS-PILE'!$D$56:$D$75)=0,0,'TO HOP NLAN'!F50*'TS-PILE'!$D$72/SUMSQ('TS-PILE'!$D$56:$D$75))),IF('TS-PILE'!$B$73="",-1E+99,'TO HOP NLAN'!D50/ncoc+IF(SUMSQ('TS-PILE'!$E$56:$E$75)=0,0,'TO HOP NLAN'!E50*'TS-PILE'!$E$73/SUMSQ('TS-PILE'!$E$56:$E$75))+IF(SUMSQ('TS-PILE'!$D$56:$D$75)=0,0,'TO HOP NLAN'!F50*'TS-PILE'!$D$73/SUMSQ('TS-PILE'!$D$56:$D$75))),IF('TS-PILE'!$B$74="",-1E+99,'TO HOP NLAN'!D50/ncoc+IF(SUMSQ('TS-PILE'!$E$56:$E$75)=0,0,'TO HOP NLAN'!E50*'TS-PILE'!$E$74/SUMSQ('TS-PILE'!$E$56:$E$75))+IF(SUMSQ('TS-PILE'!$D$56:$D$75)=0,0,'TO HOP NLAN'!F50*'TS-PILE'!$D$74/SUMSQ('TS-PILE'!$D$56:$D$75))),IF('TS-PILE'!$B$75="",-1E+99,'TO HOP NLAN'!D50/ncoc+IF(SUMSQ('TS-PILE'!$E$56:$E$75)=0,0,'TO HOP NLAN'!E50*'TS-PILE'!$E$75/SUMSQ('TS-PILE'!$E$56:$E$75))+IF(SUMSQ('TS-PILE'!$D$56:$D$75)=0,0,'TO HOP NLAN'!F50*'TS-PILE'!$D$75/SUMSQ('TS-PILE'!$D$56:$D$75)))))</f>
        <v>0</v>
      </c>
      <c r="D50" s="46">
        <f>IF(A50="",0,MIN(IF('TS-PILE'!$B$56="",1E+99,'TO HOP NLAN'!D50/ncoc+IF(SUMSQ('TS-PILE'!$E$56:$E$75)=0,0,'TO HOP NLAN'!E50*'TS-PILE'!$E$56/SUMSQ('TS-PILE'!$E$56:$E$75))+IF(SUMSQ('TS-PILE'!$D$56:$D$75)=0,0,'TO HOP NLAN'!F50*'TS-PILE'!$D$56/SUMSQ('TS-PILE'!$D$56:$D$75))),IF('TS-PILE'!$B$57="",1E+99,'TO HOP NLAN'!D50/ncoc+IF(SUMSQ('TS-PILE'!$E$56:$E$75)=0,0,'TO HOP NLAN'!E50*'TS-PILE'!$E$57/SUMSQ('TS-PILE'!$E$56:$E$75))+IF(SUMSQ('TS-PILE'!$D$56:$D$75)=0,0,'TO HOP NLAN'!F50*'TS-PILE'!$D$57/SUMSQ('TS-PILE'!$D$56:$D$75))),IF('TS-PILE'!$B$58="",1E+99,'TO HOP NLAN'!D50/ncoc+IF(SUMSQ('TS-PILE'!$E$56:$E$75)=0,0,'TO HOP NLAN'!E50*'TS-PILE'!$E$58/SUMSQ('TS-PILE'!$E$56:$E$75))+IF(SUMSQ('TS-PILE'!$D$56:$D$75)=0,0,'TO HOP NLAN'!F50*'TS-PILE'!$D$58/SUMSQ('TS-PILE'!$D$56:$D$75))),IF('TS-PILE'!$B$59="",1E+99,'TO HOP NLAN'!D50/ncoc+IF(SUMSQ('TS-PILE'!$E$56:$E$75)=0,0,'TO HOP NLAN'!E50*'TS-PILE'!$E$59/SUMSQ('TS-PILE'!$E$56:$E$75))+IF(SUMSQ('TS-PILE'!$D$56:$D$75)=0,0,'TO HOP NLAN'!F50*'TS-PILE'!$D$59/SUMSQ('TS-PILE'!$D$56:$D$75))),IF('TS-PILE'!$B$60="",1E+99,'TO HOP NLAN'!D50/ncoc+IF(SUMSQ('TS-PILE'!$E$56:$E$75)=0,0,'TO HOP NLAN'!E50*'TS-PILE'!$E$60/SUMSQ('TS-PILE'!$E$56:$E$75))+IF(SUMSQ('TS-PILE'!$D$56:$D$75)=0,0,'TO HOP NLAN'!F50*'TS-PILE'!$D$60/SUMSQ('TS-PILE'!$D$56:$D$75))),IF('TS-PILE'!$B$61="",1E+99,'TO HOP NLAN'!D50/ncoc+IF(SUMSQ('TS-PILE'!$E$56:$E$75)=0,0,'TO HOP NLAN'!E50*'TS-PILE'!$E$61/SUMSQ('TS-PILE'!$E$56:$E$75))+IF(SUMSQ('TS-PILE'!$D$56:$D$75)=0,0,'TO HOP NLAN'!F50*'TS-PILE'!$D$61/SUMSQ('TS-PILE'!$D$56:$D$75))),IF('TS-PILE'!$B$62="",1E+99,'TO HOP NLAN'!D50/ncoc+IF(SUMSQ('TS-PILE'!$E$56:$E$75)=0,0,'TO HOP NLAN'!E50*'TS-PILE'!$E$62/SUMSQ('TS-PILE'!$E$56:$E$75))+IF(SUMSQ('TS-PILE'!$D$56:$D$75)=0,0,'TO HOP NLAN'!F50*'TS-PILE'!$D$62/SUMSQ('TS-PILE'!$D$56:$D$75))),IF('TS-PILE'!$B$63="",1E+99,'TO HOP NLAN'!D50/ncoc+IF(SUMSQ('TS-PILE'!$E$56:$E$75)=0,0,'TO HOP NLAN'!E50*'TS-PILE'!$E$63/SUMSQ('TS-PILE'!$E$56:$E$75))+IF(SUMSQ('TS-PILE'!$D$56:$D$75)=0,0,'TO HOP NLAN'!F50*'TS-PILE'!$D$63/SUMSQ('TS-PILE'!$D$56:$D$75))),IF('TS-PILE'!$B$64="",1E+99,'TO HOP NLAN'!D50/ncoc+IF(SUMSQ('TS-PILE'!$E$56:$E$75)=0,0,'TO HOP NLAN'!E50*'TS-PILE'!$E$64/SUMSQ('TS-PILE'!$E$56:$E$75))+IF(SUMSQ('TS-PILE'!$D$56:$D$75)=0,0,'TO HOP NLAN'!F50*'TS-PILE'!$D$64/SUMSQ('TS-PILE'!$D$56:$D$75))),IF('TS-PILE'!$B$65="",1E+99,'TO HOP NLAN'!D50/ncoc+IF(SUMSQ('TS-PILE'!$E$56:$E$75)=0,0,'TO HOP NLAN'!E50*'TS-PILE'!$E$65/SUMSQ('TS-PILE'!$E$56:$E$75))+IF(SUMSQ('TS-PILE'!$D$56:$D$75)=0,0,'TO HOP NLAN'!F50*'TS-PILE'!$D$65/SUMSQ('TS-PILE'!$D$56:$D$75))),IF('TS-PILE'!$B$66="",1E+99,'TO HOP NLAN'!D50/ncoc+IF(SUMSQ('TS-PILE'!$E$56:$E$75)=0,0,'TO HOP NLAN'!E50*'TS-PILE'!$E$66/SUMSQ('TS-PILE'!$E$56:$E$75))+IF(SUMSQ('TS-PILE'!$D$56:$D$75)=0,0,'TO HOP NLAN'!F50*'TS-PILE'!$D$66/SUMSQ('TS-PILE'!$D$56:$D$75))),IF('TS-PILE'!$B$67="",1E+99,'TO HOP NLAN'!D50/ncoc+IF(SUMSQ('TS-PILE'!$E$56:$E$75)=0,0,'TO HOP NLAN'!E50*'TS-PILE'!$E$67/SUMSQ('TS-PILE'!$E$56:$E$75))+IF(SUMSQ('TS-PILE'!$D$56:$D$75)=0,0,'TO HOP NLAN'!F50*'TS-PILE'!$D$67/SUMSQ('TS-PILE'!$D$56:$D$75))),IF('TS-PILE'!$B$68="",1E+99,'TO HOP NLAN'!D50/ncoc+IF(SUMSQ('TS-PILE'!$E$56:$E$75)=0,0,'TO HOP NLAN'!E50*'TS-PILE'!$E$68/SUMSQ('TS-PILE'!$E$56:$E$75))+IF(SUMSQ('TS-PILE'!$D$56:$D$75)=0,0,'TO HOP NLAN'!F50*'TS-PILE'!$D$68/SUMSQ('TS-PILE'!$D$56:$D$75))),IF('TS-PILE'!$B$69="",1E+99,'TO HOP NLAN'!D50/ncoc+IF(SUMSQ('TS-PILE'!$E$56:$E$75)=0,0,'TO HOP NLAN'!E50*'TS-PILE'!$E$69/SUMSQ('TS-PILE'!$E$56:$E$75))+IF(SUMSQ('TS-PILE'!$D$56:$D$75)=0,0,'TO HOP NLAN'!F50*'TS-PILE'!$D$69/SUMSQ('TS-PILE'!$D$56:$D$75))),IF('TS-PILE'!$B$70="",1E+99,'TO HOP NLAN'!D50/ncoc+IF(SUMSQ('TS-PILE'!$E$56:$E$75)=0,0,'TO HOP NLAN'!E50*'TS-PILE'!$E$70/SUMSQ('TS-PILE'!$E$56:$E$75))+IF(SUMSQ('TS-PILE'!$D$56:$D$75)=0,0,'TO HOP NLAN'!F50*'TS-PILE'!$D$70/SUMSQ('TS-PILE'!$D$56:$D$75))),IF('TS-PILE'!$B$71="",1E+99,'TO HOP NLAN'!D50/ncoc+IF(SUMSQ('TS-PILE'!$E$56:$E$75)=0,0,'TO HOP NLAN'!E50*'TS-PILE'!$E$71/SUMSQ('TS-PILE'!$E$56:$E$75))+IF(SUMSQ('TS-PILE'!$D$56:$D$75)=0,0,'TO HOP NLAN'!F50*'TS-PILE'!$D$71/SUMSQ('TS-PILE'!$D$56:$D$75))),IF('TS-PILE'!$B$72="",1E+99,'TO HOP NLAN'!D50/ncoc+IF(SUMSQ('TS-PILE'!$E$56:$E$75)=0,0,'TO HOP NLAN'!E50*'TS-PILE'!$E$72/SUMSQ('TS-PILE'!$E$56:$E$75))+IF(SUMSQ('TS-PILE'!$D$56:$D$75)=0,0,'TO HOP NLAN'!F50*'TS-PILE'!$D$72/SUMSQ('TS-PILE'!$D$56:$D$75))),IF('TS-PILE'!$B$73="",1E+99,'TO HOP NLAN'!D50/ncoc+IF(SUMSQ('TS-PILE'!$E$56:$E$75)=0,0,'TO HOP NLAN'!E50*'TS-PILE'!$E$73/SUMSQ('TS-PILE'!$E$56:$E$75))+IF(SUMSQ('TS-PILE'!$D$56:$D$75)=0,0,'TO HOP NLAN'!F50*'TS-PILE'!$D$73/SUMSQ('TS-PILE'!$D$56:$D$75))),IF('TS-PILE'!$B$74="",1E+99,'TO HOP NLAN'!D50/ncoc+IF(SUMSQ('TS-PILE'!$E$56:$E$75)=0,0,'TO HOP NLAN'!E50*'TS-PILE'!$E$74/SUMSQ('TS-PILE'!$E$56:$E$75))+IF(SUMSQ('TS-PILE'!$D$56:$D$75)=0,0,'TO HOP NLAN'!F50*'TS-PILE'!$D$74/SUMSQ('TS-PILE'!$D$56:$D$75))),IF('TS-PILE'!$B$75="",1E+99,'TO HOP NLAN'!D50/ncoc+IF(SUMSQ('TS-PILE'!$E$56:$E$75)=0,0,'TO HOP NLAN'!E50*'TS-PILE'!$E$75/SUMSQ('TS-PILE'!$E$56:$E$75))+IF(SUMSQ('TS-PILE'!$D$56:$D$75)=0,0,'TO HOP NLAN'!F50*'TS-PILE'!$D$75/SUMSQ('TS-PILE'!$D$56:$D$75)))))</f>
        <v>0</v>
      </c>
      <c r="E50" s="46">
        <f t="shared" si="0"/>
        <v>-9.9999999999999997E+98</v>
      </c>
      <c r="F50" s="46">
        <f t="shared" si="1"/>
        <v>9.9999999999999997E+98</v>
      </c>
      <c r="G50" s="46">
        <f t="shared" si="2"/>
        <v>-9.9999999999999997E+98</v>
      </c>
      <c r="H50" s="46">
        <f t="shared" si="3"/>
        <v>9.9999999999999997E+98</v>
      </c>
    </row>
    <row r="51" spans="1:8" x14ac:dyDescent="0.3">
      <c r="A51" s="40" t="str">
        <f>'TO HOP NLAN'!A51</f>
        <v/>
      </c>
      <c r="B51" s="40" t="str">
        <f>'TO HOP NLAN'!L51</f>
        <v>SERVICE</v>
      </c>
      <c r="C51" s="46">
        <f>IF(A51="",0,MAX(IF('TS-PILE'!$B$56="",-1E+99,'TO HOP NLAN'!D51/ncoc+IF(SUMSQ('TS-PILE'!$E$56:$E$75)=0,0,'TO HOP NLAN'!E51*'TS-PILE'!$E$56/SUMSQ('TS-PILE'!$E$56:$E$75))+IF(SUMSQ('TS-PILE'!$D$56:$D$75)=0,0,'TO HOP NLAN'!F51*'TS-PILE'!$D$56/SUMSQ('TS-PILE'!$D$56:$D$75))),IF('TS-PILE'!$B$57="",-1E+99,'TO HOP NLAN'!D51/ncoc+IF(SUMSQ('TS-PILE'!$E$56:$E$75)=0,0,'TO HOP NLAN'!E51*'TS-PILE'!$E$57/SUMSQ('TS-PILE'!$E$56:$E$75))+IF(SUMSQ('TS-PILE'!$D$56:$D$75)=0,0,'TO HOP NLAN'!F51*'TS-PILE'!$D$57/SUMSQ('TS-PILE'!$D$56:$D$75))),IF('TS-PILE'!$B$58="",-1E+99,'TO HOP NLAN'!D51/ncoc+IF(SUMSQ('TS-PILE'!$E$56:$E$75)=0,0,'TO HOP NLAN'!E51*'TS-PILE'!$E$58/SUMSQ('TS-PILE'!$E$56:$E$75))+IF(SUMSQ('TS-PILE'!$D$56:$D$75)=0,0,'TO HOP NLAN'!F51*'TS-PILE'!$D$58/SUMSQ('TS-PILE'!$D$56:$D$75))),IF('TS-PILE'!$B$59="",-1E+99,'TO HOP NLAN'!D51/ncoc+IF(SUMSQ('TS-PILE'!$E$56:$E$75)=0,0,'TO HOP NLAN'!E51*'TS-PILE'!$E$59/SUMSQ('TS-PILE'!$E$56:$E$75))+IF(SUMSQ('TS-PILE'!$D$56:$D$75)=0,0,'TO HOP NLAN'!F51*'TS-PILE'!$D$59/SUMSQ('TS-PILE'!$D$56:$D$75))),IF('TS-PILE'!$B$60="",-1E+99,'TO HOP NLAN'!D51/ncoc+IF(SUMSQ('TS-PILE'!$E$56:$E$75)=0,0,'TO HOP NLAN'!E51*'TS-PILE'!$E$60/SUMSQ('TS-PILE'!$E$56:$E$75))+IF(SUMSQ('TS-PILE'!$D$56:$D$75)=0,0,'TO HOP NLAN'!F51*'TS-PILE'!$D$60/SUMSQ('TS-PILE'!$D$56:$D$75))),IF('TS-PILE'!$B$61="",-1E+99,'TO HOP NLAN'!D51/ncoc+IF(SUMSQ('TS-PILE'!$E$56:$E$75)=0,0,'TO HOP NLAN'!E51*'TS-PILE'!$E$61/SUMSQ('TS-PILE'!$E$56:$E$75))+IF(SUMSQ('TS-PILE'!$D$56:$D$75)=0,0,'TO HOP NLAN'!F51*'TS-PILE'!$D$61/SUMSQ('TS-PILE'!$D$56:$D$75))),IF('TS-PILE'!$B$62="",-1E+99,'TO HOP NLAN'!D51/ncoc+IF(SUMSQ('TS-PILE'!$E$56:$E$75)=0,0,'TO HOP NLAN'!E51*'TS-PILE'!$E$62/SUMSQ('TS-PILE'!$E$56:$E$75))+IF(SUMSQ('TS-PILE'!$D$56:$D$75)=0,0,'TO HOP NLAN'!F51*'TS-PILE'!$D$62/SUMSQ('TS-PILE'!$D$56:$D$75))),IF('TS-PILE'!$B$63="",-1E+99,'TO HOP NLAN'!D51/ncoc+IF(SUMSQ('TS-PILE'!$E$56:$E$75)=0,0,'TO HOP NLAN'!E51*'TS-PILE'!$E$63/SUMSQ('TS-PILE'!$E$56:$E$75))+IF(SUMSQ('TS-PILE'!$D$56:$D$75)=0,0,'TO HOP NLAN'!F51*'TS-PILE'!$D$63/SUMSQ('TS-PILE'!$D$56:$D$75))),IF('TS-PILE'!$B$64="",-1E+99,'TO HOP NLAN'!D51/ncoc+IF(SUMSQ('TS-PILE'!$E$56:$E$75)=0,0,'TO HOP NLAN'!E51*'TS-PILE'!$E$64/SUMSQ('TS-PILE'!$E$56:$E$75))+IF(SUMSQ('TS-PILE'!$D$56:$D$75)=0,0,'TO HOP NLAN'!F51*'TS-PILE'!$D$64/SUMSQ('TS-PILE'!$D$56:$D$75))),IF('TS-PILE'!$B$65="",-1E+99,'TO HOP NLAN'!D51/ncoc+IF(SUMSQ('TS-PILE'!$E$56:$E$75)=0,0,'TO HOP NLAN'!E51*'TS-PILE'!$E$65/SUMSQ('TS-PILE'!$E$56:$E$75))+IF(SUMSQ('TS-PILE'!$D$56:$D$75)=0,0,'TO HOP NLAN'!F51*'TS-PILE'!$D$65/SUMSQ('TS-PILE'!$D$56:$D$75))),IF('TS-PILE'!$B$66="",-1E+99,'TO HOP NLAN'!D51/ncoc+IF(SUMSQ('TS-PILE'!$E$56:$E$75)=0,0,'TO HOP NLAN'!E51*'TS-PILE'!$E$66/SUMSQ('TS-PILE'!$E$56:$E$75))+IF(SUMSQ('TS-PILE'!$D$56:$D$75)=0,0,'TO HOP NLAN'!F51*'TS-PILE'!$D$66/SUMSQ('TS-PILE'!$D$56:$D$75))),IF('TS-PILE'!$B$67="",-1E+99,'TO HOP NLAN'!D51/ncoc+IF(SUMSQ('TS-PILE'!$E$56:$E$75)=0,0,'TO HOP NLAN'!E51*'TS-PILE'!$E$67/SUMSQ('TS-PILE'!$E$56:$E$75))+IF(SUMSQ('TS-PILE'!$D$56:$D$75)=0,0,'TO HOP NLAN'!F51*'TS-PILE'!$D$67/SUMSQ('TS-PILE'!$D$56:$D$75))),IF('TS-PILE'!$B$68="",-1E+99,'TO HOP NLAN'!D51/ncoc+IF(SUMSQ('TS-PILE'!$E$56:$E$75)=0,0,'TO HOP NLAN'!E51*'TS-PILE'!$E$68/SUMSQ('TS-PILE'!$E$56:$E$75))+IF(SUMSQ('TS-PILE'!$D$56:$D$75)=0,0,'TO HOP NLAN'!F51*'TS-PILE'!$D$68/SUMSQ('TS-PILE'!$D$56:$D$75))),IF('TS-PILE'!$B$69="",-1E+99,'TO HOP NLAN'!D51/ncoc+IF(SUMSQ('TS-PILE'!$E$56:$E$75)=0,0,'TO HOP NLAN'!E51*'TS-PILE'!$E$69/SUMSQ('TS-PILE'!$E$56:$E$75))+IF(SUMSQ('TS-PILE'!$D$56:$D$75)=0,0,'TO HOP NLAN'!F51*'TS-PILE'!$D$69/SUMSQ('TS-PILE'!$D$56:$D$75))),IF('TS-PILE'!$B$70="",-1E+99,'TO HOP NLAN'!D51/ncoc+IF(SUMSQ('TS-PILE'!$E$56:$E$75)=0,0,'TO HOP NLAN'!E51*'TS-PILE'!$E$70/SUMSQ('TS-PILE'!$E$56:$E$75))+IF(SUMSQ('TS-PILE'!$D$56:$D$75)=0,0,'TO HOP NLAN'!F51*'TS-PILE'!$D$70/SUMSQ('TS-PILE'!$D$56:$D$75))),IF('TS-PILE'!$B$71="",-1E+99,'TO HOP NLAN'!D51/ncoc+IF(SUMSQ('TS-PILE'!$E$56:$E$75)=0,0,'TO HOP NLAN'!E51*'TS-PILE'!$E$71/SUMSQ('TS-PILE'!$E$56:$E$75))+IF(SUMSQ('TS-PILE'!$D$56:$D$75)=0,0,'TO HOP NLAN'!F51*'TS-PILE'!$D$71/SUMSQ('TS-PILE'!$D$56:$D$75))),IF('TS-PILE'!$B$72="",-1E+99,'TO HOP NLAN'!D51/ncoc+IF(SUMSQ('TS-PILE'!$E$56:$E$75)=0,0,'TO HOP NLAN'!E51*'TS-PILE'!$E$72/SUMSQ('TS-PILE'!$E$56:$E$75))+IF(SUMSQ('TS-PILE'!$D$56:$D$75)=0,0,'TO HOP NLAN'!F51*'TS-PILE'!$D$72/SUMSQ('TS-PILE'!$D$56:$D$75))),IF('TS-PILE'!$B$73="",-1E+99,'TO HOP NLAN'!D51/ncoc+IF(SUMSQ('TS-PILE'!$E$56:$E$75)=0,0,'TO HOP NLAN'!E51*'TS-PILE'!$E$73/SUMSQ('TS-PILE'!$E$56:$E$75))+IF(SUMSQ('TS-PILE'!$D$56:$D$75)=0,0,'TO HOP NLAN'!F51*'TS-PILE'!$D$73/SUMSQ('TS-PILE'!$D$56:$D$75))),IF('TS-PILE'!$B$74="",-1E+99,'TO HOP NLAN'!D51/ncoc+IF(SUMSQ('TS-PILE'!$E$56:$E$75)=0,0,'TO HOP NLAN'!E51*'TS-PILE'!$E$74/SUMSQ('TS-PILE'!$E$56:$E$75))+IF(SUMSQ('TS-PILE'!$D$56:$D$75)=0,0,'TO HOP NLAN'!F51*'TS-PILE'!$D$74/SUMSQ('TS-PILE'!$D$56:$D$75))),IF('TS-PILE'!$B$75="",-1E+99,'TO HOP NLAN'!D51/ncoc+IF(SUMSQ('TS-PILE'!$E$56:$E$75)=0,0,'TO HOP NLAN'!E51*'TS-PILE'!$E$75/SUMSQ('TS-PILE'!$E$56:$E$75))+IF(SUMSQ('TS-PILE'!$D$56:$D$75)=0,0,'TO HOP NLAN'!F51*'TS-PILE'!$D$75/SUMSQ('TS-PILE'!$D$56:$D$75)))))</f>
        <v>0</v>
      </c>
      <c r="D51" s="46">
        <f>IF(A51="",0,MIN(IF('TS-PILE'!$B$56="",1E+99,'TO HOP NLAN'!D51/ncoc+IF(SUMSQ('TS-PILE'!$E$56:$E$75)=0,0,'TO HOP NLAN'!E51*'TS-PILE'!$E$56/SUMSQ('TS-PILE'!$E$56:$E$75))+IF(SUMSQ('TS-PILE'!$D$56:$D$75)=0,0,'TO HOP NLAN'!F51*'TS-PILE'!$D$56/SUMSQ('TS-PILE'!$D$56:$D$75))),IF('TS-PILE'!$B$57="",1E+99,'TO HOP NLAN'!D51/ncoc+IF(SUMSQ('TS-PILE'!$E$56:$E$75)=0,0,'TO HOP NLAN'!E51*'TS-PILE'!$E$57/SUMSQ('TS-PILE'!$E$56:$E$75))+IF(SUMSQ('TS-PILE'!$D$56:$D$75)=0,0,'TO HOP NLAN'!F51*'TS-PILE'!$D$57/SUMSQ('TS-PILE'!$D$56:$D$75))),IF('TS-PILE'!$B$58="",1E+99,'TO HOP NLAN'!D51/ncoc+IF(SUMSQ('TS-PILE'!$E$56:$E$75)=0,0,'TO HOP NLAN'!E51*'TS-PILE'!$E$58/SUMSQ('TS-PILE'!$E$56:$E$75))+IF(SUMSQ('TS-PILE'!$D$56:$D$75)=0,0,'TO HOP NLAN'!F51*'TS-PILE'!$D$58/SUMSQ('TS-PILE'!$D$56:$D$75))),IF('TS-PILE'!$B$59="",1E+99,'TO HOP NLAN'!D51/ncoc+IF(SUMSQ('TS-PILE'!$E$56:$E$75)=0,0,'TO HOP NLAN'!E51*'TS-PILE'!$E$59/SUMSQ('TS-PILE'!$E$56:$E$75))+IF(SUMSQ('TS-PILE'!$D$56:$D$75)=0,0,'TO HOP NLAN'!F51*'TS-PILE'!$D$59/SUMSQ('TS-PILE'!$D$56:$D$75))),IF('TS-PILE'!$B$60="",1E+99,'TO HOP NLAN'!D51/ncoc+IF(SUMSQ('TS-PILE'!$E$56:$E$75)=0,0,'TO HOP NLAN'!E51*'TS-PILE'!$E$60/SUMSQ('TS-PILE'!$E$56:$E$75))+IF(SUMSQ('TS-PILE'!$D$56:$D$75)=0,0,'TO HOP NLAN'!F51*'TS-PILE'!$D$60/SUMSQ('TS-PILE'!$D$56:$D$75))),IF('TS-PILE'!$B$61="",1E+99,'TO HOP NLAN'!D51/ncoc+IF(SUMSQ('TS-PILE'!$E$56:$E$75)=0,0,'TO HOP NLAN'!E51*'TS-PILE'!$E$61/SUMSQ('TS-PILE'!$E$56:$E$75))+IF(SUMSQ('TS-PILE'!$D$56:$D$75)=0,0,'TO HOP NLAN'!F51*'TS-PILE'!$D$61/SUMSQ('TS-PILE'!$D$56:$D$75))),IF('TS-PILE'!$B$62="",1E+99,'TO HOP NLAN'!D51/ncoc+IF(SUMSQ('TS-PILE'!$E$56:$E$75)=0,0,'TO HOP NLAN'!E51*'TS-PILE'!$E$62/SUMSQ('TS-PILE'!$E$56:$E$75))+IF(SUMSQ('TS-PILE'!$D$56:$D$75)=0,0,'TO HOP NLAN'!F51*'TS-PILE'!$D$62/SUMSQ('TS-PILE'!$D$56:$D$75))),IF('TS-PILE'!$B$63="",1E+99,'TO HOP NLAN'!D51/ncoc+IF(SUMSQ('TS-PILE'!$E$56:$E$75)=0,0,'TO HOP NLAN'!E51*'TS-PILE'!$E$63/SUMSQ('TS-PILE'!$E$56:$E$75))+IF(SUMSQ('TS-PILE'!$D$56:$D$75)=0,0,'TO HOP NLAN'!F51*'TS-PILE'!$D$63/SUMSQ('TS-PILE'!$D$56:$D$75))),IF('TS-PILE'!$B$64="",1E+99,'TO HOP NLAN'!D51/ncoc+IF(SUMSQ('TS-PILE'!$E$56:$E$75)=0,0,'TO HOP NLAN'!E51*'TS-PILE'!$E$64/SUMSQ('TS-PILE'!$E$56:$E$75))+IF(SUMSQ('TS-PILE'!$D$56:$D$75)=0,0,'TO HOP NLAN'!F51*'TS-PILE'!$D$64/SUMSQ('TS-PILE'!$D$56:$D$75))),IF('TS-PILE'!$B$65="",1E+99,'TO HOP NLAN'!D51/ncoc+IF(SUMSQ('TS-PILE'!$E$56:$E$75)=0,0,'TO HOP NLAN'!E51*'TS-PILE'!$E$65/SUMSQ('TS-PILE'!$E$56:$E$75))+IF(SUMSQ('TS-PILE'!$D$56:$D$75)=0,0,'TO HOP NLAN'!F51*'TS-PILE'!$D$65/SUMSQ('TS-PILE'!$D$56:$D$75))),IF('TS-PILE'!$B$66="",1E+99,'TO HOP NLAN'!D51/ncoc+IF(SUMSQ('TS-PILE'!$E$56:$E$75)=0,0,'TO HOP NLAN'!E51*'TS-PILE'!$E$66/SUMSQ('TS-PILE'!$E$56:$E$75))+IF(SUMSQ('TS-PILE'!$D$56:$D$75)=0,0,'TO HOP NLAN'!F51*'TS-PILE'!$D$66/SUMSQ('TS-PILE'!$D$56:$D$75))),IF('TS-PILE'!$B$67="",1E+99,'TO HOP NLAN'!D51/ncoc+IF(SUMSQ('TS-PILE'!$E$56:$E$75)=0,0,'TO HOP NLAN'!E51*'TS-PILE'!$E$67/SUMSQ('TS-PILE'!$E$56:$E$75))+IF(SUMSQ('TS-PILE'!$D$56:$D$75)=0,0,'TO HOP NLAN'!F51*'TS-PILE'!$D$67/SUMSQ('TS-PILE'!$D$56:$D$75))),IF('TS-PILE'!$B$68="",1E+99,'TO HOP NLAN'!D51/ncoc+IF(SUMSQ('TS-PILE'!$E$56:$E$75)=0,0,'TO HOP NLAN'!E51*'TS-PILE'!$E$68/SUMSQ('TS-PILE'!$E$56:$E$75))+IF(SUMSQ('TS-PILE'!$D$56:$D$75)=0,0,'TO HOP NLAN'!F51*'TS-PILE'!$D$68/SUMSQ('TS-PILE'!$D$56:$D$75))),IF('TS-PILE'!$B$69="",1E+99,'TO HOP NLAN'!D51/ncoc+IF(SUMSQ('TS-PILE'!$E$56:$E$75)=0,0,'TO HOP NLAN'!E51*'TS-PILE'!$E$69/SUMSQ('TS-PILE'!$E$56:$E$75))+IF(SUMSQ('TS-PILE'!$D$56:$D$75)=0,0,'TO HOP NLAN'!F51*'TS-PILE'!$D$69/SUMSQ('TS-PILE'!$D$56:$D$75))),IF('TS-PILE'!$B$70="",1E+99,'TO HOP NLAN'!D51/ncoc+IF(SUMSQ('TS-PILE'!$E$56:$E$75)=0,0,'TO HOP NLAN'!E51*'TS-PILE'!$E$70/SUMSQ('TS-PILE'!$E$56:$E$75))+IF(SUMSQ('TS-PILE'!$D$56:$D$75)=0,0,'TO HOP NLAN'!F51*'TS-PILE'!$D$70/SUMSQ('TS-PILE'!$D$56:$D$75))),IF('TS-PILE'!$B$71="",1E+99,'TO HOP NLAN'!D51/ncoc+IF(SUMSQ('TS-PILE'!$E$56:$E$75)=0,0,'TO HOP NLAN'!E51*'TS-PILE'!$E$71/SUMSQ('TS-PILE'!$E$56:$E$75))+IF(SUMSQ('TS-PILE'!$D$56:$D$75)=0,0,'TO HOP NLAN'!F51*'TS-PILE'!$D$71/SUMSQ('TS-PILE'!$D$56:$D$75))),IF('TS-PILE'!$B$72="",1E+99,'TO HOP NLAN'!D51/ncoc+IF(SUMSQ('TS-PILE'!$E$56:$E$75)=0,0,'TO HOP NLAN'!E51*'TS-PILE'!$E$72/SUMSQ('TS-PILE'!$E$56:$E$75))+IF(SUMSQ('TS-PILE'!$D$56:$D$75)=0,0,'TO HOP NLAN'!F51*'TS-PILE'!$D$72/SUMSQ('TS-PILE'!$D$56:$D$75))),IF('TS-PILE'!$B$73="",1E+99,'TO HOP NLAN'!D51/ncoc+IF(SUMSQ('TS-PILE'!$E$56:$E$75)=0,0,'TO HOP NLAN'!E51*'TS-PILE'!$E$73/SUMSQ('TS-PILE'!$E$56:$E$75))+IF(SUMSQ('TS-PILE'!$D$56:$D$75)=0,0,'TO HOP NLAN'!F51*'TS-PILE'!$D$73/SUMSQ('TS-PILE'!$D$56:$D$75))),IF('TS-PILE'!$B$74="",1E+99,'TO HOP NLAN'!D51/ncoc+IF(SUMSQ('TS-PILE'!$E$56:$E$75)=0,0,'TO HOP NLAN'!E51*'TS-PILE'!$E$74/SUMSQ('TS-PILE'!$E$56:$E$75))+IF(SUMSQ('TS-PILE'!$D$56:$D$75)=0,0,'TO HOP NLAN'!F51*'TS-PILE'!$D$74/SUMSQ('TS-PILE'!$D$56:$D$75))),IF('TS-PILE'!$B$75="",1E+99,'TO HOP NLAN'!D51/ncoc+IF(SUMSQ('TS-PILE'!$E$56:$E$75)=0,0,'TO HOP NLAN'!E51*'TS-PILE'!$E$75/SUMSQ('TS-PILE'!$E$56:$E$75))+IF(SUMSQ('TS-PILE'!$D$56:$D$75)=0,0,'TO HOP NLAN'!F51*'TS-PILE'!$D$75/SUMSQ('TS-PILE'!$D$56:$D$75)))))</f>
        <v>0</v>
      </c>
      <c r="E51" s="46">
        <f t="shared" si="0"/>
        <v>-9.9999999999999997E+98</v>
      </c>
      <c r="F51" s="46">
        <f t="shared" si="1"/>
        <v>9.9999999999999997E+98</v>
      </c>
      <c r="G51" s="46">
        <f t="shared" si="2"/>
        <v>-9.9999999999999997E+98</v>
      </c>
      <c r="H51" s="46">
        <f t="shared" si="3"/>
        <v>9.9999999999999997E+98</v>
      </c>
    </row>
    <row r="52" spans="1:8" x14ac:dyDescent="0.3">
      <c r="A52" s="40" t="str">
        <f>'TO HOP NLAN'!A52</f>
        <v/>
      </c>
      <c r="B52" s="40" t="str">
        <f>'TO HOP NLAN'!L52</f>
        <v>SERVICE</v>
      </c>
      <c r="C52" s="46">
        <f>IF(A52="",0,MAX(IF('TS-PILE'!$B$56="",-1E+99,'TO HOP NLAN'!D52/ncoc+IF(SUMSQ('TS-PILE'!$E$56:$E$75)=0,0,'TO HOP NLAN'!E52*'TS-PILE'!$E$56/SUMSQ('TS-PILE'!$E$56:$E$75))+IF(SUMSQ('TS-PILE'!$D$56:$D$75)=0,0,'TO HOP NLAN'!F52*'TS-PILE'!$D$56/SUMSQ('TS-PILE'!$D$56:$D$75))),IF('TS-PILE'!$B$57="",-1E+99,'TO HOP NLAN'!D52/ncoc+IF(SUMSQ('TS-PILE'!$E$56:$E$75)=0,0,'TO HOP NLAN'!E52*'TS-PILE'!$E$57/SUMSQ('TS-PILE'!$E$56:$E$75))+IF(SUMSQ('TS-PILE'!$D$56:$D$75)=0,0,'TO HOP NLAN'!F52*'TS-PILE'!$D$57/SUMSQ('TS-PILE'!$D$56:$D$75))),IF('TS-PILE'!$B$58="",-1E+99,'TO HOP NLAN'!D52/ncoc+IF(SUMSQ('TS-PILE'!$E$56:$E$75)=0,0,'TO HOP NLAN'!E52*'TS-PILE'!$E$58/SUMSQ('TS-PILE'!$E$56:$E$75))+IF(SUMSQ('TS-PILE'!$D$56:$D$75)=0,0,'TO HOP NLAN'!F52*'TS-PILE'!$D$58/SUMSQ('TS-PILE'!$D$56:$D$75))),IF('TS-PILE'!$B$59="",-1E+99,'TO HOP NLAN'!D52/ncoc+IF(SUMSQ('TS-PILE'!$E$56:$E$75)=0,0,'TO HOP NLAN'!E52*'TS-PILE'!$E$59/SUMSQ('TS-PILE'!$E$56:$E$75))+IF(SUMSQ('TS-PILE'!$D$56:$D$75)=0,0,'TO HOP NLAN'!F52*'TS-PILE'!$D$59/SUMSQ('TS-PILE'!$D$56:$D$75))),IF('TS-PILE'!$B$60="",-1E+99,'TO HOP NLAN'!D52/ncoc+IF(SUMSQ('TS-PILE'!$E$56:$E$75)=0,0,'TO HOP NLAN'!E52*'TS-PILE'!$E$60/SUMSQ('TS-PILE'!$E$56:$E$75))+IF(SUMSQ('TS-PILE'!$D$56:$D$75)=0,0,'TO HOP NLAN'!F52*'TS-PILE'!$D$60/SUMSQ('TS-PILE'!$D$56:$D$75))),IF('TS-PILE'!$B$61="",-1E+99,'TO HOP NLAN'!D52/ncoc+IF(SUMSQ('TS-PILE'!$E$56:$E$75)=0,0,'TO HOP NLAN'!E52*'TS-PILE'!$E$61/SUMSQ('TS-PILE'!$E$56:$E$75))+IF(SUMSQ('TS-PILE'!$D$56:$D$75)=0,0,'TO HOP NLAN'!F52*'TS-PILE'!$D$61/SUMSQ('TS-PILE'!$D$56:$D$75))),IF('TS-PILE'!$B$62="",-1E+99,'TO HOP NLAN'!D52/ncoc+IF(SUMSQ('TS-PILE'!$E$56:$E$75)=0,0,'TO HOP NLAN'!E52*'TS-PILE'!$E$62/SUMSQ('TS-PILE'!$E$56:$E$75))+IF(SUMSQ('TS-PILE'!$D$56:$D$75)=0,0,'TO HOP NLAN'!F52*'TS-PILE'!$D$62/SUMSQ('TS-PILE'!$D$56:$D$75))),IF('TS-PILE'!$B$63="",-1E+99,'TO HOP NLAN'!D52/ncoc+IF(SUMSQ('TS-PILE'!$E$56:$E$75)=0,0,'TO HOP NLAN'!E52*'TS-PILE'!$E$63/SUMSQ('TS-PILE'!$E$56:$E$75))+IF(SUMSQ('TS-PILE'!$D$56:$D$75)=0,0,'TO HOP NLAN'!F52*'TS-PILE'!$D$63/SUMSQ('TS-PILE'!$D$56:$D$75))),IF('TS-PILE'!$B$64="",-1E+99,'TO HOP NLAN'!D52/ncoc+IF(SUMSQ('TS-PILE'!$E$56:$E$75)=0,0,'TO HOP NLAN'!E52*'TS-PILE'!$E$64/SUMSQ('TS-PILE'!$E$56:$E$75))+IF(SUMSQ('TS-PILE'!$D$56:$D$75)=0,0,'TO HOP NLAN'!F52*'TS-PILE'!$D$64/SUMSQ('TS-PILE'!$D$56:$D$75))),IF('TS-PILE'!$B$65="",-1E+99,'TO HOP NLAN'!D52/ncoc+IF(SUMSQ('TS-PILE'!$E$56:$E$75)=0,0,'TO HOP NLAN'!E52*'TS-PILE'!$E$65/SUMSQ('TS-PILE'!$E$56:$E$75))+IF(SUMSQ('TS-PILE'!$D$56:$D$75)=0,0,'TO HOP NLAN'!F52*'TS-PILE'!$D$65/SUMSQ('TS-PILE'!$D$56:$D$75))),IF('TS-PILE'!$B$66="",-1E+99,'TO HOP NLAN'!D52/ncoc+IF(SUMSQ('TS-PILE'!$E$56:$E$75)=0,0,'TO HOP NLAN'!E52*'TS-PILE'!$E$66/SUMSQ('TS-PILE'!$E$56:$E$75))+IF(SUMSQ('TS-PILE'!$D$56:$D$75)=0,0,'TO HOP NLAN'!F52*'TS-PILE'!$D$66/SUMSQ('TS-PILE'!$D$56:$D$75))),IF('TS-PILE'!$B$67="",-1E+99,'TO HOP NLAN'!D52/ncoc+IF(SUMSQ('TS-PILE'!$E$56:$E$75)=0,0,'TO HOP NLAN'!E52*'TS-PILE'!$E$67/SUMSQ('TS-PILE'!$E$56:$E$75))+IF(SUMSQ('TS-PILE'!$D$56:$D$75)=0,0,'TO HOP NLAN'!F52*'TS-PILE'!$D$67/SUMSQ('TS-PILE'!$D$56:$D$75))),IF('TS-PILE'!$B$68="",-1E+99,'TO HOP NLAN'!D52/ncoc+IF(SUMSQ('TS-PILE'!$E$56:$E$75)=0,0,'TO HOP NLAN'!E52*'TS-PILE'!$E$68/SUMSQ('TS-PILE'!$E$56:$E$75))+IF(SUMSQ('TS-PILE'!$D$56:$D$75)=0,0,'TO HOP NLAN'!F52*'TS-PILE'!$D$68/SUMSQ('TS-PILE'!$D$56:$D$75))),IF('TS-PILE'!$B$69="",-1E+99,'TO HOP NLAN'!D52/ncoc+IF(SUMSQ('TS-PILE'!$E$56:$E$75)=0,0,'TO HOP NLAN'!E52*'TS-PILE'!$E$69/SUMSQ('TS-PILE'!$E$56:$E$75))+IF(SUMSQ('TS-PILE'!$D$56:$D$75)=0,0,'TO HOP NLAN'!F52*'TS-PILE'!$D$69/SUMSQ('TS-PILE'!$D$56:$D$75))),IF('TS-PILE'!$B$70="",-1E+99,'TO HOP NLAN'!D52/ncoc+IF(SUMSQ('TS-PILE'!$E$56:$E$75)=0,0,'TO HOP NLAN'!E52*'TS-PILE'!$E$70/SUMSQ('TS-PILE'!$E$56:$E$75))+IF(SUMSQ('TS-PILE'!$D$56:$D$75)=0,0,'TO HOP NLAN'!F52*'TS-PILE'!$D$70/SUMSQ('TS-PILE'!$D$56:$D$75))),IF('TS-PILE'!$B$71="",-1E+99,'TO HOP NLAN'!D52/ncoc+IF(SUMSQ('TS-PILE'!$E$56:$E$75)=0,0,'TO HOP NLAN'!E52*'TS-PILE'!$E$71/SUMSQ('TS-PILE'!$E$56:$E$75))+IF(SUMSQ('TS-PILE'!$D$56:$D$75)=0,0,'TO HOP NLAN'!F52*'TS-PILE'!$D$71/SUMSQ('TS-PILE'!$D$56:$D$75))),IF('TS-PILE'!$B$72="",-1E+99,'TO HOP NLAN'!D52/ncoc+IF(SUMSQ('TS-PILE'!$E$56:$E$75)=0,0,'TO HOP NLAN'!E52*'TS-PILE'!$E$72/SUMSQ('TS-PILE'!$E$56:$E$75))+IF(SUMSQ('TS-PILE'!$D$56:$D$75)=0,0,'TO HOP NLAN'!F52*'TS-PILE'!$D$72/SUMSQ('TS-PILE'!$D$56:$D$75))),IF('TS-PILE'!$B$73="",-1E+99,'TO HOP NLAN'!D52/ncoc+IF(SUMSQ('TS-PILE'!$E$56:$E$75)=0,0,'TO HOP NLAN'!E52*'TS-PILE'!$E$73/SUMSQ('TS-PILE'!$E$56:$E$75))+IF(SUMSQ('TS-PILE'!$D$56:$D$75)=0,0,'TO HOP NLAN'!F52*'TS-PILE'!$D$73/SUMSQ('TS-PILE'!$D$56:$D$75))),IF('TS-PILE'!$B$74="",-1E+99,'TO HOP NLAN'!D52/ncoc+IF(SUMSQ('TS-PILE'!$E$56:$E$75)=0,0,'TO HOP NLAN'!E52*'TS-PILE'!$E$74/SUMSQ('TS-PILE'!$E$56:$E$75))+IF(SUMSQ('TS-PILE'!$D$56:$D$75)=0,0,'TO HOP NLAN'!F52*'TS-PILE'!$D$74/SUMSQ('TS-PILE'!$D$56:$D$75))),IF('TS-PILE'!$B$75="",-1E+99,'TO HOP NLAN'!D52/ncoc+IF(SUMSQ('TS-PILE'!$E$56:$E$75)=0,0,'TO HOP NLAN'!E52*'TS-PILE'!$E$75/SUMSQ('TS-PILE'!$E$56:$E$75))+IF(SUMSQ('TS-PILE'!$D$56:$D$75)=0,0,'TO HOP NLAN'!F52*'TS-PILE'!$D$75/SUMSQ('TS-PILE'!$D$56:$D$75)))))</f>
        <v>0</v>
      </c>
      <c r="D52" s="46">
        <f>IF(A52="",0,MIN(IF('TS-PILE'!$B$56="",1E+99,'TO HOP NLAN'!D52/ncoc+IF(SUMSQ('TS-PILE'!$E$56:$E$75)=0,0,'TO HOP NLAN'!E52*'TS-PILE'!$E$56/SUMSQ('TS-PILE'!$E$56:$E$75))+IF(SUMSQ('TS-PILE'!$D$56:$D$75)=0,0,'TO HOP NLAN'!F52*'TS-PILE'!$D$56/SUMSQ('TS-PILE'!$D$56:$D$75))),IF('TS-PILE'!$B$57="",1E+99,'TO HOP NLAN'!D52/ncoc+IF(SUMSQ('TS-PILE'!$E$56:$E$75)=0,0,'TO HOP NLAN'!E52*'TS-PILE'!$E$57/SUMSQ('TS-PILE'!$E$56:$E$75))+IF(SUMSQ('TS-PILE'!$D$56:$D$75)=0,0,'TO HOP NLAN'!F52*'TS-PILE'!$D$57/SUMSQ('TS-PILE'!$D$56:$D$75))),IF('TS-PILE'!$B$58="",1E+99,'TO HOP NLAN'!D52/ncoc+IF(SUMSQ('TS-PILE'!$E$56:$E$75)=0,0,'TO HOP NLAN'!E52*'TS-PILE'!$E$58/SUMSQ('TS-PILE'!$E$56:$E$75))+IF(SUMSQ('TS-PILE'!$D$56:$D$75)=0,0,'TO HOP NLAN'!F52*'TS-PILE'!$D$58/SUMSQ('TS-PILE'!$D$56:$D$75))),IF('TS-PILE'!$B$59="",1E+99,'TO HOP NLAN'!D52/ncoc+IF(SUMSQ('TS-PILE'!$E$56:$E$75)=0,0,'TO HOP NLAN'!E52*'TS-PILE'!$E$59/SUMSQ('TS-PILE'!$E$56:$E$75))+IF(SUMSQ('TS-PILE'!$D$56:$D$75)=0,0,'TO HOP NLAN'!F52*'TS-PILE'!$D$59/SUMSQ('TS-PILE'!$D$56:$D$75))),IF('TS-PILE'!$B$60="",1E+99,'TO HOP NLAN'!D52/ncoc+IF(SUMSQ('TS-PILE'!$E$56:$E$75)=0,0,'TO HOP NLAN'!E52*'TS-PILE'!$E$60/SUMSQ('TS-PILE'!$E$56:$E$75))+IF(SUMSQ('TS-PILE'!$D$56:$D$75)=0,0,'TO HOP NLAN'!F52*'TS-PILE'!$D$60/SUMSQ('TS-PILE'!$D$56:$D$75))),IF('TS-PILE'!$B$61="",1E+99,'TO HOP NLAN'!D52/ncoc+IF(SUMSQ('TS-PILE'!$E$56:$E$75)=0,0,'TO HOP NLAN'!E52*'TS-PILE'!$E$61/SUMSQ('TS-PILE'!$E$56:$E$75))+IF(SUMSQ('TS-PILE'!$D$56:$D$75)=0,0,'TO HOP NLAN'!F52*'TS-PILE'!$D$61/SUMSQ('TS-PILE'!$D$56:$D$75))),IF('TS-PILE'!$B$62="",1E+99,'TO HOP NLAN'!D52/ncoc+IF(SUMSQ('TS-PILE'!$E$56:$E$75)=0,0,'TO HOP NLAN'!E52*'TS-PILE'!$E$62/SUMSQ('TS-PILE'!$E$56:$E$75))+IF(SUMSQ('TS-PILE'!$D$56:$D$75)=0,0,'TO HOP NLAN'!F52*'TS-PILE'!$D$62/SUMSQ('TS-PILE'!$D$56:$D$75))),IF('TS-PILE'!$B$63="",1E+99,'TO HOP NLAN'!D52/ncoc+IF(SUMSQ('TS-PILE'!$E$56:$E$75)=0,0,'TO HOP NLAN'!E52*'TS-PILE'!$E$63/SUMSQ('TS-PILE'!$E$56:$E$75))+IF(SUMSQ('TS-PILE'!$D$56:$D$75)=0,0,'TO HOP NLAN'!F52*'TS-PILE'!$D$63/SUMSQ('TS-PILE'!$D$56:$D$75))),IF('TS-PILE'!$B$64="",1E+99,'TO HOP NLAN'!D52/ncoc+IF(SUMSQ('TS-PILE'!$E$56:$E$75)=0,0,'TO HOP NLAN'!E52*'TS-PILE'!$E$64/SUMSQ('TS-PILE'!$E$56:$E$75))+IF(SUMSQ('TS-PILE'!$D$56:$D$75)=0,0,'TO HOP NLAN'!F52*'TS-PILE'!$D$64/SUMSQ('TS-PILE'!$D$56:$D$75))),IF('TS-PILE'!$B$65="",1E+99,'TO HOP NLAN'!D52/ncoc+IF(SUMSQ('TS-PILE'!$E$56:$E$75)=0,0,'TO HOP NLAN'!E52*'TS-PILE'!$E$65/SUMSQ('TS-PILE'!$E$56:$E$75))+IF(SUMSQ('TS-PILE'!$D$56:$D$75)=0,0,'TO HOP NLAN'!F52*'TS-PILE'!$D$65/SUMSQ('TS-PILE'!$D$56:$D$75))),IF('TS-PILE'!$B$66="",1E+99,'TO HOP NLAN'!D52/ncoc+IF(SUMSQ('TS-PILE'!$E$56:$E$75)=0,0,'TO HOP NLAN'!E52*'TS-PILE'!$E$66/SUMSQ('TS-PILE'!$E$56:$E$75))+IF(SUMSQ('TS-PILE'!$D$56:$D$75)=0,0,'TO HOP NLAN'!F52*'TS-PILE'!$D$66/SUMSQ('TS-PILE'!$D$56:$D$75))),IF('TS-PILE'!$B$67="",1E+99,'TO HOP NLAN'!D52/ncoc+IF(SUMSQ('TS-PILE'!$E$56:$E$75)=0,0,'TO HOP NLAN'!E52*'TS-PILE'!$E$67/SUMSQ('TS-PILE'!$E$56:$E$75))+IF(SUMSQ('TS-PILE'!$D$56:$D$75)=0,0,'TO HOP NLAN'!F52*'TS-PILE'!$D$67/SUMSQ('TS-PILE'!$D$56:$D$75))),IF('TS-PILE'!$B$68="",1E+99,'TO HOP NLAN'!D52/ncoc+IF(SUMSQ('TS-PILE'!$E$56:$E$75)=0,0,'TO HOP NLAN'!E52*'TS-PILE'!$E$68/SUMSQ('TS-PILE'!$E$56:$E$75))+IF(SUMSQ('TS-PILE'!$D$56:$D$75)=0,0,'TO HOP NLAN'!F52*'TS-PILE'!$D$68/SUMSQ('TS-PILE'!$D$56:$D$75))),IF('TS-PILE'!$B$69="",1E+99,'TO HOP NLAN'!D52/ncoc+IF(SUMSQ('TS-PILE'!$E$56:$E$75)=0,0,'TO HOP NLAN'!E52*'TS-PILE'!$E$69/SUMSQ('TS-PILE'!$E$56:$E$75))+IF(SUMSQ('TS-PILE'!$D$56:$D$75)=0,0,'TO HOP NLAN'!F52*'TS-PILE'!$D$69/SUMSQ('TS-PILE'!$D$56:$D$75))),IF('TS-PILE'!$B$70="",1E+99,'TO HOP NLAN'!D52/ncoc+IF(SUMSQ('TS-PILE'!$E$56:$E$75)=0,0,'TO HOP NLAN'!E52*'TS-PILE'!$E$70/SUMSQ('TS-PILE'!$E$56:$E$75))+IF(SUMSQ('TS-PILE'!$D$56:$D$75)=0,0,'TO HOP NLAN'!F52*'TS-PILE'!$D$70/SUMSQ('TS-PILE'!$D$56:$D$75))),IF('TS-PILE'!$B$71="",1E+99,'TO HOP NLAN'!D52/ncoc+IF(SUMSQ('TS-PILE'!$E$56:$E$75)=0,0,'TO HOP NLAN'!E52*'TS-PILE'!$E$71/SUMSQ('TS-PILE'!$E$56:$E$75))+IF(SUMSQ('TS-PILE'!$D$56:$D$75)=0,0,'TO HOP NLAN'!F52*'TS-PILE'!$D$71/SUMSQ('TS-PILE'!$D$56:$D$75))),IF('TS-PILE'!$B$72="",1E+99,'TO HOP NLAN'!D52/ncoc+IF(SUMSQ('TS-PILE'!$E$56:$E$75)=0,0,'TO HOP NLAN'!E52*'TS-PILE'!$E$72/SUMSQ('TS-PILE'!$E$56:$E$75))+IF(SUMSQ('TS-PILE'!$D$56:$D$75)=0,0,'TO HOP NLAN'!F52*'TS-PILE'!$D$72/SUMSQ('TS-PILE'!$D$56:$D$75))),IF('TS-PILE'!$B$73="",1E+99,'TO HOP NLAN'!D52/ncoc+IF(SUMSQ('TS-PILE'!$E$56:$E$75)=0,0,'TO HOP NLAN'!E52*'TS-PILE'!$E$73/SUMSQ('TS-PILE'!$E$56:$E$75))+IF(SUMSQ('TS-PILE'!$D$56:$D$75)=0,0,'TO HOP NLAN'!F52*'TS-PILE'!$D$73/SUMSQ('TS-PILE'!$D$56:$D$75))),IF('TS-PILE'!$B$74="",1E+99,'TO HOP NLAN'!D52/ncoc+IF(SUMSQ('TS-PILE'!$E$56:$E$75)=0,0,'TO HOP NLAN'!E52*'TS-PILE'!$E$74/SUMSQ('TS-PILE'!$E$56:$E$75))+IF(SUMSQ('TS-PILE'!$D$56:$D$75)=0,0,'TO HOP NLAN'!F52*'TS-PILE'!$D$74/SUMSQ('TS-PILE'!$D$56:$D$75))),IF('TS-PILE'!$B$75="",1E+99,'TO HOP NLAN'!D52/ncoc+IF(SUMSQ('TS-PILE'!$E$56:$E$75)=0,0,'TO HOP NLAN'!E52*'TS-PILE'!$E$75/SUMSQ('TS-PILE'!$E$56:$E$75))+IF(SUMSQ('TS-PILE'!$D$56:$D$75)=0,0,'TO HOP NLAN'!F52*'TS-PILE'!$D$75/SUMSQ('TS-PILE'!$D$56:$D$75)))))</f>
        <v>0</v>
      </c>
      <c r="E52" s="46">
        <f t="shared" si="0"/>
        <v>-9.9999999999999997E+98</v>
      </c>
      <c r="F52" s="46">
        <f t="shared" si="1"/>
        <v>9.9999999999999997E+98</v>
      </c>
      <c r="G52" s="46">
        <f t="shared" si="2"/>
        <v>-9.9999999999999997E+98</v>
      </c>
      <c r="H52" s="46">
        <f t="shared" si="3"/>
        <v>9.9999999999999997E+98</v>
      </c>
    </row>
    <row r="53" spans="1:8" x14ac:dyDescent="0.3">
      <c r="A53" s="40" t="str">
        <f>'TO HOP NLAN'!A53</f>
        <v/>
      </c>
      <c r="B53" s="40" t="str">
        <f>'TO HOP NLAN'!L53</f>
        <v>SERVICE</v>
      </c>
      <c r="C53" s="46">
        <f>IF(A53="",0,MAX(IF('TS-PILE'!$B$56="",-1E+99,'TO HOP NLAN'!D53/ncoc+IF(SUMSQ('TS-PILE'!$E$56:$E$75)=0,0,'TO HOP NLAN'!E53*'TS-PILE'!$E$56/SUMSQ('TS-PILE'!$E$56:$E$75))+IF(SUMSQ('TS-PILE'!$D$56:$D$75)=0,0,'TO HOP NLAN'!F53*'TS-PILE'!$D$56/SUMSQ('TS-PILE'!$D$56:$D$75))),IF('TS-PILE'!$B$57="",-1E+99,'TO HOP NLAN'!D53/ncoc+IF(SUMSQ('TS-PILE'!$E$56:$E$75)=0,0,'TO HOP NLAN'!E53*'TS-PILE'!$E$57/SUMSQ('TS-PILE'!$E$56:$E$75))+IF(SUMSQ('TS-PILE'!$D$56:$D$75)=0,0,'TO HOP NLAN'!F53*'TS-PILE'!$D$57/SUMSQ('TS-PILE'!$D$56:$D$75))),IF('TS-PILE'!$B$58="",-1E+99,'TO HOP NLAN'!D53/ncoc+IF(SUMSQ('TS-PILE'!$E$56:$E$75)=0,0,'TO HOP NLAN'!E53*'TS-PILE'!$E$58/SUMSQ('TS-PILE'!$E$56:$E$75))+IF(SUMSQ('TS-PILE'!$D$56:$D$75)=0,0,'TO HOP NLAN'!F53*'TS-PILE'!$D$58/SUMSQ('TS-PILE'!$D$56:$D$75))),IF('TS-PILE'!$B$59="",-1E+99,'TO HOP NLAN'!D53/ncoc+IF(SUMSQ('TS-PILE'!$E$56:$E$75)=0,0,'TO HOP NLAN'!E53*'TS-PILE'!$E$59/SUMSQ('TS-PILE'!$E$56:$E$75))+IF(SUMSQ('TS-PILE'!$D$56:$D$75)=0,0,'TO HOP NLAN'!F53*'TS-PILE'!$D$59/SUMSQ('TS-PILE'!$D$56:$D$75))),IF('TS-PILE'!$B$60="",-1E+99,'TO HOP NLAN'!D53/ncoc+IF(SUMSQ('TS-PILE'!$E$56:$E$75)=0,0,'TO HOP NLAN'!E53*'TS-PILE'!$E$60/SUMSQ('TS-PILE'!$E$56:$E$75))+IF(SUMSQ('TS-PILE'!$D$56:$D$75)=0,0,'TO HOP NLAN'!F53*'TS-PILE'!$D$60/SUMSQ('TS-PILE'!$D$56:$D$75))),IF('TS-PILE'!$B$61="",-1E+99,'TO HOP NLAN'!D53/ncoc+IF(SUMSQ('TS-PILE'!$E$56:$E$75)=0,0,'TO HOP NLAN'!E53*'TS-PILE'!$E$61/SUMSQ('TS-PILE'!$E$56:$E$75))+IF(SUMSQ('TS-PILE'!$D$56:$D$75)=0,0,'TO HOP NLAN'!F53*'TS-PILE'!$D$61/SUMSQ('TS-PILE'!$D$56:$D$75))),IF('TS-PILE'!$B$62="",-1E+99,'TO HOP NLAN'!D53/ncoc+IF(SUMSQ('TS-PILE'!$E$56:$E$75)=0,0,'TO HOP NLAN'!E53*'TS-PILE'!$E$62/SUMSQ('TS-PILE'!$E$56:$E$75))+IF(SUMSQ('TS-PILE'!$D$56:$D$75)=0,0,'TO HOP NLAN'!F53*'TS-PILE'!$D$62/SUMSQ('TS-PILE'!$D$56:$D$75))),IF('TS-PILE'!$B$63="",-1E+99,'TO HOP NLAN'!D53/ncoc+IF(SUMSQ('TS-PILE'!$E$56:$E$75)=0,0,'TO HOP NLAN'!E53*'TS-PILE'!$E$63/SUMSQ('TS-PILE'!$E$56:$E$75))+IF(SUMSQ('TS-PILE'!$D$56:$D$75)=0,0,'TO HOP NLAN'!F53*'TS-PILE'!$D$63/SUMSQ('TS-PILE'!$D$56:$D$75))),IF('TS-PILE'!$B$64="",-1E+99,'TO HOP NLAN'!D53/ncoc+IF(SUMSQ('TS-PILE'!$E$56:$E$75)=0,0,'TO HOP NLAN'!E53*'TS-PILE'!$E$64/SUMSQ('TS-PILE'!$E$56:$E$75))+IF(SUMSQ('TS-PILE'!$D$56:$D$75)=0,0,'TO HOP NLAN'!F53*'TS-PILE'!$D$64/SUMSQ('TS-PILE'!$D$56:$D$75))),IF('TS-PILE'!$B$65="",-1E+99,'TO HOP NLAN'!D53/ncoc+IF(SUMSQ('TS-PILE'!$E$56:$E$75)=0,0,'TO HOP NLAN'!E53*'TS-PILE'!$E$65/SUMSQ('TS-PILE'!$E$56:$E$75))+IF(SUMSQ('TS-PILE'!$D$56:$D$75)=0,0,'TO HOP NLAN'!F53*'TS-PILE'!$D$65/SUMSQ('TS-PILE'!$D$56:$D$75))),IF('TS-PILE'!$B$66="",-1E+99,'TO HOP NLAN'!D53/ncoc+IF(SUMSQ('TS-PILE'!$E$56:$E$75)=0,0,'TO HOP NLAN'!E53*'TS-PILE'!$E$66/SUMSQ('TS-PILE'!$E$56:$E$75))+IF(SUMSQ('TS-PILE'!$D$56:$D$75)=0,0,'TO HOP NLAN'!F53*'TS-PILE'!$D$66/SUMSQ('TS-PILE'!$D$56:$D$75))),IF('TS-PILE'!$B$67="",-1E+99,'TO HOP NLAN'!D53/ncoc+IF(SUMSQ('TS-PILE'!$E$56:$E$75)=0,0,'TO HOP NLAN'!E53*'TS-PILE'!$E$67/SUMSQ('TS-PILE'!$E$56:$E$75))+IF(SUMSQ('TS-PILE'!$D$56:$D$75)=0,0,'TO HOP NLAN'!F53*'TS-PILE'!$D$67/SUMSQ('TS-PILE'!$D$56:$D$75))),IF('TS-PILE'!$B$68="",-1E+99,'TO HOP NLAN'!D53/ncoc+IF(SUMSQ('TS-PILE'!$E$56:$E$75)=0,0,'TO HOP NLAN'!E53*'TS-PILE'!$E$68/SUMSQ('TS-PILE'!$E$56:$E$75))+IF(SUMSQ('TS-PILE'!$D$56:$D$75)=0,0,'TO HOP NLAN'!F53*'TS-PILE'!$D$68/SUMSQ('TS-PILE'!$D$56:$D$75))),IF('TS-PILE'!$B$69="",-1E+99,'TO HOP NLAN'!D53/ncoc+IF(SUMSQ('TS-PILE'!$E$56:$E$75)=0,0,'TO HOP NLAN'!E53*'TS-PILE'!$E$69/SUMSQ('TS-PILE'!$E$56:$E$75))+IF(SUMSQ('TS-PILE'!$D$56:$D$75)=0,0,'TO HOP NLAN'!F53*'TS-PILE'!$D$69/SUMSQ('TS-PILE'!$D$56:$D$75))),IF('TS-PILE'!$B$70="",-1E+99,'TO HOP NLAN'!D53/ncoc+IF(SUMSQ('TS-PILE'!$E$56:$E$75)=0,0,'TO HOP NLAN'!E53*'TS-PILE'!$E$70/SUMSQ('TS-PILE'!$E$56:$E$75))+IF(SUMSQ('TS-PILE'!$D$56:$D$75)=0,0,'TO HOP NLAN'!F53*'TS-PILE'!$D$70/SUMSQ('TS-PILE'!$D$56:$D$75))),IF('TS-PILE'!$B$71="",-1E+99,'TO HOP NLAN'!D53/ncoc+IF(SUMSQ('TS-PILE'!$E$56:$E$75)=0,0,'TO HOP NLAN'!E53*'TS-PILE'!$E$71/SUMSQ('TS-PILE'!$E$56:$E$75))+IF(SUMSQ('TS-PILE'!$D$56:$D$75)=0,0,'TO HOP NLAN'!F53*'TS-PILE'!$D$71/SUMSQ('TS-PILE'!$D$56:$D$75))),IF('TS-PILE'!$B$72="",-1E+99,'TO HOP NLAN'!D53/ncoc+IF(SUMSQ('TS-PILE'!$E$56:$E$75)=0,0,'TO HOP NLAN'!E53*'TS-PILE'!$E$72/SUMSQ('TS-PILE'!$E$56:$E$75))+IF(SUMSQ('TS-PILE'!$D$56:$D$75)=0,0,'TO HOP NLAN'!F53*'TS-PILE'!$D$72/SUMSQ('TS-PILE'!$D$56:$D$75))),IF('TS-PILE'!$B$73="",-1E+99,'TO HOP NLAN'!D53/ncoc+IF(SUMSQ('TS-PILE'!$E$56:$E$75)=0,0,'TO HOP NLAN'!E53*'TS-PILE'!$E$73/SUMSQ('TS-PILE'!$E$56:$E$75))+IF(SUMSQ('TS-PILE'!$D$56:$D$75)=0,0,'TO HOP NLAN'!F53*'TS-PILE'!$D$73/SUMSQ('TS-PILE'!$D$56:$D$75))),IF('TS-PILE'!$B$74="",-1E+99,'TO HOP NLAN'!D53/ncoc+IF(SUMSQ('TS-PILE'!$E$56:$E$75)=0,0,'TO HOP NLAN'!E53*'TS-PILE'!$E$74/SUMSQ('TS-PILE'!$E$56:$E$75))+IF(SUMSQ('TS-PILE'!$D$56:$D$75)=0,0,'TO HOP NLAN'!F53*'TS-PILE'!$D$74/SUMSQ('TS-PILE'!$D$56:$D$75))),IF('TS-PILE'!$B$75="",-1E+99,'TO HOP NLAN'!D53/ncoc+IF(SUMSQ('TS-PILE'!$E$56:$E$75)=0,0,'TO HOP NLAN'!E53*'TS-PILE'!$E$75/SUMSQ('TS-PILE'!$E$56:$E$75))+IF(SUMSQ('TS-PILE'!$D$56:$D$75)=0,0,'TO HOP NLAN'!F53*'TS-PILE'!$D$75/SUMSQ('TS-PILE'!$D$56:$D$75)))))</f>
        <v>0</v>
      </c>
      <c r="D53" s="46">
        <f>IF(A53="",0,MIN(IF('TS-PILE'!$B$56="",1E+99,'TO HOP NLAN'!D53/ncoc+IF(SUMSQ('TS-PILE'!$E$56:$E$75)=0,0,'TO HOP NLAN'!E53*'TS-PILE'!$E$56/SUMSQ('TS-PILE'!$E$56:$E$75))+IF(SUMSQ('TS-PILE'!$D$56:$D$75)=0,0,'TO HOP NLAN'!F53*'TS-PILE'!$D$56/SUMSQ('TS-PILE'!$D$56:$D$75))),IF('TS-PILE'!$B$57="",1E+99,'TO HOP NLAN'!D53/ncoc+IF(SUMSQ('TS-PILE'!$E$56:$E$75)=0,0,'TO HOP NLAN'!E53*'TS-PILE'!$E$57/SUMSQ('TS-PILE'!$E$56:$E$75))+IF(SUMSQ('TS-PILE'!$D$56:$D$75)=0,0,'TO HOP NLAN'!F53*'TS-PILE'!$D$57/SUMSQ('TS-PILE'!$D$56:$D$75))),IF('TS-PILE'!$B$58="",1E+99,'TO HOP NLAN'!D53/ncoc+IF(SUMSQ('TS-PILE'!$E$56:$E$75)=0,0,'TO HOP NLAN'!E53*'TS-PILE'!$E$58/SUMSQ('TS-PILE'!$E$56:$E$75))+IF(SUMSQ('TS-PILE'!$D$56:$D$75)=0,0,'TO HOP NLAN'!F53*'TS-PILE'!$D$58/SUMSQ('TS-PILE'!$D$56:$D$75))),IF('TS-PILE'!$B$59="",1E+99,'TO HOP NLAN'!D53/ncoc+IF(SUMSQ('TS-PILE'!$E$56:$E$75)=0,0,'TO HOP NLAN'!E53*'TS-PILE'!$E$59/SUMSQ('TS-PILE'!$E$56:$E$75))+IF(SUMSQ('TS-PILE'!$D$56:$D$75)=0,0,'TO HOP NLAN'!F53*'TS-PILE'!$D$59/SUMSQ('TS-PILE'!$D$56:$D$75))),IF('TS-PILE'!$B$60="",1E+99,'TO HOP NLAN'!D53/ncoc+IF(SUMSQ('TS-PILE'!$E$56:$E$75)=0,0,'TO HOP NLAN'!E53*'TS-PILE'!$E$60/SUMSQ('TS-PILE'!$E$56:$E$75))+IF(SUMSQ('TS-PILE'!$D$56:$D$75)=0,0,'TO HOP NLAN'!F53*'TS-PILE'!$D$60/SUMSQ('TS-PILE'!$D$56:$D$75))),IF('TS-PILE'!$B$61="",1E+99,'TO HOP NLAN'!D53/ncoc+IF(SUMSQ('TS-PILE'!$E$56:$E$75)=0,0,'TO HOP NLAN'!E53*'TS-PILE'!$E$61/SUMSQ('TS-PILE'!$E$56:$E$75))+IF(SUMSQ('TS-PILE'!$D$56:$D$75)=0,0,'TO HOP NLAN'!F53*'TS-PILE'!$D$61/SUMSQ('TS-PILE'!$D$56:$D$75))),IF('TS-PILE'!$B$62="",1E+99,'TO HOP NLAN'!D53/ncoc+IF(SUMSQ('TS-PILE'!$E$56:$E$75)=0,0,'TO HOP NLAN'!E53*'TS-PILE'!$E$62/SUMSQ('TS-PILE'!$E$56:$E$75))+IF(SUMSQ('TS-PILE'!$D$56:$D$75)=0,0,'TO HOP NLAN'!F53*'TS-PILE'!$D$62/SUMSQ('TS-PILE'!$D$56:$D$75))),IF('TS-PILE'!$B$63="",1E+99,'TO HOP NLAN'!D53/ncoc+IF(SUMSQ('TS-PILE'!$E$56:$E$75)=0,0,'TO HOP NLAN'!E53*'TS-PILE'!$E$63/SUMSQ('TS-PILE'!$E$56:$E$75))+IF(SUMSQ('TS-PILE'!$D$56:$D$75)=0,0,'TO HOP NLAN'!F53*'TS-PILE'!$D$63/SUMSQ('TS-PILE'!$D$56:$D$75))),IF('TS-PILE'!$B$64="",1E+99,'TO HOP NLAN'!D53/ncoc+IF(SUMSQ('TS-PILE'!$E$56:$E$75)=0,0,'TO HOP NLAN'!E53*'TS-PILE'!$E$64/SUMSQ('TS-PILE'!$E$56:$E$75))+IF(SUMSQ('TS-PILE'!$D$56:$D$75)=0,0,'TO HOP NLAN'!F53*'TS-PILE'!$D$64/SUMSQ('TS-PILE'!$D$56:$D$75))),IF('TS-PILE'!$B$65="",1E+99,'TO HOP NLAN'!D53/ncoc+IF(SUMSQ('TS-PILE'!$E$56:$E$75)=0,0,'TO HOP NLAN'!E53*'TS-PILE'!$E$65/SUMSQ('TS-PILE'!$E$56:$E$75))+IF(SUMSQ('TS-PILE'!$D$56:$D$75)=0,0,'TO HOP NLAN'!F53*'TS-PILE'!$D$65/SUMSQ('TS-PILE'!$D$56:$D$75))),IF('TS-PILE'!$B$66="",1E+99,'TO HOP NLAN'!D53/ncoc+IF(SUMSQ('TS-PILE'!$E$56:$E$75)=0,0,'TO HOP NLAN'!E53*'TS-PILE'!$E$66/SUMSQ('TS-PILE'!$E$56:$E$75))+IF(SUMSQ('TS-PILE'!$D$56:$D$75)=0,0,'TO HOP NLAN'!F53*'TS-PILE'!$D$66/SUMSQ('TS-PILE'!$D$56:$D$75))),IF('TS-PILE'!$B$67="",1E+99,'TO HOP NLAN'!D53/ncoc+IF(SUMSQ('TS-PILE'!$E$56:$E$75)=0,0,'TO HOP NLAN'!E53*'TS-PILE'!$E$67/SUMSQ('TS-PILE'!$E$56:$E$75))+IF(SUMSQ('TS-PILE'!$D$56:$D$75)=0,0,'TO HOP NLAN'!F53*'TS-PILE'!$D$67/SUMSQ('TS-PILE'!$D$56:$D$75))),IF('TS-PILE'!$B$68="",1E+99,'TO HOP NLAN'!D53/ncoc+IF(SUMSQ('TS-PILE'!$E$56:$E$75)=0,0,'TO HOP NLAN'!E53*'TS-PILE'!$E$68/SUMSQ('TS-PILE'!$E$56:$E$75))+IF(SUMSQ('TS-PILE'!$D$56:$D$75)=0,0,'TO HOP NLAN'!F53*'TS-PILE'!$D$68/SUMSQ('TS-PILE'!$D$56:$D$75))),IF('TS-PILE'!$B$69="",1E+99,'TO HOP NLAN'!D53/ncoc+IF(SUMSQ('TS-PILE'!$E$56:$E$75)=0,0,'TO HOP NLAN'!E53*'TS-PILE'!$E$69/SUMSQ('TS-PILE'!$E$56:$E$75))+IF(SUMSQ('TS-PILE'!$D$56:$D$75)=0,0,'TO HOP NLAN'!F53*'TS-PILE'!$D$69/SUMSQ('TS-PILE'!$D$56:$D$75))),IF('TS-PILE'!$B$70="",1E+99,'TO HOP NLAN'!D53/ncoc+IF(SUMSQ('TS-PILE'!$E$56:$E$75)=0,0,'TO HOP NLAN'!E53*'TS-PILE'!$E$70/SUMSQ('TS-PILE'!$E$56:$E$75))+IF(SUMSQ('TS-PILE'!$D$56:$D$75)=0,0,'TO HOP NLAN'!F53*'TS-PILE'!$D$70/SUMSQ('TS-PILE'!$D$56:$D$75))),IF('TS-PILE'!$B$71="",1E+99,'TO HOP NLAN'!D53/ncoc+IF(SUMSQ('TS-PILE'!$E$56:$E$75)=0,0,'TO HOP NLAN'!E53*'TS-PILE'!$E$71/SUMSQ('TS-PILE'!$E$56:$E$75))+IF(SUMSQ('TS-PILE'!$D$56:$D$75)=0,0,'TO HOP NLAN'!F53*'TS-PILE'!$D$71/SUMSQ('TS-PILE'!$D$56:$D$75))),IF('TS-PILE'!$B$72="",1E+99,'TO HOP NLAN'!D53/ncoc+IF(SUMSQ('TS-PILE'!$E$56:$E$75)=0,0,'TO HOP NLAN'!E53*'TS-PILE'!$E$72/SUMSQ('TS-PILE'!$E$56:$E$75))+IF(SUMSQ('TS-PILE'!$D$56:$D$75)=0,0,'TO HOP NLAN'!F53*'TS-PILE'!$D$72/SUMSQ('TS-PILE'!$D$56:$D$75))),IF('TS-PILE'!$B$73="",1E+99,'TO HOP NLAN'!D53/ncoc+IF(SUMSQ('TS-PILE'!$E$56:$E$75)=0,0,'TO HOP NLAN'!E53*'TS-PILE'!$E$73/SUMSQ('TS-PILE'!$E$56:$E$75))+IF(SUMSQ('TS-PILE'!$D$56:$D$75)=0,0,'TO HOP NLAN'!F53*'TS-PILE'!$D$73/SUMSQ('TS-PILE'!$D$56:$D$75))),IF('TS-PILE'!$B$74="",1E+99,'TO HOP NLAN'!D53/ncoc+IF(SUMSQ('TS-PILE'!$E$56:$E$75)=0,0,'TO HOP NLAN'!E53*'TS-PILE'!$E$74/SUMSQ('TS-PILE'!$E$56:$E$75))+IF(SUMSQ('TS-PILE'!$D$56:$D$75)=0,0,'TO HOP NLAN'!F53*'TS-PILE'!$D$74/SUMSQ('TS-PILE'!$D$56:$D$75))),IF('TS-PILE'!$B$75="",1E+99,'TO HOP NLAN'!D53/ncoc+IF(SUMSQ('TS-PILE'!$E$56:$E$75)=0,0,'TO HOP NLAN'!E53*'TS-PILE'!$E$75/SUMSQ('TS-PILE'!$E$56:$E$75))+IF(SUMSQ('TS-PILE'!$D$56:$D$75)=0,0,'TO HOP NLAN'!F53*'TS-PILE'!$D$75/SUMSQ('TS-PILE'!$D$56:$D$75)))))</f>
        <v>0</v>
      </c>
      <c r="E53" s="46">
        <f t="shared" si="0"/>
        <v>-9.9999999999999997E+98</v>
      </c>
      <c r="F53" s="46">
        <f t="shared" si="1"/>
        <v>9.9999999999999997E+98</v>
      </c>
      <c r="G53" s="46">
        <f t="shared" si="2"/>
        <v>-9.9999999999999997E+98</v>
      </c>
      <c r="H53" s="46">
        <f t="shared" si="3"/>
        <v>9.9999999999999997E+98</v>
      </c>
    </row>
    <row r="54" spans="1:8" x14ac:dyDescent="0.3">
      <c r="A54" s="40" t="str">
        <f>'TO HOP NLAN'!A54</f>
        <v/>
      </c>
      <c r="B54" s="40" t="str">
        <f>'TO HOP NLAN'!L54</f>
        <v>SERVICE</v>
      </c>
      <c r="C54" s="46">
        <f>IF(A54="",0,MAX(IF('TS-PILE'!$B$56="",-1E+99,'TO HOP NLAN'!D54/ncoc+IF(SUMSQ('TS-PILE'!$E$56:$E$75)=0,0,'TO HOP NLAN'!E54*'TS-PILE'!$E$56/SUMSQ('TS-PILE'!$E$56:$E$75))+IF(SUMSQ('TS-PILE'!$D$56:$D$75)=0,0,'TO HOP NLAN'!F54*'TS-PILE'!$D$56/SUMSQ('TS-PILE'!$D$56:$D$75))),IF('TS-PILE'!$B$57="",-1E+99,'TO HOP NLAN'!D54/ncoc+IF(SUMSQ('TS-PILE'!$E$56:$E$75)=0,0,'TO HOP NLAN'!E54*'TS-PILE'!$E$57/SUMSQ('TS-PILE'!$E$56:$E$75))+IF(SUMSQ('TS-PILE'!$D$56:$D$75)=0,0,'TO HOP NLAN'!F54*'TS-PILE'!$D$57/SUMSQ('TS-PILE'!$D$56:$D$75))),IF('TS-PILE'!$B$58="",-1E+99,'TO HOP NLAN'!D54/ncoc+IF(SUMSQ('TS-PILE'!$E$56:$E$75)=0,0,'TO HOP NLAN'!E54*'TS-PILE'!$E$58/SUMSQ('TS-PILE'!$E$56:$E$75))+IF(SUMSQ('TS-PILE'!$D$56:$D$75)=0,0,'TO HOP NLAN'!F54*'TS-PILE'!$D$58/SUMSQ('TS-PILE'!$D$56:$D$75))),IF('TS-PILE'!$B$59="",-1E+99,'TO HOP NLAN'!D54/ncoc+IF(SUMSQ('TS-PILE'!$E$56:$E$75)=0,0,'TO HOP NLAN'!E54*'TS-PILE'!$E$59/SUMSQ('TS-PILE'!$E$56:$E$75))+IF(SUMSQ('TS-PILE'!$D$56:$D$75)=0,0,'TO HOP NLAN'!F54*'TS-PILE'!$D$59/SUMSQ('TS-PILE'!$D$56:$D$75))),IF('TS-PILE'!$B$60="",-1E+99,'TO HOP NLAN'!D54/ncoc+IF(SUMSQ('TS-PILE'!$E$56:$E$75)=0,0,'TO HOP NLAN'!E54*'TS-PILE'!$E$60/SUMSQ('TS-PILE'!$E$56:$E$75))+IF(SUMSQ('TS-PILE'!$D$56:$D$75)=0,0,'TO HOP NLAN'!F54*'TS-PILE'!$D$60/SUMSQ('TS-PILE'!$D$56:$D$75))),IF('TS-PILE'!$B$61="",-1E+99,'TO HOP NLAN'!D54/ncoc+IF(SUMSQ('TS-PILE'!$E$56:$E$75)=0,0,'TO HOP NLAN'!E54*'TS-PILE'!$E$61/SUMSQ('TS-PILE'!$E$56:$E$75))+IF(SUMSQ('TS-PILE'!$D$56:$D$75)=0,0,'TO HOP NLAN'!F54*'TS-PILE'!$D$61/SUMSQ('TS-PILE'!$D$56:$D$75))),IF('TS-PILE'!$B$62="",-1E+99,'TO HOP NLAN'!D54/ncoc+IF(SUMSQ('TS-PILE'!$E$56:$E$75)=0,0,'TO HOP NLAN'!E54*'TS-PILE'!$E$62/SUMSQ('TS-PILE'!$E$56:$E$75))+IF(SUMSQ('TS-PILE'!$D$56:$D$75)=0,0,'TO HOP NLAN'!F54*'TS-PILE'!$D$62/SUMSQ('TS-PILE'!$D$56:$D$75))),IF('TS-PILE'!$B$63="",-1E+99,'TO HOP NLAN'!D54/ncoc+IF(SUMSQ('TS-PILE'!$E$56:$E$75)=0,0,'TO HOP NLAN'!E54*'TS-PILE'!$E$63/SUMSQ('TS-PILE'!$E$56:$E$75))+IF(SUMSQ('TS-PILE'!$D$56:$D$75)=0,0,'TO HOP NLAN'!F54*'TS-PILE'!$D$63/SUMSQ('TS-PILE'!$D$56:$D$75))),IF('TS-PILE'!$B$64="",-1E+99,'TO HOP NLAN'!D54/ncoc+IF(SUMSQ('TS-PILE'!$E$56:$E$75)=0,0,'TO HOP NLAN'!E54*'TS-PILE'!$E$64/SUMSQ('TS-PILE'!$E$56:$E$75))+IF(SUMSQ('TS-PILE'!$D$56:$D$75)=0,0,'TO HOP NLAN'!F54*'TS-PILE'!$D$64/SUMSQ('TS-PILE'!$D$56:$D$75))),IF('TS-PILE'!$B$65="",-1E+99,'TO HOP NLAN'!D54/ncoc+IF(SUMSQ('TS-PILE'!$E$56:$E$75)=0,0,'TO HOP NLAN'!E54*'TS-PILE'!$E$65/SUMSQ('TS-PILE'!$E$56:$E$75))+IF(SUMSQ('TS-PILE'!$D$56:$D$75)=0,0,'TO HOP NLAN'!F54*'TS-PILE'!$D$65/SUMSQ('TS-PILE'!$D$56:$D$75))),IF('TS-PILE'!$B$66="",-1E+99,'TO HOP NLAN'!D54/ncoc+IF(SUMSQ('TS-PILE'!$E$56:$E$75)=0,0,'TO HOP NLAN'!E54*'TS-PILE'!$E$66/SUMSQ('TS-PILE'!$E$56:$E$75))+IF(SUMSQ('TS-PILE'!$D$56:$D$75)=0,0,'TO HOP NLAN'!F54*'TS-PILE'!$D$66/SUMSQ('TS-PILE'!$D$56:$D$75))),IF('TS-PILE'!$B$67="",-1E+99,'TO HOP NLAN'!D54/ncoc+IF(SUMSQ('TS-PILE'!$E$56:$E$75)=0,0,'TO HOP NLAN'!E54*'TS-PILE'!$E$67/SUMSQ('TS-PILE'!$E$56:$E$75))+IF(SUMSQ('TS-PILE'!$D$56:$D$75)=0,0,'TO HOP NLAN'!F54*'TS-PILE'!$D$67/SUMSQ('TS-PILE'!$D$56:$D$75))),IF('TS-PILE'!$B$68="",-1E+99,'TO HOP NLAN'!D54/ncoc+IF(SUMSQ('TS-PILE'!$E$56:$E$75)=0,0,'TO HOP NLAN'!E54*'TS-PILE'!$E$68/SUMSQ('TS-PILE'!$E$56:$E$75))+IF(SUMSQ('TS-PILE'!$D$56:$D$75)=0,0,'TO HOP NLAN'!F54*'TS-PILE'!$D$68/SUMSQ('TS-PILE'!$D$56:$D$75))),IF('TS-PILE'!$B$69="",-1E+99,'TO HOP NLAN'!D54/ncoc+IF(SUMSQ('TS-PILE'!$E$56:$E$75)=0,0,'TO HOP NLAN'!E54*'TS-PILE'!$E$69/SUMSQ('TS-PILE'!$E$56:$E$75))+IF(SUMSQ('TS-PILE'!$D$56:$D$75)=0,0,'TO HOP NLAN'!F54*'TS-PILE'!$D$69/SUMSQ('TS-PILE'!$D$56:$D$75))),IF('TS-PILE'!$B$70="",-1E+99,'TO HOP NLAN'!D54/ncoc+IF(SUMSQ('TS-PILE'!$E$56:$E$75)=0,0,'TO HOP NLAN'!E54*'TS-PILE'!$E$70/SUMSQ('TS-PILE'!$E$56:$E$75))+IF(SUMSQ('TS-PILE'!$D$56:$D$75)=0,0,'TO HOP NLAN'!F54*'TS-PILE'!$D$70/SUMSQ('TS-PILE'!$D$56:$D$75))),IF('TS-PILE'!$B$71="",-1E+99,'TO HOP NLAN'!D54/ncoc+IF(SUMSQ('TS-PILE'!$E$56:$E$75)=0,0,'TO HOP NLAN'!E54*'TS-PILE'!$E$71/SUMSQ('TS-PILE'!$E$56:$E$75))+IF(SUMSQ('TS-PILE'!$D$56:$D$75)=0,0,'TO HOP NLAN'!F54*'TS-PILE'!$D$71/SUMSQ('TS-PILE'!$D$56:$D$75))),IF('TS-PILE'!$B$72="",-1E+99,'TO HOP NLAN'!D54/ncoc+IF(SUMSQ('TS-PILE'!$E$56:$E$75)=0,0,'TO HOP NLAN'!E54*'TS-PILE'!$E$72/SUMSQ('TS-PILE'!$E$56:$E$75))+IF(SUMSQ('TS-PILE'!$D$56:$D$75)=0,0,'TO HOP NLAN'!F54*'TS-PILE'!$D$72/SUMSQ('TS-PILE'!$D$56:$D$75))),IF('TS-PILE'!$B$73="",-1E+99,'TO HOP NLAN'!D54/ncoc+IF(SUMSQ('TS-PILE'!$E$56:$E$75)=0,0,'TO HOP NLAN'!E54*'TS-PILE'!$E$73/SUMSQ('TS-PILE'!$E$56:$E$75))+IF(SUMSQ('TS-PILE'!$D$56:$D$75)=0,0,'TO HOP NLAN'!F54*'TS-PILE'!$D$73/SUMSQ('TS-PILE'!$D$56:$D$75))),IF('TS-PILE'!$B$74="",-1E+99,'TO HOP NLAN'!D54/ncoc+IF(SUMSQ('TS-PILE'!$E$56:$E$75)=0,0,'TO HOP NLAN'!E54*'TS-PILE'!$E$74/SUMSQ('TS-PILE'!$E$56:$E$75))+IF(SUMSQ('TS-PILE'!$D$56:$D$75)=0,0,'TO HOP NLAN'!F54*'TS-PILE'!$D$74/SUMSQ('TS-PILE'!$D$56:$D$75))),IF('TS-PILE'!$B$75="",-1E+99,'TO HOP NLAN'!D54/ncoc+IF(SUMSQ('TS-PILE'!$E$56:$E$75)=0,0,'TO HOP NLAN'!E54*'TS-PILE'!$E$75/SUMSQ('TS-PILE'!$E$56:$E$75))+IF(SUMSQ('TS-PILE'!$D$56:$D$75)=0,0,'TO HOP NLAN'!F54*'TS-PILE'!$D$75/SUMSQ('TS-PILE'!$D$56:$D$75)))))</f>
        <v>0</v>
      </c>
      <c r="D54" s="46">
        <f>IF(A54="",0,MIN(IF('TS-PILE'!$B$56="",1E+99,'TO HOP NLAN'!D54/ncoc+IF(SUMSQ('TS-PILE'!$E$56:$E$75)=0,0,'TO HOP NLAN'!E54*'TS-PILE'!$E$56/SUMSQ('TS-PILE'!$E$56:$E$75))+IF(SUMSQ('TS-PILE'!$D$56:$D$75)=0,0,'TO HOP NLAN'!F54*'TS-PILE'!$D$56/SUMSQ('TS-PILE'!$D$56:$D$75))),IF('TS-PILE'!$B$57="",1E+99,'TO HOP NLAN'!D54/ncoc+IF(SUMSQ('TS-PILE'!$E$56:$E$75)=0,0,'TO HOP NLAN'!E54*'TS-PILE'!$E$57/SUMSQ('TS-PILE'!$E$56:$E$75))+IF(SUMSQ('TS-PILE'!$D$56:$D$75)=0,0,'TO HOP NLAN'!F54*'TS-PILE'!$D$57/SUMSQ('TS-PILE'!$D$56:$D$75))),IF('TS-PILE'!$B$58="",1E+99,'TO HOP NLAN'!D54/ncoc+IF(SUMSQ('TS-PILE'!$E$56:$E$75)=0,0,'TO HOP NLAN'!E54*'TS-PILE'!$E$58/SUMSQ('TS-PILE'!$E$56:$E$75))+IF(SUMSQ('TS-PILE'!$D$56:$D$75)=0,0,'TO HOP NLAN'!F54*'TS-PILE'!$D$58/SUMSQ('TS-PILE'!$D$56:$D$75))),IF('TS-PILE'!$B$59="",1E+99,'TO HOP NLAN'!D54/ncoc+IF(SUMSQ('TS-PILE'!$E$56:$E$75)=0,0,'TO HOP NLAN'!E54*'TS-PILE'!$E$59/SUMSQ('TS-PILE'!$E$56:$E$75))+IF(SUMSQ('TS-PILE'!$D$56:$D$75)=0,0,'TO HOP NLAN'!F54*'TS-PILE'!$D$59/SUMSQ('TS-PILE'!$D$56:$D$75))),IF('TS-PILE'!$B$60="",1E+99,'TO HOP NLAN'!D54/ncoc+IF(SUMSQ('TS-PILE'!$E$56:$E$75)=0,0,'TO HOP NLAN'!E54*'TS-PILE'!$E$60/SUMSQ('TS-PILE'!$E$56:$E$75))+IF(SUMSQ('TS-PILE'!$D$56:$D$75)=0,0,'TO HOP NLAN'!F54*'TS-PILE'!$D$60/SUMSQ('TS-PILE'!$D$56:$D$75))),IF('TS-PILE'!$B$61="",1E+99,'TO HOP NLAN'!D54/ncoc+IF(SUMSQ('TS-PILE'!$E$56:$E$75)=0,0,'TO HOP NLAN'!E54*'TS-PILE'!$E$61/SUMSQ('TS-PILE'!$E$56:$E$75))+IF(SUMSQ('TS-PILE'!$D$56:$D$75)=0,0,'TO HOP NLAN'!F54*'TS-PILE'!$D$61/SUMSQ('TS-PILE'!$D$56:$D$75))),IF('TS-PILE'!$B$62="",1E+99,'TO HOP NLAN'!D54/ncoc+IF(SUMSQ('TS-PILE'!$E$56:$E$75)=0,0,'TO HOP NLAN'!E54*'TS-PILE'!$E$62/SUMSQ('TS-PILE'!$E$56:$E$75))+IF(SUMSQ('TS-PILE'!$D$56:$D$75)=0,0,'TO HOP NLAN'!F54*'TS-PILE'!$D$62/SUMSQ('TS-PILE'!$D$56:$D$75))),IF('TS-PILE'!$B$63="",1E+99,'TO HOP NLAN'!D54/ncoc+IF(SUMSQ('TS-PILE'!$E$56:$E$75)=0,0,'TO HOP NLAN'!E54*'TS-PILE'!$E$63/SUMSQ('TS-PILE'!$E$56:$E$75))+IF(SUMSQ('TS-PILE'!$D$56:$D$75)=0,0,'TO HOP NLAN'!F54*'TS-PILE'!$D$63/SUMSQ('TS-PILE'!$D$56:$D$75))),IF('TS-PILE'!$B$64="",1E+99,'TO HOP NLAN'!D54/ncoc+IF(SUMSQ('TS-PILE'!$E$56:$E$75)=0,0,'TO HOP NLAN'!E54*'TS-PILE'!$E$64/SUMSQ('TS-PILE'!$E$56:$E$75))+IF(SUMSQ('TS-PILE'!$D$56:$D$75)=0,0,'TO HOP NLAN'!F54*'TS-PILE'!$D$64/SUMSQ('TS-PILE'!$D$56:$D$75))),IF('TS-PILE'!$B$65="",1E+99,'TO HOP NLAN'!D54/ncoc+IF(SUMSQ('TS-PILE'!$E$56:$E$75)=0,0,'TO HOP NLAN'!E54*'TS-PILE'!$E$65/SUMSQ('TS-PILE'!$E$56:$E$75))+IF(SUMSQ('TS-PILE'!$D$56:$D$75)=0,0,'TO HOP NLAN'!F54*'TS-PILE'!$D$65/SUMSQ('TS-PILE'!$D$56:$D$75))),IF('TS-PILE'!$B$66="",1E+99,'TO HOP NLAN'!D54/ncoc+IF(SUMSQ('TS-PILE'!$E$56:$E$75)=0,0,'TO HOP NLAN'!E54*'TS-PILE'!$E$66/SUMSQ('TS-PILE'!$E$56:$E$75))+IF(SUMSQ('TS-PILE'!$D$56:$D$75)=0,0,'TO HOP NLAN'!F54*'TS-PILE'!$D$66/SUMSQ('TS-PILE'!$D$56:$D$75))),IF('TS-PILE'!$B$67="",1E+99,'TO HOP NLAN'!D54/ncoc+IF(SUMSQ('TS-PILE'!$E$56:$E$75)=0,0,'TO HOP NLAN'!E54*'TS-PILE'!$E$67/SUMSQ('TS-PILE'!$E$56:$E$75))+IF(SUMSQ('TS-PILE'!$D$56:$D$75)=0,0,'TO HOP NLAN'!F54*'TS-PILE'!$D$67/SUMSQ('TS-PILE'!$D$56:$D$75))),IF('TS-PILE'!$B$68="",1E+99,'TO HOP NLAN'!D54/ncoc+IF(SUMSQ('TS-PILE'!$E$56:$E$75)=0,0,'TO HOP NLAN'!E54*'TS-PILE'!$E$68/SUMSQ('TS-PILE'!$E$56:$E$75))+IF(SUMSQ('TS-PILE'!$D$56:$D$75)=0,0,'TO HOP NLAN'!F54*'TS-PILE'!$D$68/SUMSQ('TS-PILE'!$D$56:$D$75))),IF('TS-PILE'!$B$69="",1E+99,'TO HOP NLAN'!D54/ncoc+IF(SUMSQ('TS-PILE'!$E$56:$E$75)=0,0,'TO HOP NLAN'!E54*'TS-PILE'!$E$69/SUMSQ('TS-PILE'!$E$56:$E$75))+IF(SUMSQ('TS-PILE'!$D$56:$D$75)=0,0,'TO HOP NLAN'!F54*'TS-PILE'!$D$69/SUMSQ('TS-PILE'!$D$56:$D$75))),IF('TS-PILE'!$B$70="",1E+99,'TO HOP NLAN'!D54/ncoc+IF(SUMSQ('TS-PILE'!$E$56:$E$75)=0,0,'TO HOP NLAN'!E54*'TS-PILE'!$E$70/SUMSQ('TS-PILE'!$E$56:$E$75))+IF(SUMSQ('TS-PILE'!$D$56:$D$75)=0,0,'TO HOP NLAN'!F54*'TS-PILE'!$D$70/SUMSQ('TS-PILE'!$D$56:$D$75))),IF('TS-PILE'!$B$71="",1E+99,'TO HOP NLAN'!D54/ncoc+IF(SUMSQ('TS-PILE'!$E$56:$E$75)=0,0,'TO HOP NLAN'!E54*'TS-PILE'!$E$71/SUMSQ('TS-PILE'!$E$56:$E$75))+IF(SUMSQ('TS-PILE'!$D$56:$D$75)=0,0,'TO HOP NLAN'!F54*'TS-PILE'!$D$71/SUMSQ('TS-PILE'!$D$56:$D$75))),IF('TS-PILE'!$B$72="",1E+99,'TO HOP NLAN'!D54/ncoc+IF(SUMSQ('TS-PILE'!$E$56:$E$75)=0,0,'TO HOP NLAN'!E54*'TS-PILE'!$E$72/SUMSQ('TS-PILE'!$E$56:$E$75))+IF(SUMSQ('TS-PILE'!$D$56:$D$75)=0,0,'TO HOP NLAN'!F54*'TS-PILE'!$D$72/SUMSQ('TS-PILE'!$D$56:$D$75))),IF('TS-PILE'!$B$73="",1E+99,'TO HOP NLAN'!D54/ncoc+IF(SUMSQ('TS-PILE'!$E$56:$E$75)=0,0,'TO HOP NLAN'!E54*'TS-PILE'!$E$73/SUMSQ('TS-PILE'!$E$56:$E$75))+IF(SUMSQ('TS-PILE'!$D$56:$D$75)=0,0,'TO HOP NLAN'!F54*'TS-PILE'!$D$73/SUMSQ('TS-PILE'!$D$56:$D$75))),IF('TS-PILE'!$B$74="",1E+99,'TO HOP NLAN'!D54/ncoc+IF(SUMSQ('TS-PILE'!$E$56:$E$75)=0,0,'TO HOP NLAN'!E54*'TS-PILE'!$E$74/SUMSQ('TS-PILE'!$E$56:$E$75))+IF(SUMSQ('TS-PILE'!$D$56:$D$75)=0,0,'TO HOP NLAN'!F54*'TS-PILE'!$D$74/SUMSQ('TS-PILE'!$D$56:$D$75))),IF('TS-PILE'!$B$75="",1E+99,'TO HOP NLAN'!D54/ncoc+IF(SUMSQ('TS-PILE'!$E$56:$E$75)=0,0,'TO HOP NLAN'!E54*'TS-PILE'!$E$75/SUMSQ('TS-PILE'!$E$56:$E$75))+IF(SUMSQ('TS-PILE'!$D$56:$D$75)=0,0,'TO HOP NLAN'!F54*'TS-PILE'!$D$75/SUMSQ('TS-PILE'!$D$56:$D$75)))))</f>
        <v>0</v>
      </c>
      <c r="E54" s="46">
        <f t="shared" si="0"/>
        <v>-9.9999999999999997E+98</v>
      </c>
      <c r="F54" s="46">
        <f t="shared" si="1"/>
        <v>9.9999999999999997E+98</v>
      </c>
      <c r="G54" s="46">
        <f t="shared" si="2"/>
        <v>-9.9999999999999997E+98</v>
      </c>
      <c r="H54" s="46">
        <f t="shared" si="3"/>
        <v>9.9999999999999997E+98</v>
      </c>
    </row>
    <row r="55" spans="1:8" x14ac:dyDescent="0.3">
      <c r="A55" s="40" t="str">
        <f>'TO HOP NLAN'!A55</f>
        <v/>
      </c>
      <c r="B55" s="40" t="str">
        <f>'TO HOP NLAN'!L55</f>
        <v>SERVICE</v>
      </c>
      <c r="C55" s="46">
        <f>IF(A55="",0,MAX(IF('TS-PILE'!$B$56="",-1E+99,'TO HOP NLAN'!D55/ncoc+IF(SUMSQ('TS-PILE'!$E$56:$E$75)=0,0,'TO HOP NLAN'!E55*'TS-PILE'!$E$56/SUMSQ('TS-PILE'!$E$56:$E$75))+IF(SUMSQ('TS-PILE'!$D$56:$D$75)=0,0,'TO HOP NLAN'!F55*'TS-PILE'!$D$56/SUMSQ('TS-PILE'!$D$56:$D$75))),IF('TS-PILE'!$B$57="",-1E+99,'TO HOP NLAN'!D55/ncoc+IF(SUMSQ('TS-PILE'!$E$56:$E$75)=0,0,'TO HOP NLAN'!E55*'TS-PILE'!$E$57/SUMSQ('TS-PILE'!$E$56:$E$75))+IF(SUMSQ('TS-PILE'!$D$56:$D$75)=0,0,'TO HOP NLAN'!F55*'TS-PILE'!$D$57/SUMSQ('TS-PILE'!$D$56:$D$75))),IF('TS-PILE'!$B$58="",-1E+99,'TO HOP NLAN'!D55/ncoc+IF(SUMSQ('TS-PILE'!$E$56:$E$75)=0,0,'TO HOP NLAN'!E55*'TS-PILE'!$E$58/SUMSQ('TS-PILE'!$E$56:$E$75))+IF(SUMSQ('TS-PILE'!$D$56:$D$75)=0,0,'TO HOP NLAN'!F55*'TS-PILE'!$D$58/SUMSQ('TS-PILE'!$D$56:$D$75))),IF('TS-PILE'!$B$59="",-1E+99,'TO HOP NLAN'!D55/ncoc+IF(SUMSQ('TS-PILE'!$E$56:$E$75)=0,0,'TO HOP NLAN'!E55*'TS-PILE'!$E$59/SUMSQ('TS-PILE'!$E$56:$E$75))+IF(SUMSQ('TS-PILE'!$D$56:$D$75)=0,0,'TO HOP NLAN'!F55*'TS-PILE'!$D$59/SUMSQ('TS-PILE'!$D$56:$D$75))),IF('TS-PILE'!$B$60="",-1E+99,'TO HOP NLAN'!D55/ncoc+IF(SUMSQ('TS-PILE'!$E$56:$E$75)=0,0,'TO HOP NLAN'!E55*'TS-PILE'!$E$60/SUMSQ('TS-PILE'!$E$56:$E$75))+IF(SUMSQ('TS-PILE'!$D$56:$D$75)=0,0,'TO HOP NLAN'!F55*'TS-PILE'!$D$60/SUMSQ('TS-PILE'!$D$56:$D$75))),IF('TS-PILE'!$B$61="",-1E+99,'TO HOP NLAN'!D55/ncoc+IF(SUMSQ('TS-PILE'!$E$56:$E$75)=0,0,'TO HOP NLAN'!E55*'TS-PILE'!$E$61/SUMSQ('TS-PILE'!$E$56:$E$75))+IF(SUMSQ('TS-PILE'!$D$56:$D$75)=0,0,'TO HOP NLAN'!F55*'TS-PILE'!$D$61/SUMSQ('TS-PILE'!$D$56:$D$75))),IF('TS-PILE'!$B$62="",-1E+99,'TO HOP NLAN'!D55/ncoc+IF(SUMSQ('TS-PILE'!$E$56:$E$75)=0,0,'TO HOP NLAN'!E55*'TS-PILE'!$E$62/SUMSQ('TS-PILE'!$E$56:$E$75))+IF(SUMSQ('TS-PILE'!$D$56:$D$75)=0,0,'TO HOP NLAN'!F55*'TS-PILE'!$D$62/SUMSQ('TS-PILE'!$D$56:$D$75))),IF('TS-PILE'!$B$63="",-1E+99,'TO HOP NLAN'!D55/ncoc+IF(SUMSQ('TS-PILE'!$E$56:$E$75)=0,0,'TO HOP NLAN'!E55*'TS-PILE'!$E$63/SUMSQ('TS-PILE'!$E$56:$E$75))+IF(SUMSQ('TS-PILE'!$D$56:$D$75)=0,0,'TO HOP NLAN'!F55*'TS-PILE'!$D$63/SUMSQ('TS-PILE'!$D$56:$D$75))),IF('TS-PILE'!$B$64="",-1E+99,'TO HOP NLAN'!D55/ncoc+IF(SUMSQ('TS-PILE'!$E$56:$E$75)=0,0,'TO HOP NLAN'!E55*'TS-PILE'!$E$64/SUMSQ('TS-PILE'!$E$56:$E$75))+IF(SUMSQ('TS-PILE'!$D$56:$D$75)=0,0,'TO HOP NLAN'!F55*'TS-PILE'!$D$64/SUMSQ('TS-PILE'!$D$56:$D$75))),IF('TS-PILE'!$B$65="",-1E+99,'TO HOP NLAN'!D55/ncoc+IF(SUMSQ('TS-PILE'!$E$56:$E$75)=0,0,'TO HOP NLAN'!E55*'TS-PILE'!$E$65/SUMSQ('TS-PILE'!$E$56:$E$75))+IF(SUMSQ('TS-PILE'!$D$56:$D$75)=0,0,'TO HOP NLAN'!F55*'TS-PILE'!$D$65/SUMSQ('TS-PILE'!$D$56:$D$75))),IF('TS-PILE'!$B$66="",-1E+99,'TO HOP NLAN'!D55/ncoc+IF(SUMSQ('TS-PILE'!$E$56:$E$75)=0,0,'TO HOP NLAN'!E55*'TS-PILE'!$E$66/SUMSQ('TS-PILE'!$E$56:$E$75))+IF(SUMSQ('TS-PILE'!$D$56:$D$75)=0,0,'TO HOP NLAN'!F55*'TS-PILE'!$D$66/SUMSQ('TS-PILE'!$D$56:$D$75))),IF('TS-PILE'!$B$67="",-1E+99,'TO HOP NLAN'!D55/ncoc+IF(SUMSQ('TS-PILE'!$E$56:$E$75)=0,0,'TO HOP NLAN'!E55*'TS-PILE'!$E$67/SUMSQ('TS-PILE'!$E$56:$E$75))+IF(SUMSQ('TS-PILE'!$D$56:$D$75)=0,0,'TO HOP NLAN'!F55*'TS-PILE'!$D$67/SUMSQ('TS-PILE'!$D$56:$D$75))),IF('TS-PILE'!$B$68="",-1E+99,'TO HOP NLAN'!D55/ncoc+IF(SUMSQ('TS-PILE'!$E$56:$E$75)=0,0,'TO HOP NLAN'!E55*'TS-PILE'!$E$68/SUMSQ('TS-PILE'!$E$56:$E$75))+IF(SUMSQ('TS-PILE'!$D$56:$D$75)=0,0,'TO HOP NLAN'!F55*'TS-PILE'!$D$68/SUMSQ('TS-PILE'!$D$56:$D$75))),IF('TS-PILE'!$B$69="",-1E+99,'TO HOP NLAN'!D55/ncoc+IF(SUMSQ('TS-PILE'!$E$56:$E$75)=0,0,'TO HOP NLAN'!E55*'TS-PILE'!$E$69/SUMSQ('TS-PILE'!$E$56:$E$75))+IF(SUMSQ('TS-PILE'!$D$56:$D$75)=0,0,'TO HOP NLAN'!F55*'TS-PILE'!$D$69/SUMSQ('TS-PILE'!$D$56:$D$75))),IF('TS-PILE'!$B$70="",-1E+99,'TO HOP NLAN'!D55/ncoc+IF(SUMSQ('TS-PILE'!$E$56:$E$75)=0,0,'TO HOP NLAN'!E55*'TS-PILE'!$E$70/SUMSQ('TS-PILE'!$E$56:$E$75))+IF(SUMSQ('TS-PILE'!$D$56:$D$75)=0,0,'TO HOP NLAN'!F55*'TS-PILE'!$D$70/SUMSQ('TS-PILE'!$D$56:$D$75))),IF('TS-PILE'!$B$71="",-1E+99,'TO HOP NLAN'!D55/ncoc+IF(SUMSQ('TS-PILE'!$E$56:$E$75)=0,0,'TO HOP NLAN'!E55*'TS-PILE'!$E$71/SUMSQ('TS-PILE'!$E$56:$E$75))+IF(SUMSQ('TS-PILE'!$D$56:$D$75)=0,0,'TO HOP NLAN'!F55*'TS-PILE'!$D$71/SUMSQ('TS-PILE'!$D$56:$D$75))),IF('TS-PILE'!$B$72="",-1E+99,'TO HOP NLAN'!D55/ncoc+IF(SUMSQ('TS-PILE'!$E$56:$E$75)=0,0,'TO HOP NLAN'!E55*'TS-PILE'!$E$72/SUMSQ('TS-PILE'!$E$56:$E$75))+IF(SUMSQ('TS-PILE'!$D$56:$D$75)=0,0,'TO HOP NLAN'!F55*'TS-PILE'!$D$72/SUMSQ('TS-PILE'!$D$56:$D$75))),IF('TS-PILE'!$B$73="",-1E+99,'TO HOP NLAN'!D55/ncoc+IF(SUMSQ('TS-PILE'!$E$56:$E$75)=0,0,'TO HOP NLAN'!E55*'TS-PILE'!$E$73/SUMSQ('TS-PILE'!$E$56:$E$75))+IF(SUMSQ('TS-PILE'!$D$56:$D$75)=0,0,'TO HOP NLAN'!F55*'TS-PILE'!$D$73/SUMSQ('TS-PILE'!$D$56:$D$75))),IF('TS-PILE'!$B$74="",-1E+99,'TO HOP NLAN'!D55/ncoc+IF(SUMSQ('TS-PILE'!$E$56:$E$75)=0,0,'TO HOP NLAN'!E55*'TS-PILE'!$E$74/SUMSQ('TS-PILE'!$E$56:$E$75))+IF(SUMSQ('TS-PILE'!$D$56:$D$75)=0,0,'TO HOP NLAN'!F55*'TS-PILE'!$D$74/SUMSQ('TS-PILE'!$D$56:$D$75))),IF('TS-PILE'!$B$75="",-1E+99,'TO HOP NLAN'!D55/ncoc+IF(SUMSQ('TS-PILE'!$E$56:$E$75)=0,0,'TO HOP NLAN'!E55*'TS-PILE'!$E$75/SUMSQ('TS-PILE'!$E$56:$E$75))+IF(SUMSQ('TS-PILE'!$D$56:$D$75)=0,0,'TO HOP NLAN'!F55*'TS-PILE'!$D$75/SUMSQ('TS-PILE'!$D$56:$D$75)))))</f>
        <v>0</v>
      </c>
      <c r="D55" s="46">
        <f>IF(A55="",0,MIN(IF('TS-PILE'!$B$56="",1E+99,'TO HOP NLAN'!D55/ncoc+IF(SUMSQ('TS-PILE'!$E$56:$E$75)=0,0,'TO HOP NLAN'!E55*'TS-PILE'!$E$56/SUMSQ('TS-PILE'!$E$56:$E$75))+IF(SUMSQ('TS-PILE'!$D$56:$D$75)=0,0,'TO HOP NLAN'!F55*'TS-PILE'!$D$56/SUMSQ('TS-PILE'!$D$56:$D$75))),IF('TS-PILE'!$B$57="",1E+99,'TO HOP NLAN'!D55/ncoc+IF(SUMSQ('TS-PILE'!$E$56:$E$75)=0,0,'TO HOP NLAN'!E55*'TS-PILE'!$E$57/SUMSQ('TS-PILE'!$E$56:$E$75))+IF(SUMSQ('TS-PILE'!$D$56:$D$75)=0,0,'TO HOP NLAN'!F55*'TS-PILE'!$D$57/SUMSQ('TS-PILE'!$D$56:$D$75))),IF('TS-PILE'!$B$58="",1E+99,'TO HOP NLAN'!D55/ncoc+IF(SUMSQ('TS-PILE'!$E$56:$E$75)=0,0,'TO HOP NLAN'!E55*'TS-PILE'!$E$58/SUMSQ('TS-PILE'!$E$56:$E$75))+IF(SUMSQ('TS-PILE'!$D$56:$D$75)=0,0,'TO HOP NLAN'!F55*'TS-PILE'!$D$58/SUMSQ('TS-PILE'!$D$56:$D$75))),IF('TS-PILE'!$B$59="",1E+99,'TO HOP NLAN'!D55/ncoc+IF(SUMSQ('TS-PILE'!$E$56:$E$75)=0,0,'TO HOP NLAN'!E55*'TS-PILE'!$E$59/SUMSQ('TS-PILE'!$E$56:$E$75))+IF(SUMSQ('TS-PILE'!$D$56:$D$75)=0,0,'TO HOP NLAN'!F55*'TS-PILE'!$D$59/SUMSQ('TS-PILE'!$D$56:$D$75))),IF('TS-PILE'!$B$60="",1E+99,'TO HOP NLAN'!D55/ncoc+IF(SUMSQ('TS-PILE'!$E$56:$E$75)=0,0,'TO HOP NLAN'!E55*'TS-PILE'!$E$60/SUMSQ('TS-PILE'!$E$56:$E$75))+IF(SUMSQ('TS-PILE'!$D$56:$D$75)=0,0,'TO HOP NLAN'!F55*'TS-PILE'!$D$60/SUMSQ('TS-PILE'!$D$56:$D$75))),IF('TS-PILE'!$B$61="",1E+99,'TO HOP NLAN'!D55/ncoc+IF(SUMSQ('TS-PILE'!$E$56:$E$75)=0,0,'TO HOP NLAN'!E55*'TS-PILE'!$E$61/SUMSQ('TS-PILE'!$E$56:$E$75))+IF(SUMSQ('TS-PILE'!$D$56:$D$75)=0,0,'TO HOP NLAN'!F55*'TS-PILE'!$D$61/SUMSQ('TS-PILE'!$D$56:$D$75))),IF('TS-PILE'!$B$62="",1E+99,'TO HOP NLAN'!D55/ncoc+IF(SUMSQ('TS-PILE'!$E$56:$E$75)=0,0,'TO HOP NLAN'!E55*'TS-PILE'!$E$62/SUMSQ('TS-PILE'!$E$56:$E$75))+IF(SUMSQ('TS-PILE'!$D$56:$D$75)=0,0,'TO HOP NLAN'!F55*'TS-PILE'!$D$62/SUMSQ('TS-PILE'!$D$56:$D$75))),IF('TS-PILE'!$B$63="",1E+99,'TO HOP NLAN'!D55/ncoc+IF(SUMSQ('TS-PILE'!$E$56:$E$75)=0,0,'TO HOP NLAN'!E55*'TS-PILE'!$E$63/SUMSQ('TS-PILE'!$E$56:$E$75))+IF(SUMSQ('TS-PILE'!$D$56:$D$75)=0,0,'TO HOP NLAN'!F55*'TS-PILE'!$D$63/SUMSQ('TS-PILE'!$D$56:$D$75))),IF('TS-PILE'!$B$64="",1E+99,'TO HOP NLAN'!D55/ncoc+IF(SUMSQ('TS-PILE'!$E$56:$E$75)=0,0,'TO HOP NLAN'!E55*'TS-PILE'!$E$64/SUMSQ('TS-PILE'!$E$56:$E$75))+IF(SUMSQ('TS-PILE'!$D$56:$D$75)=0,0,'TO HOP NLAN'!F55*'TS-PILE'!$D$64/SUMSQ('TS-PILE'!$D$56:$D$75))),IF('TS-PILE'!$B$65="",1E+99,'TO HOP NLAN'!D55/ncoc+IF(SUMSQ('TS-PILE'!$E$56:$E$75)=0,0,'TO HOP NLAN'!E55*'TS-PILE'!$E$65/SUMSQ('TS-PILE'!$E$56:$E$75))+IF(SUMSQ('TS-PILE'!$D$56:$D$75)=0,0,'TO HOP NLAN'!F55*'TS-PILE'!$D$65/SUMSQ('TS-PILE'!$D$56:$D$75))),IF('TS-PILE'!$B$66="",1E+99,'TO HOP NLAN'!D55/ncoc+IF(SUMSQ('TS-PILE'!$E$56:$E$75)=0,0,'TO HOP NLAN'!E55*'TS-PILE'!$E$66/SUMSQ('TS-PILE'!$E$56:$E$75))+IF(SUMSQ('TS-PILE'!$D$56:$D$75)=0,0,'TO HOP NLAN'!F55*'TS-PILE'!$D$66/SUMSQ('TS-PILE'!$D$56:$D$75))),IF('TS-PILE'!$B$67="",1E+99,'TO HOP NLAN'!D55/ncoc+IF(SUMSQ('TS-PILE'!$E$56:$E$75)=0,0,'TO HOP NLAN'!E55*'TS-PILE'!$E$67/SUMSQ('TS-PILE'!$E$56:$E$75))+IF(SUMSQ('TS-PILE'!$D$56:$D$75)=0,0,'TO HOP NLAN'!F55*'TS-PILE'!$D$67/SUMSQ('TS-PILE'!$D$56:$D$75))),IF('TS-PILE'!$B$68="",1E+99,'TO HOP NLAN'!D55/ncoc+IF(SUMSQ('TS-PILE'!$E$56:$E$75)=0,0,'TO HOP NLAN'!E55*'TS-PILE'!$E$68/SUMSQ('TS-PILE'!$E$56:$E$75))+IF(SUMSQ('TS-PILE'!$D$56:$D$75)=0,0,'TO HOP NLAN'!F55*'TS-PILE'!$D$68/SUMSQ('TS-PILE'!$D$56:$D$75))),IF('TS-PILE'!$B$69="",1E+99,'TO HOP NLAN'!D55/ncoc+IF(SUMSQ('TS-PILE'!$E$56:$E$75)=0,0,'TO HOP NLAN'!E55*'TS-PILE'!$E$69/SUMSQ('TS-PILE'!$E$56:$E$75))+IF(SUMSQ('TS-PILE'!$D$56:$D$75)=0,0,'TO HOP NLAN'!F55*'TS-PILE'!$D$69/SUMSQ('TS-PILE'!$D$56:$D$75))),IF('TS-PILE'!$B$70="",1E+99,'TO HOP NLAN'!D55/ncoc+IF(SUMSQ('TS-PILE'!$E$56:$E$75)=0,0,'TO HOP NLAN'!E55*'TS-PILE'!$E$70/SUMSQ('TS-PILE'!$E$56:$E$75))+IF(SUMSQ('TS-PILE'!$D$56:$D$75)=0,0,'TO HOP NLAN'!F55*'TS-PILE'!$D$70/SUMSQ('TS-PILE'!$D$56:$D$75))),IF('TS-PILE'!$B$71="",1E+99,'TO HOP NLAN'!D55/ncoc+IF(SUMSQ('TS-PILE'!$E$56:$E$75)=0,0,'TO HOP NLAN'!E55*'TS-PILE'!$E$71/SUMSQ('TS-PILE'!$E$56:$E$75))+IF(SUMSQ('TS-PILE'!$D$56:$D$75)=0,0,'TO HOP NLAN'!F55*'TS-PILE'!$D$71/SUMSQ('TS-PILE'!$D$56:$D$75))),IF('TS-PILE'!$B$72="",1E+99,'TO HOP NLAN'!D55/ncoc+IF(SUMSQ('TS-PILE'!$E$56:$E$75)=0,0,'TO HOP NLAN'!E55*'TS-PILE'!$E$72/SUMSQ('TS-PILE'!$E$56:$E$75))+IF(SUMSQ('TS-PILE'!$D$56:$D$75)=0,0,'TO HOP NLAN'!F55*'TS-PILE'!$D$72/SUMSQ('TS-PILE'!$D$56:$D$75))),IF('TS-PILE'!$B$73="",1E+99,'TO HOP NLAN'!D55/ncoc+IF(SUMSQ('TS-PILE'!$E$56:$E$75)=0,0,'TO HOP NLAN'!E55*'TS-PILE'!$E$73/SUMSQ('TS-PILE'!$E$56:$E$75))+IF(SUMSQ('TS-PILE'!$D$56:$D$75)=0,0,'TO HOP NLAN'!F55*'TS-PILE'!$D$73/SUMSQ('TS-PILE'!$D$56:$D$75))),IF('TS-PILE'!$B$74="",1E+99,'TO HOP NLAN'!D55/ncoc+IF(SUMSQ('TS-PILE'!$E$56:$E$75)=0,0,'TO HOP NLAN'!E55*'TS-PILE'!$E$74/SUMSQ('TS-PILE'!$E$56:$E$75))+IF(SUMSQ('TS-PILE'!$D$56:$D$75)=0,0,'TO HOP NLAN'!F55*'TS-PILE'!$D$74/SUMSQ('TS-PILE'!$D$56:$D$75))),IF('TS-PILE'!$B$75="",1E+99,'TO HOP NLAN'!D55/ncoc+IF(SUMSQ('TS-PILE'!$E$56:$E$75)=0,0,'TO HOP NLAN'!E55*'TS-PILE'!$E$75/SUMSQ('TS-PILE'!$E$56:$E$75))+IF(SUMSQ('TS-PILE'!$D$56:$D$75)=0,0,'TO HOP NLAN'!F55*'TS-PILE'!$D$75/SUMSQ('TS-PILE'!$D$56:$D$75)))))</f>
        <v>0</v>
      </c>
      <c r="E55" s="46">
        <f t="shared" si="0"/>
        <v>-9.9999999999999997E+98</v>
      </c>
      <c r="F55" s="46">
        <f t="shared" si="1"/>
        <v>9.9999999999999997E+98</v>
      </c>
      <c r="G55" s="46">
        <f t="shared" si="2"/>
        <v>-9.9999999999999997E+98</v>
      </c>
      <c r="H55" s="46">
        <f t="shared" si="3"/>
        <v>9.9999999999999997E+98</v>
      </c>
    </row>
    <row r="56" spans="1:8" x14ac:dyDescent="0.3">
      <c r="A56" s="40" t="str">
        <f>'TO HOP NLAN'!A56</f>
        <v/>
      </c>
      <c r="B56" s="40" t="str">
        <f>'TO HOP NLAN'!L56</f>
        <v>SERVICE</v>
      </c>
      <c r="C56" s="46">
        <f>IF(A56="",0,MAX(IF('TS-PILE'!$B$56="",-1E+99,'TO HOP NLAN'!D56/ncoc+IF(SUMSQ('TS-PILE'!$E$56:$E$75)=0,0,'TO HOP NLAN'!E56*'TS-PILE'!$E$56/SUMSQ('TS-PILE'!$E$56:$E$75))+IF(SUMSQ('TS-PILE'!$D$56:$D$75)=0,0,'TO HOP NLAN'!F56*'TS-PILE'!$D$56/SUMSQ('TS-PILE'!$D$56:$D$75))),IF('TS-PILE'!$B$57="",-1E+99,'TO HOP NLAN'!D56/ncoc+IF(SUMSQ('TS-PILE'!$E$56:$E$75)=0,0,'TO HOP NLAN'!E56*'TS-PILE'!$E$57/SUMSQ('TS-PILE'!$E$56:$E$75))+IF(SUMSQ('TS-PILE'!$D$56:$D$75)=0,0,'TO HOP NLAN'!F56*'TS-PILE'!$D$57/SUMSQ('TS-PILE'!$D$56:$D$75))),IF('TS-PILE'!$B$58="",-1E+99,'TO HOP NLAN'!D56/ncoc+IF(SUMSQ('TS-PILE'!$E$56:$E$75)=0,0,'TO HOP NLAN'!E56*'TS-PILE'!$E$58/SUMSQ('TS-PILE'!$E$56:$E$75))+IF(SUMSQ('TS-PILE'!$D$56:$D$75)=0,0,'TO HOP NLAN'!F56*'TS-PILE'!$D$58/SUMSQ('TS-PILE'!$D$56:$D$75))),IF('TS-PILE'!$B$59="",-1E+99,'TO HOP NLAN'!D56/ncoc+IF(SUMSQ('TS-PILE'!$E$56:$E$75)=0,0,'TO HOP NLAN'!E56*'TS-PILE'!$E$59/SUMSQ('TS-PILE'!$E$56:$E$75))+IF(SUMSQ('TS-PILE'!$D$56:$D$75)=0,0,'TO HOP NLAN'!F56*'TS-PILE'!$D$59/SUMSQ('TS-PILE'!$D$56:$D$75))),IF('TS-PILE'!$B$60="",-1E+99,'TO HOP NLAN'!D56/ncoc+IF(SUMSQ('TS-PILE'!$E$56:$E$75)=0,0,'TO HOP NLAN'!E56*'TS-PILE'!$E$60/SUMSQ('TS-PILE'!$E$56:$E$75))+IF(SUMSQ('TS-PILE'!$D$56:$D$75)=0,0,'TO HOP NLAN'!F56*'TS-PILE'!$D$60/SUMSQ('TS-PILE'!$D$56:$D$75))),IF('TS-PILE'!$B$61="",-1E+99,'TO HOP NLAN'!D56/ncoc+IF(SUMSQ('TS-PILE'!$E$56:$E$75)=0,0,'TO HOP NLAN'!E56*'TS-PILE'!$E$61/SUMSQ('TS-PILE'!$E$56:$E$75))+IF(SUMSQ('TS-PILE'!$D$56:$D$75)=0,0,'TO HOP NLAN'!F56*'TS-PILE'!$D$61/SUMSQ('TS-PILE'!$D$56:$D$75))),IF('TS-PILE'!$B$62="",-1E+99,'TO HOP NLAN'!D56/ncoc+IF(SUMSQ('TS-PILE'!$E$56:$E$75)=0,0,'TO HOP NLAN'!E56*'TS-PILE'!$E$62/SUMSQ('TS-PILE'!$E$56:$E$75))+IF(SUMSQ('TS-PILE'!$D$56:$D$75)=0,0,'TO HOP NLAN'!F56*'TS-PILE'!$D$62/SUMSQ('TS-PILE'!$D$56:$D$75))),IF('TS-PILE'!$B$63="",-1E+99,'TO HOP NLAN'!D56/ncoc+IF(SUMSQ('TS-PILE'!$E$56:$E$75)=0,0,'TO HOP NLAN'!E56*'TS-PILE'!$E$63/SUMSQ('TS-PILE'!$E$56:$E$75))+IF(SUMSQ('TS-PILE'!$D$56:$D$75)=0,0,'TO HOP NLAN'!F56*'TS-PILE'!$D$63/SUMSQ('TS-PILE'!$D$56:$D$75))),IF('TS-PILE'!$B$64="",-1E+99,'TO HOP NLAN'!D56/ncoc+IF(SUMSQ('TS-PILE'!$E$56:$E$75)=0,0,'TO HOP NLAN'!E56*'TS-PILE'!$E$64/SUMSQ('TS-PILE'!$E$56:$E$75))+IF(SUMSQ('TS-PILE'!$D$56:$D$75)=0,0,'TO HOP NLAN'!F56*'TS-PILE'!$D$64/SUMSQ('TS-PILE'!$D$56:$D$75))),IF('TS-PILE'!$B$65="",-1E+99,'TO HOP NLAN'!D56/ncoc+IF(SUMSQ('TS-PILE'!$E$56:$E$75)=0,0,'TO HOP NLAN'!E56*'TS-PILE'!$E$65/SUMSQ('TS-PILE'!$E$56:$E$75))+IF(SUMSQ('TS-PILE'!$D$56:$D$75)=0,0,'TO HOP NLAN'!F56*'TS-PILE'!$D$65/SUMSQ('TS-PILE'!$D$56:$D$75))),IF('TS-PILE'!$B$66="",-1E+99,'TO HOP NLAN'!D56/ncoc+IF(SUMSQ('TS-PILE'!$E$56:$E$75)=0,0,'TO HOP NLAN'!E56*'TS-PILE'!$E$66/SUMSQ('TS-PILE'!$E$56:$E$75))+IF(SUMSQ('TS-PILE'!$D$56:$D$75)=0,0,'TO HOP NLAN'!F56*'TS-PILE'!$D$66/SUMSQ('TS-PILE'!$D$56:$D$75))),IF('TS-PILE'!$B$67="",-1E+99,'TO HOP NLAN'!D56/ncoc+IF(SUMSQ('TS-PILE'!$E$56:$E$75)=0,0,'TO HOP NLAN'!E56*'TS-PILE'!$E$67/SUMSQ('TS-PILE'!$E$56:$E$75))+IF(SUMSQ('TS-PILE'!$D$56:$D$75)=0,0,'TO HOP NLAN'!F56*'TS-PILE'!$D$67/SUMSQ('TS-PILE'!$D$56:$D$75))),IF('TS-PILE'!$B$68="",-1E+99,'TO HOP NLAN'!D56/ncoc+IF(SUMSQ('TS-PILE'!$E$56:$E$75)=0,0,'TO HOP NLAN'!E56*'TS-PILE'!$E$68/SUMSQ('TS-PILE'!$E$56:$E$75))+IF(SUMSQ('TS-PILE'!$D$56:$D$75)=0,0,'TO HOP NLAN'!F56*'TS-PILE'!$D$68/SUMSQ('TS-PILE'!$D$56:$D$75))),IF('TS-PILE'!$B$69="",-1E+99,'TO HOP NLAN'!D56/ncoc+IF(SUMSQ('TS-PILE'!$E$56:$E$75)=0,0,'TO HOP NLAN'!E56*'TS-PILE'!$E$69/SUMSQ('TS-PILE'!$E$56:$E$75))+IF(SUMSQ('TS-PILE'!$D$56:$D$75)=0,0,'TO HOP NLAN'!F56*'TS-PILE'!$D$69/SUMSQ('TS-PILE'!$D$56:$D$75))),IF('TS-PILE'!$B$70="",-1E+99,'TO HOP NLAN'!D56/ncoc+IF(SUMSQ('TS-PILE'!$E$56:$E$75)=0,0,'TO HOP NLAN'!E56*'TS-PILE'!$E$70/SUMSQ('TS-PILE'!$E$56:$E$75))+IF(SUMSQ('TS-PILE'!$D$56:$D$75)=0,0,'TO HOP NLAN'!F56*'TS-PILE'!$D$70/SUMSQ('TS-PILE'!$D$56:$D$75))),IF('TS-PILE'!$B$71="",-1E+99,'TO HOP NLAN'!D56/ncoc+IF(SUMSQ('TS-PILE'!$E$56:$E$75)=0,0,'TO HOP NLAN'!E56*'TS-PILE'!$E$71/SUMSQ('TS-PILE'!$E$56:$E$75))+IF(SUMSQ('TS-PILE'!$D$56:$D$75)=0,0,'TO HOP NLAN'!F56*'TS-PILE'!$D$71/SUMSQ('TS-PILE'!$D$56:$D$75))),IF('TS-PILE'!$B$72="",-1E+99,'TO HOP NLAN'!D56/ncoc+IF(SUMSQ('TS-PILE'!$E$56:$E$75)=0,0,'TO HOP NLAN'!E56*'TS-PILE'!$E$72/SUMSQ('TS-PILE'!$E$56:$E$75))+IF(SUMSQ('TS-PILE'!$D$56:$D$75)=0,0,'TO HOP NLAN'!F56*'TS-PILE'!$D$72/SUMSQ('TS-PILE'!$D$56:$D$75))),IF('TS-PILE'!$B$73="",-1E+99,'TO HOP NLAN'!D56/ncoc+IF(SUMSQ('TS-PILE'!$E$56:$E$75)=0,0,'TO HOP NLAN'!E56*'TS-PILE'!$E$73/SUMSQ('TS-PILE'!$E$56:$E$75))+IF(SUMSQ('TS-PILE'!$D$56:$D$75)=0,0,'TO HOP NLAN'!F56*'TS-PILE'!$D$73/SUMSQ('TS-PILE'!$D$56:$D$75))),IF('TS-PILE'!$B$74="",-1E+99,'TO HOP NLAN'!D56/ncoc+IF(SUMSQ('TS-PILE'!$E$56:$E$75)=0,0,'TO HOP NLAN'!E56*'TS-PILE'!$E$74/SUMSQ('TS-PILE'!$E$56:$E$75))+IF(SUMSQ('TS-PILE'!$D$56:$D$75)=0,0,'TO HOP NLAN'!F56*'TS-PILE'!$D$74/SUMSQ('TS-PILE'!$D$56:$D$75))),IF('TS-PILE'!$B$75="",-1E+99,'TO HOP NLAN'!D56/ncoc+IF(SUMSQ('TS-PILE'!$E$56:$E$75)=0,0,'TO HOP NLAN'!E56*'TS-PILE'!$E$75/SUMSQ('TS-PILE'!$E$56:$E$75))+IF(SUMSQ('TS-PILE'!$D$56:$D$75)=0,0,'TO HOP NLAN'!F56*'TS-PILE'!$D$75/SUMSQ('TS-PILE'!$D$56:$D$75)))))</f>
        <v>0</v>
      </c>
      <c r="D56" s="46">
        <f>IF(A56="",0,MIN(IF('TS-PILE'!$B$56="",1E+99,'TO HOP NLAN'!D56/ncoc+IF(SUMSQ('TS-PILE'!$E$56:$E$75)=0,0,'TO HOP NLAN'!E56*'TS-PILE'!$E$56/SUMSQ('TS-PILE'!$E$56:$E$75))+IF(SUMSQ('TS-PILE'!$D$56:$D$75)=0,0,'TO HOP NLAN'!F56*'TS-PILE'!$D$56/SUMSQ('TS-PILE'!$D$56:$D$75))),IF('TS-PILE'!$B$57="",1E+99,'TO HOP NLAN'!D56/ncoc+IF(SUMSQ('TS-PILE'!$E$56:$E$75)=0,0,'TO HOP NLAN'!E56*'TS-PILE'!$E$57/SUMSQ('TS-PILE'!$E$56:$E$75))+IF(SUMSQ('TS-PILE'!$D$56:$D$75)=0,0,'TO HOP NLAN'!F56*'TS-PILE'!$D$57/SUMSQ('TS-PILE'!$D$56:$D$75))),IF('TS-PILE'!$B$58="",1E+99,'TO HOP NLAN'!D56/ncoc+IF(SUMSQ('TS-PILE'!$E$56:$E$75)=0,0,'TO HOP NLAN'!E56*'TS-PILE'!$E$58/SUMSQ('TS-PILE'!$E$56:$E$75))+IF(SUMSQ('TS-PILE'!$D$56:$D$75)=0,0,'TO HOP NLAN'!F56*'TS-PILE'!$D$58/SUMSQ('TS-PILE'!$D$56:$D$75))),IF('TS-PILE'!$B$59="",1E+99,'TO HOP NLAN'!D56/ncoc+IF(SUMSQ('TS-PILE'!$E$56:$E$75)=0,0,'TO HOP NLAN'!E56*'TS-PILE'!$E$59/SUMSQ('TS-PILE'!$E$56:$E$75))+IF(SUMSQ('TS-PILE'!$D$56:$D$75)=0,0,'TO HOP NLAN'!F56*'TS-PILE'!$D$59/SUMSQ('TS-PILE'!$D$56:$D$75))),IF('TS-PILE'!$B$60="",1E+99,'TO HOP NLAN'!D56/ncoc+IF(SUMSQ('TS-PILE'!$E$56:$E$75)=0,0,'TO HOP NLAN'!E56*'TS-PILE'!$E$60/SUMSQ('TS-PILE'!$E$56:$E$75))+IF(SUMSQ('TS-PILE'!$D$56:$D$75)=0,0,'TO HOP NLAN'!F56*'TS-PILE'!$D$60/SUMSQ('TS-PILE'!$D$56:$D$75))),IF('TS-PILE'!$B$61="",1E+99,'TO HOP NLAN'!D56/ncoc+IF(SUMSQ('TS-PILE'!$E$56:$E$75)=0,0,'TO HOP NLAN'!E56*'TS-PILE'!$E$61/SUMSQ('TS-PILE'!$E$56:$E$75))+IF(SUMSQ('TS-PILE'!$D$56:$D$75)=0,0,'TO HOP NLAN'!F56*'TS-PILE'!$D$61/SUMSQ('TS-PILE'!$D$56:$D$75))),IF('TS-PILE'!$B$62="",1E+99,'TO HOP NLAN'!D56/ncoc+IF(SUMSQ('TS-PILE'!$E$56:$E$75)=0,0,'TO HOP NLAN'!E56*'TS-PILE'!$E$62/SUMSQ('TS-PILE'!$E$56:$E$75))+IF(SUMSQ('TS-PILE'!$D$56:$D$75)=0,0,'TO HOP NLAN'!F56*'TS-PILE'!$D$62/SUMSQ('TS-PILE'!$D$56:$D$75))),IF('TS-PILE'!$B$63="",1E+99,'TO HOP NLAN'!D56/ncoc+IF(SUMSQ('TS-PILE'!$E$56:$E$75)=0,0,'TO HOP NLAN'!E56*'TS-PILE'!$E$63/SUMSQ('TS-PILE'!$E$56:$E$75))+IF(SUMSQ('TS-PILE'!$D$56:$D$75)=0,0,'TO HOP NLAN'!F56*'TS-PILE'!$D$63/SUMSQ('TS-PILE'!$D$56:$D$75))),IF('TS-PILE'!$B$64="",1E+99,'TO HOP NLAN'!D56/ncoc+IF(SUMSQ('TS-PILE'!$E$56:$E$75)=0,0,'TO HOP NLAN'!E56*'TS-PILE'!$E$64/SUMSQ('TS-PILE'!$E$56:$E$75))+IF(SUMSQ('TS-PILE'!$D$56:$D$75)=0,0,'TO HOP NLAN'!F56*'TS-PILE'!$D$64/SUMSQ('TS-PILE'!$D$56:$D$75))),IF('TS-PILE'!$B$65="",1E+99,'TO HOP NLAN'!D56/ncoc+IF(SUMSQ('TS-PILE'!$E$56:$E$75)=0,0,'TO HOP NLAN'!E56*'TS-PILE'!$E$65/SUMSQ('TS-PILE'!$E$56:$E$75))+IF(SUMSQ('TS-PILE'!$D$56:$D$75)=0,0,'TO HOP NLAN'!F56*'TS-PILE'!$D$65/SUMSQ('TS-PILE'!$D$56:$D$75))),IF('TS-PILE'!$B$66="",1E+99,'TO HOP NLAN'!D56/ncoc+IF(SUMSQ('TS-PILE'!$E$56:$E$75)=0,0,'TO HOP NLAN'!E56*'TS-PILE'!$E$66/SUMSQ('TS-PILE'!$E$56:$E$75))+IF(SUMSQ('TS-PILE'!$D$56:$D$75)=0,0,'TO HOP NLAN'!F56*'TS-PILE'!$D$66/SUMSQ('TS-PILE'!$D$56:$D$75))),IF('TS-PILE'!$B$67="",1E+99,'TO HOP NLAN'!D56/ncoc+IF(SUMSQ('TS-PILE'!$E$56:$E$75)=0,0,'TO HOP NLAN'!E56*'TS-PILE'!$E$67/SUMSQ('TS-PILE'!$E$56:$E$75))+IF(SUMSQ('TS-PILE'!$D$56:$D$75)=0,0,'TO HOP NLAN'!F56*'TS-PILE'!$D$67/SUMSQ('TS-PILE'!$D$56:$D$75))),IF('TS-PILE'!$B$68="",1E+99,'TO HOP NLAN'!D56/ncoc+IF(SUMSQ('TS-PILE'!$E$56:$E$75)=0,0,'TO HOP NLAN'!E56*'TS-PILE'!$E$68/SUMSQ('TS-PILE'!$E$56:$E$75))+IF(SUMSQ('TS-PILE'!$D$56:$D$75)=0,0,'TO HOP NLAN'!F56*'TS-PILE'!$D$68/SUMSQ('TS-PILE'!$D$56:$D$75))),IF('TS-PILE'!$B$69="",1E+99,'TO HOP NLAN'!D56/ncoc+IF(SUMSQ('TS-PILE'!$E$56:$E$75)=0,0,'TO HOP NLAN'!E56*'TS-PILE'!$E$69/SUMSQ('TS-PILE'!$E$56:$E$75))+IF(SUMSQ('TS-PILE'!$D$56:$D$75)=0,0,'TO HOP NLAN'!F56*'TS-PILE'!$D$69/SUMSQ('TS-PILE'!$D$56:$D$75))),IF('TS-PILE'!$B$70="",1E+99,'TO HOP NLAN'!D56/ncoc+IF(SUMSQ('TS-PILE'!$E$56:$E$75)=0,0,'TO HOP NLAN'!E56*'TS-PILE'!$E$70/SUMSQ('TS-PILE'!$E$56:$E$75))+IF(SUMSQ('TS-PILE'!$D$56:$D$75)=0,0,'TO HOP NLAN'!F56*'TS-PILE'!$D$70/SUMSQ('TS-PILE'!$D$56:$D$75))),IF('TS-PILE'!$B$71="",1E+99,'TO HOP NLAN'!D56/ncoc+IF(SUMSQ('TS-PILE'!$E$56:$E$75)=0,0,'TO HOP NLAN'!E56*'TS-PILE'!$E$71/SUMSQ('TS-PILE'!$E$56:$E$75))+IF(SUMSQ('TS-PILE'!$D$56:$D$75)=0,0,'TO HOP NLAN'!F56*'TS-PILE'!$D$71/SUMSQ('TS-PILE'!$D$56:$D$75))),IF('TS-PILE'!$B$72="",1E+99,'TO HOP NLAN'!D56/ncoc+IF(SUMSQ('TS-PILE'!$E$56:$E$75)=0,0,'TO HOP NLAN'!E56*'TS-PILE'!$E$72/SUMSQ('TS-PILE'!$E$56:$E$75))+IF(SUMSQ('TS-PILE'!$D$56:$D$75)=0,0,'TO HOP NLAN'!F56*'TS-PILE'!$D$72/SUMSQ('TS-PILE'!$D$56:$D$75))),IF('TS-PILE'!$B$73="",1E+99,'TO HOP NLAN'!D56/ncoc+IF(SUMSQ('TS-PILE'!$E$56:$E$75)=0,0,'TO HOP NLAN'!E56*'TS-PILE'!$E$73/SUMSQ('TS-PILE'!$E$56:$E$75))+IF(SUMSQ('TS-PILE'!$D$56:$D$75)=0,0,'TO HOP NLAN'!F56*'TS-PILE'!$D$73/SUMSQ('TS-PILE'!$D$56:$D$75))),IF('TS-PILE'!$B$74="",1E+99,'TO HOP NLAN'!D56/ncoc+IF(SUMSQ('TS-PILE'!$E$56:$E$75)=0,0,'TO HOP NLAN'!E56*'TS-PILE'!$E$74/SUMSQ('TS-PILE'!$E$56:$E$75))+IF(SUMSQ('TS-PILE'!$D$56:$D$75)=0,0,'TO HOP NLAN'!F56*'TS-PILE'!$D$74/SUMSQ('TS-PILE'!$D$56:$D$75))),IF('TS-PILE'!$B$75="",1E+99,'TO HOP NLAN'!D56/ncoc+IF(SUMSQ('TS-PILE'!$E$56:$E$75)=0,0,'TO HOP NLAN'!E56*'TS-PILE'!$E$75/SUMSQ('TS-PILE'!$E$56:$E$75))+IF(SUMSQ('TS-PILE'!$D$56:$D$75)=0,0,'TO HOP NLAN'!F56*'TS-PILE'!$D$75/SUMSQ('TS-PILE'!$D$56:$D$75)))))</f>
        <v>0</v>
      </c>
      <c r="E56" s="46">
        <f t="shared" si="0"/>
        <v>-9.9999999999999997E+98</v>
      </c>
      <c r="F56" s="46">
        <f t="shared" si="1"/>
        <v>9.9999999999999997E+98</v>
      </c>
      <c r="G56" s="46">
        <f t="shared" si="2"/>
        <v>-9.9999999999999997E+98</v>
      </c>
      <c r="H56" s="46">
        <f t="shared" si="3"/>
        <v>9.9999999999999997E+98</v>
      </c>
    </row>
    <row r="57" spans="1:8" x14ac:dyDescent="0.3">
      <c r="A57" s="40" t="str">
        <f>'TO HOP NLAN'!A57</f>
        <v/>
      </c>
      <c r="B57" s="40" t="str">
        <f>'TO HOP NLAN'!L57</f>
        <v>SERVICE</v>
      </c>
      <c r="C57" s="46">
        <f>IF(A57="",0,MAX(IF('TS-PILE'!$B$56="",-1E+99,'TO HOP NLAN'!D57/ncoc+IF(SUMSQ('TS-PILE'!$E$56:$E$75)=0,0,'TO HOP NLAN'!E57*'TS-PILE'!$E$56/SUMSQ('TS-PILE'!$E$56:$E$75))+IF(SUMSQ('TS-PILE'!$D$56:$D$75)=0,0,'TO HOP NLAN'!F57*'TS-PILE'!$D$56/SUMSQ('TS-PILE'!$D$56:$D$75))),IF('TS-PILE'!$B$57="",-1E+99,'TO HOP NLAN'!D57/ncoc+IF(SUMSQ('TS-PILE'!$E$56:$E$75)=0,0,'TO HOP NLAN'!E57*'TS-PILE'!$E$57/SUMSQ('TS-PILE'!$E$56:$E$75))+IF(SUMSQ('TS-PILE'!$D$56:$D$75)=0,0,'TO HOP NLAN'!F57*'TS-PILE'!$D$57/SUMSQ('TS-PILE'!$D$56:$D$75))),IF('TS-PILE'!$B$58="",-1E+99,'TO HOP NLAN'!D57/ncoc+IF(SUMSQ('TS-PILE'!$E$56:$E$75)=0,0,'TO HOP NLAN'!E57*'TS-PILE'!$E$58/SUMSQ('TS-PILE'!$E$56:$E$75))+IF(SUMSQ('TS-PILE'!$D$56:$D$75)=0,0,'TO HOP NLAN'!F57*'TS-PILE'!$D$58/SUMSQ('TS-PILE'!$D$56:$D$75))),IF('TS-PILE'!$B$59="",-1E+99,'TO HOP NLAN'!D57/ncoc+IF(SUMSQ('TS-PILE'!$E$56:$E$75)=0,0,'TO HOP NLAN'!E57*'TS-PILE'!$E$59/SUMSQ('TS-PILE'!$E$56:$E$75))+IF(SUMSQ('TS-PILE'!$D$56:$D$75)=0,0,'TO HOP NLAN'!F57*'TS-PILE'!$D$59/SUMSQ('TS-PILE'!$D$56:$D$75))),IF('TS-PILE'!$B$60="",-1E+99,'TO HOP NLAN'!D57/ncoc+IF(SUMSQ('TS-PILE'!$E$56:$E$75)=0,0,'TO HOP NLAN'!E57*'TS-PILE'!$E$60/SUMSQ('TS-PILE'!$E$56:$E$75))+IF(SUMSQ('TS-PILE'!$D$56:$D$75)=0,0,'TO HOP NLAN'!F57*'TS-PILE'!$D$60/SUMSQ('TS-PILE'!$D$56:$D$75))),IF('TS-PILE'!$B$61="",-1E+99,'TO HOP NLAN'!D57/ncoc+IF(SUMSQ('TS-PILE'!$E$56:$E$75)=0,0,'TO HOP NLAN'!E57*'TS-PILE'!$E$61/SUMSQ('TS-PILE'!$E$56:$E$75))+IF(SUMSQ('TS-PILE'!$D$56:$D$75)=0,0,'TO HOP NLAN'!F57*'TS-PILE'!$D$61/SUMSQ('TS-PILE'!$D$56:$D$75))),IF('TS-PILE'!$B$62="",-1E+99,'TO HOP NLAN'!D57/ncoc+IF(SUMSQ('TS-PILE'!$E$56:$E$75)=0,0,'TO HOP NLAN'!E57*'TS-PILE'!$E$62/SUMSQ('TS-PILE'!$E$56:$E$75))+IF(SUMSQ('TS-PILE'!$D$56:$D$75)=0,0,'TO HOP NLAN'!F57*'TS-PILE'!$D$62/SUMSQ('TS-PILE'!$D$56:$D$75))),IF('TS-PILE'!$B$63="",-1E+99,'TO HOP NLAN'!D57/ncoc+IF(SUMSQ('TS-PILE'!$E$56:$E$75)=0,0,'TO HOP NLAN'!E57*'TS-PILE'!$E$63/SUMSQ('TS-PILE'!$E$56:$E$75))+IF(SUMSQ('TS-PILE'!$D$56:$D$75)=0,0,'TO HOP NLAN'!F57*'TS-PILE'!$D$63/SUMSQ('TS-PILE'!$D$56:$D$75))),IF('TS-PILE'!$B$64="",-1E+99,'TO HOP NLAN'!D57/ncoc+IF(SUMSQ('TS-PILE'!$E$56:$E$75)=0,0,'TO HOP NLAN'!E57*'TS-PILE'!$E$64/SUMSQ('TS-PILE'!$E$56:$E$75))+IF(SUMSQ('TS-PILE'!$D$56:$D$75)=0,0,'TO HOP NLAN'!F57*'TS-PILE'!$D$64/SUMSQ('TS-PILE'!$D$56:$D$75))),IF('TS-PILE'!$B$65="",-1E+99,'TO HOP NLAN'!D57/ncoc+IF(SUMSQ('TS-PILE'!$E$56:$E$75)=0,0,'TO HOP NLAN'!E57*'TS-PILE'!$E$65/SUMSQ('TS-PILE'!$E$56:$E$75))+IF(SUMSQ('TS-PILE'!$D$56:$D$75)=0,0,'TO HOP NLAN'!F57*'TS-PILE'!$D$65/SUMSQ('TS-PILE'!$D$56:$D$75))),IF('TS-PILE'!$B$66="",-1E+99,'TO HOP NLAN'!D57/ncoc+IF(SUMSQ('TS-PILE'!$E$56:$E$75)=0,0,'TO HOP NLAN'!E57*'TS-PILE'!$E$66/SUMSQ('TS-PILE'!$E$56:$E$75))+IF(SUMSQ('TS-PILE'!$D$56:$D$75)=0,0,'TO HOP NLAN'!F57*'TS-PILE'!$D$66/SUMSQ('TS-PILE'!$D$56:$D$75))),IF('TS-PILE'!$B$67="",-1E+99,'TO HOP NLAN'!D57/ncoc+IF(SUMSQ('TS-PILE'!$E$56:$E$75)=0,0,'TO HOP NLAN'!E57*'TS-PILE'!$E$67/SUMSQ('TS-PILE'!$E$56:$E$75))+IF(SUMSQ('TS-PILE'!$D$56:$D$75)=0,0,'TO HOP NLAN'!F57*'TS-PILE'!$D$67/SUMSQ('TS-PILE'!$D$56:$D$75))),IF('TS-PILE'!$B$68="",-1E+99,'TO HOP NLAN'!D57/ncoc+IF(SUMSQ('TS-PILE'!$E$56:$E$75)=0,0,'TO HOP NLAN'!E57*'TS-PILE'!$E$68/SUMSQ('TS-PILE'!$E$56:$E$75))+IF(SUMSQ('TS-PILE'!$D$56:$D$75)=0,0,'TO HOP NLAN'!F57*'TS-PILE'!$D$68/SUMSQ('TS-PILE'!$D$56:$D$75))),IF('TS-PILE'!$B$69="",-1E+99,'TO HOP NLAN'!D57/ncoc+IF(SUMSQ('TS-PILE'!$E$56:$E$75)=0,0,'TO HOP NLAN'!E57*'TS-PILE'!$E$69/SUMSQ('TS-PILE'!$E$56:$E$75))+IF(SUMSQ('TS-PILE'!$D$56:$D$75)=0,0,'TO HOP NLAN'!F57*'TS-PILE'!$D$69/SUMSQ('TS-PILE'!$D$56:$D$75))),IF('TS-PILE'!$B$70="",-1E+99,'TO HOP NLAN'!D57/ncoc+IF(SUMSQ('TS-PILE'!$E$56:$E$75)=0,0,'TO HOP NLAN'!E57*'TS-PILE'!$E$70/SUMSQ('TS-PILE'!$E$56:$E$75))+IF(SUMSQ('TS-PILE'!$D$56:$D$75)=0,0,'TO HOP NLAN'!F57*'TS-PILE'!$D$70/SUMSQ('TS-PILE'!$D$56:$D$75))),IF('TS-PILE'!$B$71="",-1E+99,'TO HOP NLAN'!D57/ncoc+IF(SUMSQ('TS-PILE'!$E$56:$E$75)=0,0,'TO HOP NLAN'!E57*'TS-PILE'!$E$71/SUMSQ('TS-PILE'!$E$56:$E$75))+IF(SUMSQ('TS-PILE'!$D$56:$D$75)=0,0,'TO HOP NLAN'!F57*'TS-PILE'!$D$71/SUMSQ('TS-PILE'!$D$56:$D$75))),IF('TS-PILE'!$B$72="",-1E+99,'TO HOP NLAN'!D57/ncoc+IF(SUMSQ('TS-PILE'!$E$56:$E$75)=0,0,'TO HOP NLAN'!E57*'TS-PILE'!$E$72/SUMSQ('TS-PILE'!$E$56:$E$75))+IF(SUMSQ('TS-PILE'!$D$56:$D$75)=0,0,'TO HOP NLAN'!F57*'TS-PILE'!$D$72/SUMSQ('TS-PILE'!$D$56:$D$75))),IF('TS-PILE'!$B$73="",-1E+99,'TO HOP NLAN'!D57/ncoc+IF(SUMSQ('TS-PILE'!$E$56:$E$75)=0,0,'TO HOP NLAN'!E57*'TS-PILE'!$E$73/SUMSQ('TS-PILE'!$E$56:$E$75))+IF(SUMSQ('TS-PILE'!$D$56:$D$75)=0,0,'TO HOP NLAN'!F57*'TS-PILE'!$D$73/SUMSQ('TS-PILE'!$D$56:$D$75))),IF('TS-PILE'!$B$74="",-1E+99,'TO HOP NLAN'!D57/ncoc+IF(SUMSQ('TS-PILE'!$E$56:$E$75)=0,0,'TO HOP NLAN'!E57*'TS-PILE'!$E$74/SUMSQ('TS-PILE'!$E$56:$E$75))+IF(SUMSQ('TS-PILE'!$D$56:$D$75)=0,0,'TO HOP NLAN'!F57*'TS-PILE'!$D$74/SUMSQ('TS-PILE'!$D$56:$D$75))),IF('TS-PILE'!$B$75="",-1E+99,'TO HOP NLAN'!D57/ncoc+IF(SUMSQ('TS-PILE'!$E$56:$E$75)=0,0,'TO HOP NLAN'!E57*'TS-PILE'!$E$75/SUMSQ('TS-PILE'!$E$56:$E$75))+IF(SUMSQ('TS-PILE'!$D$56:$D$75)=0,0,'TO HOP NLAN'!F57*'TS-PILE'!$D$75/SUMSQ('TS-PILE'!$D$56:$D$75)))))</f>
        <v>0</v>
      </c>
      <c r="D57" s="46">
        <f>IF(A57="",0,MIN(IF('TS-PILE'!$B$56="",1E+99,'TO HOP NLAN'!D57/ncoc+IF(SUMSQ('TS-PILE'!$E$56:$E$75)=0,0,'TO HOP NLAN'!E57*'TS-PILE'!$E$56/SUMSQ('TS-PILE'!$E$56:$E$75))+IF(SUMSQ('TS-PILE'!$D$56:$D$75)=0,0,'TO HOP NLAN'!F57*'TS-PILE'!$D$56/SUMSQ('TS-PILE'!$D$56:$D$75))),IF('TS-PILE'!$B$57="",1E+99,'TO HOP NLAN'!D57/ncoc+IF(SUMSQ('TS-PILE'!$E$56:$E$75)=0,0,'TO HOP NLAN'!E57*'TS-PILE'!$E$57/SUMSQ('TS-PILE'!$E$56:$E$75))+IF(SUMSQ('TS-PILE'!$D$56:$D$75)=0,0,'TO HOP NLAN'!F57*'TS-PILE'!$D$57/SUMSQ('TS-PILE'!$D$56:$D$75))),IF('TS-PILE'!$B$58="",1E+99,'TO HOP NLAN'!D57/ncoc+IF(SUMSQ('TS-PILE'!$E$56:$E$75)=0,0,'TO HOP NLAN'!E57*'TS-PILE'!$E$58/SUMSQ('TS-PILE'!$E$56:$E$75))+IF(SUMSQ('TS-PILE'!$D$56:$D$75)=0,0,'TO HOP NLAN'!F57*'TS-PILE'!$D$58/SUMSQ('TS-PILE'!$D$56:$D$75))),IF('TS-PILE'!$B$59="",1E+99,'TO HOP NLAN'!D57/ncoc+IF(SUMSQ('TS-PILE'!$E$56:$E$75)=0,0,'TO HOP NLAN'!E57*'TS-PILE'!$E$59/SUMSQ('TS-PILE'!$E$56:$E$75))+IF(SUMSQ('TS-PILE'!$D$56:$D$75)=0,0,'TO HOP NLAN'!F57*'TS-PILE'!$D$59/SUMSQ('TS-PILE'!$D$56:$D$75))),IF('TS-PILE'!$B$60="",1E+99,'TO HOP NLAN'!D57/ncoc+IF(SUMSQ('TS-PILE'!$E$56:$E$75)=0,0,'TO HOP NLAN'!E57*'TS-PILE'!$E$60/SUMSQ('TS-PILE'!$E$56:$E$75))+IF(SUMSQ('TS-PILE'!$D$56:$D$75)=0,0,'TO HOP NLAN'!F57*'TS-PILE'!$D$60/SUMSQ('TS-PILE'!$D$56:$D$75))),IF('TS-PILE'!$B$61="",1E+99,'TO HOP NLAN'!D57/ncoc+IF(SUMSQ('TS-PILE'!$E$56:$E$75)=0,0,'TO HOP NLAN'!E57*'TS-PILE'!$E$61/SUMSQ('TS-PILE'!$E$56:$E$75))+IF(SUMSQ('TS-PILE'!$D$56:$D$75)=0,0,'TO HOP NLAN'!F57*'TS-PILE'!$D$61/SUMSQ('TS-PILE'!$D$56:$D$75))),IF('TS-PILE'!$B$62="",1E+99,'TO HOP NLAN'!D57/ncoc+IF(SUMSQ('TS-PILE'!$E$56:$E$75)=0,0,'TO HOP NLAN'!E57*'TS-PILE'!$E$62/SUMSQ('TS-PILE'!$E$56:$E$75))+IF(SUMSQ('TS-PILE'!$D$56:$D$75)=0,0,'TO HOP NLAN'!F57*'TS-PILE'!$D$62/SUMSQ('TS-PILE'!$D$56:$D$75))),IF('TS-PILE'!$B$63="",1E+99,'TO HOP NLAN'!D57/ncoc+IF(SUMSQ('TS-PILE'!$E$56:$E$75)=0,0,'TO HOP NLAN'!E57*'TS-PILE'!$E$63/SUMSQ('TS-PILE'!$E$56:$E$75))+IF(SUMSQ('TS-PILE'!$D$56:$D$75)=0,0,'TO HOP NLAN'!F57*'TS-PILE'!$D$63/SUMSQ('TS-PILE'!$D$56:$D$75))),IF('TS-PILE'!$B$64="",1E+99,'TO HOP NLAN'!D57/ncoc+IF(SUMSQ('TS-PILE'!$E$56:$E$75)=0,0,'TO HOP NLAN'!E57*'TS-PILE'!$E$64/SUMSQ('TS-PILE'!$E$56:$E$75))+IF(SUMSQ('TS-PILE'!$D$56:$D$75)=0,0,'TO HOP NLAN'!F57*'TS-PILE'!$D$64/SUMSQ('TS-PILE'!$D$56:$D$75))),IF('TS-PILE'!$B$65="",1E+99,'TO HOP NLAN'!D57/ncoc+IF(SUMSQ('TS-PILE'!$E$56:$E$75)=0,0,'TO HOP NLAN'!E57*'TS-PILE'!$E$65/SUMSQ('TS-PILE'!$E$56:$E$75))+IF(SUMSQ('TS-PILE'!$D$56:$D$75)=0,0,'TO HOP NLAN'!F57*'TS-PILE'!$D$65/SUMSQ('TS-PILE'!$D$56:$D$75))),IF('TS-PILE'!$B$66="",1E+99,'TO HOP NLAN'!D57/ncoc+IF(SUMSQ('TS-PILE'!$E$56:$E$75)=0,0,'TO HOP NLAN'!E57*'TS-PILE'!$E$66/SUMSQ('TS-PILE'!$E$56:$E$75))+IF(SUMSQ('TS-PILE'!$D$56:$D$75)=0,0,'TO HOP NLAN'!F57*'TS-PILE'!$D$66/SUMSQ('TS-PILE'!$D$56:$D$75))),IF('TS-PILE'!$B$67="",1E+99,'TO HOP NLAN'!D57/ncoc+IF(SUMSQ('TS-PILE'!$E$56:$E$75)=0,0,'TO HOP NLAN'!E57*'TS-PILE'!$E$67/SUMSQ('TS-PILE'!$E$56:$E$75))+IF(SUMSQ('TS-PILE'!$D$56:$D$75)=0,0,'TO HOP NLAN'!F57*'TS-PILE'!$D$67/SUMSQ('TS-PILE'!$D$56:$D$75))),IF('TS-PILE'!$B$68="",1E+99,'TO HOP NLAN'!D57/ncoc+IF(SUMSQ('TS-PILE'!$E$56:$E$75)=0,0,'TO HOP NLAN'!E57*'TS-PILE'!$E$68/SUMSQ('TS-PILE'!$E$56:$E$75))+IF(SUMSQ('TS-PILE'!$D$56:$D$75)=0,0,'TO HOP NLAN'!F57*'TS-PILE'!$D$68/SUMSQ('TS-PILE'!$D$56:$D$75))),IF('TS-PILE'!$B$69="",1E+99,'TO HOP NLAN'!D57/ncoc+IF(SUMSQ('TS-PILE'!$E$56:$E$75)=0,0,'TO HOP NLAN'!E57*'TS-PILE'!$E$69/SUMSQ('TS-PILE'!$E$56:$E$75))+IF(SUMSQ('TS-PILE'!$D$56:$D$75)=0,0,'TO HOP NLAN'!F57*'TS-PILE'!$D$69/SUMSQ('TS-PILE'!$D$56:$D$75))),IF('TS-PILE'!$B$70="",1E+99,'TO HOP NLAN'!D57/ncoc+IF(SUMSQ('TS-PILE'!$E$56:$E$75)=0,0,'TO HOP NLAN'!E57*'TS-PILE'!$E$70/SUMSQ('TS-PILE'!$E$56:$E$75))+IF(SUMSQ('TS-PILE'!$D$56:$D$75)=0,0,'TO HOP NLAN'!F57*'TS-PILE'!$D$70/SUMSQ('TS-PILE'!$D$56:$D$75))),IF('TS-PILE'!$B$71="",1E+99,'TO HOP NLAN'!D57/ncoc+IF(SUMSQ('TS-PILE'!$E$56:$E$75)=0,0,'TO HOP NLAN'!E57*'TS-PILE'!$E$71/SUMSQ('TS-PILE'!$E$56:$E$75))+IF(SUMSQ('TS-PILE'!$D$56:$D$75)=0,0,'TO HOP NLAN'!F57*'TS-PILE'!$D$71/SUMSQ('TS-PILE'!$D$56:$D$75))),IF('TS-PILE'!$B$72="",1E+99,'TO HOP NLAN'!D57/ncoc+IF(SUMSQ('TS-PILE'!$E$56:$E$75)=0,0,'TO HOP NLAN'!E57*'TS-PILE'!$E$72/SUMSQ('TS-PILE'!$E$56:$E$75))+IF(SUMSQ('TS-PILE'!$D$56:$D$75)=0,0,'TO HOP NLAN'!F57*'TS-PILE'!$D$72/SUMSQ('TS-PILE'!$D$56:$D$75))),IF('TS-PILE'!$B$73="",1E+99,'TO HOP NLAN'!D57/ncoc+IF(SUMSQ('TS-PILE'!$E$56:$E$75)=0,0,'TO HOP NLAN'!E57*'TS-PILE'!$E$73/SUMSQ('TS-PILE'!$E$56:$E$75))+IF(SUMSQ('TS-PILE'!$D$56:$D$75)=0,0,'TO HOP NLAN'!F57*'TS-PILE'!$D$73/SUMSQ('TS-PILE'!$D$56:$D$75))),IF('TS-PILE'!$B$74="",1E+99,'TO HOP NLAN'!D57/ncoc+IF(SUMSQ('TS-PILE'!$E$56:$E$75)=0,0,'TO HOP NLAN'!E57*'TS-PILE'!$E$74/SUMSQ('TS-PILE'!$E$56:$E$75))+IF(SUMSQ('TS-PILE'!$D$56:$D$75)=0,0,'TO HOP NLAN'!F57*'TS-PILE'!$D$74/SUMSQ('TS-PILE'!$D$56:$D$75))),IF('TS-PILE'!$B$75="",1E+99,'TO HOP NLAN'!D57/ncoc+IF(SUMSQ('TS-PILE'!$E$56:$E$75)=0,0,'TO HOP NLAN'!E57*'TS-PILE'!$E$75/SUMSQ('TS-PILE'!$E$56:$E$75))+IF(SUMSQ('TS-PILE'!$D$56:$D$75)=0,0,'TO HOP NLAN'!F57*'TS-PILE'!$D$75/SUMSQ('TS-PILE'!$D$56:$D$75)))))</f>
        <v>0</v>
      </c>
      <c r="E57" s="46">
        <f t="shared" si="0"/>
        <v>-9.9999999999999997E+98</v>
      </c>
      <c r="F57" s="46">
        <f t="shared" si="1"/>
        <v>9.9999999999999997E+98</v>
      </c>
      <c r="G57" s="46">
        <f t="shared" si="2"/>
        <v>-9.9999999999999997E+98</v>
      </c>
      <c r="H57" s="46">
        <f t="shared" si="3"/>
        <v>9.9999999999999997E+98</v>
      </c>
    </row>
    <row r="58" spans="1:8" x14ac:dyDescent="0.3">
      <c r="A58" s="40" t="str">
        <f>'TO HOP NLAN'!A58</f>
        <v/>
      </c>
      <c r="B58" s="40" t="str">
        <f>'TO HOP NLAN'!L58</f>
        <v>SERVICE</v>
      </c>
      <c r="C58" s="46">
        <f>IF(A58="",0,MAX(IF('TS-PILE'!$B$56="",-1E+99,'TO HOP NLAN'!D58/ncoc+IF(SUMSQ('TS-PILE'!$E$56:$E$75)=0,0,'TO HOP NLAN'!E58*'TS-PILE'!$E$56/SUMSQ('TS-PILE'!$E$56:$E$75))+IF(SUMSQ('TS-PILE'!$D$56:$D$75)=0,0,'TO HOP NLAN'!F58*'TS-PILE'!$D$56/SUMSQ('TS-PILE'!$D$56:$D$75))),IF('TS-PILE'!$B$57="",-1E+99,'TO HOP NLAN'!D58/ncoc+IF(SUMSQ('TS-PILE'!$E$56:$E$75)=0,0,'TO HOP NLAN'!E58*'TS-PILE'!$E$57/SUMSQ('TS-PILE'!$E$56:$E$75))+IF(SUMSQ('TS-PILE'!$D$56:$D$75)=0,0,'TO HOP NLAN'!F58*'TS-PILE'!$D$57/SUMSQ('TS-PILE'!$D$56:$D$75))),IF('TS-PILE'!$B$58="",-1E+99,'TO HOP NLAN'!D58/ncoc+IF(SUMSQ('TS-PILE'!$E$56:$E$75)=0,0,'TO HOP NLAN'!E58*'TS-PILE'!$E$58/SUMSQ('TS-PILE'!$E$56:$E$75))+IF(SUMSQ('TS-PILE'!$D$56:$D$75)=0,0,'TO HOP NLAN'!F58*'TS-PILE'!$D$58/SUMSQ('TS-PILE'!$D$56:$D$75))),IF('TS-PILE'!$B$59="",-1E+99,'TO HOP NLAN'!D58/ncoc+IF(SUMSQ('TS-PILE'!$E$56:$E$75)=0,0,'TO HOP NLAN'!E58*'TS-PILE'!$E$59/SUMSQ('TS-PILE'!$E$56:$E$75))+IF(SUMSQ('TS-PILE'!$D$56:$D$75)=0,0,'TO HOP NLAN'!F58*'TS-PILE'!$D$59/SUMSQ('TS-PILE'!$D$56:$D$75))),IF('TS-PILE'!$B$60="",-1E+99,'TO HOP NLAN'!D58/ncoc+IF(SUMSQ('TS-PILE'!$E$56:$E$75)=0,0,'TO HOP NLAN'!E58*'TS-PILE'!$E$60/SUMSQ('TS-PILE'!$E$56:$E$75))+IF(SUMSQ('TS-PILE'!$D$56:$D$75)=0,0,'TO HOP NLAN'!F58*'TS-PILE'!$D$60/SUMSQ('TS-PILE'!$D$56:$D$75))),IF('TS-PILE'!$B$61="",-1E+99,'TO HOP NLAN'!D58/ncoc+IF(SUMSQ('TS-PILE'!$E$56:$E$75)=0,0,'TO HOP NLAN'!E58*'TS-PILE'!$E$61/SUMSQ('TS-PILE'!$E$56:$E$75))+IF(SUMSQ('TS-PILE'!$D$56:$D$75)=0,0,'TO HOP NLAN'!F58*'TS-PILE'!$D$61/SUMSQ('TS-PILE'!$D$56:$D$75))),IF('TS-PILE'!$B$62="",-1E+99,'TO HOP NLAN'!D58/ncoc+IF(SUMSQ('TS-PILE'!$E$56:$E$75)=0,0,'TO HOP NLAN'!E58*'TS-PILE'!$E$62/SUMSQ('TS-PILE'!$E$56:$E$75))+IF(SUMSQ('TS-PILE'!$D$56:$D$75)=0,0,'TO HOP NLAN'!F58*'TS-PILE'!$D$62/SUMSQ('TS-PILE'!$D$56:$D$75))),IF('TS-PILE'!$B$63="",-1E+99,'TO HOP NLAN'!D58/ncoc+IF(SUMSQ('TS-PILE'!$E$56:$E$75)=0,0,'TO HOP NLAN'!E58*'TS-PILE'!$E$63/SUMSQ('TS-PILE'!$E$56:$E$75))+IF(SUMSQ('TS-PILE'!$D$56:$D$75)=0,0,'TO HOP NLAN'!F58*'TS-PILE'!$D$63/SUMSQ('TS-PILE'!$D$56:$D$75))),IF('TS-PILE'!$B$64="",-1E+99,'TO HOP NLAN'!D58/ncoc+IF(SUMSQ('TS-PILE'!$E$56:$E$75)=0,0,'TO HOP NLAN'!E58*'TS-PILE'!$E$64/SUMSQ('TS-PILE'!$E$56:$E$75))+IF(SUMSQ('TS-PILE'!$D$56:$D$75)=0,0,'TO HOP NLAN'!F58*'TS-PILE'!$D$64/SUMSQ('TS-PILE'!$D$56:$D$75))),IF('TS-PILE'!$B$65="",-1E+99,'TO HOP NLAN'!D58/ncoc+IF(SUMSQ('TS-PILE'!$E$56:$E$75)=0,0,'TO HOP NLAN'!E58*'TS-PILE'!$E$65/SUMSQ('TS-PILE'!$E$56:$E$75))+IF(SUMSQ('TS-PILE'!$D$56:$D$75)=0,0,'TO HOP NLAN'!F58*'TS-PILE'!$D$65/SUMSQ('TS-PILE'!$D$56:$D$75))),IF('TS-PILE'!$B$66="",-1E+99,'TO HOP NLAN'!D58/ncoc+IF(SUMSQ('TS-PILE'!$E$56:$E$75)=0,0,'TO HOP NLAN'!E58*'TS-PILE'!$E$66/SUMSQ('TS-PILE'!$E$56:$E$75))+IF(SUMSQ('TS-PILE'!$D$56:$D$75)=0,0,'TO HOP NLAN'!F58*'TS-PILE'!$D$66/SUMSQ('TS-PILE'!$D$56:$D$75))),IF('TS-PILE'!$B$67="",-1E+99,'TO HOP NLAN'!D58/ncoc+IF(SUMSQ('TS-PILE'!$E$56:$E$75)=0,0,'TO HOP NLAN'!E58*'TS-PILE'!$E$67/SUMSQ('TS-PILE'!$E$56:$E$75))+IF(SUMSQ('TS-PILE'!$D$56:$D$75)=0,0,'TO HOP NLAN'!F58*'TS-PILE'!$D$67/SUMSQ('TS-PILE'!$D$56:$D$75))),IF('TS-PILE'!$B$68="",-1E+99,'TO HOP NLAN'!D58/ncoc+IF(SUMSQ('TS-PILE'!$E$56:$E$75)=0,0,'TO HOP NLAN'!E58*'TS-PILE'!$E$68/SUMSQ('TS-PILE'!$E$56:$E$75))+IF(SUMSQ('TS-PILE'!$D$56:$D$75)=0,0,'TO HOP NLAN'!F58*'TS-PILE'!$D$68/SUMSQ('TS-PILE'!$D$56:$D$75))),IF('TS-PILE'!$B$69="",-1E+99,'TO HOP NLAN'!D58/ncoc+IF(SUMSQ('TS-PILE'!$E$56:$E$75)=0,0,'TO HOP NLAN'!E58*'TS-PILE'!$E$69/SUMSQ('TS-PILE'!$E$56:$E$75))+IF(SUMSQ('TS-PILE'!$D$56:$D$75)=0,0,'TO HOP NLAN'!F58*'TS-PILE'!$D$69/SUMSQ('TS-PILE'!$D$56:$D$75))),IF('TS-PILE'!$B$70="",-1E+99,'TO HOP NLAN'!D58/ncoc+IF(SUMSQ('TS-PILE'!$E$56:$E$75)=0,0,'TO HOP NLAN'!E58*'TS-PILE'!$E$70/SUMSQ('TS-PILE'!$E$56:$E$75))+IF(SUMSQ('TS-PILE'!$D$56:$D$75)=0,0,'TO HOP NLAN'!F58*'TS-PILE'!$D$70/SUMSQ('TS-PILE'!$D$56:$D$75))),IF('TS-PILE'!$B$71="",-1E+99,'TO HOP NLAN'!D58/ncoc+IF(SUMSQ('TS-PILE'!$E$56:$E$75)=0,0,'TO HOP NLAN'!E58*'TS-PILE'!$E$71/SUMSQ('TS-PILE'!$E$56:$E$75))+IF(SUMSQ('TS-PILE'!$D$56:$D$75)=0,0,'TO HOP NLAN'!F58*'TS-PILE'!$D$71/SUMSQ('TS-PILE'!$D$56:$D$75))),IF('TS-PILE'!$B$72="",-1E+99,'TO HOP NLAN'!D58/ncoc+IF(SUMSQ('TS-PILE'!$E$56:$E$75)=0,0,'TO HOP NLAN'!E58*'TS-PILE'!$E$72/SUMSQ('TS-PILE'!$E$56:$E$75))+IF(SUMSQ('TS-PILE'!$D$56:$D$75)=0,0,'TO HOP NLAN'!F58*'TS-PILE'!$D$72/SUMSQ('TS-PILE'!$D$56:$D$75))),IF('TS-PILE'!$B$73="",-1E+99,'TO HOP NLAN'!D58/ncoc+IF(SUMSQ('TS-PILE'!$E$56:$E$75)=0,0,'TO HOP NLAN'!E58*'TS-PILE'!$E$73/SUMSQ('TS-PILE'!$E$56:$E$75))+IF(SUMSQ('TS-PILE'!$D$56:$D$75)=0,0,'TO HOP NLAN'!F58*'TS-PILE'!$D$73/SUMSQ('TS-PILE'!$D$56:$D$75))),IF('TS-PILE'!$B$74="",-1E+99,'TO HOP NLAN'!D58/ncoc+IF(SUMSQ('TS-PILE'!$E$56:$E$75)=0,0,'TO HOP NLAN'!E58*'TS-PILE'!$E$74/SUMSQ('TS-PILE'!$E$56:$E$75))+IF(SUMSQ('TS-PILE'!$D$56:$D$75)=0,0,'TO HOP NLAN'!F58*'TS-PILE'!$D$74/SUMSQ('TS-PILE'!$D$56:$D$75))),IF('TS-PILE'!$B$75="",-1E+99,'TO HOP NLAN'!D58/ncoc+IF(SUMSQ('TS-PILE'!$E$56:$E$75)=0,0,'TO HOP NLAN'!E58*'TS-PILE'!$E$75/SUMSQ('TS-PILE'!$E$56:$E$75))+IF(SUMSQ('TS-PILE'!$D$56:$D$75)=0,0,'TO HOP NLAN'!F58*'TS-PILE'!$D$75/SUMSQ('TS-PILE'!$D$56:$D$75)))))</f>
        <v>0</v>
      </c>
      <c r="D58" s="46">
        <f>IF(A58="",0,MIN(IF('TS-PILE'!$B$56="",1E+99,'TO HOP NLAN'!D58/ncoc+IF(SUMSQ('TS-PILE'!$E$56:$E$75)=0,0,'TO HOP NLAN'!E58*'TS-PILE'!$E$56/SUMSQ('TS-PILE'!$E$56:$E$75))+IF(SUMSQ('TS-PILE'!$D$56:$D$75)=0,0,'TO HOP NLAN'!F58*'TS-PILE'!$D$56/SUMSQ('TS-PILE'!$D$56:$D$75))),IF('TS-PILE'!$B$57="",1E+99,'TO HOP NLAN'!D58/ncoc+IF(SUMSQ('TS-PILE'!$E$56:$E$75)=0,0,'TO HOP NLAN'!E58*'TS-PILE'!$E$57/SUMSQ('TS-PILE'!$E$56:$E$75))+IF(SUMSQ('TS-PILE'!$D$56:$D$75)=0,0,'TO HOP NLAN'!F58*'TS-PILE'!$D$57/SUMSQ('TS-PILE'!$D$56:$D$75))),IF('TS-PILE'!$B$58="",1E+99,'TO HOP NLAN'!D58/ncoc+IF(SUMSQ('TS-PILE'!$E$56:$E$75)=0,0,'TO HOP NLAN'!E58*'TS-PILE'!$E$58/SUMSQ('TS-PILE'!$E$56:$E$75))+IF(SUMSQ('TS-PILE'!$D$56:$D$75)=0,0,'TO HOP NLAN'!F58*'TS-PILE'!$D$58/SUMSQ('TS-PILE'!$D$56:$D$75))),IF('TS-PILE'!$B$59="",1E+99,'TO HOP NLAN'!D58/ncoc+IF(SUMSQ('TS-PILE'!$E$56:$E$75)=0,0,'TO HOP NLAN'!E58*'TS-PILE'!$E$59/SUMSQ('TS-PILE'!$E$56:$E$75))+IF(SUMSQ('TS-PILE'!$D$56:$D$75)=0,0,'TO HOP NLAN'!F58*'TS-PILE'!$D$59/SUMSQ('TS-PILE'!$D$56:$D$75))),IF('TS-PILE'!$B$60="",1E+99,'TO HOP NLAN'!D58/ncoc+IF(SUMSQ('TS-PILE'!$E$56:$E$75)=0,0,'TO HOP NLAN'!E58*'TS-PILE'!$E$60/SUMSQ('TS-PILE'!$E$56:$E$75))+IF(SUMSQ('TS-PILE'!$D$56:$D$75)=0,0,'TO HOP NLAN'!F58*'TS-PILE'!$D$60/SUMSQ('TS-PILE'!$D$56:$D$75))),IF('TS-PILE'!$B$61="",1E+99,'TO HOP NLAN'!D58/ncoc+IF(SUMSQ('TS-PILE'!$E$56:$E$75)=0,0,'TO HOP NLAN'!E58*'TS-PILE'!$E$61/SUMSQ('TS-PILE'!$E$56:$E$75))+IF(SUMSQ('TS-PILE'!$D$56:$D$75)=0,0,'TO HOP NLAN'!F58*'TS-PILE'!$D$61/SUMSQ('TS-PILE'!$D$56:$D$75))),IF('TS-PILE'!$B$62="",1E+99,'TO HOP NLAN'!D58/ncoc+IF(SUMSQ('TS-PILE'!$E$56:$E$75)=0,0,'TO HOP NLAN'!E58*'TS-PILE'!$E$62/SUMSQ('TS-PILE'!$E$56:$E$75))+IF(SUMSQ('TS-PILE'!$D$56:$D$75)=0,0,'TO HOP NLAN'!F58*'TS-PILE'!$D$62/SUMSQ('TS-PILE'!$D$56:$D$75))),IF('TS-PILE'!$B$63="",1E+99,'TO HOP NLAN'!D58/ncoc+IF(SUMSQ('TS-PILE'!$E$56:$E$75)=0,0,'TO HOP NLAN'!E58*'TS-PILE'!$E$63/SUMSQ('TS-PILE'!$E$56:$E$75))+IF(SUMSQ('TS-PILE'!$D$56:$D$75)=0,0,'TO HOP NLAN'!F58*'TS-PILE'!$D$63/SUMSQ('TS-PILE'!$D$56:$D$75))),IF('TS-PILE'!$B$64="",1E+99,'TO HOP NLAN'!D58/ncoc+IF(SUMSQ('TS-PILE'!$E$56:$E$75)=0,0,'TO HOP NLAN'!E58*'TS-PILE'!$E$64/SUMSQ('TS-PILE'!$E$56:$E$75))+IF(SUMSQ('TS-PILE'!$D$56:$D$75)=0,0,'TO HOP NLAN'!F58*'TS-PILE'!$D$64/SUMSQ('TS-PILE'!$D$56:$D$75))),IF('TS-PILE'!$B$65="",1E+99,'TO HOP NLAN'!D58/ncoc+IF(SUMSQ('TS-PILE'!$E$56:$E$75)=0,0,'TO HOP NLAN'!E58*'TS-PILE'!$E$65/SUMSQ('TS-PILE'!$E$56:$E$75))+IF(SUMSQ('TS-PILE'!$D$56:$D$75)=0,0,'TO HOP NLAN'!F58*'TS-PILE'!$D$65/SUMSQ('TS-PILE'!$D$56:$D$75))),IF('TS-PILE'!$B$66="",1E+99,'TO HOP NLAN'!D58/ncoc+IF(SUMSQ('TS-PILE'!$E$56:$E$75)=0,0,'TO HOP NLAN'!E58*'TS-PILE'!$E$66/SUMSQ('TS-PILE'!$E$56:$E$75))+IF(SUMSQ('TS-PILE'!$D$56:$D$75)=0,0,'TO HOP NLAN'!F58*'TS-PILE'!$D$66/SUMSQ('TS-PILE'!$D$56:$D$75))),IF('TS-PILE'!$B$67="",1E+99,'TO HOP NLAN'!D58/ncoc+IF(SUMSQ('TS-PILE'!$E$56:$E$75)=0,0,'TO HOP NLAN'!E58*'TS-PILE'!$E$67/SUMSQ('TS-PILE'!$E$56:$E$75))+IF(SUMSQ('TS-PILE'!$D$56:$D$75)=0,0,'TO HOP NLAN'!F58*'TS-PILE'!$D$67/SUMSQ('TS-PILE'!$D$56:$D$75))),IF('TS-PILE'!$B$68="",1E+99,'TO HOP NLAN'!D58/ncoc+IF(SUMSQ('TS-PILE'!$E$56:$E$75)=0,0,'TO HOP NLAN'!E58*'TS-PILE'!$E$68/SUMSQ('TS-PILE'!$E$56:$E$75))+IF(SUMSQ('TS-PILE'!$D$56:$D$75)=0,0,'TO HOP NLAN'!F58*'TS-PILE'!$D$68/SUMSQ('TS-PILE'!$D$56:$D$75))),IF('TS-PILE'!$B$69="",1E+99,'TO HOP NLAN'!D58/ncoc+IF(SUMSQ('TS-PILE'!$E$56:$E$75)=0,0,'TO HOP NLAN'!E58*'TS-PILE'!$E$69/SUMSQ('TS-PILE'!$E$56:$E$75))+IF(SUMSQ('TS-PILE'!$D$56:$D$75)=0,0,'TO HOP NLAN'!F58*'TS-PILE'!$D$69/SUMSQ('TS-PILE'!$D$56:$D$75))),IF('TS-PILE'!$B$70="",1E+99,'TO HOP NLAN'!D58/ncoc+IF(SUMSQ('TS-PILE'!$E$56:$E$75)=0,0,'TO HOP NLAN'!E58*'TS-PILE'!$E$70/SUMSQ('TS-PILE'!$E$56:$E$75))+IF(SUMSQ('TS-PILE'!$D$56:$D$75)=0,0,'TO HOP NLAN'!F58*'TS-PILE'!$D$70/SUMSQ('TS-PILE'!$D$56:$D$75))),IF('TS-PILE'!$B$71="",1E+99,'TO HOP NLAN'!D58/ncoc+IF(SUMSQ('TS-PILE'!$E$56:$E$75)=0,0,'TO HOP NLAN'!E58*'TS-PILE'!$E$71/SUMSQ('TS-PILE'!$E$56:$E$75))+IF(SUMSQ('TS-PILE'!$D$56:$D$75)=0,0,'TO HOP NLAN'!F58*'TS-PILE'!$D$71/SUMSQ('TS-PILE'!$D$56:$D$75))),IF('TS-PILE'!$B$72="",1E+99,'TO HOP NLAN'!D58/ncoc+IF(SUMSQ('TS-PILE'!$E$56:$E$75)=0,0,'TO HOP NLAN'!E58*'TS-PILE'!$E$72/SUMSQ('TS-PILE'!$E$56:$E$75))+IF(SUMSQ('TS-PILE'!$D$56:$D$75)=0,0,'TO HOP NLAN'!F58*'TS-PILE'!$D$72/SUMSQ('TS-PILE'!$D$56:$D$75))),IF('TS-PILE'!$B$73="",1E+99,'TO HOP NLAN'!D58/ncoc+IF(SUMSQ('TS-PILE'!$E$56:$E$75)=0,0,'TO HOP NLAN'!E58*'TS-PILE'!$E$73/SUMSQ('TS-PILE'!$E$56:$E$75))+IF(SUMSQ('TS-PILE'!$D$56:$D$75)=0,0,'TO HOP NLAN'!F58*'TS-PILE'!$D$73/SUMSQ('TS-PILE'!$D$56:$D$75))),IF('TS-PILE'!$B$74="",1E+99,'TO HOP NLAN'!D58/ncoc+IF(SUMSQ('TS-PILE'!$E$56:$E$75)=0,0,'TO HOP NLAN'!E58*'TS-PILE'!$E$74/SUMSQ('TS-PILE'!$E$56:$E$75))+IF(SUMSQ('TS-PILE'!$D$56:$D$75)=0,0,'TO HOP NLAN'!F58*'TS-PILE'!$D$74/SUMSQ('TS-PILE'!$D$56:$D$75))),IF('TS-PILE'!$B$75="",1E+99,'TO HOP NLAN'!D58/ncoc+IF(SUMSQ('TS-PILE'!$E$56:$E$75)=0,0,'TO HOP NLAN'!E58*'TS-PILE'!$E$75/SUMSQ('TS-PILE'!$E$56:$E$75))+IF(SUMSQ('TS-PILE'!$D$56:$D$75)=0,0,'TO HOP NLAN'!F58*'TS-PILE'!$D$75/SUMSQ('TS-PILE'!$D$56:$D$75)))))</f>
        <v>0</v>
      </c>
      <c r="E58" s="46">
        <f t="shared" si="0"/>
        <v>-9.9999999999999997E+98</v>
      </c>
      <c r="F58" s="46">
        <f t="shared" si="1"/>
        <v>9.9999999999999997E+98</v>
      </c>
      <c r="G58" s="46">
        <f t="shared" si="2"/>
        <v>-9.9999999999999997E+98</v>
      </c>
      <c r="H58" s="46">
        <f t="shared" si="3"/>
        <v>9.9999999999999997E+98</v>
      </c>
    </row>
    <row r="59" spans="1:8" x14ac:dyDescent="0.3">
      <c r="A59" s="40" t="str">
        <f>'TO HOP NLAN'!A59</f>
        <v/>
      </c>
      <c r="B59" s="40" t="str">
        <f>'TO HOP NLAN'!L59</f>
        <v>SERVICE</v>
      </c>
      <c r="C59" s="46">
        <f>IF(A59="",0,MAX(IF('TS-PILE'!$B$56="",-1E+99,'TO HOP NLAN'!D59/ncoc+IF(SUMSQ('TS-PILE'!$E$56:$E$75)=0,0,'TO HOP NLAN'!E59*'TS-PILE'!$E$56/SUMSQ('TS-PILE'!$E$56:$E$75))+IF(SUMSQ('TS-PILE'!$D$56:$D$75)=0,0,'TO HOP NLAN'!F59*'TS-PILE'!$D$56/SUMSQ('TS-PILE'!$D$56:$D$75))),IF('TS-PILE'!$B$57="",-1E+99,'TO HOP NLAN'!D59/ncoc+IF(SUMSQ('TS-PILE'!$E$56:$E$75)=0,0,'TO HOP NLAN'!E59*'TS-PILE'!$E$57/SUMSQ('TS-PILE'!$E$56:$E$75))+IF(SUMSQ('TS-PILE'!$D$56:$D$75)=0,0,'TO HOP NLAN'!F59*'TS-PILE'!$D$57/SUMSQ('TS-PILE'!$D$56:$D$75))),IF('TS-PILE'!$B$58="",-1E+99,'TO HOP NLAN'!D59/ncoc+IF(SUMSQ('TS-PILE'!$E$56:$E$75)=0,0,'TO HOP NLAN'!E59*'TS-PILE'!$E$58/SUMSQ('TS-PILE'!$E$56:$E$75))+IF(SUMSQ('TS-PILE'!$D$56:$D$75)=0,0,'TO HOP NLAN'!F59*'TS-PILE'!$D$58/SUMSQ('TS-PILE'!$D$56:$D$75))),IF('TS-PILE'!$B$59="",-1E+99,'TO HOP NLAN'!D59/ncoc+IF(SUMSQ('TS-PILE'!$E$56:$E$75)=0,0,'TO HOP NLAN'!E59*'TS-PILE'!$E$59/SUMSQ('TS-PILE'!$E$56:$E$75))+IF(SUMSQ('TS-PILE'!$D$56:$D$75)=0,0,'TO HOP NLAN'!F59*'TS-PILE'!$D$59/SUMSQ('TS-PILE'!$D$56:$D$75))),IF('TS-PILE'!$B$60="",-1E+99,'TO HOP NLAN'!D59/ncoc+IF(SUMSQ('TS-PILE'!$E$56:$E$75)=0,0,'TO HOP NLAN'!E59*'TS-PILE'!$E$60/SUMSQ('TS-PILE'!$E$56:$E$75))+IF(SUMSQ('TS-PILE'!$D$56:$D$75)=0,0,'TO HOP NLAN'!F59*'TS-PILE'!$D$60/SUMSQ('TS-PILE'!$D$56:$D$75))),IF('TS-PILE'!$B$61="",-1E+99,'TO HOP NLAN'!D59/ncoc+IF(SUMSQ('TS-PILE'!$E$56:$E$75)=0,0,'TO HOP NLAN'!E59*'TS-PILE'!$E$61/SUMSQ('TS-PILE'!$E$56:$E$75))+IF(SUMSQ('TS-PILE'!$D$56:$D$75)=0,0,'TO HOP NLAN'!F59*'TS-PILE'!$D$61/SUMSQ('TS-PILE'!$D$56:$D$75))),IF('TS-PILE'!$B$62="",-1E+99,'TO HOP NLAN'!D59/ncoc+IF(SUMSQ('TS-PILE'!$E$56:$E$75)=0,0,'TO HOP NLAN'!E59*'TS-PILE'!$E$62/SUMSQ('TS-PILE'!$E$56:$E$75))+IF(SUMSQ('TS-PILE'!$D$56:$D$75)=0,0,'TO HOP NLAN'!F59*'TS-PILE'!$D$62/SUMSQ('TS-PILE'!$D$56:$D$75))),IF('TS-PILE'!$B$63="",-1E+99,'TO HOP NLAN'!D59/ncoc+IF(SUMSQ('TS-PILE'!$E$56:$E$75)=0,0,'TO HOP NLAN'!E59*'TS-PILE'!$E$63/SUMSQ('TS-PILE'!$E$56:$E$75))+IF(SUMSQ('TS-PILE'!$D$56:$D$75)=0,0,'TO HOP NLAN'!F59*'TS-PILE'!$D$63/SUMSQ('TS-PILE'!$D$56:$D$75))),IF('TS-PILE'!$B$64="",-1E+99,'TO HOP NLAN'!D59/ncoc+IF(SUMSQ('TS-PILE'!$E$56:$E$75)=0,0,'TO HOP NLAN'!E59*'TS-PILE'!$E$64/SUMSQ('TS-PILE'!$E$56:$E$75))+IF(SUMSQ('TS-PILE'!$D$56:$D$75)=0,0,'TO HOP NLAN'!F59*'TS-PILE'!$D$64/SUMSQ('TS-PILE'!$D$56:$D$75))),IF('TS-PILE'!$B$65="",-1E+99,'TO HOP NLAN'!D59/ncoc+IF(SUMSQ('TS-PILE'!$E$56:$E$75)=0,0,'TO HOP NLAN'!E59*'TS-PILE'!$E$65/SUMSQ('TS-PILE'!$E$56:$E$75))+IF(SUMSQ('TS-PILE'!$D$56:$D$75)=0,0,'TO HOP NLAN'!F59*'TS-PILE'!$D$65/SUMSQ('TS-PILE'!$D$56:$D$75))),IF('TS-PILE'!$B$66="",-1E+99,'TO HOP NLAN'!D59/ncoc+IF(SUMSQ('TS-PILE'!$E$56:$E$75)=0,0,'TO HOP NLAN'!E59*'TS-PILE'!$E$66/SUMSQ('TS-PILE'!$E$56:$E$75))+IF(SUMSQ('TS-PILE'!$D$56:$D$75)=0,0,'TO HOP NLAN'!F59*'TS-PILE'!$D$66/SUMSQ('TS-PILE'!$D$56:$D$75))),IF('TS-PILE'!$B$67="",-1E+99,'TO HOP NLAN'!D59/ncoc+IF(SUMSQ('TS-PILE'!$E$56:$E$75)=0,0,'TO HOP NLAN'!E59*'TS-PILE'!$E$67/SUMSQ('TS-PILE'!$E$56:$E$75))+IF(SUMSQ('TS-PILE'!$D$56:$D$75)=0,0,'TO HOP NLAN'!F59*'TS-PILE'!$D$67/SUMSQ('TS-PILE'!$D$56:$D$75))),IF('TS-PILE'!$B$68="",-1E+99,'TO HOP NLAN'!D59/ncoc+IF(SUMSQ('TS-PILE'!$E$56:$E$75)=0,0,'TO HOP NLAN'!E59*'TS-PILE'!$E$68/SUMSQ('TS-PILE'!$E$56:$E$75))+IF(SUMSQ('TS-PILE'!$D$56:$D$75)=0,0,'TO HOP NLAN'!F59*'TS-PILE'!$D$68/SUMSQ('TS-PILE'!$D$56:$D$75))),IF('TS-PILE'!$B$69="",-1E+99,'TO HOP NLAN'!D59/ncoc+IF(SUMSQ('TS-PILE'!$E$56:$E$75)=0,0,'TO HOP NLAN'!E59*'TS-PILE'!$E$69/SUMSQ('TS-PILE'!$E$56:$E$75))+IF(SUMSQ('TS-PILE'!$D$56:$D$75)=0,0,'TO HOP NLAN'!F59*'TS-PILE'!$D$69/SUMSQ('TS-PILE'!$D$56:$D$75))),IF('TS-PILE'!$B$70="",-1E+99,'TO HOP NLAN'!D59/ncoc+IF(SUMSQ('TS-PILE'!$E$56:$E$75)=0,0,'TO HOP NLAN'!E59*'TS-PILE'!$E$70/SUMSQ('TS-PILE'!$E$56:$E$75))+IF(SUMSQ('TS-PILE'!$D$56:$D$75)=0,0,'TO HOP NLAN'!F59*'TS-PILE'!$D$70/SUMSQ('TS-PILE'!$D$56:$D$75))),IF('TS-PILE'!$B$71="",-1E+99,'TO HOP NLAN'!D59/ncoc+IF(SUMSQ('TS-PILE'!$E$56:$E$75)=0,0,'TO HOP NLAN'!E59*'TS-PILE'!$E$71/SUMSQ('TS-PILE'!$E$56:$E$75))+IF(SUMSQ('TS-PILE'!$D$56:$D$75)=0,0,'TO HOP NLAN'!F59*'TS-PILE'!$D$71/SUMSQ('TS-PILE'!$D$56:$D$75))),IF('TS-PILE'!$B$72="",-1E+99,'TO HOP NLAN'!D59/ncoc+IF(SUMSQ('TS-PILE'!$E$56:$E$75)=0,0,'TO HOP NLAN'!E59*'TS-PILE'!$E$72/SUMSQ('TS-PILE'!$E$56:$E$75))+IF(SUMSQ('TS-PILE'!$D$56:$D$75)=0,0,'TO HOP NLAN'!F59*'TS-PILE'!$D$72/SUMSQ('TS-PILE'!$D$56:$D$75))),IF('TS-PILE'!$B$73="",-1E+99,'TO HOP NLAN'!D59/ncoc+IF(SUMSQ('TS-PILE'!$E$56:$E$75)=0,0,'TO HOP NLAN'!E59*'TS-PILE'!$E$73/SUMSQ('TS-PILE'!$E$56:$E$75))+IF(SUMSQ('TS-PILE'!$D$56:$D$75)=0,0,'TO HOP NLAN'!F59*'TS-PILE'!$D$73/SUMSQ('TS-PILE'!$D$56:$D$75))),IF('TS-PILE'!$B$74="",-1E+99,'TO HOP NLAN'!D59/ncoc+IF(SUMSQ('TS-PILE'!$E$56:$E$75)=0,0,'TO HOP NLAN'!E59*'TS-PILE'!$E$74/SUMSQ('TS-PILE'!$E$56:$E$75))+IF(SUMSQ('TS-PILE'!$D$56:$D$75)=0,0,'TO HOP NLAN'!F59*'TS-PILE'!$D$74/SUMSQ('TS-PILE'!$D$56:$D$75))),IF('TS-PILE'!$B$75="",-1E+99,'TO HOP NLAN'!D59/ncoc+IF(SUMSQ('TS-PILE'!$E$56:$E$75)=0,0,'TO HOP NLAN'!E59*'TS-PILE'!$E$75/SUMSQ('TS-PILE'!$E$56:$E$75))+IF(SUMSQ('TS-PILE'!$D$56:$D$75)=0,0,'TO HOP NLAN'!F59*'TS-PILE'!$D$75/SUMSQ('TS-PILE'!$D$56:$D$75)))))</f>
        <v>0</v>
      </c>
      <c r="D59" s="46">
        <f>IF(A59="",0,MIN(IF('TS-PILE'!$B$56="",1E+99,'TO HOP NLAN'!D59/ncoc+IF(SUMSQ('TS-PILE'!$E$56:$E$75)=0,0,'TO HOP NLAN'!E59*'TS-PILE'!$E$56/SUMSQ('TS-PILE'!$E$56:$E$75))+IF(SUMSQ('TS-PILE'!$D$56:$D$75)=0,0,'TO HOP NLAN'!F59*'TS-PILE'!$D$56/SUMSQ('TS-PILE'!$D$56:$D$75))),IF('TS-PILE'!$B$57="",1E+99,'TO HOP NLAN'!D59/ncoc+IF(SUMSQ('TS-PILE'!$E$56:$E$75)=0,0,'TO HOP NLAN'!E59*'TS-PILE'!$E$57/SUMSQ('TS-PILE'!$E$56:$E$75))+IF(SUMSQ('TS-PILE'!$D$56:$D$75)=0,0,'TO HOP NLAN'!F59*'TS-PILE'!$D$57/SUMSQ('TS-PILE'!$D$56:$D$75))),IF('TS-PILE'!$B$58="",1E+99,'TO HOP NLAN'!D59/ncoc+IF(SUMSQ('TS-PILE'!$E$56:$E$75)=0,0,'TO HOP NLAN'!E59*'TS-PILE'!$E$58/SUMSQ('TS-PILE'!$E$56:$E$75))+IF(SUMSQ('TS-PILE'!$D$56:$D$75)=0,0,'TO HOP NLAN'!F59*'TS-PILE'!$D$58/SUMSQ('TS-PILE'!$D$56:$D$75))),IF('TS-PILE'!$B$59="",1E+99,'TO HOP NLAN'!D59/ncoc+IF(SUMSQ('TS-PILE'!$E$56:$E$75)=0,0,'TO HOP NLAN'!E59*'TS-PILE'!$E$59/SUMSQ('TS-PILE'!$E$56:$E$75))+IF(SUMSQ('TS-PILE'!$D$56:$D$75)=0,0,'TO HOP NLAN'!F59*'TS-PILE'!$D$59/SUMSQ('TS-PILE'!$D$56:$D$75))),IF('TS-PILE'!$B$60="",1E+99,'TO HOP NLAN'!D59/ncoc+IF(SUMSQ('TS-PILE'!$E$56:$E$75)=0,0,'TO HOP NLAN'!E59*'TS-PILE'!$E$60/SUMSQ('TS-PILE'!$E$56:$E$75))+IF(SUMSQ('TS-PILE'!$D$56:$D$75)=0,0,'TO HOP NLAN'!F59*'TS-PILE'!$D$60/SUMSQ('TS-PILE'!$D$56:$D$75))),IF('TS-PILE'!$B$61="",1E+99,'TO HOP NLAN'!D59/ncoc+IF(SUMSQ('TS-PILE'!$E$56:$E$75)=0,0,'TO HOP NLAN'!E59*'TS-PILE'!$E$61/SUMSQ('TS-PILE'!$E$56:$E$75))+IF(SUMSQ('TS-PILE'!$D$56:$D$75)=0,0,'TO HOP NLAN'!F59*'TS-PILE'!$D$61/SUMSQ('TS-PILE'!$D$56:$D$75))),IF('TS-PILE'!$B$62="",1E+99,'TO HOP NLAN'!D59/ncoc+IF(SUMSQ('TS-PILE'!$E$56:$E$75)=0,0,'TO HOP NLAN'!E59*'TS-PILE'!$E$62/SUMSQ('TS-PILE'!$E$56:$E$75))+IF(SUMSQ('TS-PILE'!$D$56:$D$75)=0,0,'TO HOP NLAN'!F59*'TS-PILE'!$D$62/SUMSQ('TS-PILE'!$D$56:$D$75))),IF('TS-PILE'!$B$63="",1E+99,'TO HOP NLAN'!D59/ncoc+IF(SUMSQ('TS-PILE'!$E$56:$E$75)=0,0,'TO HOP NLAN'!E59*'TS-PILE'!$E$63/SUMSQ('TS-PILE'!$E$56:$E$75))+IF(SUMSQ('TS-PILE'!$D$56:$D$75)=0,0,'TO HOP NLAN'!F59*'TS-PILE'!$D$63/SUMSQ('TS-PILE'!$D$56:$D$75))),IF('TS-PILE'!$B$64="",1E+99,'TO HOP NLAN'!D59/ncoc+IF(SUMSQ('TS-PILE'!$E$56:$E$75)=0,0,'TO HOP NLAN'!E59*'TS-PILE'!$E$64/SUMSQ('TS-PILE'!$E$56:$E$75))+IF(SUMSQ('TS-PILE'!$D$56:$D$75)=0,0,'TO HOP NLAN'!F59*'TS-PILE'!$D$64/SUMSQ('TS-PILE'!$D$56:$D$75))),IF('TS-PILE'!$B$65="",1E+99,'TO HOP NLAN'!D59/ncoc+IF(SUMSQ('TS-PILE'!$E$56:$E$75)=0,0,'TO HOP NLAN'!E59*'TS-PILE'!$E$65/SUMSQ('TS-PILE'!$E$56:$E$75))+IF(SUMSQ('TS-PILE'!$D$56:$D$75)=0,0,'TO HOP NLAN'!F59*'TS-PILE'!$D$65/SUMSQ('TS-PILE'!$D$56:$D$75))),IF('TS-PILE'!$B$66="",1E+99,'TO HOP NLAN'!D59/ncoc+IF(SUMSQ('TS-PILE'!$E$56:$E$75)=0,0,'TO HOP NLAN'!E59*'TS-PILE'!$E$66/SUMSQ('TS-PILE'!$E$56:$E$75))+IF(SUMSQ('TS-PILE'!$D$56:$D$75)=0,0,'TO HOP NLAN'!F59*'TS-PILE'!$D$66/SUMSQ('TS-PILE'!$D$56:$D$75))),IF('TS-PILE'!$B$67="",1E+99,'TO HOP NLAN'!D59/ncoc+IF(SUMSQ('TS-PILE'!$E$56:$E$75)=0,0,'TO HOP NLAN'!E59*'TS-PILE'!$E$67/SUMSQ('TS-PILE'!$E$56:$E$75))+IF(SUMSQ('TS-PILE'!$D$56:$D$75)=0,0,'TO HOP NLAN'!F59*'TS-PILE'!$D$67/SUMSQ('TS-PILE'!$D$56:$D$75))),IF('TS-PILE'!$B$68="",1E+99,'TO HOP NLAN'!D59/ncoc+IF(SUMSQ('TS-PILE'!$E$56:$E$75)=0,0,'TO HOP NLAN'!E59*'TS-PILE'!$E$68/SUMSQ('TS-PILE'!$E$56:$E$75))+IF(SUMSQ('TS-PILE'!$D$56:$D$75)=0,0,'TO HOP NLAN'!F59*'TS-PILE'!$D$68/SUMSQ('TS-PILE'!$D$56:$D$75))),IF('TS-PILE'!$B$69="",1E+99,'TO HOP NLAN'!D59/ncoc+IF(SUMSQ('TS-PILE'!$E$56:$E$75)=0,0,'TO HOP NLAN'!E59*'TS-PILE'!$E$69/SUMSQ('TS-PILE'!$E$56:$E$75))+IF(SUMSQ('TS-PILE'!$D$56:$D$75)=0,0,'TO HOP NLAN'!F59*'TS-PILE'!$D$69/SUMSQ('TS-PILE'!$D$56:$D$75))),IF('TS-PILE'!$B$70="",1E+99,'TO HOP NLAN'!D59/ncoc+IF(SUMSQ('TS-PILE'!$E$56:$E$75)=0,0,'TO HOP NLAN'!E59*'TS-PILE'!$E$70/SUMSQ('TS-PILE'!$E$56:$E$75))+IF(SUMSQ('TS-PILE'!$D$56:$D$75)=0,0,'TO HOP NLAN'!F59*'TS-PILE'!$D$70/SUMSQ('TS-PILE'!$D$56:$D$75))),IF('TS-PILE'!$B$71="",1E+99,'TO HOP NLAN'!D59/ncoc+IF(SUMSQ('TS-PILE'!$E$56:$E$75)=0,0,'TO HOP NLAN'!E59*'TS-PILE'!$E$71/SUMSQ('TS-PILE'!$E$56:$E$75))+IF(SUMSQ('TS-PILE'!$D$56:$D$75)=0,0,'TO HOP NLAN'!F59*'TS-PILE'!$D$71/SUMSQ('TS-PILE'!$D$56:$D$75))),IF('TS-PILE'!$B$72="",1E+99,'TO HOP NLAN'!D59/ncoc+IF(SUMSQ('TS-PILE'!$E$56:$E$75)=0,0,'TO HOP NLAN'!E59*'TS-PILE'!$E$72/SUMSQ('TS-PILE'!$E$56:$E$75))+IF(SUMSQ('TS-PILE'!$D$56:$D$75)=0,0,'TO HOP NLAN'!F59*'TS-PILE'!$D$72/SUMSQ('TS-PILE'!$D$56:$D$75))),IF('TS-PILE'!$B$73="",1E+99,'TO HOP NLAN'!D59/ncoc+IF(SUMSQ('TS-PILE'!$E$56:$E$75)=0,0,'TO HOP NLAN'!E59*'TS-PILE'!$E$73/SUMSQ('TS-PILE'!$E$56:$E$75))+IF(SUMSQ('TS-PILE'!$D$56:$D$75)=0,0,'TO HOP NLAN'!F59*'TS-PILE'!$D$73/SUMSQ('TS-PILE'!$D$56:$D$75))),IF('TS-PILE'!$B$74="",1E+99,'TO HOP NLAN'!D59/ncoc+IF(SUMSQ('TS-PILE'!$E$56:$E$75)=0,0,'TO HOP NLAN'!E59*'TS-PILE'!$E$74/SUMSQ('TS-PILE'!$E$56:$E$75))+IF(SUMSQ('TS-PILE'!$D$56:$D$75)=0,0,'TO HOP NLAN'!F59*'TS-PILE'!$D$74/SUMSQ('TS-PILE'!$D$56:$D$75))),IF('TS-PILE'!$B$75="",1E+99,'TO HOP NLAN'!D59/ncoc+IF(SUMSQ('TS-PILE'!$E$56:$E$75)=0,0,'TO HOP NLAN'!E59*'TS-PILE'!$E$75/SUMSQ('TS-PILE'!$E$56:$E$75))+IF(SUMSQ('TS-PILE'!$D$56:$D$75)=0,0,'TO HOP NLAN'!F59*'TS-PILE'!$D$75/SUMSQ('TS-PILE'!$D$56:$D$75)))))</f>
        <v>0</v>
      </c>
      <c r="E59" s="46">
        <f t="shared" si="0"/>
        <v>-9.9999999999999997E+98</v>
      </c>
      <c r="F59" s="46">
        <f t="shared" si="1"/>
        <v>9.9999999999999997E+98</v>
      </c>
      <c r="G59" s="46">
        <f t="shared" si="2"/>
        <v>-9.9999999999999997E+98</v>
      </c>
      <c r="H59" s="46">
        <f t="shared" si="3"/>
        <v>9.9999999999999997E+98</v>
      </c>
    </row>
    <row r="60" spans="1:8" x14ac:dyDescent="0.3">
      <c r="A60" s="40" t="str">
        <f>'TO HOP NLAN'!A60</f>
        <v/>
      </c>
      <c r="B60" s="40" t="str">
        <f>'TO HOP NLAN'!L60</f>
        <v>SERVICE</v>
      </c>
      <c r="C60" s="46">
        <f>IF(A60="",0,MAX(IF('TS-PILE'!$B$56="",-1E+99,'TO HOP NLAN'!D60/ncoc+IF(SUMSQ('TS-PILE'!$E$56:$E$75)=0,0,'TO HOP NLAN'!E60*'TS-PILE'!$E$56/SUMSQ('TS-PILE'!$E$56:$E$75))+IF(SUMSQ('TS-PILE'!$D$56:$D$75)=0,0,'TO HOP NLAN'!F60*'TS-PILE'!$D$56/SUMSQ('TS-PILE'!$D$56:$D$75))),IF('TS-PILE'!$B$57="",-1E+99,'TO HOP NLAN'!D60/ncoc+IF(SUMSQ('TS-PILE'!$E$56:$E$75)=0,0,'TO HOP NLAN'!E60*'TS-PILE'!$E$57/SUMSQ('TS-PILE'!$E$56:$E$75))+IF(SUMSQ('TS-PILE'!$D$56:$D$75)=0,0,'TO HOP NLAN'!F60*'TS-PILE'!$D$57/SUMSQ('TS-PILE'!$D$56:$D$75))),IF('TS-PILE'!$B$58="",-1E+99,'TO HOP NLAN'!D60/ncoc+IF(SUMSQ('TS-PILE'!$E$56:$E$75)=0,0,'TO HOP NLAN'!E60*'TS-PILE'!$E$58/SUMSQ('TS-PILE'!$E$56:$E$75))+IF(SUMSQ('TS-PILE'!$D$56:$D$75)=0,0,'TO HOP NLAN'!F60*'TS-PILE'!$D$58/SUMSQ('TS-PILE'!$D$56:$D$75))),IF('TS-PILE'!$B$59="",-1E+99,'TO HOP NLAN'!D60/ncoc+IF(SUMSQ('TS-PILE'!$E$56:$E$75)=0,0,'TO HOP NLAN'!E60*'TS-PILE'!$E$59/SUMSQ('TS-PILE'!$E$56:$E$75))+IF(SUMSQ('TS-PILE'!$D$56:$D$75)=0,0,'TO HOP NLAN'!F60*'TS-PILE'!$D$59/SUMSQ('TS-PILE'!$D$56:$D$75))),IF('TS-PILE'!$B$60="",-1E+99,'TO HOP NLAN'!D60/ncoc+IF(SUMSQ('TS-PILE'!$E$56:$E$75)=0,0,'TO HOP NLAN'!E60*'TS-PILE'!$E$60/SUMSQ('TS-PILE'!$E$56:$E$75))+IF(SUMSQ('TS-PILE'!$D$56:$D$75)=0,0,'TO HOP NLAN'!F60*'TS-PILE'!$D$60/SUMSQ('TS-PILE'!$D$56:$D$75))),IF('TS-PILE'!$B$61="",-1E+99,'TO HOP NLAN'!D60/ncoc+IF(SUMSQ('TS-PILE'!$E$56:$E$75)=0,0,'TO HOP NLAN'!E60*'TS-PILE'!$E$61/SUMSQ('TS-PILE'!$E$56:$E$75))+IF(SUMSQ('TS-PILE'!$D$56:$D$75)=0,0,'TO HOP NLAN'!F60*'TS-PILE'!$D$61/SUMSQ('TS-PILE'!$D$56:$D$75))),IF('TS-PILE'!$B$62="",-1E+99,'TO HOP NLAN'!D60/ncoc+IF(SUMSQ('TS-PILE'!$E$56:$E$75)=0,0,'TO HOP NLAN'!E60*'TS-PILE'!$E$62/SUMSQ('TS-PILE'!$E$56:$E$75))+IF(SUMSQ('TS-PILE'!$D$56:$D$75)=0,0,'TO HOP NLAN'!F60*'TS-PILE'!$D$62/SUMSQ('TS-PILE'!$D$56:$D$75))),IF('TS-PILE'!$B$63="",-1E+99,'TO HOP NLAN'!D60/ncoc+IF(SUMSQ('TS-PILE'!$E$56:$E$75)=0,0,'TO HOP NLAN'!E60*'TS-PILE'!$E$63/SUMSQ('TS-PILE'!$E$56:$E$75))+IF(SUMSQ('TS-PILE'!$D$56:$D$75)=0,0,'TO HOP NLAN'!F60*'TS-PILE'!$D$63/SUMSQ('TS-PILE'!$D$56:$D$75))),IF('TS-PILE'!$B$64="",-1E+99,'TO HOP NLAN'!D60/ncoc+IF(SUMSQ('TS-PILE'!$E$56:$E$75)=0,0,'TO HOP NLAN'!E60*'TS-PILE'!$E$64/SUMSQ('TS-PILE'!$E$56:$E$75))+IF(SUMSQ('TS-PILE'!$D$56:$D$75)=0,0,'TO HOP NLAN'!F60*'TS-PILE'!$D$64/SUMSQ('TS-PILE'!$D$56:$D$75))),IF('TS-PILE'!$B$65="",-1E+99,'TO HOP NLAN'!D60/ncoc+IF(SUMSQ('TS-PILE'!$E$56:$E$75)=0,0,'TO HOP NLAN'!E60*'TS-PILE'!$E$65/SUMSQ('TS-PILE'!$E$56:$E$75))+IF(SUMSQ('TS-PILE'!$D$56:$D$75)=0,0,'TO HOP NLAN'!F60*'TS-PILE'!$D$65/SUMSQ('TS-PILE'!$D$56:$D$75))),IF('TS-PILE'!$B$66="",-1E+99,'TO HOP NLAN'!D60/ncoc+IF(SUMSQ('TS-PILE'!$E$56:$E$75)=0,0,'TO HOP NLAN'!E60*'TS-PILE'!$E$66/SUMSQ('TS-PILE'!$E$56:$E$75))+IF(SUMSQ('TS-PILE'!$D$56:$D$75)=0,0,'TO HOP NLAN'!F60*'TS-PILE'!$D$66/SUMSQ('TS-PILE'!$D$56:$D$75))),IF('TS-PILE'!$B$67="",-1E+99,'TO HOP NLAN'!D60/ncoc+IF(SUMSQ('TS-PILE'!$E$56:$E$75)=0,0,'TO HOP NLAN'!E60*'TS-PILE'!$E$67/SUMSQ('TS-PILE'!$E$56:$E$75))+IF(SUMSQ('TS-PILE'!$D$56:$D$75)=0,0,'TO HOP NLAN'!F60*'TS-PILE'!$D$67/SUMSQ('TS-PILE'!$D$56:$D$75))),IF('TS-PILE'!$B$68="",-1E+99,'TO HOP NLAN'!D60/ncoc+IF(SUMSQ('TS-PILE'!$E$56:$E$75)=0,0,'TO HOP NLAN'!E60*'TS-PILE'!$E$68/SUMSQ('TS-PILE'!$E$56:$E$75))+IF(SUMSQ('TS-PILE'!$D$56:$D$75)=0,0,'TO HOP NLAN'!F60*'TS-PILE'!$D$68/SUMSQ('TS-PILE'!$D$56:$D$75))),IF('TS-PILE'!$B$69="",-1E+99,'TO HOP NLAN'!D60/ncoc+IF(SUMSQ('TS-PILE'!$E$56:$E$75)=0,0,'TO HOP NLAN'!E60*'TS-PILE'!$E$69/SUMSQ('TS-PILE'!$E$56:$E$75))+IF(SUMSQ('TS-PILE'!$D$56:$D$75)=0,0,'TO HOP NLAN'!F60*'TS-PILE'!$D$69/SUMSQ('TS-PILE'!$D$56:$D$75))),IF('TS-PILE'!$B$70="",-1E+99,'TO HOP NLAN'!D60/ncoc+IF(SUMSQ('TS-PILE'!$E$56:$E$75)=0,0,'TO HOP NLAN'!E60*'TS-PILE'!$E$70/SUMSQ('TS-PILE'!$E$56:$E$75))+IF(SUMSQ('TS-PILE'!$D$56:$D$75)=0,0,'TO HOP NLAN'!F60*'TS-PILE'!$D$70/SUMSQ('TS-PILE'!$D$56:$D$75))),IF('TS-PILE'!$B$71="",-1E+99,'TO HOP NLAN'!D60/ncoc+IF(SUMSQ('TS-PILE'!$E$56:$E$75)=0,0,'TO HOP NLAN'!E60*'TS-PILE'!$E$71/SUMSQ('TS-PILE'!$E$56:$E$75))+IF(SUMSQ('TS-PILE'!$D$56:$D$75)=0,0,'TO HOP NLAN'!F60*'TS-PILE'!$D$71/SUMSQ('TS-PILE'!$D$56:$D$75))),IF('TS-PILE'!$B$72="",-1E+99,'TO HOP NLAN'!D60/ncoc+IF(SUMSQ('TS-PILE'!$E$56:$E$75)=0,0,'TO HOP NLAN'!E60*'TS-PILE'!$E$72/SUMSQ('TS-PILE'!$E$56:$E$75))+IF(SUMSQ('TS-PILE'!$D$56:$D$75)=0,0,'TO HOP NLAN'!F60*'TS-PILE'!$D$72/SUMSQ('TS-PILE'!$D$56:$D$75))),IF('TS-PILE'!$B$73="",-1E+99,'TO HOP NLAN'!D60/ncoc+IF(SUMSQ('TS-PILE'!$E$56:$E$75)=0,0,'TO HOP NLAN'!E60*'TS-PILE'!$E$73/SUMSQ('TS-PILE'!$E$56:$E$75))+IF(SUMSQ('TS-PILE'!$D$56:$D$75)=0,0,'TO HOP NLAN'!F60*'TS-PILE'!$D$73/SUMSQ('TS-PILE'!$D$56:$D$75))),IF('TS-PILE'!$B$74="",-1E+99,'TO HOP NLAN'!D60/ncoc+IF(SUMSQ('TS-PILE'!$E$56:$E$75)=0,0,'TO HOP NLAN'!E60*'TS-PILE'!$E$74/SUMSQ('TS-PILE'!$E$56:$E$75))+IF(SUMSQ('TS-PILE'!$D$56:$D$75)=0,0,'TO HOP NLAN'!F60*'TS-PILE'!$D$74/SUMSQ('TS-PILE'!$D$56:$D$75))),IF('TS-PILE'!$B$75="",-1E+99,'TO HOP NLAN'!D60/ncoc+IF(SUMSQ('TS-PILE'!$E$56:$E$75)=0,0,'TO HOP NLAN'!E60*'TS-PILE'!$E$75/SUMSQ('TS-PILE'!$E$56:$E$75))+IF(SUMSQ('TS-PILE'!$D$56:$D$75)=0,0,'TO HOP NLAN'!F60*'TS-PILE'!$D$75/SUMSQ('TS-PILE'!$D$56:$D$75)))))</f>
        <v>0</v>
      </c>
      <c r="D60" s="46">
        <f>IF(A60="",0,MIN(IF('TS-PILE'!$B$56="",1E+99,'TO HOP NLAN'!D60/ncoc+IF(SUMSQ('TS-PILE'!$E$56:$E$75)=0,0,'TO HOP NLAN'!E60*'TS-PILE'!$E$56/SUMSQ('TS-PILE'!$E$56:$E$75))+IF(SUMSQ('TS-PILE'!$D$56:$D$75)=0,0,'TO HOP NLAN'!F60*'TS-PILE'!$D$56/SUMSQ('TS-PILE'!$D$56:$D$75))),IF('TS-PILE'!$B$57="",1E+99,'TO HOP NLAN'!D60/ncoc+IF(SUMSQ('TS-PILE'!$E$56:$E$75)=0,0,'TO HOP NLAN'!E60*'TS-PILE'!$E$57/SUMSQ('TS-PILE'!$E$56:$E$75))+IF(SUMSQ('TS-PILE'!$D$56:$D$75)=0,0,'TO HOP NLAN'!F60*'TS-PILE'!$D$57/SUMSQ('TS-PILE'!$D$56:$D$75))),IF('TS-PILE'!$B$58="",1E+99,'TO HOP NLAN'!D60/ncoc+IF(SUMSQ('TS-PILE'!$E$56:$E$75)=0,0,'TO HOP NLAN'!E60*'TS-PILE'!$E$58/SUMSQ('TS-PILE'!$E$56:$E$75))+IF(SUMSQ('TS-PILE'!$D$56:$D$75)=0,0,'TO HOP NLAN'!F60*'TS-PILE'!$D$58/SUMSQ('TS-PILE'!$D$56:$D$75))),IF('TS-PILE'!$B$59="",1E+99,'TO HOP NLAN'!D60/ncoc+IF(SUMSQ('TS-PILE'!$E$56:$E$75)=0,0,'TO HOP NLAN'!E60*'TS-PILE'!$E$59/SUMSQ('TS-PILE'!$E$56:$E$75))+IF(SUMSQ('TS-PILE'!$D$56:$D$75)=0,0,'TO HOP NLAN'!F60*'TS-PILE'!$D$59/SUMSQ('TS-PILE'!$D$56:$D$75))),IF('TS-PILE'!$B$60="",1E+99,'TO HOP NLAN'!D60/ncoc+IF(SUMSQ('TS-PILE'!$E$56:$E$75)=0,0,'TO HOP NLAN'!E60*'TS-PILE'!$E$60/SUMSQ('TS-PILE'!$E$56:$E$75))+IF(SUMSQ('TS-PILE'!$D$56:$D$75)=0,0,'TO HOP NLAN'!F60*'TS-PILE'!$D$60/SUMSQ('TS-PILE'!$D$56:$D$75))),IF('TS-PILE'!$B$61="",1E+99,'TO HOP NLAN'!D60/ncoc+IF(SUMSQ('TS-PILE'!$E$56:$E$75)=0,0,'TO HOP NLAN'!E60*'TS-PILE'!$E$61/SUMSQ('TS-PILE'!$E$56:$E$75))+IF(SUMSQ('TS-PILE'!$D$56:$D$75)=0,0,'TO HOP NLAN'!F60*'TS-PILE'!$D$61/SUMSQ('TS-PILE'!$D$56:$D$75))),IF('TS-PILE'!$B$62="",1E+99,'TO HOP NLAN'!D60/ncoc+IF(SUMSQ('TS-PILE'!$E$56:$E$75)=0,0,'TO HOP NLAN'!E60*'TS-PILE'!$E$62/SUMSQ('TS-PILE'!$E$56:$E$75))+IF(SUMSQ('TS-PILE'!$D$56:$D$75)=0,0,'TO HOP NLAN'!F60*'TS-PILE'!$D$62/SUMSQ('TS-PILE'!$D$56:$D$75))),IF('TS-PILE'!$B$63="",1E+99,'TO HOP NLAN'!D60/ncoc+IF(SUMSQ('TS-PILE'!$E$56:$E$75)=0,0,'TO HOP NLAN'!E60*'TS-PILE'!$E$63/SUMSQ('TS-PILE'!$E$56:$E$75))+IF(SUMSQ('TS-PILE'!$D$56:$D$75)=0,0,'TO HOP NLAN'!F60*'TS-PILE'!$D$63/SUMSQ('TS-PILE'!$D$56:$D$75))),IF('TS-PILE'!$B$64="",1E+99,'TO HOP NLAN'!D60/ncoc+IF(SUMSQ('TS-PILE'!$E$56:$E$75)=0,0,'TO HOP NLAN'!E60*'TS-PILE'!$E$64/SUMSQ('TS-PILE'!$E$56:$E$75))+IF(SUMSQ('TS-PILE'!$D$56:$D$75)=0,0,'TO HOP NLAN'!F60*'TS-PILE'!$D$64/SUMSQ('TS-PILE'!$D$56:$D$75))),IF('TS-PILE'!$B$65="",1E+99,'TO HOP NLAN'!D60/ncoc+IF(SUMSQ('TS-PILE'!$E$56:$E$75)=0,0,'TO HOP NLAN'!E60*'TS-PILE'!$E$65/SUMSQ('TS-PILE'!$E$56:$E$75))+IF(SUMSQ('TS-PILE'!$D$56:$D$75)=0,0,'TO HOP NLAN'!F60*'TS-PILE'!$D$65/SUMSQ('TS-PILE'!$D$56:$D$75))),IF('TS-PILE'!$B$66="",1E+99,'TO HOP NLAN'!D60/ncoc+IF(SUMSQ('TS-PILE'!$E$56:$E$75)=0,0,'TO HOP NLAN'!E60*'TS-PILE'!$E$66/SUMSQ('TS-PILE'!$E$56:$E$75))+IF(SUMSQ('TS-PILE'!$D$56:$D$75)=0,0,'TO HOP NLAN'!F60*'TS-PILE'!$D$66/SUMSQ('TS-PILE'!$D$56:$D$75))),IF('TS-PILE'!$B$67="",1E+99,'TO HOP NLAN'!D60/ncoc+IF(SUMSQ('TS-PILE'!$E$56:$E$75)=0,0,'TO HOP NLAN'!E60*'TS-PILE'!$E$67/SUMSQ('TS-PILE'!$E$56:$E$75))+IF(SUMSQ('TS-PILE'!$D$56:$D$75)=0,0,'TO HOP NLAN'!F60*'TS-PILE'!$D$67/SUMSQ('TS-PILE'!$D$56:$D$75))),IF('TS-PILE'!$B$68="",1E+99,'TO HOP NLAN'!D60/ncoc+IF(SUMSQ('TS-PILE'!$E$56:$E$75)=0,0,'TO HOP NLAN'!E60*'TS-PILE'!$E$68/SUMSQ('TS-PILE'!$E$56:$E$75))+IF(SUMSQ('TS-PILE'!$D$56:$D$75)=0,0,'TO HOP NLAN'!F60*'TS-PILE'!$D$68/SUMSQ('TS-PILE'!$D$56:$D$75))),IF('TS-PILE'!$B$69="",1E+99,'TO HOP NLAN'!D60/ncoc+IF(SUMSQ('TS-PILE'!$E$56:$E$75)=0,0,'TO HOP NLAN'!E60*'TS-PILE'!$E$69/SUMSQ('TS-PILE'!$E$56:$E$75))+IF(SUMSQ('TS-PILE'!$D$56:$D$75)=0,0,'TO HOP NLAN'!F60*'TS-PILE'!$D$69/SUMSQ('TS-PILE'!$D$56:$D$75))),IF('TS-PILE'!$B$70="",1E+99,'TO HOP NLAN'!D60/ncoc+IF(SUMSQ('TS-PILE'!$E$56:$E$75)=0,0,'TO HOP NLAN'!E60*'TS-PILE'!$E$70/SUMSQ('TS-PILE'!$E$56:$E$75))+IF(SUMSQ('TS-PILE'!$D$56:$D$75)=0,0,'TO HOP NLAN'!F60*'TS-PILE'!$D$70/SUMSQ('TS-PILE'!$D$56:$D$75))),IF('TS-PILE'!$B$71="",1E+99,'TO HOP NLAN'!D60/ncoc+IF(SUMSQ('TS-PILE'!$E$56:$E$75)=0,0,'TO HOP NLAN'!E60*'TS-PILE'!$E$71/SUMSQ('TS-PILE'!$E$56:$E$75))+IF(SUMSQ('TS-PILE'!$D$56:$D$75)=0,0,'TO HOP NLAN'!F60*'TS-PILE'!$D$71/SUMSQ('TS-PILE'!$D$56:$D$75))),IF('TS-PILE'!$B$72="",1E+99,'TO HOP NLAN'!D60/ncoc+IF(SUMSQ('TS-PILE'!$E$56:$E$75)=0,0,'TO HOP NLAN'!E60*'TS-PILE'!$E$72/SUMSQ('TS-PILE'!$E$56:$E$75))+IF(SUMSQ('TS-PILE'!$D$56:$D$75)=0,0,'TO HOP NLAN'!F60*'TS-PILE'!$D$72/SUMSQ('TS-PILE'!$D$56:$D$75))),IF('TS-PILE'!$B$73="",1E+99,'TO HOP NLAN'!D60/ncoc+IF(SUMSQ('TS-PILE'!$E$56:$E$75)=0,0,'TO HOP NLAN'!E60*'TS-PILE'!$E$73/SUMSQ('TS-PILE'!$E$56:$E$75))+IF(SUMSQ('TS-PILE'!$D$56:$D$75)=0,0,'TO HOP NLAN'!F60*'TS-PILE'!$D$73/SUMSQ('TS-PILE'!$D$56:$D$75))),IF('TS-PILE'!$B$74="",1E+99,'TO HOP NLAN'!D60/ncoc+IF(SUMSQ('TS-PILE'!$E$56:$E$75)=0,0,'TO HOP NLAN'!E60*'TS-PILE'!$E$74/SUMSQ('TS-PILE'!$E$56:$E$75))+IF(SUMSQ('TS-PILE'!$D$56:$D$75)=0,0,'TO HOP NLAN'!F60*'TS-PILE'!$D$74/SUMSQ('TS-PILE'!$D$56:$D$75))),IF('TS-PILE'!$B$75="",1E+99,'TO HOP NLAN'!D60/ncoc+IF(SUMSQ('TS-PILE'!$E$56:$E$75)=0,0,'TO HOP NLAN'!E60*'TS-PILE'!$E$75/SUMSQ('TS-PILE'!$E$56:$E$75))+IF(SUMSQ('TS-PILE'!$D$56:$D$75)=0,0,'TO HOP NLAN'!F60*'TS-PILE'!$D$75/SUMSQ('TS-PILE'!$D$56:$D$75)))))</f>
        <v>0</v>
      </c>
      <c r="E60" s="46">
        <f t="shared" si="0"/>
        <v>-9.9999999999999997E+98</v>
      </c>
      <c r="F60" s="46">
        <f t="shared" si="1"/>
        <v>9.9999999999999997E+98</v>
      </c>
      <c r="G60" s="46">
        <f t="shared" si="2"/>
        <v>-9.9999999999999997E+98</v>
      </c>
      <c r="H60" s="46">
        <f t="shared" si="3"/>
        <v>9.9999999999999997E+98</v>
      </c>
    </row>
    <row r="61" spans="1:8" x14ac:dyDescent="0.3">
      <c r="A61" s="40" t="str">
        <f>'TO HOP NLAN'!A61</f>
        <v/>
      </c>
      <c r="B61" s="40" t="str">
        <f>'TO HOP NLAN'!L61</f>
        <v>SERVICE</v>
      </c>
      <c r="C61" s="46">
        <f>IF(A61="",0,MAX(IF('TS-PILE'!$B$56="",-1E+99,'TO HOP NLAN'!D61/ncoc+IF(SUMSQ('TS-PILE'!$E$56:$E$75)=0,0,'TO HOP NLAN'!E61*'TS-PILE'!$E$56/SUMSQ('TS-PILE'!$E$56:$E$75))+IF(SUMSQ('TS-PILE'!$D$56:$D$75)=0,0,'TO HOP NLAN'!F61*'TS-PILE'!$D$56/SUMSQ('TS-PILE'!$D$56:$D$75))),IF('TS-PILE'!$B$57="",-1E+99,'TO HOP NLAN'!D61/ncoc+IF(SUMSQ('TS-PILE'!$E$56:$E$75)=0,0,'TO HOP NLAN'!E61*'TS-PILE'!$E$57/SUMSQ('TS-PILE'!$E$56:$E$75))+IF(SUMSQ('TS-PILE'!$D$56:$D$75)=0,0,'TO HOP NLAN'!F61*'TS-PILE'!$D$57/SUMSQ('TS-PILE'!$D$56:$D$75))),IF('TS-PILE'!$B$58="",-1E+99,'TO HOP NLAN'!D61/ncoc+IF(SUMSQ('TS-PILE'!$E$56:$E$75)=0,0,'TO HOP NLAN'!E61*'TS-PILE'!$E$58/SUMSQ('TS-PILE'!$E$56:$E$75))+IF(SUMSQ('TS-PILE'!$D$56:$D$75)=0,0,'TO HOP NLAN'!F61*'TS-PILE'!$D$58/SUMSQ('TS-PILE'!$D$56:$D$75))),IF('TS-PILE'!$B$59="",-1E+99,'TO HOP NLAN'!D61/ncoc+IF(SUMSQ('TS-PILE'!$E$56:$E$75)=0,0,'TO HOP NLAN'!E61*'TS-PILE'!$E$59/SUMSQ('TS-PILE'!$E$56:$E$75))+IF(SUMSQ('TS-PILE'!$D$56:$D$75)=0,0,'TO HOP NLAN'!F61*'TS-PILE'!$D$59/SUMSQ('TS-PILE'!$D$56:$D$75))),IF('TS-PILE'!$B$60="",-1E+99,'TO HOP NLAN'!D61/ncoc+IF(SUMSQ('TS-PILE'!$E$56:$E$75)=0,0,'TO HOP NLAN'!E61*'TS-PILE'!$E$60/SUMSQ('TS-PILE'!$E$56:$E$75))+IF(SUMSQ('TS-PILE'!$D$56:$D$75)=0,0,'TO HOP NLAN'!F61*'TS-PILE'!$D$60/SUMSQ('TS-PILE'!$D$56:$D$75))),IF('TS-PILE'!$B$61="",-1E+99,'TO HOP NLAN'!D61/ncoc+IF(SUMSQ('TS-PILE'!$E$56:$E$75)=0,0,'TO HOP NLAN'!E61*'TS-PILE'!$E$61/SUMSQ('TS-PILE'!$E$56:$E$75))+IF(SUMSQ('TS-PILE'!$D$56:$D$75)=0,0,'TO HOP NLAN'!F61*'TS-PILE'!$D$61/SUMSQ('TS-PILE'!$D$56:$D$75))),IF('TS-PILE'!$B$62="",-1E+99,'TO HOP NLAN'!D61/ncoc+IF(SUMSQ('TS-PILE'!$E$56:$E$75)=0,0,'TO HOP NLAN'!E61*'TS-PILE'!$E$62/SUMSQ('TS-PILE'!$E$56:$E$75))+IF(SUMSQ('TS-PILE'!$D$56:$D$75)=0,0,'TO HOP NLAN'!F61*'TS-PILE'!$D$62/SUMSQ('TS-PILE'!$D$56:$D$75))),IF('TS-PILE'!$B$63="",-1E+99,'TO HOP NLAN'!D61/ncoc+IF(SUMSQ('TS-PILE'!$E$56:$E$75)=0,0,'TO HOP NLAN'!E61*'TS-PILE'!$E$63/SUMSQ('TS-PILE'!$E$56:$E$75))+IF(SUMSQ('TS-PILE'!$D$56:$D$75)=0,0,'TO HOP NLAN'!F61*'TS-PILE'!$D$63/SUMSQ('TS-PILE'!$D$56:$D$75))),IF('TS-PILE'!$B$64="",-1E+99,'TO HOP NLAN'!D61/ncoc+IF(SUMSQ('TS-PILE'!$E$56:$E$75)=0,0,'TO HOP NLAN'!E61*'TS-PILE'!$E$64/SUMSQ('TS-PILE'!$E$56:$E$75))+IF(SUMSQ('TS-PILE'!$D$56:$D$75)=0,0,'TO HOP NLAN'!F61*'TS-PILE'!$D$64/SUMSQ('TS-PILE'!$D$56:$D$75))),IF('TS-PILE'!$B$65="",-1E+99,'TO HOP NLAN'!D61/ncoc+IF(SUMSQ('TS-PILE'!$E$56:$E$75)=0,0,'TO HOP NLAN'!E61*'TS-PILE'!$E$65/SUMSQ('TS-PILE'!$E$56:$E$75))+IF(SUMSQ('TS-PILE'!$D$56:$D$75)=0,0,'TO HOP NLAN'!F61*'TS-PILE'!$D$65/SUMSQ('TS-PILE'!$D$56:$D$75))),IF('TS-PILE'!$B$66="",-1E+99,'TO HOP NLAN'!D61/ncoc+IF(SUMSQ('TS-PILE'!$E$56:$E$75)=0,0,'TO HOP NLAN'!E61*'TS-PILE'!$E$66/SUMSQ('TS-PILE'!$E$56:$E$75))+IF(SUMSQ('TS-PILE'!$D$56:$D$75)=0,0,'TO HOP NLAN'!F61*'TS-PILE'!$D$66/SUMSQ('TS-PILE'!$D$56:$D$75))),IF('TS-PILE'!$B$67="",-1E+99,'TO HOP NLAN'!D61/ncoc+IF(SUMSQ('TS-PILE'!$E$56:$E$75)=0,0,'TO HOP NLAN'!E61*'TS-PILE'!$E$67/SUMSQ('TS-PILE'!$E$56:$E$75))+IF(SUMSQ('TS-PILE'!$D$56:$D$75)=0,0,'TO HOP NLAN'!F61*'TS-PILE'!$D$67/SUMSQ('TS-PILE'!$D$56:$D$75))),IF('TS-PILE'!$B$68="",-1E+99,'TO HOP NLAN'!D61/ncoc+IF(SUMSQ('TS-PILE'!$E$56:$E$75)=0,0,'TO HOP NLAN'!E61*'TS-PILE'!$E$68/SUMSQ('TS-PILE'!$E$56:$E$75))+IF(SUMSQ('TS-PILE'!$D$56:$D$75)=0,0,'TO HOP NLAN'!F61*'TS-PILE'!$D$68/SUMSQ('TS-PILE'!$D$56:$D$75))),IF('TS-PILE'!$B$69="",-1E+99,'TO HOP NLAN'!D61/ncoc+IF(SUMSQ('TS-PILE'!$E$56:$E$75)=0,0,'TO HOP NLAN'!E61*'TS-PILE'!$E$69/SUMSQ('TS-PILE'!$E$56:$E$75))+IF(SUMSQ('TS-PILE'!$D$56:$D$75)=0,0,'TO HOP NLAN'!F61*'TS-PILE'!$D$69/SUMSQ('TS-PILE'!$D$56:$D$75))),IF('TS-PILE'!$B$70="",-1E+99,'TO HOP NLAN'!D61/ncoc+IF(SUMSQ('TS-PILE'!$E$56:$E$75)=0,0,'TO HOP NLAN'!E61*'TS-PILE'!$E$70/SUMSQ('TS-PILE'!$E$56:$E$75))+IF(SUMSQ('TS-PILE'!$D$56:$D$75)=0,0,'TO HOP NLAN'!F61*'TS-PILE'!$D$70/SUMSQ('TS-PILE'!$D$56:$D$75))),IF('TS-PILE'!$B$71="",-1E+99,'TO HOP NLAN'!D61/ncoc+IF(SUMSQ('TS-PILE'!$E$56:$E$75)=0,0,'TO HOP NLAN'!E61*'TS-PILE'!$E$71/SUMSQ('TS-PILE'!$E$56:$E$75))+IF(SUMSQ('TS-PILE'!$D$56:$D$75)=0,0,'TO HOP NLAN'!F61*'TS-PILE'!$D$71/SUMSQ('TS-PILE'!$D$56:$D$75))),IF('TS-PILE'!$B$72="",-1E+99,'TO HOP NLAN'!D61/ncoc+IF(SUMSQ('TS-PILE'!$E$56:$E$75)=0,0,'TO HOP NLAN'!E61*'TS-PILE'!$E$72/SUMSQ('TS-PILE'!$E$56:$E$75))+IF(SUMSQ('TS-PILE'!$D$56:$D$75)=0,0,'TO HOP NLAN'!F61*'TS-PILE'!$D$72/SUMSQ('TS-PILE'!$D$56:$D$75))),IF('TS-PILE'!$B$73="",-1E+99,'TO HOP NLAN'!D61/ncoc+IF(SUMSQ('TS-PILE'!$E$56:$E$75)=0,0,'TO HOP NLAN'!E61*'TS-PILE'!$E$73/SUMSQ('TS-PILE'!$E$56:$E$75))+IF(SUMSQ('TS-PILE'!$D$56:$D$75)=0,0,'TO HOP NLAN'!F61*'TS-PILE'!$D$73/SUMSQ('TS-PILE'!$D$56:$D$75))),IF('TS-PILE'!$B$74="",-1E+99,'TO HOP NLAN'!D61/ncoc+IF(SUMSQ('TS-PILE'!$E$56:$E$75)=0,0,'TO HOP NLAN'!E61*'TS-PILE'!$E$74/SUMSQ('TS-PILE'!$E$56:$E$75))+IF(SUMSQ('TS-PILE'!$D$56:$D$75)=0,0,'TO HOP NLAN'!F61*'TS-PILE'!$D$74/SUMSQ('TS-PILE'!$D$56:$D$75))),IF('TS-PILE'!$B$75="",-1E+99,'TO HOP NLAN'!D61/ncoc+IF(SUMSQ('TS-PILE'!$E$56:$E$75)=0,0,'TO HOP NLAN'!E61*'TS-PILE'!$E$75/SUMSQ('TS-PILE'!$E$56:$E$75))+IF(SUMSQ('TS-PILE'!$D$56:$D$75)=0,0,'TO HOP NLAN'!F61*'TS-PILE'!$D$75/SUMSQ('TS-PILE'!$D$56:$D$75)))))</f>
        <v>0</v>
      </c>
      <c r="D61" s="46">
        <f>IF(A61="",0,MIN(IF('TS-PILE'!$B$56="",1E+99,'TO HOP NLAN'!D61/ncoc+IF(SUMSQ('TS-PILE'!$E$56:$E$75)=0,0,'TO HOP NLAN'!E61*'TS-PILE'!$E$56/SUMSQ('TS-PILE'!$E$56:$E$75))+IF(SUMSQ('TS-PILE'!$D$56:$D$75)=0,0,'TO HOP NLAN'!F61*'TS-PILE'!$D$56/SUMSQ('TS-PILE'!$D$56:$D$75))),IF('TS-PILE'!$B$57="",1E+99,'TO HOP NLAN'!D61/ncoc+IF(SUMSQ('TS-PILE'!$E$56:$E$75)=0,0,'TO HOP NLAN'!E61*'TS-PILE'!$E$57/SUMSQ('TS-PILE'!$E$56:$E$75))+IF(SUMSQ('TS-PILE'!$D$56:$D$75)=0,0,'TO HOP NLAN'!F61*'TS-PILE'!$D$57/SUMSQ('TS-PILE'!$D$56:$D$75))),IF('TS-PILE'!$B$58="",1E+99,'TO HOP NLAN'!D61/ncoc+IF(SUMSQ('TS-PILE'!$E$56:$E$75)=0,0,'TO HOP NLAN'!E61*'TS-PILE'!$E$58/SUMSQ('TS-PILE'!$E$56:$E$75))+IF(SUMSQ('TS-PILE'!$D$56:$D$75)=0,0,'TO HOP NLAN'!F61*'TS-PILE'!$D$58/SUMSQ('TS-PILE'!$D$56:$D$75))),IF('TS-PILE'!$B$59="",1E+99,'TO HOP NLAN'!D61/ncoc+IF(SUMSQ('TS-PILE'!$E$56:$E$75)=0,0,'TO HOP NLAN'!E61*'TS-PILE'!$E$59/SUMSQ('TS-PILE'!$E$56:$E$75))+IF(SUMSQ('TS-PILE'!$D$56:$D$75)=0,0,'TO HOP NLAN'!F61*'TS-PILE'!$D$59/SUMSQ('TS-PILE'!$D$56:$D$75))),IF('TS-PILE'!$B$60="",1E+99,'TO HOP NLAN'!D61/ncoc+IF(SUMSQ('TS-PILE'!$E$56:$E$75)=0,0,'TO HOP NLAN'!E61*'TS-PILE'!$E$60/SUMSQ('TS-PILE'!$E$56:$E$75))+IF(SUMSQ('TS-PILE'!$D$56:$D$75)=0,0,'TO HOP NLAN'!F61*'TS-PILE'!$D$60/SUMSQ('TS-PILE'!$D$56:$D$75))),IF('TS-PILE'!$B$61="",1E+99,'TO HOP NLAN'!D61/ncoc+IF(SUMSQ('TS-PILE'!$E$56:$E$75)=0,0,'TO HOP NLAN'!E61*'TS-PILE'!$E$61/SUMSQ('TS-PILE'!$E$56:$E$75))+IF(SUMSQ('TS-PILE'!$D$56:$D$75)=0,0,'TO HOP NLAN'!F61*'TS-PILE'!$D$61/SUMSQ('TS-PILE'!$D$56:$D$75))),IF('TS-PILE'!$B$62="",1E+99,'TO HOP NLAN'!D61/ncoc+IF(SUMSQ('TS-PILE'!$E$56:$E$75)=0,0,'TO HOP NLAN'!E61*'TS-PILE'!$E$62/SUMSQ('TS-PILE'!$E$56:$E$75))+IF(SUMSQ('TS-PILE'!$D$56:$D$75)=0,0,'TO HOP NLAN'!F61*'TS-PILE'!$D$62/SUMSQ('TS-PILE'!$D$56:$D$75))),IF('TS-PILE'!$B$63="",1E+99,'TO HOP NLAN'!D61/ncoc+IF(SUMSQ('TS-PILE'!$E$56:$E$75)=0,0,'TO HOP NLAN'!E61*'TS-PILE'!$E$63/SUMSQ('TS-PILE'!$E$56:$E$75))+IF(SUMSQ('TS-PILE'!$D$56:$D$75)=0,0,'TO HOP NLAN'!F61*'TS-PILE'!$D$63/SUMSQ('TS-PILE'!$D$56:$D$75))),IF('TS-PILE'!$B$64="",1E+99,'TO HOP NLAN'!D61/ncoc+IF(SUMSQ('TS-PILE'!$E$56:$E$75)=0,0,'TO HOP NLAN'!E61*'TS-PILE'!$E$64/SUMSQ('TS-PILE'!$E$56:$E$75))+IF(SUMSQ('TS-PILE'!$D$56:$D$75)=0,0,'TO HOP NLAN'!F61*'TS-PILE'!$D$64/SUMSQ('TS-PILE'!$D$56:$D$75))),IF('TS-PILE'!$B$65="",1E+99,'TO HOP NLAN'!D61/ncoc+IF(SUMSQ('TS-PILE'!$E$56:$E$75)=0,0,'TO HOP NLAN'!E61*'TS-PILE'!$E$65/SUMSQ('TS-PILE'!$E$56:$E$75))+IF(SUMSQ('TS-PILE'!$D$56:$D$75)=0,0,'TO HOP NLAN'!F61*'TS-PILE'!$D$65/SUMSQ('TS-PILE'!$D$56:$D$75))),IF('TS-PILE'!$B$66="",1E+99,'TO HOP NLAN'!D61/ncoc+IF(SUMSQ('TS-PILE'!$E$56:$E$75)=0,0,'TO HOP NLAN'!E61*'TS-PILE'!$E$66/SUMSQ('TS-PILE'!$E$56:$E$75))+IF(SUMSQ('TS-PILE'!$D$56:$D$75)=0,0,'TO HOP NLAN'!F61*'TS-PILE'!$D$66/SUMSQ('TS-PILE'!$D$56:$D$75))),IF('TS-PILE'!$B$67="",1E+99,'TO HOP NLAN'!D61/ncoc+IF(SUMSQ('TS-PILE'!$E$56:$E$75)=0,0,'TO HOP NLAN'!E61*'TS-PILE'!$E$67/SUMSQ('TS-PILE'!$E$56:$E$75))+IF(SUMSQ('TS-PILE'!$D$56:$D$75)=0,0,'TO HOP NLAN'!F61*'TS-PILE'!$D$67/SUMSQ('TS-PILE'!$D$56:$D$75))),IF('TS-PILE'!$B$68="",1E+99,'TO HOP NLAN'!D61/ncoc+IF(SUMSQ('TS-PILE'!$E$56:$E$75)=0,0,'TO HOP NLAN'!E61*'TS-PILE'!$E$68/SUMSQ('TS-PILE'!$E$56:$E$75))+IF(SUMSQ('TS-PILE'!$D$56:$D$75)=0,0,'TO HOP NLAN'!F61*'TS-PILE'!$D$68/SUMSQ('TS-PILE'!$D$56:$D$75))),IF('TS-PILE'!$B$69="",1E+99,'TO HOP NLAN'!D61/ncoc+IF(SUMSQ('TS-PILE'!$E$56:$E$75)=0,0,'TO HOP NLAN'!E61*'TS-PILE'!$E$69/SUMSQ('TS-PILE'!$E$56:$E$75))+IF(SUMSQ('TS-PILE'!$D$56:$D$75)=0,0,'TO HOP NLAN'!F61*'TS-PILE'!$D$69/SUMSQ('TS-PILE'!$D$56:$D$75))),IF('TS-PILE'!$B$70="",1E+99,'TO HOP NLAN'!D61/ncoc+IF(SUMSQ('TS-PILE'!$E$56:$E$75)=0,0,'TO HOP NLAN'!E61*'TS-PILE'!$E$70/SUMSQ('TS-PILE'!$E$56:$E$75))+IF(SUMSQ('TS-PILE'!$D$56:$D$75)=0,0,'TO HOP NLAN'!F61*'TS-PILE'!$D$70/SUMSQ('TS-PILE'!$D$56:$D$75))),IF('TS-PILE'!$B$71="",1E+99,'TO HOP NLAN'!D61/ncoc+IF(SUMSQ('TS-PILE'!$E$56:$E$75)=0,0,'TO HOP NLAN'!E61*'TS-PILE'!$E$71/SUMSQ('TS-PILE'!$E$56:$E$75))+IF(SUMSQ('TS-PILE'!$D$56:$D$75)=0,0,'TO HOP NLAN'!F61*'TS-PILE'!$D$71/SUMSQ('TS-PILE'!$D$56:$D$75))),IF('TS-PILE'!$B$72="",1E+99,'TO HOP NLAN'!D61/ncoc+IF(SUMSQ('TS-PILE'!$E$56:$E$75)=0,0,'TO HOP NLAN'!E61*'TS-PILE'!$E$72/SUMSQ('TS-PILE'!$E$56:$E$75))+IF(SUMSQ('TS-PILE'!$D$56:$D$75)=0,0,'TO HOP NLAN'!F61*'TS-PILE'!$D$72/SUMSQ('TS-PILE'!$D$56:$D$75))),IF('TS-PILE'!$B$73="",1E+99,'TO HOP NLAN'!D61/ncoc+IF(SUMSQ('TS-PILE'!$E$56:$E$75)=0,0,'TO HOP NLAN'!E61*'TS-PILE'!$E$73/SUMSQ('TS-PILE'!$E$56:$E$75))+IF(SUMSQ('TS-PILE'!$D$56:$D$75)=0,0,'TO HOP NLAN'!F61*'TS-PILE'!$D$73/SUMSQ('TS-PILE'!$D$56:$D$75))),IF('TS-PILE'!$B$74="",1E+99,'TO HOP NLAN'!D61/ncoc+IF(SUMSQ('TS-PILE'!$E$56:$E$75)=0,0,'TO HOP NLAN'!E61*'TS-PILE'!$E$74/SUMSQ('TS-PILE'!$E$56:$E$75))+IF(SUMSQ('TS-PILE'!$D$56:$D$75)=0,0,'TO HOP NLAN'!F61*'TS-PILE'!$D$74/SUMSQ('TS-PILE'!$D$56:$D$75))),IF('TS-PILE'!$B$75="",1E+99,'TO HOP NLAN'!D61/ncoc+IF(SUMSQ('TS-PILE'!$E$56:$E$75)=0,0,'TO HOP NLAN'!E61*'TS-PILE'!$E$75/SUMSQ('TS-PILE'!$E$56:$E$75))+IF(SUMSQ('TS-PILE'!$D$56:$D$75)=0,0,'TO HOP NLAN'!F61*'TS-PILE'!$D$75/SUMSQ('TS-PILE'!$D$56:$D$75)))))</f>
        <v>0</v>
      </c>
      <c r="E61" s="46">
        <f t="shared" si="0"/>
        <v>-9.9999999999999997E+98</v>
      </c>
      <c r="F61" s="46">
        <f t="shared" si="1"/>
        <v>9.9999999999999997E+98</v>
      </c>
      <c r="G61" s="46">
        <f t="shared" si="2"/>
        <v>-9.9999999999999997E+98</v>
      </c>
      <c r="H61" s="46">
        <f t="shared" si="3"/>
        <v>9.9999999999999997E+98</v>
      </c>
    </row>
    <row r="62" spans="1:8" x14ac:dyDescent="0.3">
      <c r="A62" s="40" t="str">
        <f>'TO HOP NLAN'!A62</f>
        <v/>
      </c>
      <c r="B62" s="40" t="str">
        <f>'TO HOP NLAN'!L62</f>
        <v>SERVICE</v>
      </c>
      <c r="C62" s="46">
        <f>IF(A62="",0,MAX(IF('TS-PILE'!$B$56="",-1E+99,'TO HOP NLAN'!D62/ncoc+IF(SUMSQ('TS-PILE'!$E$56:$E$75)=0,0,'TO HOP NLAN'!E62*'TS-PILE'!$E$56/SUMSQ('TS-PILE'!$E$56:$E$75))+IF(SUMSQ('TS-PILE'!$D$56:$D$75)=0,0,'TO HOP NLAN'!F62*'TS-PILE'!$D$56/SUMSQ('TS-PILE'!$D$56:$D$75))),IF('TS-PILE'!$B$57="",-1E+99,'TO HOP NLAN'!D62/ncoc+IF(SUMSQ('TS-PILE'!$E$56:$E$75)=0,0,'TO HOP NLAN'!E62*'TS-PILE'!$E$57/SUMSQ('TS-PILE'!$E$56:$E$75))+IF(SUMSQ('TS-PILE'!$D$56:$D$75)=0,0,'TO HOP NLAN'!F62*'TS-PILE'!$D$57/SUMSQ('TS-PILE'!$D$56:$D$75))),IF('TS-PILE'!$B$58="",-1E+99,'TO HOP NLAN'!D62/ncoc+IF(SUMSQ('TS-PILE'!$E$56:$E$75)=0,0,'TO HOP NLAN'!E62*'TS-PILE'!$E$58/SUMSQ('TS-PILE'!$E$56:$E$75))+IF(SUMSQ('TS-PILE'!$D$56:$D$75)=0,0,'TO HOP NLAN'!F62*'TS-PILE'!$D$58/SUMSQ('TS-PILE'!$D$56:$D$75))),IF('TS-PILE'!$B$59="",-1E+99,'TO HOP NLAN'!D62/ncoc+IF(SUMSQ('TS-PILE'!$E$56:$E$75)=0,0,'TO HOP NLAN'!E62*'TS-PILE'!$E$59/SUMSQ('TS-PILE'!$E$56:$E$75))+IF(SUMSQ('TS-PILE'!$D$56:$D$75)=0,0,'TO HOP NLAN'!F62*'TS-PILE'!$D$59/SUMSQ('TS-PILE'!$D$56:$D$75))),IF('TS-PILE'!$B$60="",-1E+99,'TO HOP NLAN'!D62/ncoc+IF(SUMSQ('TS-PILE'!$E$56:$E$75)=0,0,'TO HOP NLAN'!E62*'TS-PILE'!$E$60/SUMSQ('TS-PILE'!$E$56:$E$75))+IF(SUMSQ('TS-PILE'!$D$56:$D$75)=0,0,'TO HOP NLAN'!F62*'TS-PILE'!$D$60/SUMSQ('TS-PILE'!$D$56:$D$75))),IF('TS-PILE'!$B$61="",-1E+99,'TO HOP NLAN'!D62/ncoc+IF(SUMSQ('TS-PILE'!$E$56:$E$75)=0,0,'TO HOP NLAN'!E62*'TS-PILE'!$E$61/SUMSQ('TS-PILE'!$E$56:$E$75))+IF(SUMSQ('TS-PILE'!$D$56:$D$75)=0,0,'TO HOP NLAN'!F62*'TS-PILE'!$D$61/SUMSQ('TS-PILE'!$D$56:$D$75))),IF('TS-PILE'!$B$62="",-1E+99,'TO HOP NLAN'!D62/ncoc+IF(SUMSQ('TS-PILE'!$E$56:$E$75)=0,0,'TO HOP NLAN'!E62*'TS-PILE'!$E$62/SUMSQ('TS-PILE'!$E$56:$E$75))+IF(SUMSQ('TS-PILE'!$D$56:$D$75)=0,0,'TO HOP NLAN'!F62*'TS-PILE'!$D$62/SUMSQ('TS-PILE'!$D$56:$D$75))),IF('TS-PILE'!$B$63="",-1E+99,'TO HOP NLAN'!D62/ncoc+IF(SUMSQ('TS-PILE'!$E$56:$E$75)=0,0,'TO HOP NLAN'!E62*'TS-PILE'!$E$63/SUMSQ('TS-PILE'!$E$56:$E$75))+IF(SUMSQ('TS-PILE'!$D$56:$D$75)=0,0,'TO HOP NLAN'!F62*'TS-PILE'!$D$63/SUMSQ('TS-PILE'!$D$56:$D$75))),IF('TS-PILE'!$B$64="",-1E+99,'TO HOP NLAN'!D62/ncoc+IF(SUMSQ('TS-PILE'!$E$56:$E$75)=0,0,'TO HOP NLAN'!E62*'TS-PILE'!$E$64/SUMSQ('TS-PILE'!$E$56:$E$75))+IF(SUMSQ('TS-PILE'!$D$56:$D$75)=0,0,'TO HOP NLAN'!F62*'TS-PILE'!$D$64/SUMSQ('TS-PILE'!$D$56:$D$75))),IF('TS-PILE'!$B$65="",-1E+99,'TO HOP NLAN'!D62/ncoc+IF(SUMSQ('TS-PILE'!$E$56:$E$75)=0,0,'TO HOP NLAN'!E62*'TS-PILE'!$E$65/SUMSQ('TS-PILE'!$E$56:$E$75))+IF(SUMSQ('TS-PILE'!$D$56:$D$75)=0,0,'TO HOP NLAN'!F62*'TS-PILE'!$D$65/SUMSQ('TS-PILE'!$D$56:$D$75))),IF('TS-PILE'!$B$66="",-1E+99,'TO HOP NLAN'!D62/ncoc+IF(SUMSQ('TS-PILE'!$E$56:$E$75)=0,0,'TO HOP NLAN'!E62*'TS-PILE'!$E$66/SUMSQ('TS-PILE'!$E$56:$E$75))+IF(SUMSQ('TS-PILE'!$D$56:$D$75)=0,0,'TO HOP NLAN'!F62*'TS-PILE'!$D$66/SUMSQ('TS-PILE'!$D$56:$D$75))),IF('TS-PILE'!$B$67="",-1E+99,'TO HOP NLAN'!D62/ncoc+IF(SUMSQ('TS-PILE'!$E$56:$E$75)=0,0,'TO HOP NLAN'!E62*'TS-PILE'!$E$67/SUMSQ('TS-PILE'!$E$56:$E$75))+IF(SUMSQ('TS-PILE'!$D$56:$D$75)=0,0,'TO HOP NLAN'!F62*'TS-PILE'!$D$67/SUMSQ('TS-PILE'!$D$56:$D$75))),IF('TS-PILE'!$B$68="",-1E+99,'TO HOP NLAN'!D62/ncoc+IF(SUMSQ('TS-PILE'!$E$56:$E$75)=0,0,'TO HOP NLAN'!E62*'TS-PILE'!$E$68/SUMSQ('TS-PILE'!$E$56:$E$75))+IF(SUMSQ('TS-PILE'!$D$56:$D$75)=0,0,'TO HOP NLAN'!F62*'TS-PILE'!$D$68/SUMSQ('TS-PILE'!$D$56:$D$75))),IF('TS-PILE'!$B$69="",-1E+99,'TO HOP NLAN'!D62/ncoc+IF(SUMSQ('TS-PILE'!$E$56:$E$75)=0,0,'TO HOP NLAN'!E62*'TS-PILE'!$E$69/SUMSQ('TS-PILE'!$E$56:$E$75))+IF(SUMSQ('TS-PILE'!$D$56:$D$75)=0,0,'TO HOP NLAN'!F62*'TS-PILE'!$D$69/SUMSQ('TS-PILE'!$D$56:$D$75))),IF('TS-PILE'!$B$70="",-1E+99,'TO HOP NLAN'!D62/ncoc+IF(SUMSQ('TS-PILE'!$E$56:$E$75)=0,0,'TO HOP NLAN'!E62*'TS-PILE'!$E$70/SUMSQ('TS-PILE'!$E$56:$E$75))+IF(SUMSQ('TS-PILE'!$D$56:$D$75)=0,0,'TO HOP NLAN'!F62*'TS-PILE'!$D$70/SUMSQ('TS-PILE'!$D$56:$D$75))),IF('TS-PILE'!$B$71="",-1E+99,'TO HOP NLAN'!D62/ncoc+IF(SUMSQ('TS-PILE'!$E$56:$E$75)=0,0,'TO HOP NLAN'!E62*'TS-PILE'!$E$71/SUMSQ('TS-PILE'!$E$56:$E$75))+IF(SUMSQ('TS-PILE'!$D$56:$D$75)=0,0,'TO HOP NLAN'!F62*'TS-PILE'!$D$71/SUMSQ('TS-PILE'!$D$56:$D$75))),IF('TS-PILE'!$B$72="",-1E+99,'TO HOP NLAN'!D62/ncoc+IF(SUMSQ('TS-PILE'!$E$56:$E$75)=0,0,'TO HOP NLAN'!E62*'TS-PILE'!$E$72/SUMSQ('TS-PILE'!$E$56:$E$75))+IF(SUMSQ('TS-PILE'!$D$56:$D$75)=0,0,'TO HOP NLAN'!F62*'TS-PILE'!$D$72/SUMSQ('TS-PILE'!$D$56:$D$75))),IF('TS-PILE'!$B$73="",-1E+99,'TO HOP NLAN'!D62/ncoc+IF(SUMSQ('TS-PILE'!$E$56:$E$75)=0,0,'TO HOP NLAN'!E62*'TS-PILE'!$E$73/SUMSQ('TS-PILE'!$E$56:$E$75))+IF(SUMSQ('TS-PILE'!$D$56:$D$75)=0,0,'TO HOP NLAN'!F62*'TS-PILE'!$D$73/SUMSQ('TS-PILE'!$D$56:$D$75))),IF('TS-PILE'!$B$74="",-1E+99,'TO HOP NLAN'!D62/ncoc+IF(SUMSQ('TS-PILE'!$E$56:$E$75)=0,0,'TO HOP NLAN'!E62*'TS-PILE'!$E$74/SUMSQ('TS-PILE'!$E$56:$E$75))+IF(SUMSQ('TS-PILE'!$D$56:$D$75)=0,0,'TO HOP NLAN'!F62*'TS-PILE'!$D$74/SUMSQ('TS-PILE'!$D$56:$D$75))),IF('TS-PILE'!$B$75="",-1E+99,'TO HOP NLAN'!D62/ncoc+IF(SUMSQ('TS-PILE'!$E$56:$E$75)=0,0,'TO HOP NLAN'!E62*'TS-PILE'!$E$75/SUMSQ('TS-PILE'!$E$56:$E$75))+IF(SUMSQ('TS-PILE'!$D$56:$D$75)=0,0,'TO HOP NLAN'!F62*'TS-PILE'!$D$75/SUMSQ('TS-PILE'!$D$56:$D$75)))))</f>
        <v>0</v>
      </c>
      <c r="D62" s="46">
        <f>IF(A62="",0,MIN(IF('TS-PILE'!$B$56="",1E+99,'TO HOP NLAN'!D62/ncoc+IF(SUMSQ('TS-PILE'!$E$56:$E$75)=0,0,'TO HOP NLAN'!E62*'TS-PILE'!$E$56/SUMSQ('TS-PILE'!$E$56:$E$75))+IF(SUMSQ('TS-PILE'!$D$56:$D$75)=0,0,'TO HOP NLAN'!F62*'TS-PILE'!$D$56/SUMSQ('TS-PILE'!$D$56:$D$75))),IF('TS-PILE'!$B$57="",1E+99,'TO HOP NLAN'!D62/ncoc+IF(SUMSQ('TS-PILE'!$E$56:$E$75)=0,0,'TO HOP NLAN'!E62*'TS-PILE'!$E$57/SUMSQ('TS-PILE'!$E$56:$E$75))+IF(SUMSQ('TS-PILE'!$D$56:$D$75)=0,0,'TO HOP NLAN'!F62*'TS-PILE'!$D$57/SUMSQ('TS-PILE'!$D$56:$D$75))),IF('TS-PILE'!$B$58="",1E+99,'TO HOP NLAN'!D62/ncoc+IF(SUMSQ('TS-PILE'!$E$56:$E$75)=0,0,'TO HOP NLAN'!E62*'TS-PILE'!$E$58/SUMSQ('TS-PILE'!$E$56:$E$75))+IF(SUMSQ('TS-PILE'!$D$56:$D$75)=0,0,'TO HOP NLAN'!F62*'TS-PILE'!$D$58/SUMSQ('TS-PILE'!$D$56:$D$75))),IF('TS-PILE'!$B$59="",1E+99,'TO HOP NLAN'!D62/ncoc+IF(SUMSQ('TS-PILE'!$E$56:$E$75)=0,0,'TO HOP NLAN'!E62*'TS-PILE'!$E$59/SUMSQ('TS-PILE'!$E$56:$E$75))+IF(SUMSQ('TS-PILE'!$D$56:$D$75)=0,0,'TO HOP NLAN'!F62*'TS-PILE'!$D$59/SUMSQ('TS-PILE'!$D$56:$D$75))),IF('TS-PILE'!$B$60="",1E+99,'TO HOP NLAN'!D62/ncoc+IF(SUMSQ('TS-PILE'!$E$56:$E$75)=0,0,'TO HOP NLAN'!E62*'TS-PILE'!$E$60/SUMSQ('TS-PILE'!$E$56:$E$75))+IF(SUMSQ('TS-PILE'!$D$56:$D$75)=0,0,'TO HOP NLAN'!F62*'TS-PILE'!$D$60/SUMSQ('TS-PILE'!$D$56:$D$75))),IF('TS-PILE'!$B$61="",1E+99,'TO HOP NLAN'!D62/ncoc+IF(SUMSQ('TS-PILE'!$E$56:$E$75)=0,0,'TO HOP NLAN'!E62*'TS-PILE'!$E$61/SUMSQ('TS-PILE'!$E$56:$E$75))+IF(SUMSQ('TS-PILE'!$D$56:$D$75)=0,0,'TO HOP NLAN'!F62*'TS-PILE'!$D$61/SUMSQ('TS-PILE'!$D$56:$D$75))),IF('TS-PILE'!$B$62="",1E+99,'TO HOP NLAN'!D62/ncoc+IF(SUMSQ('TS-PILE'!$E$56:$E$75)=0,0,'TO HOP NLAN'!E62*'TS-PILE'!$E$62/SUMSQ('TS-PILE'!$E$56:$E$75))+IF(SUMSQ('TS-PILE'!$D$56:$D$75)=0,0,'TO HOP NLAN'!F62*'TS-PILE'!$D$62/SUMSQ('TS-PILE'!$D$56:$D$75))),IF('TS-PILE'!$B$63="",1E+99,'TO HOP NLAN'!D62/ncoc+IF(SUMSQ('TS-PILE'!$E$56:$E$75)=0,0,'TO HOP NLAN'!E62*'TS-PILE'!$E$63/SUMSQ('TS-PILE'!$E$56:$E$75))+IF(SUMSQ('TS-PILE'!$D$56:$D$75)=0,0,'TO HOP NLAN'!F62*'TS-PILE'!$D$63/SUMSQ('TS-PILE'!$D$56:$D$75))),IF('TS-PILE'!$B$64="",1E+99,'TO HOP NLAN'!D62/ncoc+IF(SUMSQ('TS-PILE'!$E$56:$E$75)=0,0,'TO HOP NLAN'!E62*'TS-PILE'!$E$64/SUMSQ('TS-PILE'!$E$56:$E$75))+IF(SUMSQ('TS-PILE'!$D$56:$D$75)=0,0,'TO HOP NLAN'!F62*'TS-PILE'!$D$64/SUMSQ('TS-PILE'!$D$56:$D$75))),IF('TS-PILE'!$B$65="",1E+99,'TO HOP NLAN'!D62/ncoc+IF(SUMSQ('TS-PILE'!$E$56:$E$75)=0,0,'TO HOP NLAN'!E62*'TS-PILE'!$E$65/SUMSQ('TS-PILE'!$E$56:$E$75))+IF(SUMSQ('TS-PILE'!$D$56:$D$75)=0,0,'TO HOP NLAN'!F62*'TS-PILE'!$D$65/SUMSQ('TS-PILE'!$D$56:$D$75))),IF('TS-PILE'!$B$66="",1E+99,'TO HOP NLAN'!D62/ncoc+IF(SUMSQ('TS-PILE'!$E$56:$E$75)=0,0,'TO HOP NLAN'!E62*'TS-PILE'!$E$66/SUMSQ('TS-PILE'!$E$56:$E$75))+IF(SUMSQ('TS-PILE'!$D$56:$D$75)=0,0,'TO HOP NLAN'!F62*'TS-PILE'!$D$66/SUMSQ('TS-PILE'!$D$56:$D$75))),IF('TS-PILE'!$B$67="",1E+99,'TO HOP NLAN'!D62/ncoc+IF(SUMSQ('TS-PILE'!$E$56:$E$75)=0,0,'TO HOP NLAN'!E62*'TS-PILE'!$E$67/SUMSQ('TS-PILE'!$E$56:$E$75))+IF(SUMSQ('TS-PILE'!$D$56:$D$75)=0,0,'TO HOP NLAN'!F62*'TS-PILE'!$D$67/SUMSQ('TS-PILE'!$D$56:$D$75))),IF('TS-PILE'!$B$68="",1E+99,'TO HOP NLAN'!D62/ncoc+IF(SUMSQ('TS-PILE'!$E$56:$E$75)=0,0,'TO HOP NLAN'!E62*'TS-PILE'!$E$68/SUMSQ('TS-PILE'!$E$56:$E$75))+IF(SUMSQ('TS-PILE'!$D$56:$D$75)=0,0,'TO HOP NLAN'!F62*'TS-PILE'!$D$68/SUMSQ('TS-PILE'!$D$56:$D$75))),IF('TS-PILE'!$B$69="",1E+99,'TO HOP NLAN'!D62/ncoc+IF(SUMSQ('TS-PILE'!$E$56:$E$75)=0,0,'TO HOP NLAN'!E62*'TS-PILE'!$E$69/SUMSQ('TS-PILE'!$E$56:$E$75))+IF(SUMSQ('TS-PILE'!$D$56:$D$75)=0,0,'TO HOP NLAN'!F62*'TS-PILE'!$D$69/SUMSQ('TS-PILE'!$D$56:$D$75))),IF('TS-PILE'!$B$70="",1E+99,'TO HOP NLAN'!D62/ncoc+IF(SUMSQ('TS-PILE'!$E$56:$E$75)=0,0,'TO HOP NLAN'!E62*'TS-PILE'!$E$70/SUMSQ('TS-PILE'!$E$56:$E$75))+IF(SUMSQ('TS-PILE'!$D$56:$D$75)=0,0,'TO HOP NLAN'!F62*'TS-PILE'!$D$70/SUMSQ('TS-PILE'!$D$56:$D$75))),IF('TS-PILE'!$B$71="",1E+99,'TO HOP NLAN'!D62/ncoc+IF(SUMSQ('TS-PILE'!$E$56:$E$75)=0,0,'TO HOP NLAN'!E62*'TS-PILE'!$E$71/SUMSQ('TS-PILE'!$E$56:$E$75))+IF(SUMSQ('TS-PILE'!$D$56:$D$75)=0,0,'TO HOP NLAN'!F62*'TS-PILE'!$D$71/SUMSQ('TS-PILE'!$D$56:$D$75))),IF('TS-PILE'!$B$72="",1E+99,'TO HOP NLAN'!D62/ncoc+IF(SUMSQ('TS-PILE'!$E$56:$E$75)=0,0,'TO HOP NLAN'!E62*'TS-PILE'!$E$72/SUMSQ('TS-PILE'!$E$56:$E$75))+IF(SUMSQ('TS-PILE'!$D$56:$D$75)=0,0,'TO HOP NLAN'!F62*'TS-PILE'!$D$72/SUMSQ('TS-PILE'!$D$56:$D$75))),IF('TS-PILE'!$B$73="",1E+99,'TO HOP NLAN'!D62/ncoc+IF(SUMSQ('TS-PILE'!$E$56:$E$75)=0,0,'TO HOP NLAN'!E62*'TS-PILE'!$E$73/SUMSQ('TS-PILE'!$E$56:$E$75))+IF(SUMSQ('TS-PILE'!$D$56:$D$75)=0,0,'TO HOP NLAN'!F62*'TS-PILE'!$D$73/SUMSQ('TS-PILE'!$D$56:$D$75))),IF('TS-PILE'!$B$74="",1E+99,'TO HOP NLAN'!D62/ncoc+IF(SUMSQ('TS-PILE'!$E$56:$E$75)=0,0,'TO HOP NLAN'!E62*'TS-PILE'!$E$74/SUMSQ('TS-PILE'!$E$56:$E$75))+IF(SUMSQ('TS-PILE'!$D$56:$D$75)=0,0,'TO HOP NLAN'!F62*'TS-PILE'!$D$74/SUMSQ('TS-PILE'!$D$56:$D$75))),IF('TS-PILE'!$B$75="",1E+99,'TO HOP NLAN'!D62/ncoc+IF(SUMSQ('TS-PILE'!$E$56:$E$75)=0,0,'TO HOP NLAN'!E62*'TS-PILE'!$E$75/SUMSQ('TS-PILE'!$E$56:$E$75))+IF(SUMSQ('TS-PILE'!$D$56:$D$75)=0,0,'TO HOP NLAN'!F62*'TS-PILE'!$D$75/SUMSQ('TS-PILE'!$D$56:$D$75)))))</f>
        <v>0</v>
      </c>
      <c r="E62" s="46">
        <f t="shared" si="0"/>
        <v>-9.9999999999999997E+98</v>
      </c>
      <c r="F62" s="46">
        <f t="shared" si="1"/>
        <v>9.9999999999999997E+98</v>
      </c>
      <c r="G62" s="46">
        <f t="shared" si="2"/>
        <v>-9.9999999999999997E+98</v>
      </c>
      <c r="H62" s="46">
        <f t="shared" si="3"/>
        <v>9.9999999999999997E+98</v>
      </c>
    </row>
    <row r="63" spans="1:8" x14ac:dyDescent="0.3">
      <c r="A63" s="40" t="str">
        <f>'TO HOP NLAN'!A63</f>
        <v/>
      </c>
      <c r="B63" s="40" t="str">
        <f>'TO HOP NLAN'!L63</f>
        <v>SERVICE</v>
      </c>
      <c r="C63" s="46">
        <f>IF(A63="",0,MAX(IF('TS-PILE'!$B$56="",-1E+99,'TO HOP NLAN'!D63/ncoc+IF(SUMSQ('TS-PILE'!$E$56:$E$75)=0,0,'TO HOP NLAN'!E63*'TS-PILE'!$E$56/SUMSQ('TS-PILE'!$E$56:$E$75))+IF(SUMSQ('TS-PILE'!$D$56:$D$75)=0,0,'TO HOP NLAN'!F63*'TS-PILE'!$D$56/SUMSQ('TS-PILE'!$D$56:$D$75))),IF('TS-PILE'!$B$57="",-1E+99,'TO HOP NLAN'!D63/ncoc+IF(SUMSQ('TS-PILE'!$E$56:$E$75)=0,0,'TO HOP NLAN'!E63*'TS-PILE'!$E$57/SUMSQ('TS-PILE'!$E$56:$E$75))+IF(SUMSQ('TS-PILE'!$D$56:$D$75)=0,0,'TO HOP NLAN'!F63*'TS-PILE'!$D$57/SUMSQ('TS-PILE'!$D$56:$D$75))),IF('TS-PILE'!$B$58="",-1E+99,'TO HOP NLAN'!D63/ncoc+IF(SUMSQ('TS-PILE'!$E$56:$E$75)=0,0,'TO HOP NLAN'!E63*'TS-PILE'!$E$58/SUMSQ('TS-PILE'!$E$56:$E$75))+IF(SUMSQ('TS-PILE'!$D$56:$D$75)=0,0,'TO HOP NLAN'!F63*'TS-PILE'!$D$58/SUMSQ('TS-PILE'!$D$56:$D$75))),IF('TS-PILE'!$B$59="",-1E+99,'TO HOP NLAN'!D63/ncoc+IF(SUMSQ('TS-PILE'!$E$56:$E$75)=0,0,'TO HOP NLAN'!E63*'TS-PILE'!$E$59/SUMSQ('TS-PILE'!$E$56:$E$75))+IF(SUMSQ('TS-PILE'!$D$56:$D$75)=0,0,'TO HOP NLAN'!F63*'TS-PILE'!$D$59/SUMSQ('TS-PILE'!$D$56:$D$75))),IF('TS-PILE'!$B$60="",-1E+99,'TO HOP NLAN'!D63/ncoc+IF(SUMSQ('TS-PILE'!$E$56:$E$75)=0,0,'TO HOP NLAN'!E63*'TS-PILE'!$E$60/SUMSQ('TS-PILE'!$E$56:$E$75))+IF(SUMSQ('TS-PILE'!$D$56:$D$75)=0,0,'TO HOP NLAN'!F63*'TS-PILE'!$D$60/SUMSQ('TS-PILE'!$D$56:$D$75))),IF('TS-PILE'!$B$61="",-1E+99,'TO HOP NLAN'!D63/ncoc+IF(SUMSQ('TS-PILE'!$E$56:$E$75)=0,0,'TO HOP NLAN'!E63*'TS-PILE'!$E$61/SUMSQ('TS-PILE'!$E$56:$E$75))+IF(SUMSQ('TS-PILE'!$D$56:$D$75)=0,0,'TO HOP NLAN'!F63*'TS-PILE'!$D$61/SUMSQ('TS-PILE'!$D$56:$D$75))),IF('TS-PILE'!$B$62="",-1E+99,'TO HOP NLAN'!D63/ncoc+IF(SUMSQ('TS-PILE'!$E$56:$E$75)=0,0,'TO HOP NLAN'!E63*'TS-PILE'!$E$62/SUMSQ('TS-PILE'!$E$56:$E$75))+IF(SUMSQ('TS-PILE'!$D$56:$D$75)=0,0,'TO HOP NLAN'!F63*'TS-PILE'!$D$62/SUMSQ('TS-PILE'!$D$56:$D$75))),IF('TS-PILE'!$B$63="",-1E+99,'TO HOP NLAN'!D63/ncoc+IF(SUMSQ('TS-PILE'!$E$56:$E$75)=0,0,'TO HOP NLAN'!E63*'TS-PILE'!$E$63/SUMSQ('TS-PILE'!$E$56:$E$75))+IF(SUMSQ('TS-PILE'!$D$56:$D$75)=0,0,'TO HOP NLAN'!F63*'TS-PILE'!$D$63/SUMSQ('TS-PILE'!$D$56:$D$75))),IF('TS-PILE'!$B$64="",-1E+99,'TO HOP NLAN'!D63/ncoc+IF(SUMSQ('TS-PILE'!$E$56:$E$75)=0,0,'TO HOP NLAN'!E63*'TS-PILE'!$E$64/SUMSQ('TS-PILE'!$E$56:$E$75))+IF(SUMSQ('TS-PILE'!$D$56:$D$75)=0,0,'TO HOP NLAN'!F63*'TS-PILE'!$D$64/SUMSQ('TS-PILE'!$D$56:$D$75))),IF('TS-PILE'!$B$65="",-1E+99,'TO HOP NLAN'!D63/ncoc+IF(SUMSQ('TS-PILE'!$E$56:$E$75)=0,0,'TO HOP NLAN'!E63*'TS-PILE'!$E$65/SUMSQ('TS-PILE'!$E$56:$E$75))+IF(SUMSQ('TS-PILE'!$D$56:$D$75)=0,0,'TO HOP NLAN'!F63*'TS-PILE'!$D$65/SUMSQ('TS-PILE'!$D$56:$D$75))),IF('TS-PILE'!$B$66="",-1E+99,'TO HOP NLAN'!D63/ncoc+IF(SUMSQ('TS-PILE'!$E$56:$E$75)=0,0,'TO HOP NLAN'!E63*'TS-PILE'!$E$66/SUMSQ('TS-PILE'!$E$56:$E$75))+IF(SUMSQ('TS-PILE'!$D$56:$D$75)=0,0,'TO HOP NLAN'!F63*'TS-PILE'!$D$66/SUMSQ('TS-PILE'!$D$56:$D$75))),IF('TS-PILE'!$B$67="",-1E+99,'TO HOP NLAN'!D63/ncoc+IF(SUMSQ('TS-PILE'!$E$56:$E$75)=0,0,'TO HOP NLAN'!E63*'TS-PILE'!$E$67/SUMSQ('TS-PILE'!$E$56:$E$75))+IF(SUMSQ('TS-PILE'!$D$56:$D$75)=0,0,'TO HOP NLAN'!F63*'TS-PILE'!$D$67/SUMSQ('TS-PILE'!$D$56:$D$75))),IF('TS-PILE'!$B$68="",-1E+99,'TO HOP NLAN'!D63/ncoc+IF(SUMSQ('TS-PILE'!$E$56:$E$75)=0,0,'TO HOP NLAN'!E63*'TS-PILE'!$E$68/SUMSQ('TS-PILE'!$E$56:$E$75))+IF(SUMSQ('TS-PILE'!$D$56:$D$75)=0,0,'TO HOP NLAN'!F63*'TS-PILE'!$D$68/SUMSQ('TS-PILE'!$D$56:$D$75))),IF('TS-PILE'!$B$69="",-1E+99,'TO HOP NLAN'!D63/ncoc+IF(SUMSQ('TS-PILE'!$E$56:$E$75)=0,0,'TO HOP NLAN'!E63*'TS-PILE'!$E$69/SUMSQ('TS-PILE'!$E$56:$E$75))+IF(SUMSQ('TS-PILE'!$D$56:$D$75)=0,0,'TO HOP NLAN'!F63*'TS-PILE'!$D$69/SUMSQ('TS-PILE'!$D$56:$D$75))),IF('TS-PILE'!$B$70="",-1E+99,'TO HOP NLAN'!D63/ncoc+IF(SUMSQ('TS-PILE'!$E$56:$E$75)=0,0,'TO HOP NLAN'!E63*'TS-PILE'!$E$70/SUMSQ('TS-PILE'!$E$56:$E$75))+IF(SUMSQ('TS-PILE'!$D$56:$D$75)=0,0,'TO HOP NLAN'!F63*'TS-PILE'!$D$70/SUMSQ('TS-PILE'!$D$56:$D$75))),IF('TS-PILE'!$B$71="",-1E+99,'TO HOP NLAN'!D63/ncoc+IF(SUMSQ('TS-PILE'!$E$56:$E$75)=0,0,'TO HOP NLAN'!E63*'TS-PILE'!$E$71/SUMSQ('TS-PILE'!$E$56:$E$75))+IF(SUMSQ('TS-PILE'!$D$56:$D$75)=0,0,'TO HOP NLAN'!F63*'TS-PILE'!$D$71/SUMSQ('TS-PILE'!$D$56:$D$75))),IF('TS-PILE'!$B$72="",-1E+99,'TO HOP NLAN'!D63/ncoc+IF(SUMSQ('TS-PILE'!$E$56:$E$75)=0,0,'TO HOP NLAN'!E63*'TS-PILE'!$E$72/SUMSQ('TS-PILE'!$E$56:$E$75))+IF(SUMSQ('TS-PILE'!$D$56:$D$75)=0,0,'TO HOP NLAN'!F63*'TS-PILE'!$D$72/SUMSQ('TS-PILE'!$D$56:$D$75))),IF('TS-PILE'!$B$73="",-1E+99,'TO HOP NLAN'!D63/ncoc+IF(SUMSQ('TS-PILE'!$E$56:$E$75)=0,0,'TO HOP NLAN'!E63*'TS-PILE'!$E$73/SUMSQ('TS-PILE'!$E$56:$E$75))+IF(SUMSQ('TS-PILE'!$D$56:$D$75)=0,0,'TO HOP NLAN'!F63*'TS-PILE'!$D$73/SUMSQ('TS-PILE'!$D$56:$D$75))),IF('TS-PILE'!$B$74="",-1E+99,'TO HOP NLAN'!D63/ncoc+IF(SUMSQ('TS-PILE'!$E$56:$E$75)=0,0,'TO HOP NLAN'!E63*'TS-PILE'!$E$74/SUMSQ('TS-PILE'!$E$56:$E$75))+IF(SUMSQ('TS-PILE'!$D$56:$D$75)=0,0,'TO HOP NLAN'!F63*'TS-PILE'!$D$74/SUMSQ('TS-PILE'!$D$56:$D$75))),IF('TS-PILE'!$B$75="",-1E+99,'TO HOP NLAN'!D63/ncoc+IF(SUMSQ('TS-PILE'!$E$56:$E$75)=0,0,'TO HOP NLAN'!E63*'TS-PILE'!$E$75/SUMSQ('TS-PILE'!$E$56:$E$75))+IF(SUMSQ('TS-PILE'!$D$56:$D$75)=0,0,'TO HOP NLAN'!F63*'TS-PILE'!$D$75/SUMSQ('TS-PILE'!$D$56:$D$75)))))</f>
        <v>0</v>
      </c>
      <c r="D63" s="46">
        <f>IF(A63="",0,MIN(IF('TS-PILE'!$B$56="",1E+99,'TO HOP NLAN'!D63/ncoc+IF(SUMSQ('TS-PILE'!$E$56:$E$75)=0,0,'TO HOP NLAN'!E63*'TS-PILE'!$E$56/SUMSQ('TS-PILE'!$E$56:$E$75))+IF(SUMSQ('TS-PILE'!$D$56:$D$75)=0,0,'TO HOP NLAN'!F63*'TS-PILE'!$D$56/SUMSQ('TS-PILE'!$D$56:$D$75))),IF('TS-PILE'!$B$57="",1E+99,'TO HOP NLAN'!D63/ncoc+IF(SUMSQ('TS-PILE'!$E$56:$E$75)=0,0,'TO HOP NLAN'!E63*'TS-PILE'!$E$57/SUMSQ('TS-PILE'!$E$56:$E$75))+IF(SUMSQ('TS-PILE'!$D$56:$D$75)=0,0,'TO HOP NLAN'!F63*'TS-PILE'!$D$57/SUMSQ('TS-PILE'!$D$56:$D$75))),IF('TS-PILE'!$B$58="",1E+99,'TO HOP NLAN'!D63/ncoc+IF(SUMSQ('TS-PILE'!$E$56:$E$75)=0,0,'TO HOP NLAN'!E63*'TS-PILE'!$E$58/SUMSQ('TS-PILE'!$E$56:$E$75))+IF(SUMSQ('TS-PILE'!$D$56:$D$75)=0,0,'TO HOP NLAN'!F63*'TS-PILE'!$D$58/SUMSQ('TS-PILE'!$D$56:$D$75))),IF('TS-PILE'!$B$59="",1E+99,'TO HOP NLAN'!D63/ncoc+IF(SUMSQ('TS-PILE'!$E$56:$E$75)=0,0,'TO HOP NLAN'!E63*'TS-PILE'!$E$59/SUMSQ('TS-PILE'!$E$56:$E$75))+IF(SUMSQ('TS-PILE'!$D$56:$D$75)=0,0,'TO HOP NLAN'!F63*'TS-PILE'!$D$59/SUMSQ('TS-PILE'!$D$56:$D$75))),IF('TS-PILE'!$B$60="",1E+99,'TO HOP NLAN'!D63/ncoc+IF(SUMSQ('TS-PILE'!$E$56:$E$75)=0,0,'TO HOP NLAN'!E63*'TS-PILE'!$E$60/SUMSQ('TS-PILE'!$E$56:$E$75))+IF(SUMSQ('TS-PILE'!$D$56:$D$75)=0,0,'TO HOP NLAN'!F63*'TS-PILE'!$D$60/SUMSQ('TS-PILE'!$D$56:$D$75))),IF('TS-PILE'!$B$61="",1E+99,'TO HOP NLAN'!D63/ncoc+IF(SUMSQ('TS-PILE'!$E$56:$E$75)=0,0,'TO HOP NLAN'!E63*'TS-PILE'!$E$61/SUMSQ('TS-PILE'!$E$56:$E$75))+IF(SUMSQ('TS-PILE'!$D$56:$D$75)=0,0,'TO HOP NLAN'!F63*'TS-PILE'!$D$61/SUMSQ('TS-PILE'!$D$56:$D$75))),IF('TS-PILE'!$B$62="",1E+99,'TO HOP NLAN'!D63/ncoc+IF(SUMSQ('TS-PILE'!$E$56:$E$75)=0,0,'TO HOP NLAN'!E63*'TS-PILE'!$E$62/SUMSQ('TS-PILE'!$E$56:$E$75))+IF(SUMSQ('TS-PILE'!$D$56:$D$75)=0,0,'TO HOP NLAN'!F63*'TS-PILE'!$D$62/SUMSQ('TS-PILE'!$D$56:$D$75))),IF('TS-PILE'!$B$63="",1E+99,'TO HOP NLAN'!D63/ncoc+IF(SUMSQ('TS-PILE'!$E$56:$E$75)=0,0,'TO HOP NLAN'!E63*'TS-PILE'!$E$63/SUMSQ('TS-PILE'!$E$56:$E$75))+IF(SUMSQ('TS-PILE'!$D$56:$D$75)=0,0,'TO HOP NLAN'!F63*'TS-PILE'!$D$63/SUMSQ('TS-PILE'!$D$56:$D$75))),IF('TS-PILE'!$B$64="",1E+99,'TO HOP NLAN'!D63/ncoc+IF(SUMSQ('TS-PILE'!$E$56:$E$75)=0,0,'TO HOP NLAN'!E63*'TS-PILE'!$E$64/SUMSQ('TS-PILE'!$E$56:$E$75))+IF(SUMSQ('TS-PILE'!$D$56:$D$75)=0,0,'TO HOP NLAN'!F63*'TS-PILE'!$D$64/SUMSQ('TS-PILE'!$D$56:$D$75))),IF('TS-PILE'!$B$65="",1E+99,'TO HOP NLAN'!D63/ncoc+IF(SUMSQ('TS-PILE'!$E$56:$E$75)=0,0,'TO HOP NLAN'!E63*'TS-PILE'!$E$65/SUMSQ('TS-PILE'!$E$56:$E$75))+IF(SUMSQ('TS-PILE'!$D$56:$D$75)=0,0,'TO HOP NLAN'!F63*'TS-PILE'!$D$65/SUMSQ('TS-PILE'!$D$56:$D$75))),IF('TS-PILE'!$B$66="",1E+99,'TO HOP NLAN'!D63/ncoc+IF(SUMSQ('TS-PILE'!$E$56:$E$75)=0,0,'TO HOP NLAN'!E63*'TS-PILE'!$E$66/SUMSQ('TS-PILE'!$E$56:$E$75))+IF(SUMSQ('TS-PILE'!$D$56:$D$75)=0,0,'TO HOP NLAN'!F63*'TS-PILE'!$D$66/SUMSQ('TS-PILE'!$D$56:$D$75))),IF('TS-PILE'!$B$67="",1E+99,'TO HOP NLAN'!D63/ncoc+IF(SUMSQ('TS-PILE'!$E$56:$E$75)=0,0,'TO HOP NLAN'!E63*'TS-PILE'!$E$67/SUMSQ('TS-PILE'!$E$56:$E$75))+IF(SUMSQ('TS-PILE'!$D$56:$D$75)=0,0,'TO HOP NLAN'!F63*'TS-PILE'!$D$67/SUMSQ('TS-PILE'!$D$56:$D$75))),IF('TS-PILE'!$B$68="",1E+99,'TO HOP NLAN'!D63/ncoc+IF(SUMSQ('TS-PILE'!$E$56:$E$75)=0,0,'TO HOP NLAN'!E63*'TS-PILE'!$E$68/SUMSQ('TS-PILE'!$E$56:$E$75))+IF(SUMSQ('TS-PILE'!$D$56:$D$75)=0,0,'TO HOP NLAN'!F63*'TS-PILE'!$D$68/SUMSQ('TS-PILE'!$D$56:$D$75))),IF('TS-PILE'!$B$69="",1E+99,'TO HOP NLAN'!D63/ncoc+IF(SUMSQ('TS-PILE'!$E$56:$E$75)=0,0,'TO HOP NLAN'!E63*'TS-PILE'!$E$69/SUMSQ('TS-PILE'!$E$56:$E$75))+IF(SUMSQ('TS-PILE'!$D$56:$D$75)=0,0,'TO HOP NLAN'!F63*'TS-PILE'!$D$69/SUMSQ('TS-PILE'!$D$56:$D$75))),IF('TS-PILE'!$B$70="",1E+99,'TO HOP NLAN'!D63/ncoc+IF(SUMSQ('TS-PILE'!$E$56:$E$75)=0,0,'TO HOP NLAN'!E63*'TS-PILE'!$E$70/SUMSQ('TS-PILE'!$E$56:$E$75))+IF(SUMSQ('TS-PILE'!$D$56:$D$75)=0,0,'TO HOP NLAN'!F63*'TS-PILE'!$D$70/SUMSQ('TS-PILE'!$D$56:$D$75))),IF('TS-PILE'!$B$71="",1E+99,'TO HOP NLAN'!D63/ncoc+IF(SUMSQ('TS-PILE'!$E$56:$E$75)=0,0,'TO HOP NLAN'!E63*'TS-PILE'!$E$71/SUMSQ('TS-PILE'!$E$56:$E$75))+IF(SUMSQ('TS-PILE'!$D$56:$D$75)=0,0,'TO HOP NLAN'!F63*'TS-PILE'!$D$71/SUMSQ('TS-PILE'!$D$56:$D$75))),IF('TS-PILE'!$B$72="",1E+99,'TO HOP NLAN'!D63/ncoc+IF(SUMSQ('TS-PILE'!$E$56:$E$75)=0,0,'TO HOP NLAN'!E63*'TS-PILE'!$E$72/SUMSQ('TS-PILE'!$E$56:$E$75))+IF(SUMSQ('TS-PILE'!$D$56:$D$75)=0,0,'TO HOP NLAN'!F63*'TS-PILE'!$D$72/SUMSQ('TS-PILE'!$D$56:$D$75))),IF('TS-PILE'!$B$73="",1E+99,'TO HOP NLAN'!D63/ncoc+IF(SUMSQ('TS-PILE'!$E$56:$E$75)=0,0,'TO HOP NLAN'!E63*'TS-PILE'!$E$73/SUMSQ('TS-PILE'!$E$56:$E$75))+IF(SUMSQ('TS-PILE'!$D$56:$D$75)=0,0,'TO HOP NLAN'!F63*'TS-PILE'!$D$73/SUMSQ('TS-PILE'!$D$56:$D$75))),IF('TS-PILE'!$B$74="",1E+99,'TO HOP NLAN'!D63/ncoc+IF(SUMSQ('TS-PILE'!$E$56:$E$75)=0,0,'TO HOP NLAN'!E63*'TS-PILE'!$E$74/SUMSQ('TS-PILE'!$E$56:$E$75))+IF(SUMSQ('TS-PILE'!$D$56:$D$75)=0,0,'TO HOP NLAN'!F63*'TS-PILE'!$D$74/SUMSQ('TS-PILE'!$D$56:$D$75))),IF('TS-PILE'!$B$75="",1E+99,'TO HOP NLAN'!D63/ncoc+IF(SUMSQ('TS-PILE'!$E$56:$E$75)=0,0,'TO HOP NLAN'!E63*'TS-PILE'!$E$75/SUMSQ('TS-PILE'!$E$56:$E$75))+IF(SUMSQ('TS-PILE'!$D$56:$D$75)=0,0,'TO HOP NLAN'!F63*'TS-PILE'!$D$75/SUMSQ('TS-PILE'!$D$56:$D$75)))))</f>
        <v>0</v>
      </c>
      <c r="E63" s="46">
        <f t="shared" si="0"/>
        <v>-9.9999999999999997E+98</v>
      </c>
      <c r="F63" s="46">
        <f t="shared" si="1"/>
        <v>9.9999999999999997E+98</v>
      </c>
      <c r="G63" s="46">
        <f t="shared" si="2"/>
        <v>-9.9999999999999997E+98</v>
      </c>
      <c r="H63" s="46">
        <f t="shared" si="3"/>
        <v>9.9999999999999997E+98</v>
      </c>
    </row>
    <row r="64" spans="1:8" x14ac:dyDescent="0.3">
      <c r="A64" s="40" t="str">
        <f>'TO HOP NLAN'!A64</f>
        <v/>
      </c>
      <c r="B64" s="40" t="str">
        <f>'TO HOP NLAN'!L64</f>
        <v>SERVICE</v>
      </c>
      <c r="C64" s="46">
        <f>IF(A64="",0,MAX(IF('TS-PILE'!$B$56="",-1E+99,'TO HOP NLAN'!D64/ncoc+IF(SUMSQ('TS-PILE'!$E$56:$E$75)=0,0,'TO HOP NLAN'!E64*'TS-PILE'!$E$56/SUMSQ('TS-PILE'!$E$56:$E$75))+IF(SUMSQ('TS-PILE'!$D$56:$D$75)=0,0,'TO HOP NLAN'!F64*'TS-PILE'!$D$56/SUMSQ('TS-PILE'!$D$56:$D$75))),IF('TS-PILE'!$B$57="",-1E+99,'TO HOP NLAN'!D64/ncoc+IF(SUMSQ('TS-PILE'!$E$56:$E$75)=0,0,'TO HOP NLAN'!E64*'TS-PILE'!$E$57/SUMSQ('TS-PILE'!$E$56:$E$75))+IF(SUMSQ('TS-PILE'!$D$56:$D$75)=0,0,'TO HOP NLAN'!F64*'TS-PILE'!$D$57/SUMSQ('TS-PILE'!$D$56:$D$75))),IF('TS-PILE'!$B$58="",-1E+99,'TO HOP NLAN'!D64/ncoc+IF(SUMSQ('TS-PILE'!$E$56:$E$75)=0,0,'TO HOP NLAN'!E64*'TS-PILE'!$E$58/SUMSQ('TS-PILE'!$E$56:$E$75))+IF(SUMSQ('TS-PILE'!$D$56:$D$75)=0,0,'TO HOP NLAN'!F64*'TS-PILE'!$D$58/SUMSQ('TS-PILE'!$D$56:$D$75))),IF('TS-PILE'!$B$59="",-1E+99,'TO HOP NLAN'!D64/ncoc+IF(SUMSQ('TS-PILE'!$E$56:$E$75)=0,0,'TO HOP NLAN'!E64*'TS-PILE'!$E$59/SUMSQ('TS-PILE'!$E$56:$E$75))+IF(SUMSQ('TS-PILE'!$D$56:$D$75)=0,0,'TO HOP NLAN'!F64*'TS-PILE'!$D$59/SUMSQ('TS-PILE'!$D$56:$D$75))),IF('TS-PILE'!$B$60="",-1E+99,'TO HOP NLAN'!D64/ncoc+IF(SUMSQ('TS-PILE'!$E$56:$E$75)=0,0,'TO HOP NLAN'!E64*'TS-PILE'!$E$60/SUMSQ('TS-PILE'!$E$56:$E$75))+IF(SUMSQ('TS-PILE'!$D$56:$D$75)=0,0,'TO HOP NLAN'!F64*'TS-PILE'!$D$60/SUMSQ('TS-PILE'!$D$56:$D$75))),IF('TS-PILE'!$B$61="",-1E+99,'TO HOP NLAN'!D64/ncoc+IF(SUMSQ('TS-PILE'!$E$56:$E$75)=0,0,'TO HOP NLAN'!E64*'TS-PILE'!$E$61/SUMSQ('TS-PILE'!$E$56:$E$75))+IF(SUMSQ('TS-PILE'!$D$56:$D$75)=0,0,'TO HOP NLAN'!F64*'TS-PILE'!$D$61/SUMSQ('TS-PILE'!$D$56:$D$75))),IF('TS-PILE'!$B$62="",-1E+99,'TO HOP NLAN'!D64/ncoc+IF(SUMSQ('TS-PILE'!$E$56:$E$75)=0,0,'TO HOP NLAN'!E64*'TS-PILE'!$E$62/SUMSQ('TS-PILE'!$E$56:$E$75))+IF(SUMSQ('TS-PILE'!$D$56:$D$75)=0,0,'TO HOP NLAN'!F64*'TS-PILE'!$D$62/SUMSQ('TS-PILE'!$D$56:$D$75))),IF('TS-PILE'!$B$63="",-1E+99,'TO HOP NLAN'!D64/ncoc+IF(SUMSQ('TS-PILE'!$E$56:$E$75)=0,0,'TO HOP NLAN'!E64*'TS-PILE'!$E$63/SUMSQ('TS-PILE'!$E$56:$E$75))+IF(SUMSQ('TS-PILE'!$D$56:$D$75)=0,0,'TO HOP NLAN'!F64*'TS-PILE'!$D$63/SUMSQ('TS-PILE'!$D$56:$D$75))),IF('TS-PILE'!$B$64="",-1E+99,'TO HOP NLAN'!D64/ncoc+IF(SUMSQ('TS-PILE'!$E$56:$E$75)=0,0,'TO HOP NLAN'!E64*'TS-PILE'!$E$64/SUMSQ('TS-PILE'!$E$56:$E$75))+IF(SUMSQ('TS-PILE'!$D$56:$D$75)=0,0,'TO HOP NLAN'!F64*'TS-PILE'!$D$64/SUMSQ('TS-PILE'!$D$56:$D$75))),IF('TS-PILE'!$B$65="",-1E+99,'TO HOP NLAN'!D64/ncoc+IF(SUMSQ('TS-PILE'!$E$56:$E$75)=0,0,'TO HOP NLAN'!E64*'TS-PILE'!$E$65/SUMSQ('TS-PILE'!$E$56:$E$75))+IF(SUMSQ('TS-PILE'!$D$56:$D$75)=0,0,'TO HOP NLAN'!F64*'TS-PILE'!$D$65/SUMSQ('TS-PILE'!$D$56:$D$75))),IF('TS-PILE'!$B$66="",-1E+99,'TO HOP NLAN'!D64/ncoc+IF(SUMSQ('TS-PILE'!$E$56:$E$75)=0,0,'TO HOP NLAN'!E64*'TS-PILE'!$E$66/SUMSQ('TS-PILE'!$E$56:$E$75))+IF(SUMSQ('TS-PILE'!$D$56:$D$75)=0,0,'TO HOP NLAN'!F64*'TS-PILE'!$D$66/SUMSQ('TS-PILE'!$D$56:$D$75))),IF('TS-PILE'!$B$67="",-1E+99,'TO HOP NLAN'!D64/ncoc+IF(SUMSQ('TS-PILE'!$E$56:$E$75)=0,0,'TO HOP NLAN'!E64*'TS-PILE'!$E$67/SUMSQ('TS-PILE'!$E$56:$E$75))+IF(SUMSQ('TS-PILE'!$D$56:$D$75)=0,0,'TO HOP NLAN'!F64*'TS-PILE'!$D$67/SUMSQ('TS-PILE'!$D$56:$D$75))),IF('TS-PILE'!$B$68="",-1E+99,'TO HOP NLAN'!D64/ncoc+IF(SUMSQ('TS-PILE'!$E$56:$E$75)=0,0,'TO HOP NLAN'!E64*'TS-PILE'!$E$68/SUMSQ('TS-PILE'!$E$56:$E$75))+IF(SUMSQ('TS-PILE'!$D$56:$D$75)=0,0,'TO HOP NLAN'!F64*'TS-PILE'!$D$68/SUMSQ('TS-PILE'!$D$56:$D$75))),IF('TS-PILE'!$B$69="",-1E+99,'TO HOP NLAN'!D64/ncoc+IF(SUMSQ('TS-PILE'!$E$56:$E$75)=0,0,'TO HOP NLAN'!E64*'TS-PILE'!$E$69/SUMSQ('TS-PILE'!$E$56:$E$75))+IF(SUMSQ('TS-PILE'!$D$56:$D$75)=0,0,'TO HOP NLAN'!F64*'TS-PILE'!$D$69/SUMSQ('TS-PILE'!$D$56:$D$75))),IF('TS-PILE'!$B$70="",-1E+99,'TO HOP NLAN'!D64/ncoc+IF(SUMSQ('TS-PILE'!$E$56:$E$75)=0,0,'TO HOP NLAN'!E64*'TS-PILE'!$E$70/SUMSQ('TS-PILE'!$E$56:$E$75))+IF(SUMSQ('TS-PILE'!$D$56:$D$75)=0,0,'TO HOP NLAN'!F64*'TS-PILE'!$D$70/SUMSQ('TS-PILE'!$D$56:$D$75))),IF('TS-PILE'!$B$71="",-1E+99,'TO HOP NLAN'!D64/ncoc+IF(SUMSQ('TS-PILE'!$E$56:$E$75)=0,0,'TO HOP NLAN'!E64*'TS-PILE'!$E$71/SUMSQ('TS-PILE'!$E$56:$E$75))+IF(SUMSQ('TS-PILE'!$D$56:$D$75)=0,0,'TO HOP NLAN'!F64*'TS-PILE'!$D$71/SUMSQ('TS-PILE'!$D$56:$D$75))),IF('TS-PILE'!$B$72="",-1E+99,'TO HOP NLAN'!D64/ncoc+IF(SUMSQ('TS-PILE'!$E$56:$E$75)=0,0,'TO HOP NLAN'!E64*'TS-PILE'!$E$72/SUMSQ('TS-PILE'!$E$56:$E$75))+IF(SUMSQ('TS-PILE'!$D$56:$D$75)=0,0,'TO HOP NLAN'!F64*'TS-PILE'!$D$72/SUMSQ('TS-PILE'!$D$56:$D$75))),IF('TS-PILE'!$B$73="",-1E+99,'TO HOP NLAN'!D64/ncoc+IF(SUMSQ('TS-PILE'!$E$56:$E$75)=0,0,'TO HOP NLAN'!E64*'TS-PILE'!$E$73/SUMSQ('TS-PILE'!$E$56:$E$75))+IF(SUMSQ('TS-PILE'!$D$56:$D$75)=0,0,'TO HOP NLAN'!F64*'TS-PILE'!$D$73/SUMSQ('TS-PILE'!$D$56:$D$75))),IF('TS-PILE'!$B$74="",-1E+99,'TO HOP NLAN'!D64/ncoc+IF(SUMSQ('TS-PILE'!$E$56:$E$75)=0,0,'TO HOP NLAN'!E64*'TS-PILE'!$E$74/SUMSQ('TS-PILE'!$E$56:$E$75))+IF(SUMSQ('TS-PILE'!$D$56:$D$75)=0,0,'TO HOP NLAN'!F64*'TS-PILE'!$D$74/SUMSQ('TS-PILE'!$D$56:$D$75))),IF('TS-PILE'!$B$75="",-1E+99,'TO HOP NLAN'!D64/ncoc+IF(SUMSQ('TS-PILE'!$E$56:$E$75)=0,0,'TO HOP NLAN'!E64*'TS-PILE'!$E$75/SUMSQ('TS-PILE'!$E$56:$E$75))+IF(SUMSQ('TS-PILE'!$D$56:$D$75)=0,0,'TO HOP NLAN'!F64*'TS-PILE'!$D$75/SUMSQ('TS-PILE'!$D$56:$D$75)))))</f>
        <v>0</v>
      </c>
      <c r="D64" s="46">
        <f>IF(A64="",0,MIN(IF('TS-PILE'!$B$56="",1E+99,'TO HOP NLAN'!D64/ncoc+IF(SUMSQ('TS-PILE'!$E$56:$E$75)=0,0,'TO HOP NLAN'!E64*'TS-PILE'!$E$56/SUMSQ('TS-PILE'!$E$56:$E$75))+IF(SUMSQ('TS-PILE'!$D$56:$D$75)=0,0,'TO HOP NLAN'!F64*'TS-PILE'!$D$56/SUMSQ('TS-PILE'!$D$56:$D$75))),IF('TS-PILE'!$B$57="",1E+99,'TO HOP NLAN'!D64/ncoc+IF(SUMSQ('TS-PILE'!$E$56:$E$75)=0,0,'TO HOP NLAN'!E64*'TS-PILE'!$E$57/SUMSQ('TS-PILE'!$E$56:$E$75))+IF(SUMSQ('TS-PILE'!$D$56:$D$75)=0,0,'TO HOP NLAN'!F64*'TS-PILE'!$D$57/SUMSQ('TS-PILE'!$D$56:$D$75))),IF('TS-PILE'!$B$58="",1E+99,'TO HOP NLAN'!D64/ncoc+IF(SUMSQ('TS-PILE'!$E$56:$E$75)=0,0,'TO HOP NLAN'!E64*'TS-PILE'!$E$58/SUMSQ('TS-PILE'!$E$56:$E$75))+IF(SUMSQ('TS-PILE'!$D$56:$D$75)=0,0,'TO HOP NLAN'!F64*'TS-PILE'!$D$58/SUMSQ('TS-PILE'!$D$56:$D$75))),IF('TS-PILE'!$B$59="",1E+99,'TO HOP NLAN'!D64/ncoc+IF(SUMSQ('TS-PILE'!$E$56:$E$75)=0,0,'TO HOP NLAN'!E64*'TS-PILE'!$E$59/SUMSQ('TS-PILE'!$E$56:$E$75))+IF(SUMSQ('TS-PILE'!$D$56:$D$75)=0,0,'TO HOP NLAN'!F64*'TS-PILE'!$D$59/SUMSQ('TS-PILE'!$D$56:$D$75))),IF('TS-PILE'!$B$60="",1E+99,'TO HOP NLAN'!D64/ncoc+IF(SUMSQ('TS-PILE'!$E$56:$E$75)=0,0,'TO HOP NLAN'!E64*'TS-PILE'!$E$60/SUMSQ('TS-PILE'!$E$56:$E$75))+IF(SUMSQ('TS-PILE'!$D$56:$D$75)=0,0,'TO HOP NLAN'!F64*'TS-PILE'!$D$60/SUMSQ('TS-PILE'!$D$56:$D$75))),IF('TS-PILE'!$B$61="",1E+99,'TO HOP NLAN'!D64/ncoc+IF(SUMSQ('TS-PILE'!$E$56:$E$75)=0,0,'TO HOP NLAN'!E64*'TS-PILE'!$E$61/SUMSQ('TS-PILE'!$E$56:$E$75))+IF(SUMSQ('TS-PILE'!$D$56:$D$75)=0,0,'TO HOP NLAN'!F64*'TS-PILE'!$D$61/SUMSQ('TS-PILE'!$D$56:$D$75))),IF('TS-PILE'!$B$62="",1E+99,'TO HOP NLAN'!D64/ncoc+IF(SUMSQ('TS-PILE'!$E$56:$E$75)=0,0,'TO HOP NLAN'!E64*'TS-PILE'!$E$62/SUMSQ('TS-PILE'!$E$56:$E$75))+IF(SUMSQ('TS-PILE'!$D$56:$D$75)=0,0,'TO HOP NLAN'!F64*'TS-PILE'!$D$62/SUMSQ('TS-PILE'!$D$56:$D$75))),IF('TS-PILE'!$B$63="",1E+99,'TO HOP NLAN'!D64/ncoc+IF(SUMSQ('TS-PILE'!$E$56:$E$75)=0,0,'TO HOP NLAN'!E64*'TS-PILE'!$E$63/SUMSQ('TS-PILE'!$E$56:$E$75))+IF(SUMSQ('TS-PILE'!$D$56:$D$75)=0,0,'TO HOP NLAN'!F64*'TS-PILE'!$D$63/SUMSQ('TS-PILE'!$D$56:$D$75))),IF('TS-PILE'!$B$64="",1E+99,'TO HOP NLAN'!D64/ncoc+IF(SUMSQ('TS-PILE'!$E$56:$E$75)=0,0,'TO HOP NLAN'!E64*'TS-PILE'!$E$64/SUMSQ('TS-PILE'!$E$56:$E$75))+IF(SUMSQ('TS-PILE'!$D$56:$D$75)=0,0,'TO HOP NLAN'!F64*'TS-PILE'!$D$64/SUMSQ('TS-PILE'!$D$56:$D$75))),IF('TS-PILE'!$B$65="",1E+99,'TO HOP NLAN'!D64/ncoc+IF(SUMSQ('TS-PILE'!$E$56:$E$75)=0,0,'TO HOP NLAN'!E64*'TS-PILE'!$E$65/SUMSQ('TS-PILE'!$E$56:$E$75))+IF(SUMSQ('TS-PILE'!$D$56:$D$75)=0,0,'TO HOP NLAN'!F64*'TS-PILE'!$D$65/SUMSQ('TS-PILE'!$D$56:$D$75))),IF('TS-PILE'!$B$66="",1E+99,'TO HOP NLAN'!D64/ncoc+IF(SUMSQ('TS-PILE'!$E$56:$E$75)=0,0,'TO HOP NLAN'!E64*'TS-PILE'!$E$66/SUMSQ('TS-PILE'!$E$56:$E$75))+IF(SUMSQ('TS-PILE'!$D$56:$D$75)=0,0,'TO HOP NLAN'!F64*'TS-PILE'!$D$66/SUMSQ('TS-PILE'!$D$56:$D$75))),IF('TS-PILE'!$B$67="",1E+99,'TO HOP NLAN'!D64/ncoc+IF(SUMSQ('TS-PILE'!$E$56:$E$75)=0,0,'TO HOP NLAN'!E64*'TS-PILE'!$E$67/SUMSQ('TS-PILE'!$E$56:$E$75))+IF(SUMSQ('TS-PILE'!$D$56:$D$75)=0,0,'TO HOP NLAN'!F64*'TS-PILE'!$D$67/SUMSQ('TS-PILE'!$D$56:$D$75))),IF('TS-PILE'!$B$68="",1E+99,'TO HOP NLAN'!D64/ncoc+IF(SUMSQ('TS-PILE'!$E$56:$E$75)=0,0,'TO HOP NLAN'!E64*'TS-PILE'!$E$68/SUMSQ('TS-PILE'!$E$56:$E$75))+IF(SUMSQ('TS-PILE'!$D$56:$D$75)=0,0,'TO HOP NLAN'!F64*'TS-PILE'!$D$68/SUMSQ('TS-PILE'!$D$56:$D$75))),IF('TS-PILE'!$B$69="",1E+99,'TO HOP NLAN'!D64/ncoc+IF(SUMSQ('TS-PILE'!$E$56:$E$75)=0,0,'TO HOP NLAN'!E64*'TS-PILE'!$E$69/SUMSQ('TS-PILE'!$E$56:$E$75))+IF(SUMSQ('TS-PILE'!$D$56:$D$75)=0,0,'TO HOP NLAN'!F64*'TS-PILE'!$D$69/SUMSQ('TS-PILE'!$D$56:$D$75))),IF('TS-PILE'!$B$70="",1E+99,'TO HOP NLAN'!D64/ncoc+IF(SUMSQ('TS-PILE'!$E$56:$E$75)=0,0,'TO HOP NLAN'!E64*'TS-PILE'!$E$70/SUMSQ('TS-PILE'!$E$56:$E$75))+IF(SUMSQ('TS-PILE'!$D$56:$D$75)=0,0,'TO HOP NLAN'!F64*'TS-PILE'!$D$70/SUMSQ('TS-PILE'!$D$56:$D$75))),IF('TS-PILE'!$B$71="",1E+99,'TO HOP NLAN'!D64/ncoc+IF(SUMSQ('TS-PILE'!$E$56:$E$75)=0,0,'TO HOP NLAN'!E64*'TS-PILE'!$E$71/SUMSQ('TS-PILE'!$E$56:$E$75))+IF(SUMSQ('TS-PILE'!$D$56:$D$75)=0,0,'TO HOP NLAN'!F64*'TS-PILE'!$D$71/SUMSQ('TS-PILE'!$D$56:$D$75))),IF('TS-PILE'!$B$72="",1E+99,'TO HOP NLAN'!D64/ncoc+IF(SUMSQ('TS-PILE'!$E$56:$E$75)=0,0,'TO HOP NLAN'!E64*'TS-PILE'!$E$72/SUMSQ('TS-PILE'!$E$56:$E$75))+IF(SUMSQ('TS-PILE'!$D$56:$D$75)=0,0,'TO HOP NLAN'!F64*'TS-PILE'!$D$72/SUMSQ('TS-PILE'!$D$56:$D$75))),IF('TS-PILE'!$B$73="",1E+99,'TO HOP NLAN'!D64/ncoc+IF(SUMSQ('TS-PILE'!$E$56:$E$75)=0,0,'TO HOP NLAN'!E64*'TS-PILE'!$E$73/SUMSQ('TS-PILE'!$E$56:$E$75))+IF(SUMSQ('TS-PILE'!$D$56:$D$75)=0,0,'TO HOP NLAN'!F64*'TS-PILE'!$D$73/SUMSQ('TS-PILE'!$D$56:$D$75))),IF('TS-PILE'!$B$74="",1E+99,'TO HOP NLAN'!D64/ncoc+IF(SUMSQ('TS-PILE'!$E$56:$E$75)=0,0,'TO HOP NLAN'!E64*'TS-PILE'!$E$74/SUMSQ('TS-PILE'!$E$56:$E$75))+IF(SUMSQ('TS-PILE'!$D$56:$D$75)=0,0,'TO HOP NLAN'!F64*'TS-PILE'!$D$74/SUMSQ('TS-PILE'!$D$56:$D$75))),IF('TS-PILE'!$B$75="",1E+99,'TO HOP NLAN'!D64/ncoc+IF(SUMSQ('TS-PILE'!$E$56:$E$75)=0,0,'TO HOP NLAN'!E64*'TS-PILE'!$E$75/SUMSQ('TS-PILE'!$E$56:$E$75))+IF(SUMSQ('TS-PILE'!$D$56:$D$75)=0,0,'TO HOP NLAN'!F64*'TS-PILE'!$D$75/SUMSQ('TS-PILE'!$D$56:$D$75)))))</f>
        <v>0</v>
      </c>
      <c r="E64" s="46">
        <f t="shared" si="0"/>
        <v>-9.9999999999999997E+98</v>
      </c>
      <c r="F64" s="46">
        <f t="shared" si="1"/>
        <v>9.9999999999999997E+98</v>
      </c>
      <c r="G64" s="46">
        <f t="shared" si="2"/>
        <v>-9.9999999999999997E+98</v>
      </c>
      <c r="H64" s="46">
        <f t="shared" si="3"/>
        <v>9.9999999999999997E+98</v>
      </c>
    </row>
    <row r="65" spans="1:8" x14ac:dyDescent="0.3">
      <c r="A65" s="40" t="str">
        <f>'TO HOP NLAN'!A65</f>
        <v/>
      </c>
      <c r="B65" s="40" t="str">
        <f>'TO HOP NLAN'!L65</f>
        <v>SERVICE</v>
      </c>
      <c r="C65" s="46">
        <f>IF(A65="",0,MAX(IF('TS-PILE'!$B$56="",-1E+99,'TO HOP NLAN'!D65/ncoc+IF(SUMSQ('TS-PILE'!$E$56:$E$75)=0,0,'TO HOP NLAN'!E65*'TS-PILE'!$E$56/SUMSQ('TS-PILE'!$E$56:$E$75))+IF(SUMSQ('TS-PILE'!$D$56:$D$75)=0,0,'TO HOP NLAN'!F65*'TS-PILE'!$D$56/SUMSQ('TS-PILE'!$D$56:$D$75))),IF('TS-PILE'!$B$57="",-1E+99,'TO HOP NLAN'!D65/ncoc+IF(SUMSQ('TS-PILE'!$E$56:$E$75)=0,0,'TO HOP NLAN'!E65*'TS-PILE'!$E$57/SUMSQ('TS-PILE'!$E$56:$E$75))+IF(SUMSQ('TS-PILE'!$D$56:$D$75)=0,0,'TO HOP NLAN'!F65*'TS-PILE'!$D$57/SUMSQ('TS-PILE'!$D$56:$D$75))),IF('TS-PILE'!$B$58="",-1E+99,'TO HOP NLAN'!D65/ncoc+IF(SUMSQ('TS-PILE'!$E$56:$E$75)=0,0,'TO HOP NLAN'!E65*'TS-PILE'!$E$58/SUMSQ('TS-PILE'!$E$56:$E$75))+IF(SUMSQ('TS-PILE'!$D$56:$D$75)=0,0,'TO HOP NLAN'!F65*'TS-PILE'!$D$58/SUMSQ('TS-PILE'!$D$56:$D$75))),IF('TS-PILE'!$B$59="",-1E+99,'TO HOP NLAN'!D65/ncoc+IF(SUMSQ('TS-PILE'!$E$56:$E$75)=0,0,'TO HOP NLAN'!E65*'TS-PILE'!$E$59/SUMSQ('TS-PILE'!$E$56:$E$75))+IF(SUMSQ('TS-PILE'!$D$56:$D$75)=0,0,'TO HOP NLAN'!F65*'TS-PILE'!$D$59/SUMSQ('TS-PILE'!$D$56:$D$75))),IF('TS-PILE'!$B$60="",-1E+99,'TO HOP NLAN'!D65/ncoc+IF(SUMSQ('TS-PILE'!$E$56:$E$75)=0,0,'TO HOP NLAN'!E65*'TS-PILE'!$E$60/SUMSQ('TS-PILE'!$E$56:$E$75))+IF(SUMSQ('TS-PILE'!$D$56:$D$75)=0,0,'TO HOP NLAN'!F65*'TS-PILE'!$D$60/SUMSQ('TS-PILE'!$D$56:$D$75))),IF('TS-PILE'!$B$61="",-1E+99,'TO HOP NLAN'!D65/ncoc+IF(SUMSQ('TS-PILE'!$E$56:$E$75)=0,0,'TO HOP NLAN'!E65*'TS-PILE'!$E$61/SUMSQ('TS-PILE'!$E$56:$E$75))+IF(SUMSQ('TS-PILE'!$D$56:$D$75)=0,0,'TO HOP NLAN'!F65*'TS-PILE'!$D$61/SUMSQ('TS-PILE'!$D$56:$D$75))),IF('TS-PILE'!$B$62="",-1E+99,'TO HOP NLAN'!D65/ncoc+IF(SUMSQ('TS-PILE'!$E$56:$E$75)=0,0,'TO HOP NLAN'!E65*'TS-PILE'!$E$62/SUMSQ('TS-PILE'!$E$56:$E$75))+IF(SUMSQ('TS-PILE'!$D$56:$D$75)=0,0,'TO HOP NLAN'!F65*'TS-PILE'!$D$62/SUMSQ('TS-PILE'!$D$56:$D$75))),IF('TS-PILE'!$B$63="",-1E+99,'TO HOP NLAN'!D65/ncoc+IF(SUMSQ('TS-PILE'!$E$56:$E$75)=0,0,'TO HOP NLAN'!E65*'TS-PILE'!$E$63/SUMSQ('TS-PILE'!$E$56:$E$75))+IF(SUMSQ('TS-PILE'!$D$56:$D$75)=0,0,'TO HOP NLAN'!F65*'TS-PILE'!$D$63/SUMSQ('TS-PILE'!$D$56:$D$75))),IF('TS-PILE'!$B$64="",-1E+99,'TO HOP NLAN'!D65/ncoc+IF(SUMSQ('TS-PILE'!$E$56:$E$75)=0,0,'TO HOP NLAN'!E65*'TS-PILE'!$E$64/SUMSQ('TS-PILE'!$E$56:$E$75))+IF(SUMSQ('TS-PILE'!$D$56:$D$75)=0,0,'TO HOP NLAN'!F65*'TS-PILE'!$D$64/SUMSQ('TS-PILE'!$D$56:$D$75))),IF('TS-PILE'!$B$65="",-1E+99,'TO HOP NLAN'!D65/ncoc+IF(SUMSQ('TS-PILE'!$E$56:$E$75)=0,0,'TO HOP NLAN'!E65*'TS-PILE'!$E$65/SUMSQ('TS-PILE'!$E$56:$E$75))+IF(SUMSQ('TS-PILE'!$D$56:$D$75)=0,0,'TO HOP NLAN'!F65*'TS-PILE'!$D$65/SUMSQ('TS-PILE'!$D$56:$D$75))),IF('TS-PILE'!$B$66="",-1E+99,'TO HOP NLAN'!D65/ncoc+IF(SUMSQ('TS-PILE'!$E$56:$E$75)=0,0,'TO HOP NLAN'!E65*'TS-PILE'!$E$66/SUMSQ('TS-PILE'!$E$56:$E$75))+IF(SUMSQ('TS-PILE'!$D$56:$D$75)=0,0,'TO HOP NLAN'!F65*'TS-PILE'!$D$66/SUMSQ('TS-PILE'!$D$56:$D$75))),IF('TS-PILE'!$B$67="",-1E+99,'TO HOP NLAN'!D65/ncoc+IF(SUMSQ('TS-PILE'!$E$56:$E$75)=0,0,'TO HOP NLAN'!E65*'TS-PILE'!$E$67/SUMSQ('TS-PILE'!$E$56:$E$75))+IF(SUMSQ('TS-PILE'!$D$56:$D$75)=0,0,'TO HOP NLAN'!F65*'TS-PILE'!$D$67/SUMSQ('TS-PILE'!$D$56:$D$75))),IF('TS-PILE'!$B$68="",-1E+99,'TO HOP NLAN'!D65/ncoc+IF(SUMSQ('TS-PILE'!$E$56:$E$75)=0,0,'TO HOP NLAN'!E65*'TS-PILE'!$E$68/SUMSQ('TS-PILE'!$E$56:$E$75))+IF(SUMSQ('TS-PILE'!$D$56:$D$75)=0,0,'TO HOP NLAN'!F65*'TS-PILE'!$D$68/SUMSQ('TS-PILE'!$D$56:$D$75))),IF('TS-PILE'!$B$69="",-1E+99,'TO HOP NLAN'!D65/ncoc+IF(SUMSQ('TS-PILE'!$E$56:$E$75)=0,0,'TO HOP NLAN'!E65*'TS-PILE'!$E$69/SUMSQ('TS-PILE'!$E$56:$E$75))+IF(SUMSQ('TS-PILE'!$D$56:$D$75)=0,0,'TO HOP NLAN'!F65*'TS-PILE'!$D$69/SUMSQ('TS-PILE'!$D$56:$D$75))),IF('TS-PILE'!$B$70="",-1E+99,'TO HOP NLAN'!D65/ncoc+IF(SUMSQ('TS-PILE'!$E$56:$E$75)=0,0,'TO HOP NLAN'!E65*'TS-PILE'!$E$70/SUMSQ('TS-PILE'!$E$56:$E$75))+IF(SUMSQ('TS-PILE'!$D$56:$D$75)=0,0,'TO HOP NLAN'!F65*'TS-PILE'!$D$70/SUMSQ('TS-PILE'!$D$56:$D$75))),IF('TS-PILE'!$B$71="",-1E+99,'TO HOP NLAN'!D65/ncoc+IF(SUMSQ('TS-PILE'!$E$56:$E$75)=0,0,'TO HOP NLAN'!E65*'TS-PILE'!$E$71/SUMSQ('TS-PILE'!$E$56:$E$75))+IF(SUMSQ('TS-PILE'!$D$56:$D$75)=0,0,'TO HOP NLAN'!F65*'TS-PILE'!$D$71/SUMSQ('TS-PILE'!$D$56:$D$75))),IF('TS-PILE'!$B$72="",-1E+99,'TO HOP NLAN'!D65/ncoc+IF(SUMSQ('TS-PILE'!$E$56:$E$75)=0,0,'TO HOP NLAN'!E65*'TS-PILE'!$E$72/SUMSQ('TS-PILE'!$E$56:$E$75))+IF(SUMSQ('TS-PILE'!$D$56:$D$75)=0,0,'TO HOP NLAN'!F65*'TS-PILE'!$D$72/SUMSQ('TS-PILE'!$D$56:$D$75))),IF('TS-PILE'!$B$73="",-1E+99,'TO HOP NLAN'!D65/ncoc+IF(SUMSQ('TS-PILE'!$E$56:$E$75)=0,0,'TO HOP NLAN'!E65*'TS-PILE'!$E$73/SUMSQ('TS-PILE'!$E$56:$E$75))+IF(SUMSQ('TS-PILE'!$D$56:$D$75)=0,0,'TO HOP NLAN'!F65*'TS-PILE'!$D$73/SUMSQ('TS-PILE'!$D$56:$D$75))),IF('TS-PILE'!$B$74="",-1E+99,'TO HOP NLAN'!D65/ncoc+IF(SUMSQ('TS-PILE'!$E$56:$E$75)=0,0,'TO HOP NLAN'!E65*'TS-PILE'!$E$74/SUMSQ('TS-PILE'!$E$56:$E$75))+IF(SUMSQ('TS-PILE'!$D$56:$D$75)=0,0,'TO HOP NLAN'!F65*'TS-PILE'!$D$74/SUMSQ('TS-PILE'!$D$56:$D$75))),IF('TS-PILE'!$B$75="",-1E+99,'TO HOP NLAN'!D65/ncoc+IF(SUMSQ('TS-PILE'!$E$56:$E$75)=0,0,'TO HOP NLAN'!E65*'TS-PILE'!$E$75/SUMSQ('TS-PILE'!$E$56:$E$75))+IF(SUMSQ('TS-PILE'!$D$56:$D$75)=0,0,'TO HOP NLAN'!F65*'TS-PILE'!$D$75/SUMSQ('TS-PILE'!$D$56:$D$75)))))</f>
        <v>0</v>
      </c>
      <c r="D65" s="46">
        <f>IF(A65="",0,MIN(IF('TS-PILE'!$B$56="",1E+99,'TO HOP NLAN'!D65/ncoc+IF(SUMSQ('TS-PILE'!$E$56:$E$75)=0,0,'TO HOP NLAN'!E65*'TS-PILE'!$E$56/SUMSQ('TS-PILE'!$E$56:$E$75))+IF(SUMSQ('TS-PILE'!$D$56:$D$75)=0,0,'TO HOP NLAN'!F65*'TS-PILE'!$D$56/SUMSQ('TS-PILE'!$D$56:$D$75))),IF('TS-PILE'!$B$57="",1E+99,'TO HOP NLAN'!D65/ncoc+IF(SUMSQ('TS-PILE'!$E$56:$E$75)=0,0,'TO HOP NLAN'!E65*'TS-PILE'!$E$57/SUMSQ('TS-PILE'!$E$56:$E$75))+IF(SUMSQ('TS-PILE'!$D$56:$D$75)=0,0,'TO HOP NLAN'!F65*'TS-PILE'!$D$57/SUMSQ('TS-PILE'!$D$56:$D$75))),IF('TS-PILE'!$B$58="",1E+99,'TO HOP NLAN'!D65/ncoc+IF(SUMSQ('TS-PILE'!$E$56:$E$75)=0,0,'TO HOP NLAN'!E65*'TS-PILE'!$E$58/SUMSQ('TS-PILE'!$E$56:$E$75))+IF(SUMSQ('TS-PILE'!$D$56:$D$75)=0,0,'TO HOP NLAN'!F65*'TS-PILE'!$D$58/SUMSQ('TS-PILE'!$D$56:$D$75))),IF('TS-PILE'!$B$59="",1E+99,'TO HOP NLAN'!D65/ncoc+IF(SUMSQ('TS-PILE'!$E$56:$E$75)=0,0,'TO HOP NLAN'!E65*'TS-PILE'!$E$59/SUMSQ('TS-PILE'!$E$56:$E$75))+IF(SUMSQ('TS-PILE'!$D$56:$D$75)=0,0,'TO HOP NLAN'!F65*'TS-PILE'!$D$59/SUMSQ('TS-PILE'!$D$56:$D$75))),IF('TS-PILE'!$B$60="",1E+99,'TO HOP NLAN'!D65/ncoc+IF(SUMSQ('TS-PILE'!$E$56:$E$75)=0,0,'TO HOP NLAN'!E65*'TS-PILE'!$E$60/SUMSQ('TS-PILE'!$E$56:$E$75))+IF(SUMSQ('TS-PILE'!$D$56:$D$75)=0,0,'TO HOP NLAN'!F65*'TS-PILE'!$D$60/SUMSQ('TS-PILE'!$D$56:$D$75))),IF('TS-PILE'!$B$61="",1E+99,'TO HOP NLAN'!D65/ncoc+IF(SUMSQ('TS-PILE'!$E$56:$E$75)=0,0,'TO HOP NLAN'!E65*'TS-PILE'!$E$61/SUMSQ('TS-PILE'!$E$56:$E$75))+IF(SUMSQ('TS-PILE'!$D$56:$D$75)=0,0,'TO HOP NLAN'!F65*'TS-PILE'!$D$61/SUMSQ('TS-PILE'!$D$56:$D$75))),IF('TS-PILE'!$B$62="",1E+99,'TO HOP NLAN'!D65/ncoc+IF(SUMSQ('TS-PILE'!$E$56:$E$75)=0,0,'TO HOP NLAN'!E65*'TS-PILE'!$E$62/SUMSQ('TS-PILE'!$E$56:$E$75))+IF(SUMSQ('TS-PILE'!$D$56:$D$75)=0,0,'TO HOP NLAN'!F65*'TS-PILE'!$D$62/SUMSQ('TS-PILE'!$D$56:$D$75))),IF('TS-PILE'!$B$63="",1E+99,'TO HOP NLAN'!D65/ncoc+IF(SUMSQ('TS-PILE'!$E$56:$E$75)=0,0,'TO HOP NLAN'!E65*'TS-PILE'!$E$63/SUMSQ('TS-PILE'!$E$56:$E$75))+IF(SUMSQ('TS-PILE'!$D$56:$D$75)=0,0,'TO HOP NLAN'!F65*'TS-PILE'!$D$63/SUMSQ('TS-PILE'!$D$56:$D$75))),IF('TS-PILE'!$B$64="",1E+99,'TO HOP NLAN'!D65/ncoc+IF(SUMSQ('TS-PILE'!$E$56:$E$75)=0,0,'TO HOP NLAN'!E65*'TS-PILE'!$E$64/SUMSQ('TS-PILE'!$E$56:$E$75))+IF(SUMSQ('TS-PILE'!$D$56:$D$75)=0,0,'TO HOP NLAN'!F65*'TS-PILE'!$D$64/SUMSQ('TS-PILE'!$D$56:$D$75))),IF('TS-PILE'!$B$65="",1E+99,'TO HOP NLAN'!D65/ncoc+IF(SUMSQ('TS-PILE'!$E$56:$E$75)=0,0,'TO HOP NLAN'!E65*'TS-PILE'!$E$65/SUMSQ('TS-PILE'!$E$56:$E$75))+IF(SUMSQ('TS-PILE'!$D$56:$D$75)=0,0,'TO HOP NLAN'!F65*'TS-PILE'!$D$65/SUMSQ('TS-PILE'!$D$56:$D$75))),IF('TS-PILE'!$B$66="",1E+99,'TO HOP NLAN'!D65/ncoc+IF(SUMSQ('TS-PILE'!$E$56:$E$75)=0,0,'TO HOP NLAN'!E65*'TS-PILE'!$E$66/SUMSQ('TS-PILE'!$E$56:$E$75))+IF(SUMSQ('TS-PILE'!$D$56:$D$75)=0,0,'TO HOP NLAN'!F65*'TS-PILE'!$D$66/SUMSQ('TS-PILE'!$D$56:$D$75))),IF('TS-PILE'!$B$67="",1E+99,'TO HOP NLAN'!D65/ncoc+IF(SUMSQ('TS-PILE'!$E$56:$E$75)=0,0,'TO HOP NLAN'!E65*'TS-PILE'!$E$67/SUMSQ('TS-PILE'!$E$56:$E$75))+IF(SUMSQ('TS-PILE'!$D$56:$D$75)=0,0,'TO HOP NLAN'!F65*'TS-PILE'!$D$67/SUMSQ('TS-PILE'!$D$56:$D$75))),IF('TS-PILE'!$B$68="",1E+99,'TO HOP NLAN'!D65/ncoc+IF(SUMSQ('TS-PILE'!$E$56:$E$75)=0,0,'TO HOP NLAN'!E65*'TS-PILE'!$E$68/SUMSQ('TS-PILE'!$E$56:$E$75))+IF(SUMSQ('TS-PILE'!$D$56:$D$75)=0,0,'TO HOP NLAN'!F65*'TS-PILE'!$D$68/SUMSQ('TS-PILE'!$D$56:$D$75))),IF('TS-PILE'!$B$69="",1E+99,'TO HOP NLAN'!D65/ncoc+IF(SUMSQ('TS-PILE'!$E$56:$E$75)=0,0,'TO HOP NLAN'!E65*'TS-PILE'!$E$69/SUMSQ('TS-PILE'!$E$56:$E$75))+IF(SUMSQ('TS-PILE'!$D$56:$D$75)=0,0,'TO HOP NLAN'!F65*'TS-PILE'!$D$69/SUMSQ('TS-PILE'!$D$56:$D$75))),IF('TS-PILE'!$B$70="",1E+99,'TO HOP NLAN'!D65/ncoc+IF(SUMSQ('TS-PILE'!$E$56:$E$75)=0,0,'TO HOP NLAN'!E65*'TS-PILE'!$E$70/SUMSQ('TS-PILE'!$E$56:$E$75))+IF(SUMSQ('TS-PILE'!$D$56:$D$75)=0,0,'TO HOP NLAN'!F65*'TS-PILE'!$D$70/SUMSQ('TS-PILE'!$D$56:$D$75))),IF('TS-PILE'!$B$71="",1E+99,'TO HOP NLAN'!D65/ncoc+IF(SUMSQ('TS-PILE'!$E$56:$E$75)=0,0,'TO HOP NLAN'!E65*'TS-PILE'!$E$71/SUMSQ('TS-PILE'!$E$56:$E$75))+IF(SUMSQ('TS-PILE'!$D$56:$D$75)=0,0,'TO HOP NLAN'!F65*'TS-PILE'!$D$71/SUMSQ('TS-PILE'!$D$56:$D$75))),IF('TS-PILE'!$B$72="",1E+99,'TO HOP NLAN'!D65/ncoc+IF(SUMSQ('TS-PILE'!$E$56:$E$75)=0,0,'TO HOP NLAN'!E65*'TS-PILE'!$E$72/SUMSQ('TS-PILE'!$E$56:$E$75))+IF(SUMSQ('TS-PILE'!$D$56:$D$75)=0,0,'TO HOP NLAN'!F65*'TS-PILE'!$D$72/SUMSQ('TS-PILE'!$D$56:$D$75))),IF('TS-PILE'!$B$73="",1E+99,'TO HOP NLAN'!D65/ncoc+IF(SUMSQ('TS-PILE'!$E$56:$E$75)=0,0,'TO HOP NLAN'!E65*'TS-PILE'!$E$73/SUMSQ('TS-PILE'!$E$56:$E$75))+IF(SUMSQ('TS-PILE'!$D$56:$D$75)=0,0,'TO HOP NLAN'!F65*'TS-PILE'!$D$73/SUMSQ('TS-PILE'!$D$56:$D$75))),IF('TS-PILE'!$B$74="",1E+99,'TO HOP NLAN'!D65/ncoc+IF(SUMSQ('TS-PILE'!$E$56:$E$75)=0,0,'TO HOP NLAN'!E65*'TS-PILE'!$E$74/SUMSQ('TS-PILE'!$E$56:$E$75))+IF(SUMSQ('TS-PILE'!$D$56:$D$75)=0,0,'TO HOP NLAN'!F65*'TS-PILE'!$D$74/SUMSQ('TS-PILE'!$D$56:$D$75))),IF('TS-PILE'!$B$75="",1E+99,'TO HOP NLAN'!D65/ncoc+IF(SUMSQ('TS-PILE'!$E$56:$E$75)=0,0,'TO HOP NLAN'!E65*'TS-PILE'!$E$75/SUMSQ('TS-PILE'!$E$56:$E$75))+IF(SUMSQ('TS-PILE'!$D$56:$D$75)=0,0,'TO HOP NLAN'!F65*'TS-PILE'!$D$75/SUMSQ('TS-PILE'!$D$56:$D$75)))))</f>
        <v>0</v>
      </c>
      <c r="E65" s="46">
        <f t="shared" si="0"/>
        <v>-9.9999999999999997E+98</v>
      </c>
      <c r="F65" s="46">
        <f t="shared" si="1"/>
        <v>9.9999999999999997E+98</v>
      </c>
      <c r="G65" s="46">
        <f t="shared" si="2"/>
        <v>-9.9999999999999997E+98</v>
      </c>
      <c r="H65" s="46">
        <f t="shared" si="3"/>
        <v>9.9999999999999997E+98</v>
      </c>
    </row>
    <row r="66" spans="1:8" x14ac:dyDescent="0.3">
      <c r="A66" s="40" t="str">
        <f>'TO HOP NLAN'!A66</f>
        <v/>
      </c>
      <c r="B66" s="40" t="str">
        <f>'TO HOP NLAN'!L66</f>
        <v>SERVICE</v>
      </c>
      <c r="C66" s="46">
        <f>IF(A66="",0,MAX(IF('TS-PILE'!$B$56="",-1E+99,'TO HOP NLAN'!D66/ncoc+IF(SUMSQ('TS-PILE'!$E$56:$E$75)=0,0,'TO HOP NLAN'!E66*'TS-PILE'!$E$56/SUMSQ('TS-PILE'!$E$56:$E$75))+IF(SUMSQ('TS-PILE'!$D$56:$D$75)=0,0,'TO HOP NLAN'!F66*'TS-PILE'!$D$56/SUMSQ('TS-PILE'!$D$56:$D$75))),IF('TS-PILE'!$B$57="",-1E+99,'TO HOP NLAN'!D66/ncoc+IF(SUMSQ('TS-PILE'!$E$56:$E$75)=0,0,'TO HOP NLAN'!E66*'TS-PILE'!$E$57/SUMSQ('TS-PILE'!$E$56:$E$75))+IF(SUMSQ('TS-PILE'!$D$56:$D$75)=0,0,'TO HOP NLAN'!F66*'TS-PILE'!$D$57/SUMSQ('TS-PILE'!$D$56:$D$75))),IF('TS-PILE'!$B$58="",-1E+99,'TO HOP NLAN'!D66/ncoc+IF(SUMSQ('TS-PILE'!$E$56:$E$75)=0,0,'TO HOP NLAN'!E66*'TS-PILE'!$E$58/SUMSQ('TS-PILE'!$E$56:$E$75))+IF(SUMSQ('TS-PILE'!$D$56:$D$75)=0,0,'TO HOP NLAN'!F66*'TS-PILE'!$D$58/SUMSQ('TS-PILE'!$D$56:$D$75))),IF('TS-PILE'!$B$59="",-1E+99,'TO HOP NLAN'!D66/ncoc+IF(SUMSQ('TS-PILE'!$E$56:$E$75)=0,0,'TO HOP NLAN'!E66*'TS-PILE'!$E$59/SUMSQ('TS-PILE'!$E$56:$E$75))+IF(SUMSQ('TS-PILE'!$D$56:$D$75)=0,0,'TO HOP NLAN'!F66*'TS-PILE'!$D$59/SUMSQ('TS-PILE'!$D$56:$D$75))),IF('TS-PILE'!$B$60="",-1E+99,'TO HOP NLAN'!D66/ncoc+IF(SUMSQ('TS-PILE'!$E$56:$E$75)=0,0,'TO HOP NLAN'!E66*'TS-PILE'!$E$60/SUMSQ('TS-PILE'!$E$56:$E$75))+IF(SUMSQ('TS-PILE'!$D$56:$D$75)=0,0,'TO HOP NLAN'!F66*'TS-PILE'!$D$60/SUMSQ('TS-PILE'!$D$56:$D$75))),IF('TS-PILE'!$B$61="",-1E+99,'TO HOP NLAN'!D66/ncoc+IF(SUMSQ('TS-PILE'!$E$56:$E$75)=0,0,'TO HOP NLAN'!E66*'TS-PILE'!$E$61/SUMSQ('TS-PILE'!$E$56:$E$75))+IF(SUMSQ('TS-PILE'!$D$56:$D$75)=0,0,'TO HOP NLAN'!F66*'TS-PILE'!$D$61/SUMSQ('TS-PILE'!$D$56:$D$75))),IF('TS-PILE'!$B$62="",-1E+99,'TO HOP NLAN'!D66/ncoc+IF(SUMSQ('TS-PILE'!$E$56:$E$75)=0,0,'TO HOP NLAN'!E66*'TS-PILE'!$E$62/SUMSQ('TS-PILE'!$E$56:$E$75))+IF(SUMSQ('TS-PILE'!$D$56:$D$75)=0,0,'TO HOP NLAN'!F66*'TS-PILE'!$D$62/SUMSQ('TS-PILE'!$D$56:$D$75))),IF('TS-PILE'!$B$63="",-1E+99,'TO HOP NLAN'!D66/ncoc+IF(SUMSQ('TS-PILE'!$E$56:$E$75)=0,0,'TO HOP NLAN'!E66*'TS-PILE'!$E$63/SUMSQ('TS-PILE'!$E$56:$E$75))+IF(SUMSQ('TS-PILE'!$D$56:$D$75)=0,0,'TO HOP NLAN'!F66*'TS-PILE'!$D$63/SUMSQ('TS-PILE'!$D$56:$D$75))),IF('TS-PILE'!$B$64="",-1E+99,'TO HOP NLAN'!D66/ncoc+IF(SUMSQ('TS-PILE'!$E$56:$E$75)=0,0,'TO HOP NLAN'!E66*'TS-PILE'!$E$64/SUMSQ('TS-PILE'!$E$56:$E$75))+IF(SUMSQ('TS-PILE'!$D$56:$D$75)=0,0,'TO HOP NLAN'!F66*'TS-PILE'!$D$64/SUMSQ('TS-PILE'!$D$56:$D$75))),IF('TS-PILE'!$B$65="",-1E+99,'TO HOP NLAN'!D66/ncoc+IF(SUMSQ('TS-PILE'!$E$56:$E$75)=0,0,'TO HOP NLAN'!E66*'TS-PILE'!$E$65/SUMSQ('TS-PILE'!$E$56:$E$75))+IF(SUMSQ('TS-PILE'!$D$56:$D$75)=0,0,'TO HOP NLAN'!F66*'TS-PILE'!$D$65/SUMSQ('TS-PILE'!$D$56:$D$75))),IF('TS-PILE'!$B$66="",-1E+99,'TO HOP NLAN'!D66/ncoc+IF(SUMSQ('TS-PILE'!$E$56:$E$75)=0,0,'TO HOP NLAN'!E66*'TS-PILE'!$E$66/SUMSQ('TS-PILE'!$E$56:$E$75))+IF(SUMSQ('TS-PILE'!$D$56:$D$75)=0,0,'TO HOP NLAN'!F66*'TS-PILE'!$D$66/SUMSQ('TS-PILE'!$D$56:$D$75))),IF('TS-PILE'!$B$67="",-1E+99,'TO HOP NLAN'!D66/ncoc+IF(SUMSQ('TS-PILE'!$E$56:$E$75)=0,0,'TO HOP NLAN'!E66*'TS-PILE'!$E$67/SUMSQ('TS-PILE'!$E$56:$E$75))+IF(SUMSQ('TS-PILE'!$D$56:$D$75)=0,0,'TO HOP NLAN'!F66*'TS-PILE'!$D$67/SUMSQ('TS-PILE'!$D$56:$D$75))),IF('TS-PILE'!$B$68="",-1E+99,'TO HOP NLAN'!D66/ncoc+IF(SUMSQ('TS-PILE'!$E$56:$E$75)=0,0,'TO HOP NLAN'!E66*'TS-PILE'!$E$68/SUMSQ('TS-PILE'!$E$56:$E$75))+IF(SUMSQ('TS-PILE'!$D$56:$D$75)=0,0,'TO HOP NLAN'!F66*'TS-PILE'!$D$68/SUMSQ('TS-PILE'!$D$56:$D$75))),IF('TS-PILE'!$B$69="",-1E+99,'TO HOP NLAN'!D66/ncoc+IF(SUMSQ('TS-PILE'!$E$56:$E$75)=0,0,'TO HOP NLAN'!E66*'TS-PILE'!$E$69/SUMSQ('TS-PILE'!$E$56:$E$75))+IF(SUMSQ('TS-PILE'!$D$56:$D$75)=0,0,'TO HOP NLAN'!F66*'TS-PILE'!$D$69/SUMSQ('TS-PILE'!$D$56:$D$75))),IF('TS-PILE'!$B$70="",-1E+99,'TO HOP NLAN'!D66/ncoc+IF(SUMSQ('TS-PILE'!$E$56:$E$75)=0,0,'TO HOP NLAN'!E66*'TS-PILE'!$E$70/SUMSQ('TS-PILE'!$E$56:$E$75))+IF(SUMSQ('TS-PILE'!$D$56:$D$75)=0,0,'TO HOP NLAN'!F66*'TS-PILE'!$D$70/SUMSQ('TS-PILE'!$D$56:$D$75))),IF('TS-PILE'!$B$71="",-1E+99,'TO HOP NLAN'!D66/ncoc+IF(SUMSQ('TS-PILE'!$E$56:$E$75)=0,0,'TO HOP NLAN'!E66*'TS-PILE'!$E$71/SUMSQ('TS-PILE'!$E$56:$E$75))+IF(SUMSQ('TS-PILE'!$D$56:$D$75)=0,0,'TO HOP NLAN'!F66*'TS-PILE'!$D$71/SUMSQ('TS-PILE'!$D$56:$D$75))),IF('TS-PILE'!$B$72="",-1E+99,'TO HOP NLAN'!D66/ncoc+IF(SUMSQ('TS-PILE'!$E$56:$E$75)=0,0,'TO HOP NLAN'!E66*'TS-PILE'!$E$72/SUMSQ('TS-PILE'!$E$56:$E$75))+IF(SUMSQ('TS-PILE'!$D$56:$D$75)=0,0,'TO HOP NLAN'!F66*'TS-PILE'!$D$72/SUMSQ('TS-PILE'!$D$56:$D$75))),IF('TS-PILE'!$B$73="",-1E+99,'TO HOP NLAN'!D66/ncoc+IF(SUMSQ('TS-PILE'!$E$56:$E$75)=0,0,'TO HOP NLAN'!E66*'TS-PILE'!$E$73/SUMSQ('TS-PILE'!$E$56:$E$75))+IF(SUMSQ('TS-PILE'!$D$56:$D$75)=0,0,'TO HOP NLAN'!F66*'TS-PILE'!$D$73/SUMSQ('TS-PILE'!$D$56:$D$75))),IF('TS-PILE'!$B$74="",-1E+99,'TO HOP NLAN'!D66/ncoc+IF(SUMSQ('TS-PILE'!$E$56:$E$75)=0,0,'TO HOP NLAN'!E66*'TS-PILE'!$E$74/SUMSQ('TS-PILE'!$E$56:$E$75))+IF(SUMSQ('TS-PILE'!$D$56:$D$75)=0,0,'TO HOP NLAN'!F66*'TS-PILE'!$D$74/SUMSQ('TS-PILE'!$D$56:$D$75))),IF('TS-PILE'!$B$75="",-1E+99,'TO HOP NLAN'!D66/ncoc+IF(SUMSQ('TS-PILE'!$E$56:$E$75)=0,0,'TO HOP NLAN'!E66*'TS-PILE'!$E$75/SUMSQ('TS-PILE'!$E$56:$E$75))+IF(SUMSQ('TS-PILE'!$D$56:$D$75)=0,0,'TO HOP NLAN'!F66*'TS-PILE'!$D$75/SUMSQ('TS-PILE'!$D$56:$D$75)))))</f>
        <v>0</v>
      </c>
      <c r="D66" s="46">
        <f>IF(A66="",0,MIN(IF('TS-PILE'!$B$56="",1E+99,'TO HOP NLAN'!D66/ncoc+IF(SUMSQ('TS-PILE'!$E$56:$E$75)=0,0,'TO HOP NLAN'!E66*'TS-PILE'!$E$56/SUMSQ('TS-PILE'!$E$56:$E$75))+IF(SUMSQ('TS-PILE'!$D$56:$D$75)=0,0,'TO HOP NLAN'!F66*'TS-PILE'!$D$56/SUMSQ('TS-PILE'!$D$56:$D$75))),IF('TS-PILE'!$B$57="",1E+99,'TO HOP NLAN'!D66/ncoc+IF(SUMSQ('TS-PILE'!$E$56:$E$75)=0,0,'TO HOP NLAN'!E66*'TS-PILE'!$E$57/SUMSQ('TS-PILE'!$E$56:$E$75))+IF(SUMSQ('TS-PILE'!$D$56:$D$75)=0,0,'TO HOP NLAN'!F66*'TS-PILE'!$D$57/SUMSQ('TS-PILE'!$D$56:$D$75))),IF('TS-PILE'!$B$58="",1E+99,'TO HOP NLAN'!D66/ncoc+IF(SUMSQ('TS-PILE'!$E$56:$E$75)=0,0,'TO HOP NLAN'!E66*'TS-PILE'!$E$58/SUMSQ('TS-PILE'!$E$56:$E$75))+IF(SUMSQ('TS-PILE'!$D$56:$D$75)=0,0,'TO HOP NLAN'!F66*'TS-PILE'!$D$58/SUMSQ('TS-PILE'!$D$56:$D$75))),IF('TS-PILE'!$B$59="",1E+99,'TO HOP NLAN'!D66/ncoc+IF(SUMSQ('TS-PILE'!$E$56:$E$75)=0,0,'TO HOP NLAN'!E66*'TS-PILE'!$E$59/SUMSQ('TS-PILE'!$E$56:$E$75))+IF(SUMSQ('TS-PILE'!$D$56:$D$75)=0,0,'TO HOP NLAN'!F66*'TS-PILE'!$D$59/SUMSQ('TS-PILE'!$D$56:$D$75))),IF('TS-PILE'!$B$60="",1E+99,'TO HOP NLAN'!D66/ncoc+IF(SUMSQ('TS-PILE'!$E$56:$E$75)=0,0,'TO HOP NLAN'!E66*'TS-PILE'!$E$60/SUMSQ('TS-PILE'!$E$56:$E$75))+IF(SUMSQ('TS-PILE'!$D$56:$D$75)=0,0,'TO HOP NLAN'!F66*'TS-PILE'!$D$60/SUMSQ('TS-PILE'!$D$56:$D$75))),IF('TS-PILE'!$B$61="",1E+99,'TO HOP NLAN'!D66/ncoc+IF(SUMSQ('TS-PILE'!$E$56:$E$75)=0,0,'TO HOP NLAN'!E66*'TS-PILE'!$E$61/SUMSQ('TS-PILE'!$E$56:$E$75))+IF(SUMSQ('TS-PILE'!$D$56:$D$75)=0,0,'TO HOP NLAN'!F66*'TS-PILE'!$D$61/SUMSQ('TS-PILE'!$D$56:$D$75))),IF('TS-PILE'!$B$62="",1E+99,'TO HOP NLAN'!D66/ncoc+IF(SUMSQ('TS-PILE'!$E$56:$E$75)=0,0,'TO HOP NLAN'!E66*'TS-PILE'!$E$62/SUMSQ('TS-PILE'!$E$56:$E$75))+IF(SUMSQ('TS-PILE'!$D$56:$D$75)=0,0,'TO HOP NLAN'!F66*'TS-PILE'!$D$62/SUMSQ('TS-PILE'!$D$56:$D$75))),IF('TS-PILE'!$B$63="",1E+99,'TO HOP NLAN'!D66/ncoc+IF(SUMSQ('TS-PILE'!$E$56:$E$75)=0,0,'TO HOP NLAN'!E66*'TS-PILE'!$E$63/SUMSQ('TS-PILE'!$E$56:$E$75))+IF(SUMSQ('TS-PILE'!$D$56:$D$75)=0,0,'TO HOP NLAN'!F66*'TS-PILE'!$D$63/SUMSQ('TS-PILE'!$D$56:$D$75))),IF('TS-PILE'!$B$64="",1E+99,'TO HOP NLAN'!D66/ncoc+IF(SUMSQ('TS-PILE'!$E$56:$E$75)=0,0,'TO HOP NLAN'!E66*'TS-PILE'!$E$64/SUMSQ('TS-PILE'!$E$56:$E$75))+IF(SUMSQ('TS-PILE'!$D$56:$D$75)=0,0,'TO HOP NLAN'!F66*'TS-PILE'!$D$64/SUMSQ('TS-PILE'!$D$56:$D$75))),IF('TS-PILE'!$B$65="",1E+99,'TO HOP NLAN'!D66/ncoc+IF(SUMSQ('TS-PILE'!$E$56:$E$75)=0,0,'TO HOP NLAN'!E66*'TS-PILE'!$E$65/SUMSQ('TS-PILE'!$E$56:$E$75))+IF(SUMSQ('TS-PILE'!$D$56:$D$75)=0,0,'TO HOP NLAN'!F66*'TS-PILE'!$D$65/SUMSQ('TS-PILE'!$D$56:$D$75))),IF('TS-PILE'!$B$66="",1E+99,'TO HOP NLAN'!D66/ncoc+IF(SUMSQ('TS-PILE'!$E$56:$E$75)=0,0,'TO HOP NLAN'!E66*'TS-PILE'!$E$66/SUMSQ('TS-PILE'!$E$56:$E$75))+IF(SUMSQ('TS-PILE'!$D$56:$D$75)=0,0,'TO HOP NLAN'!F66*'TS-PILE'!$D$66/SUMSQ('TS-PILE'!$D$56:$D$75))),IF('TS-PILE'!$B$67="",1E+99,'TO HOP NLAN'!D66/ncoc+IF(SUMSQ('TS-PILE'!$E$56:$E$75)=0,0,'TO HOP NLAN'!E66*'TS-PILE'!$E$67/SUMSQ('TS-PILE'!$E$56:$E$75))+IF(SUMSQ('TS-PILE'!$D$56:$D$75)=0,0,'TO HOP NLAN'!F66*'TS-PILE'!$D$67/SUMSQ('TS-PILE'!$D$56:$D$75))),IF('TS-PILE'!$B$68="",1E+99,'TO HOP NLAN'!D66/ncoc+IF(SUMSQ('TS-PILE'!$E$56:$E$75)=0,0,'TO HOP NLAN'!E66*'TS-PILE'!$E$68/SUMSQ('TS-PILE'!$E$56:$E$75))+IF(SUMSQ('TS-PILE'!$D$56:$D$75)=0,0,'TO HOP NLAN'!F66*'TS-PILE'!$D$68/SUMSQ('TS-PILE'!$D$56:$D$75))),IF('TS-PILE'!$B$69="",1E+99,'TO HOP NLAN'!D66/ncoc+IF(SUMSQ('TS-PILE'!$E$56:$E$75)=0,0,'TO HOP NLAN'!E66*'TS-PILE'!$E$69/SUMSQ('TS-PILE'!$E$56:$E$75))+IF(SUMSQ('TS-PILE'!$D$56:$D$75)=0,0,'TO HOP NLAN'!F66*'TS-PILE'!$D$69/SUMSQ('TS-PILE'!$D$56:$D$75))),IF('TS-PILE'!$B$70="",1E+99,'TO HOP NLAN'!D66/ncoc+IF(SUMSQ('TS-PILE'!$E$56:$E$75)=0,0,'TO HOP NLAN'!E66*'TS-PILE'!$E$70/SUMSQ('TS-PILE'!$E$56:$E$75))+IF(SUMSQ('TS-PILE'!$D$56:$D$75)=0,0,'TO HOP NLAN'!F66*'TS-PILE'!$D$70/SUMSQ('TS-PILE'!$D$56:$D$75))),IF('TS-PILE'!$B$71="",1E+99,'TO HOP NLAN'!D66/ncoc+IF(SUMSQ('TS-PILE'!$E$56:$E$75)=0,0,'TO HOP NLAN'!E66*'TS-PILE'!$E$71/SUMSQ('TS-PILE'!$E$56:$E$75))+IF(SUMSQ('TS-PILE'!$D$56:$D$75)=0,0,'TO HOP NLAN'!F66*'TS-PILE'!$D$71/SUMSQ('TS-PILE'!$D$56:$D$75))),IF('TS-PILE'!$B$72="",1E+99,'TO HOP NLAN'!D66/ncoc+IF(SUMSQ('TS-PILE'!$E$56:$E$75)=0,0,'TO HOP NLAN'!E66*'TS-PILE'!$E$72/SUMSQ('TS-PILE'!$E$56:$E$75))+IF(SUMSQ('TS-PILE'!$D$56:$D$75)=0,0,'TO HOP NLAN'!F66*'TS-PILE'!$D$72/SUMSQ('TS-PILE'!$D$56:$D$75))),IF('TS-PILE'!$B$73="",1E+99,'TO HOP NLAN'!D66/ncoc+IF(SUMSQ('TS-PILE'!$E$56:$E$75)=0,0,'TO HOP NLAN'!E66*'TS-PILE'!$E$73/SUMSQ('TS-PILE'!$E$56:$E$75))+IF(SUMSQ('TS-PILE'!$D$56:$D$75)=0,0,'TO HOP NLAN'!F66*'TS-PILE'!$D$73/SUMSQ('TS-PILE'!$D$56:$D$75))),IF('TS-PILE'!$B$74="",1E+99,'TO HOP NLAN'!D66/ncoc+IF(SUMSQ('TS-PILE'!$E$56:$E$75)=0,0,'TO HOP NLAN'!E66*'TS-PILE'!$E$74/SUMSQ('TS-PILE'!$E$56:$E$75))+IF(SUMSQ('TS-PILE'!$D$56:$D$75)=0,0,'TO HOP NLAN'!F66*'TS-PILE'!$D$74/SUMSQ('TS-PILE'!$D$56:$D$75))),IF('TS-PILE'!$B$75="",1E+99,'TO HOP NLAN'!D66/ncoc+IF(SUMSQ('TS-PILE'!$E$56:$E$75)=0,0,'TO HOP NLAN'!E66*'TS-PILE'!$E$75/SUMSQ('TS-PILE'!$E$56:$E$75))+IF(SUMSQ('TS-PILE'!$D$56:$D$75)=0,0,'TO HOP NLAN'!F66*'TS-PILE'!$D$75/SUMSQ('TS-PILE'!$D$56:$D$75)))))</f>
        <v>0</v>
      </c>
      <c r="E66" s="46">
        <f t="shared" si="0"/>
        <v>-9.9999999999999997E+98</v>
      </c>
      <c r="F66" s="46">
        <f t="shared" si="1"/>
        <v>9.9999999999999997E+98</v>
      </c>
      <c r="G66" s="46">
        <f t="shared" si="2"/>
        <v>-9.9999999999999997E+98</v>
      </c>
      <c r="H66" s="46">
        <f t="shared" si="3"/>
        <v>9.9999999999999997E+98</v>
      </c>
    </row>
    <row r="67" spans="1:8" x14ac:dyDescent="0.3">
      <c r="A67" s="40" t="str">
        <f>'TO HOP NLAN'!A67</f>
        <v/>
      </c>
      <c r="B67" s="40" t="str">
        <f>'TO HOP NLAN'!L67</f>
        <v>SERVICE</v>
      </c>
      <c r="C67" s="46">
        <f>IF(A67="",0,MAX(IF('TS-PILE'!$B$56="",-1E+99,'TO HOP NLAN'!D67/ncoc+IF(SUMSQ('TS-PILE'!$E$56:$E$75)=0,0,'TO HOP NLAN'!E67*'TS-PILE'!$E$56/SUMSQ('TS-PILE'!$E$56:$E$75))+IF(SUMSQ('TS-PILE'!$D$56:$D$75)=0,0,'TO HOP NLAN'!F67*'TS-PILE'!$D$56/SUMSQ('TS-PILE'!$D$56:$D$75))),IF('TS-PILE'!$B$57="",-1E+99,'TO HOP NLAN'!D67/ncoc+IF(SUMSQ('TS-PILE'!$E$56:$E$75)=0,0,'TO HOP NLAN'!E67*'TS-PILE'!$E$57/SUMSQ('TS-PILE'!$E$56:$E$75))+IF(SUMSQ('TS-PILE'!$D$56:$D$75)=0,0,'TO HOP NLAN'!F67*'TS-PILE'!$D$57/SUMSQ('TS-PILE'!$D$56:$D$75))),IF('TS-PILE'!$B$58="",-1E+99,'TO HOP NLAN'!D67/ncoc+IF(SUMSQ('TS-PILE'!$E$56:$E$75)=0,0,'TO HOP NLAN'!E67*'TS-PILE'!$E$58/SUMSQ('TS-PILE'!$E$56:$E$75))+IF(SUMSQ('TS-PILE'!$D$56:$D$75)=0,0,'TO HOP NLAN'!F67*'TS-PILE'!$D$58/SUMSQ('TS-PILE'!$D$56:$D$75))),IF('TS-PILE'!$B$59="",-1E+99,'TO HOP NLAN'!D67/ncoc+IF(SUMSQ('TS-PILE'!$E$56:$E$75)=0,0,'TO HOP NLAN'!E67*'TS-PILE'!$E$59/SUMSQ('TS-PILE'!$E$56:$E$75))+IF(SUMSQ('TS-PILE'!$D$56:$D$75)=0,0,'TO HOP NLAN'!F67*'TS-PILE'!$D$59/SUMSQ('TS-PILE'!$D$56:$D$75))),IF('TS-PILE'!$B$60="",-1E+99,'TO HOP NLAN'!D67/ncoc+IF(SUMSQ('TS-PILE'!$E$56:$E$75)=0,0,'TO HOP NLAN'!E67*'TS-PILE'!$E$60/SUMSQ('TS-PILE'!$E$56:$E$75))+IF(SUMSQ('TS-PILE'!$D$56:$D$75)=0,0,'TO HOP NLAN'!F67*'TS-PILE'!$D$60/SUMSQ('TS-PILE'!$D$56:$D$75))),IF('TS-PILE'!$B$61="",-1E+99,'TO HOP NLAN'!D67/ncoc+IF(SUMSQ('TS-PILE'!$E$56:$E$75)=0,0,'TO HOP NLAN'!E67*'TS-PILE'!$E$61/SUMSQ('TS-PILE'!$E$56:$E$75))+IF(SUMSQ('TS-PILE'!$D$56:$D$75)=0,0,'TO HOP NLAN'!F67*'TS-PILE'!$D$61/SUMSQ('TS-PILE'!$D$56:$D$75))),IF('TS-PILE'!$B$62="",-1E+99,'TO HOP NLAN'!D67/ncoc+IF(SUMSQ('TS-PILE'!$E$56:$E$75)=0,0,'TO HOP NLAN'!E67*'TS-PILE'!$E$62/SUMSQ('TS-PILE'!$E$56:$E$75))+IF(SUMSQ('TS-PILE'!$D$56:$D$75)=0,0,'TO HOP NLAN'!F67*'TS-PILE'!$D$62/SUMSQ('TS-PILE'!$D$56:$D$75))),IF('TS-PILE'!$B$63="",-1E+99,'TO HOP NLAN'!D67/ncoc+IF(SUMSQ('TS-PILE'!$E$56:$E$75)=0,0,'TO HOP NLAN'!E67*'TS-PILE'!$E$63/SUMSQ('TS-PILE'!$E$56:$E$75))+IF(SUMSQ('TS-PILE'!$D$56:$D$75)=0,0,'TO HOP NLAN'!F67*'TS-PILE'!$D$63/SUMSQ('TS-PILE'!$D$56:$D$75))),IF('TS-PILE'!$B$64="",-1E+99,'TO HOP NLAN'!D67/ncoc+IF(SUMSQ('TS-PILE'!$E$56:$E$75)=0,0,'TO HOP NLAN'!E67*'TS-PILE'!$E$64/SUMSQ('TS-PILE'!$E$56:$E$75))+IF(SUMSQ('TS-PILE'!$D$56:$D$75)=0,0,'TO HOP NLAN'!F67*'TS-PILE'!$D$64/SUMSQ('TS-PILE'!$D$56:$D$75))),IF('TS-PILE'!$B$65="",-1E+99,'TO HOP NLAN'!D67/ncoc+IF(SUMSQ('TS-PILE'!$E$56:$E$75)=0,0,'TO HOP NLAN'!E67*'TS-PILE'!$E$65/SUMSQ('TS-PILE'!$E$56:$E$75))+IF(SUMSQ('TS-PILE'!$D$56:$D$75)=0,0,'TO HOP NLAN'!F67*'TS-PILE'!$D$65/SUMSQ('TS-PILE'!$D$56:$D$75))),IF('TS-PILE'!$B$66="",-1E+99,'TO HOP NLAN'!D67/ncoc+IF(SUMSQ('TS-PILE'!$E$56:$E$75)=0,0,'TO HOP NLAN'!E67*'TS-PILE'!$E$66/SUMSQ('TS-PILE'!$E$56:$E$75))+IF(SUMSQ('TS-PILE'!$D$56:$D$75)=0,0,'TO HOP NLAN'!F67*'TS-PILE'!$D$66/SUMSQ('TS-PILE'!$D$56:$D$75))),IF('TS-PILE'!$B$67="",-1E+99,'TO HOP NLAN'!D67/ncoc+IF(SUMSQ('TS-PILE'!$E$56:$E$75)=0,0,'TO HOP NLAN'!E67*'TS-PILE'!$E$67/SUMSQ('TS-PILE'!$E$56:$E$75))+IF(SUMSQ('TS-PILE'!$D$56:$D$75)=0,0,'TO HOP NLAN'!F67*'TS-PILE'!$D$67/SUMSQ('TS-PILE'!$D$56:$D$75))),IF('TS-PILE'!$B$68="",-1E+99,'TO HOP NLAN'!D67/ncoc+IF(SUMSQ('TS-PILE'!$E$56:$E$75)=0,0,'TO HOP NLAN'!E67*'TS-PILE'!$E$68/SUMSQ('TS-PILE'!$E$56:$E$75))+IF(SUMSQ('TS-PILE'!$D$56:$D$75)=0,0,'TO HOP NLAN'!F67*'TS-PILE'!$D$68/SUMSQ('TS-PILE'!$D$56:$D$75))),IF('TS-PILE'!$B$69="",-1E+99,'TO HOP NLAN'!D67/ncoc+IF(SUMSQ('TS-PILE'!$E$56:$E$75)=0,0,'TO HOP NLAN'!E67*'TS-PILE'!$E$69/SUMSQ('TS-PILE'!$E$56:$E$75))+IF(SUMSQ('TS-PILE'!$D$56:$D$75)=0,0,'TO HOP NLAN'!F67*'TS-PILE'!$D$69/SUMSQ('TS-PILE'!$D$56:$D$75))),IF('TS-PILE'!$B$70="",-1E+99,'TO HOP NLAN'!D67/ncoc+IF(SUMSQ('TS-PILE'!$E$56:$E$75)=0,0,'TO HOP NLAN'!E67*'TS-PILE'!$E$70/SUMSQ('TS-PILE'!$E$56:$E$75))+IF(SUMSQ('TS-PILE'!$D$56:$D$75)=0,0,'TO HOP NLAN'!F67*'TS-PILE'!$D$70/SUMSQ('TS-PILE'!$D$56:$D$75))),IF('TS-PILE'!$B$71="",-1E+99,'TO HOP NLAN'!D67/ncoc+IF(SUMSQ('TS-PILE'!$E$56:$E$75)=0,0,'TO HOP NLAN'!E67*'TS-PILE'!$E$71/SUMSQ('TS-PILE'!$E$56:$E$75))+IF(SUMSQ('TS-PILE'!$D$56:$D$75)=0,0,'TO HOP NLAN'!F67*'TS-PILE'!$D$71/SUMSQ('TS-PILE'!$D$56:$D$75))),IF('TS-PILE'!$B$72="",-1E+99,'TO HOP NLAN'!D67/ncoc+IF(SUMSQ('TS-PILE'!$E$56:$E$75)=0,0,'TO HOP NLAN'!E67*'TS-PILE'!$E$72/SUMSQ('TS-PILE'!$E$56:$E$75))+IF(SUMSQ('TS-PILE'!$D$56:$D$75)=0,0,'TO HOP NLAN'!F67*'TS-PILE'!$D$72/SUMSQ('TS-PILE'!$D$56:$D$75))),IF('TS-PILE'!$B$73="",-1E+99,'TO HOP NLAN'!D67/ncoc+IF(SUMSQ('TS-PILE'!$E$56:$E$75)=0,0,'TO HOP NLAN'!E67*'TS-PILE'!$E$73/SUMSQ('TS-PILE'!$E$56:$E$75))+IF(SUMSQ('TS-PILE'!$D$56:$D$75)=0,0,'TO HOP NLAN'!F67*'TS-PILE'!$D$73/SUMSQ('TS-PILE'!$D$56:$D$75))),IF('TS-PILE'!$B$74="",-1E+99,'TO HOP NLAN'!D67/ncoc+IF(SUMSQ('TS-PILE'!$E$56:$E$75)=0,0,'TO HOP NLAN'!E67*'TS-PILE'!$E$74/SUMSQ('TS-PILE'!$E$56:$E$75))+IF(SUMSQ('TS-PILE'!$D$56:$D$75)=0,0,'TO HOP NLAN'!F67*'TS-PILE'!$D$74/SUMSQ('TS-PILE'!$D$56:$D$75))),IF('TS-PILE'!$B$75="",-1E+99,'TO HOP NLAN'!D67/ncoc+IF(SUMSQ('TS-PILE'!$E$56:$E$75)=0,0,'TO HOP NLAN'!E67*'TS-PILE'!$E$75/SUMSQ('TS-PILE'!$E$56:$E$75))+IF(SUMSQ('TS-PILE'!$D$56:$D$75)=0,0,'TO HOP NLAN'!F67*'TS-PILE'!$D$75/SUMSQ('TS-PILE'!$D$56:$D$75)))))</f>
        <v>0</v>
      </c>
      <c r="D67" s="46">
        <f>IF(A67="",0,MIN(IF('TS-PILE'!$B$56="",1E+99,'TO HOP NLAN'!D67/ncoc+IF(SUMSQ('TS-PILE'!$E$56:$E$75)=0,0,'TO HOP NLAN'!E67*'TS-PILE'!$E$56/SUMSQ('TS-PILE'!$E$56:$E$75))+IF(SUMSQ('TS-PILE'!$D$56:$D$75)=0,0,'TO HOP NLAN'!F67*'TS-PILE'!$D$56/SUMSQ('TS-PILE'!$D$56:$D$75))),IF('TS-PILE'!$B$57="",1E+99,'TO HOP NLAN'!D67/ncoc+IF(SUMSQ('TS-PILE'!$E$56:$E$75)=0,0,'TO HOP NLAN'!E67*'TS-PILE'!$E$57/SUMSQ('TS-PILE'!$E$56:$E$75))+IF(SUMSQ('TS-PILE'!$D$56:$D$75)=0,0,'TO HOP NLAN'!F67*'TS-PILE'!$D$57/SUMSQ('TS-PILE'!$D$56:$D$75))),IF('TS-PILE'!$B$58="",1E+99,'TO HOP NLAN'!D67/ncoc+IF(SUMSQ('TS-PILE'!$E$56:$E$75)=0,0,'TO HOP NLAN'!E67*'TS-PILE'!$E$58/SUMSQ('TS-PILE'!$E$56:$E$75))+IF(SUMSQ('TS-PILE'!$D$56:$D$75)=0,0,'TO HOP NLAN'!F67*'TS-PILE'!$D$58/SUMSQ('TS-PILE'!$D$56:$D$75))),IF('TS-PILE'!$B$59="",1E+99,'TO HOP NLAN'!D67/ncoc+IF(SUMSQ('TS-PILE'!$E$56:$E$75)=0,0,'TO HOP NLAN'!E67*'TS-PILE'!$E$59/SUMSQ('TS-PILE'!$E$56:$E$75))+IF(SUMSQ('TS-PILE'!$D$56:$D$75)=0,0,'TO HOP NLAN'!F67*'TS-PILE'!$D$59/SUMSQ('TS-PILE'!$D$56:$D$75))),IF('TS-PILE'!$B$60="",1E+99,'TO HOP NLAN'!D67/ncoc+IF(SUMSQ('TS-PILE'!$E$56:$E$75)=0,0,'TO HOP NLAN'!E67*'TS-PILE'!$E$60/SUMSQ('TS-PILE'!$E$56:$E$75))+IF(SUMSQ('TS-PILE'!$D$56:$D$75)=0,0,'TO HOP NLAN'!F67*'TS-PILE'!$D$60/SUMSQ('TS-PILE'!$D$56:$D$75))),IF('TS-PILE'!$B$61="",1E+99,'TO HOP NLAN'!D67/ncoc+IF(SUMSQ('TS-PILE'!$E$56:$E$75)=0,0,'TO HOP NLAN'!E67*'TS-PILE'!$E$61/SUMSQ('TS-PILE'!$E$56:$E$75))+IF(SUMSQ('TS-PILE'!$D$56:$D$75)=0,0,'TO HOP NLAN'!F67*'TS-PILE'!$D$61/SUMSQ('TS-PILE'!$D$56:$D$75))),IF('TS-PILE'!$B$62="",1E+99,'TO HOP NLAN'!D67/ncoc+IF(SUMSQ('TS-PILE'!$E$56:$E$75)=0,0,'TO HOP NLAN'!E67*'TS-PILE'!$E$62/SUMSQ('TS-PILE'!$E$56:$E$75))+IF(SUMSQ('TS-PILE'!$D$56:$D$75)=0,0,'TO HOP NLAN'!F67*'TS-PILE'!$D$62/SUMSQ('TS-PILE'!$D$56:$D$75))),IF('TS-PILE'!$B$63="",1E+99,'TO HOP NLAN'!D67/ncoc+IF(SUMSQ('TS-PILE'!$E$56:$E$75)=0,0,'TO HOP NLAN'!E67*'TS-PILE'!$E$63/SUMSQ('TS-PILE'!$E$56:$E$75))+IF(SUMSQ('TS-PILE'!$D$56:$D$75)=0,0,'TO HOP NLAN'!F67*'TS-PILE'!$D$63/SUMSQ('TS-PILE'!$D$56:$D$75))),IF('TS-PILE'!$B$64="",1E+99,'TO HOP NLAN'!D67/ncoc+IF(SUMSQ('TS-PILE'!$E$56:$E$75)=0,0,'TO HOP NLAN'!E67*'TS-PILE'!$E$64/SUMSQ('TS-PILE'!$E$56:$E$75))+IF(SUMSQ('TS-PILE'!$D$56:$D$75)=0,0,'TO HOP NLAN'!F67*'TS-PILE'!$D$64/SUMSQ('TS-PILE'!$D$56:$D$75))),IF('TS-PILE'!$B$65="",1E+99,'TO HOP NLAN'!D67/ncoc+IF(SUMSQ('TS-PILE'!$E$56:$E$75)=0,0,'TO HOP NLAN'!E67*'TS-PILE'!$E$65/SUMSQ('TS-PILE'!$E$56:$E$75))+IF(SUMSQ('TS-PILE'!$D$56:$D$75)=0,0,'TO HOP NLAN'!F67*'TS-PILE'!$D$65/SUMSQ('TS-PILE'!$D$56:$D$75))),IF('TS-PILE'!$B$66="",1E+99,'TO HOP NLAN'!D67/ncoc+IF(SUMSQ('TS-PILE'!$E$56:$E$75)=0,0,'TO HOP NLAN'!E67*'TS-PILE'!$E$66/SUMSQ('TS-PILE'!$E$56:$E$75))+IF(SUMSQ('TS-PILE'!$D$56:$D$75)=0,0,'TO HOP NLAN'!F67*'TS-PILE'!$D$66/SUMSQ('TS-PILE'!$D$56:$D$75))),IF('TS-PILE'!$B$67="",1E+99,'TO HOP NLAN'!D67/ncoc+IF(SUMSQ('TS-PILE'!$E$56:$E$75)=0,0,'TO HOP NLAN'!E67*'TS-PILE'!$E$67/SUMSQ('TS-PILE'!$E$56:$E$75))+IF(SUMSQ('TS-PILE'!$D$56:$D$75)=0,0,'TO HOP NLAN'!F67*'TS-PILE'!$D$67/SUMSQ('TS-PILE'!$D$56:$D$75))),IF('TS-PILE'!$B$68="",1E+99,'TO HOP NLAN'!D67/ncoc+IF(SUMSQ('TS-PILE'!$E$56:$E$75)=0,0,'TO HOP NLAN'!E67*'TS-PILE'!$E$68/SUMSQ('TS-PILE'!$E$56:$E$75))+IF(SUMSQ('TS-PILE'!$D$56:$D$75)=0,0,'TO HOP NLAN'!F67*'TS-PILE'!$D$68/SUMSQ('TS-PILE'!$D$56:$D$75))),IF('TS-PILE'!$B$69="",1E+99,'TO HOP NLAN'!D67/ncoc+IF(SUMSQ('TS-PILE'!$E$56:$E$75)=0,0,'TO HOP NLAN'!E67*'TS-PILE'!$E$69/SUMSQ('TS-PILE'!$E$56:$E$75))+IF(SUMSQ('TS-PILE'!$D$56:$D$75)=0,0,'TO HOP NLAN'!F67*'TS-PILE'!$D$69/SUMSQ('TS-PILE'!$D$56:$D$75))),IF('TS-PILE'!$B$70="",1E+99,'TO HOP NLAN'!D67/ncoc+IF(SUMSQ('TS-PILE'!$E$56:$E$75)=0,0,'TO HOP NLAN'!E67*'TS-PILE'!$E$70/SUMSQ('TS-PILE'!$E$56:$E$75))+IF(SUMSQ('TS-PILE'!$D$56:$D$75)=0,0,'TO HOP NLAN'!F67*'TS-PILE'!$D$70/SUMSQ('TS-PILE'!$D$56:$D$75))),IF('TS-PILE'!$B$71="",1E+99,'TO HOP NLAN'!D67/ncoc+IF(SUMSQ('TS-PILE'!$E$56:$E$75)=0,0,'TO HOP NLAN'!E67*'TS-PILE'!$E$71/SUMSQ('TS-PILE'!$E$56:$E$75))+IF(SUMSQ('TS-PILE'!$D$56:$D$75)=0,0,'TO HOP NLAN'!F67*'TS-PILE'!$D$71/SUMSQ('TS-PILE'!$D$56:$D$75))),IF('TS-PILE'!$B$72="",1E+99,'TO HOP NLAN'!D67/ncoc+IF(SUMSQ('TS-PILE'!$E$56:$E$75)=0,0,'TO HOP NLAN'!E67*'TS-PILE'!$E$72/SUMSQ('TS-PILE'!$E$56:$E$75))+IF(SUMSQ('TS-PILE'!$D$56:$D$75)=0,0,'TO HOP NLAN'!F67*'TS-PILE'!$D$72/SUMSQ('TS-PILE'!$D$56:$D$75))),IF('TS-PILE'!$B$73="",1E+99,'TO HOP NLAN'!D67/ncoc+IF(SUMSQ('TS-PILE'!$E$56:$E$75)=0,0,'TO HOP NLAN'!E67*'TS-PILE'!$E$73/SUMSQ('TS-PILE'!$E$56:$E$75))+IF(SUMSQ('TS-PILE'!$D$56:$D$75)=0,0,'TO HOP NLAN'!F67*'TS-PILE'!$D$73/SUMSQ('TS-PILE'!$D$56:$D$75))),IF('TS-PILE'!$B$74="",1E+99,'TO HOP NLAN'!D67/ncoc+IF(SUMSQ('TS-PILE'!$E$56:$E$75)=0,0,'TO HOP NLAN'!E67*'TS-PILE'!$E$74/SUMSQ('TS-PILE'!$E$56:$E$75))+IF(SUMSQ('TS-PILE'!$D$56:$D$75)=0,0,'TO HOP NLAN'!F67*'TS-PILE'!$D$74/SUMSQ('TS-PILE'!$D$56:$D$75))),IF('TS-PILE'!$B$75="",1E+99,'TO HOP NLAN'!D67/ncoc+IF(SUMSQ('TS-PILE'!$E$56:$E$75)=0,0,'TO HOP NLAN'!E67*'TS-PILE'!$E$75/SUMSQ('TS-PILE'!$E$56:$E$75))+IF(SUMSQ('TS-PILE'!$D$56:$D$75)=0,0,'TO HOP NLAN'!F67*'TS-PILE'!$D$75/SUMSQ('TS-PILE'!$D$56:$D$75)))))</f>
        <v>0</v>
      </c>
      <c r="E67" s="46">
        <f t="shared" si="0"/>
        <v>-9.9999999999999997E+98</v>
      </c>
      <c r="F67" s="46">
        <f t="shared" si="1"/>
        <v>9.9999999999999997E+98</v>
      </c>
      <c r="G67" s="46">
        <f t="shared" si="2"/>
        <v>-9.9999999999999997E+98</v>
      </c>
      <c r="H67" s="46">
        <f t="shared" si="3"/>
        <v>9.9999999999999997E+98</v>
      </c>
    </row>
    <row r="68" spans="1:8" x14ac:dyDescent="0.3">
      <c r="A68" s="40" t="str">
        <f>'TO HOP NLAN'!A68</f>
        <v/>
      </c>
      <c r="B68" s="40" t="str">
        <f>'TO HOP NLAN'!L68</f>
        <v>SERVICE</v>
      </c>
      <c r="C68" s="46">
        <f>IF(A68="",0,MAX(IF('TS-PILE'!$B$56="",-1E+99,'TO HOP NLAN'!D68/ncoc+IF(SUMSQ('TS-PILE'!$E$56:$E$75)=0,0,'TO HOP NLAN'!E68*'TS-PILE'!$E$56/SUMSQ('TS-PILE'!$E$56:$E$75))+IF(SUMSQ('TS-PILE'!$D$56:$D$75)=0,0,'TO HOP NLAN'!F68*'TS-PILE'!$D$56/SUMSQ('TS-PILE'!$D$56:$D$75))),IF('TS-PILE'!$B$57="",-1E+99,'TO HOP NLAN'!D68/ncoc+IF(SUMSQ('TS-PILE'!$E$56:$E$75)=0,0,'TO HOP NLAN'!E68*'TS-PILE'!$E$57/SUMSQ('TS-PILE'!$E$56:$E$75))+IF(SUMSQ('TS-PILE'!$D$56:$D$75)=0,0,'TO HOP NLAN'!F68*'TS-PILE'!$D$57/SUMSQ('TS-PILE'!$D$56:$D$75))),IF('TS-PILE'!$B$58="",-1E+99,'TO HOP NLAN'!D68/ncoc+IF(SUMSQ('TS-PILE'!$E$56:$E$75)=0,0,'TO HOP NLAN'!E68*'TS-PILE'!$E$58/SUMSQ('TS-PILE'!$E$56:$E$75))+IF(SUMSQ('TS-PILE'!$D$56:$D$75)=0,0,'TO HOP NLAN'!F68*'TS-PILE'!$D$58/SUMSQ('TS-PILE'!$D$56:$D$75))),IF('TS-PILE'!$B$59="",-1E+99,'TO HOP NLAN'!D68/ncoc+IF(SUMSQ('TS-PILE'!$E$56:$E$75)=0,0,'TO HOP NLAN'!E68*'TS-PILE'!$E$59/SUMSQ('TS-PILE'!$E$56:$E$75))+IF(SUMSQ('TS-PILE'!$D$56:$D$75)=0,0,'TO HOP NLAN'!F68*'TS-PILE'!$D$59/SUMSQ('TS-PILE'!$D$56:$D$75))),IF('TS-PILE'!$B$60="",-1E+99,'TO HOP NLAN'!D68/ncoc+IF(SUMSQ('TS-PILE'!$E$56:$E$75)=0,0,'TO HOP NLAN'!E68*'TS-PILE'!$E$60/SUMSQ('TS-PILE'!$E$56:$E$75))+IF(SUMSQ('TS-PILE'!$D$56:$D$75)=0,0,'TO HOP NLAN'!F68*'TS-PILE'!$D$60/SUMSQ('TS-PILE'!$D$56:$D$75))),IF('TS-PILE'!$B$61="",-1E+99,'TO HOP NLAN'!D68/ncoc+IF(SUMSQ('TS-PILE'!$E$56:$E$75)=0,0,'TO HOP NLAN'!E68*'TS-PILE'!$E$61/SUMSQ('TS-PILE'!$E$56:$E$75))+IF(SUMSQ('TS-PILE'!$D$56:$D$75)=0,0,'TO HOP NLAN'!F68*'TS-PILE'!$D$61/SUMSQ('TS-PILE'!$D$56:$D$75))),IF('TS-PILE'!$B$62="",-1E+99,'TO HOP NLAN'!D68/ncoc+IF(SUMSQ('TS-PILE'!$E$56:$E$75)=0,0,'TO HOP NLAN'!E68*'TS-PILE'!$E$62/SUMSQ('TS-PILE'!$E$56:$E$75))+IF(SUMSQ('TS-PILE'!$D$56:$D$75)=0,0,'TO HOP NLAN'!F68*'TS-PILE'!$D$62/SUMSQ('TS-PILE'!$D$56:$D$75))),IF('TS-PILE'!$B$63="",-1E+99,'TO HOP NLAN'!D68/ncoc+IF(SUMSQ('TS-PILE'!$E$56:$E$75)=0,0,'TO HOP NLAN'!E68*'TS-PILE'!$E$63/SUMSQ('TS-PILE'!$E$56:$E$75))+IF(SUMSQ('TS-PILE'!$D$56:$D$75)=0,0,'TO HOP NLAN'!F68*'TS-PILE'!$D$63/SUMSQ('TS-PILE'!$D$56:$D$75))),IF('TS-PILE'!$B$64="",-1E+99,'TO HOP NLAN'!D68/ncoc+IF(SUMSQ('TS-PILE'!$E$56:$E$75)=0,0,'TO HOP NLAN'!E68*'TS-PILE'!$E$64/SUMSQ('TS-PILE'!$E$56:$E$75))+IF(SUMSQ('TS-PILE'!$D$56:$D$75)=0,0,'TO HOP NLAN'!F68*'TS-PILE'!$D$64/SUMSQ('TS-PILE'!$D$56:$D$75))),IF('TS-PILE'!$B$65="",-1E+99,'TO HOP NLAN'!D68/ncoc+IF(SUMSQ('TS-PILE'!$E$56:$E$75)=0,0,'TO HOP NLAN'!E68*'TS-PILE'!$E$65/SUMSQ('TS-PILE'!$E$56:$E$75))+IF(SUMSQ('TS-PILE'!$D$56:$D$75)=0,0,'TO HOP NLAN'!F68*'TS-PILE'!$D$65/SUMSQ('TS-PILE'!$D$56:$D$75))),IF('TS-PILE'!$B$66="",-1E+99,'TO HOP NLAN'!D68/ncoc+IF(SUMSQ('TS-PILE'!$E$56:$E$75)=0,0,'TO HOP NLAN'!E68*'TS-PILE'!$E$66/SUMSQ('TS-PILE'!$E$56:$E$75))+IF(SUMSQ('TS-PILE'!$D$56:$D$75)=0,0,'TO HOP NLAN'!F68*'TS-PILE'!$D$66/SUMSQ('TS-PILE'!$D$56:$D$75))),IF('TS-PILE'!$B$67="",-1E+99,'TO HOP NLAN'!D68/ncoc+IF(SUMSQ('TS-PILE'!$E$56:$E$75)=0,0,'TO HOP NLAN'!E68*'TS-PILE'!$E$67/SUMSQ('TS-PILE'!$E$56:$E$75))+IF(SUMSQ('TS-PILE'!$D$56:$D$75)=0,0,'TO HOP NLAN'!F68*'TS-PILE'!$D$67/SUMSQ('TS-PILE'!$D$56:$D$75))),IF('TS-PILE'!$B$68="",-1E+99,'TO HOP NLAN'!D68/ncoc+IF(SUMSQ('TS-PILE'!$E$56:$E$75)=0,0,'TO HOP NLAN'!E68*'TS-PILE'!$E$68/SUMSQ('TS-PILE'!$E$56:$E$75))+IF(SUMSQ('TS-PILE'!$D$56:$D$75)=0,0,'TO HOP NLAN'!F68*'TS-PILE'!$D$68/SUMSQ('TS-PILE'!$D$56:$D$75))),IF('TS-PILE'!$B$69="",-1E+99,'TO HOP NLAN'!D68/ncoc+IF(SUMSQ('TS-PILE'!$E$56:$E$75)=0,0,'TO HOP NLAN'!E68*'TS-PILE'!$E$69/SUMSQ('TS-PILE'!$E$56:$E$75))+IF(SUMSQ('TS-PILE'!$D$56:$D$75)=0,0,'TO HOP NLAN'!F68*'TS-PILE'!$D$69/SUMSQ('TS-PILE'!$D$56:$D$75))),IF('TS-PILE'!$B$70="",-1E+99,'TO HOP NLAN'!D68/ncoc+IF(SUMSQ('TS-PILE'!$E$56:$E$75)=0,0,'TO HOP NLAN'!E68*'TS-PILE'!$E$70/SUMSQ('TS-PILE'!$E$56:$E$75))+IF(SUMSQ('TS-PILE'!$D$56:$D$75)=0,0,'TO HOP NLAN'!F68*'TS-PILE'!$D$70/SUMSQ('TS-PILE'!$D$56:$D$75))),IF('TS-PILE'!$B$71="",-1E+99,'TO HOP NLAN'!D68/ncoc+IF(SUMSQ('TS-PILE'!$E$56:$E$75)=0,0,'TO HOP NLAN'!E68*'TS-PILE'!$E$71/SUMSQ('TS-PILE'!$E$56:$E$75))+IF(SUMSQ('TS-PILE'!$D$56:$D$75)=0,0,'TO HOP NLAN'!F68*'TS-PILE'!$D$71/SUMSQ('TS-PILE'!$D$56:$D$75))),IF('TS-PILE'!$B$72="",-1E+99,'TO HOP NLAN'!D68/ncoc+IF(SUMSQ('TS-PILE'!$E$56:$E$75)=0,0,'TO HOP NLAN'!E68*'TS-PILE'!$E$72/SUMSQ('TS-PILE'!$E$56:$E$75))+IF(SUMSQ('TS-PILE'!$D$56:$D$75)=0,0,'TO HOP NLAN'!F68*'TS-PILE'!$D$72/SUMSQ('TS-PILE'!$D$56:$D$75))),IF('TS-PILE'!$B$73="",-1E+99,'TO HOP NLAN'!D68/ncoc+IF(SUMSQ('TS-PILE'!$E$56:$E$75)=0,0,'TO HOP NLAN'!E68*'TS-PILE'!$E$73/SUMSQ('TS-PILE'!$E$56:$E$75))+IF(SUMSQ('TS-PILE'!$D$56:$D$75)=0,0,'TO HOP NLAN'!F68*'TS-PILE'!$D$73/SUMSQ('TS-PILE'!$D$56:$D$75))),IF('TS-PILE'!$B$74="",-1E+99,'TO HOP NLAN'!D68/ncoc+IF(SUMSQ('TS-PILE'!$E$56:$E$75)=0,0,'TO HOP NLAN'!E68*'TS-PILE'!$E$74/SUMSQ('TS-PILE'!$E$56:$E$75))+IF(SUMSQ('TS-PILE'!$D$56:$D$75)=0,0,'TO HOP NLAN'!F68*'TS-PILE'!$D$74/SUMSQ('TS-PILE'!$D$56:$D$75))),IF('TS-PILE'!$B$75="",-1E+99,'TO HOP NLAN'!D68/ncoc+IF(SUMSQ('TS-PILE'!$E$56:$E$75)=0,0,'TO HOP NLAN'!E68*'TS-PILE'!$E$75/SUMSQ('TS-PILE'!$E$56:$E$75))+IF(SUMSQ('TS-PILE'!$D$56:$D$75)=0,0,'TO HOP NLAN'!F68*'TS-PILE'!$D$75/SUMSQ('TS-PILE'!$D$56:$D$75)))))</f>
        <v>0</v>
      </c>
      <c r="D68" s="46">
        <f>IF(A68="",0,MIN(IF('TS-PILE'!$B$56="",1E+99,'TO HOP NLAN'!D68/ncoc+IF(SUMSQ('TS-PILE'!$E$56:$E$75)=0,0,'TO HOP NLAN'!E68*'TS-PILE'!$E$56/SUMSQ('TS-PILE'!$E$56:$E$75))+IF(SUMSQ('TS-PILE'!$D$56:$D$75)=0,0,'TO HOP NLAN'!F68*'TS-PILE'!$D$56/SUMSQ('TS-PILE'!$D$56:$D$75))),IF('TS-PILE'!$B$57="",1E+99,'TO HOP NLAN'!D68/ncoc+IF(SUMSQ('TS-PILE'!$E$56:$E$75)=0,0,'TO HOP NLAN'!E68*'TS-PILE'!$E$57/SUMSQ('TS-PILE'!$E$56:$E$75))+IF(SUMSQ('TS-PILE'!$D$56:$D$75)=0,0,'TO HOP NLAN'!F68*'TS-PILE'!$D$57/SUMSQ('TS-PILE'!$D$56:$D$75))),IF('TS-PILE'!$B$58="",1E+99,'TO HOP NLAN'!D68/ncoc+IF(SUMSQ('TS-PILE'!$E$56:$E$75)=0,0,'TO HOP NLAN'!E68*'TS-PILE'!$E$58/SUMSQ('TS-PILE'!$E$56:$E$75))+IF(SUMSQ('TS-PILE'!$D$56:$D$75)=0,0,'TO HOP NLAN'!F68*'TS-PILE'!$D$58/SUMSQ('TS-PILE'!$D$56:$D$75))),IF('TS-PILE'!$B$59="",1E+99,'TO HOP NLAN'!D68/ncoc+IF(SUMSQ('TS-PILE'!$E$56:$E$75)=0,0,'TO HOP NLAN'!E68*'TS-PILE'!$E$59/SUMSQ('TS-PILE'!$E$56:$E$75))+IF(SUMSQ('TS-PILE'!$D$56:$D$75)=0,0,'TO HOP NLAN'!F68*'TS-PILE'!$D$59/SUMSQ('TS-PILE'!$D$56:$D$75))),IF('TS-PILE'!$B$60="",1E+99,'TO HOP NLAN'!D68/ncoc+IF(SUMSQ('TS-PILE'!$E$56:$E$75)=0,0,'TO HOP NLAN'!E68*'TS-PILE'!$E$60/SUMSQ('TS-PILE'!$E$56:$E$75))+IF(SUMSQ('TS-PILE'!$D$56:$D$75)=0,0,'TO HOP NLAN'!F68*'TS-PILE'!$D$60/SUMSQ('TS-PILE'!$D$56:$D$75))),IF('TS-PILE'!$B$61="",1E+99,'TO HOP NLAN'!D68/ncoc+IF(SUMSQ('TS-PILE'!$E$56:$E$75)=0,0,'TO HOP NLAN'!E68*'TS-PILE'!$E$61/SUMSQ('TS-PILE'!$E$56:$E$75))+IF(SUMSQ('TS-PILE'!$D$56:$D$75)=0,0,'TO HOP NLAN'!F68*'TS-PILE'!$D$61/SUMSQ('TS-PILE'!$D$56:$D$75))),IF('TS-PILE'!$B$62="",1E+99,'TO HOP NLAN'!D68/ncoc+IF(SUMSQ('TS-PILE'!$E$56:$E$75)=0,0,'TO HOP NLAN'!E68*'TS-PILE'!$E$62/SUMSQ('TS-PILE'!$E$56:$E$75))+IF(SUMSQ('TS-PILE'!$D$56:$D$75)=0,0,'TO HOP NLAN'!F68*'TS-PILE'!$D$62/SUMSQ('TS-PILE'!$D$56:$D$75))),IF('TS-PILE'!$B$63="",1E+99,'TO HOP NLAN'!D68/ncoc+IF(SUMSQ('TS-PILE'!$E$56:$E$75)=0,0,'TO HOP NLAN'!E68*'TS-PILE'!$E$63/SUMSQ('TS-PILE'!$E$56:$E$75))+IF(SUMSQ('TS-PILE'!$D$56:$D$75)=0,0,'TO HOP NLAN'!F68*'TS-PILE'!$D$63/SUMSQ('TS-PILE'!$D$56:$D$75))),IF('TS-PILE'!$B$64="",1E+99,'TO HOP NLAN'!D68/ncoc+IF(SUMSQ('TS-PILE'!$E$56:$E$75)=0,0,'TO HOP NLAN'!E68*'TS-PILE'!$E$64/SUMSQ('TS-PILE'!$E$56:$E$75))+IF(SUMSQ('TS-PILE'!$D$56:$D$75)=0,0,'TO HOP NLAN'!F68*'TS-PILE'!$D$64/SUMSQ('TS-PILE'!$D$56:$D$75))),IF('TS-PILE'!$B$65="",1E+99,'TO HOP NLAN'!D68/ncoc+IF(SUMSQ('TS-PILE'!$E$56:$E$75)=0,0,'TO HOP NLAN'!E68*'TS-PILE'!$E$65/SUMSQ('TS-PILE'!$E$56:$E$75))+IF(SUMSQ('TS-PILE'!$D$56:$D$75)=0,0,'TO HOP NLAN'!F68*'TS-PILE'!$D$65/SUMSQ('TS-PILE'!$D$56:$D$75))),IF('TS-PILE'!$B$66="",1E+99,'TO HOP NLAN'!D68/ncoc+IF(SUMSQ('TS-PILE'!$E$56:$E$75)=0,0,'TO HOP NLAN'!E68*'TS-PILE'!$E$66/SUMSQ('TS-PILE'!$E$56:$E$75))+IF(SUMSQ('TS-PILE'!$D$56:$D$75)=0,0,'TO HOP NLAN'!F68*'TS-PILE'!$D$66/SUMSQ('TS-PILE'!$D$56:$D$75))),IF('TS-PILE'!$B$67="",1E+99,'TO HOP NLAN'!D68/ncoc+IF(SUMSQ('TS-PILE'!$E$56:$E$75)=0,0,'TO HOP NLAN'!E68*'TS-PILE'!$E$67/SUMSQ('TS-PILE'!$E$56:$E$75))+IF(SUMSQ('TS-PILE'!$D$56:$D$75)=0,0,'TO HOP NLAN'!F68*'TS-PILE'!$D$67/SUMSQ('TS-PILE'!$D$56:$D$75))),IF('TS-PILE'!$B$68="",1E+99,'TO HOP NLAN'!D68/ncoc+IF(SUMSQ('TS-PILE'!$E$56:$E$75)=0,0,'TO HOP NLAN'!E68*'TS-PILE'!$E$68/SUMSQ('TS-PILE'!$E$56:$E$75))+IF(SUMSQ('TS-PILE'!$D$56:$D$75)=0,0,'TO HOP NLAN'!F68*'TS-PILE'!$D$68/SUMSQ('TS-PILE'!$D$56:$D$75))),IF('TS-PILE'!$B$69="",1E+99,'TO HOP NLAN'!D68/ncoc+IF(SUMSQ('TS-PILE'!$E$56:$E$75)=0,0,'TO HOP NLAN'!E68*'TS-PILE'!$E$69/SUMSQ('TS-PILE'!$E$56:$E$75))+IF(SUMSQ('TS-PILE'!$D$56:$D$75)=0,0,'TO HOP NLAN'!F68*'TS-PILE'!$D$69/SUMSQ('TS-PILE'!$D$56:$D$75))),IF('TS-PILE'!$B$70="",1E+99,'TO HOP NLAN'!D68/ncoc+IF(SUMSQ('TS-PILE'!$E$56:$E$75)=0,0,'TO HOP NLAN'!E68*'TS-PILE'!$E$70/SUMSQ('TS-PILE'!$E$56:$E$75))+IF(SUMSQ('TS-PILE'!$D$56:$D$75)=0,0,'TO HOP NLAN'!F68*'TS-PILE'!$D$70/SUMSQ('TS-PILE'!$D$56:$D$75))),IF('TS-PILE'!$B$71="",1E+99,'TO HOP NLAN'!D68/ncoc+IF(SUMSQ('TS-PILE'!$E$56:$E$75)=0,0,'TO HOP NLAN'!E68*'TS-PILE'!$E$71/SUMSQ('TS-PILE'!$E$56:$E$75))+IF(SUMSQ('TS-PILE'!$D$56:$D$75)=0,0,'TO HOP NLAN'!F68*'TS-PILE'!$D$71/SUMSQ('TS-PILE'!$D$56:$D$75))),IF('TS-PILE'!$B$72="",1E+99,'TO HOP NLAN'!D68/ncoc+IF(SUMSQ('TS-PILE'!$E$56:$E$75)=0,0,'TO HOP NLAN'!E68*'TS-PILE'!$E$72/SUMSQ('TS-PILE'!$E$56:$E$75))+IF(SUMSQ('TS-PILE'!$D$56:$D$75)=0,0,'TO HOP NLAN'!F68*'TS-PILE'!$D$72/SUMSQ('TS-PILE'!$D$56:$D$75))),IF('TS-PILE'!$B$73="",1E+99,'TO HOP NLAN'!D68/ncoc+IF(SUMSQ('TS-PILE'!$E$56:$E$75)=0,0,'TO HOP NLAN'!E68*'TS-PILE'!$E$73/SUMSQ('TS-PILE'!$E$56:$E$75))+IF(SUMSQ('TS-PILE'!$D$56:$D$75)=0,0,'TO HOP NLAN'!F68*'TS-PILE'!$D$73/SUMSQ('TS-PILE'!$D$56:$D$75))),IF('TS-PILE'!$B$74="",1E+99,'TO HOP NLAN'!D68/ncoc+IF(SUMSQ('TS-PILE'!$E$56:$E$75)=0,0,'TO HOP NLAN'!E68*'TS-PILE'!$E$74/SUMSQ('TS-PILE'!$E$56:$E$75))+IF(SUMSQ('TS-PILE'!$D$56:$D$75)=0,0,'TO HOP NLAN'!F68*'TS-PILE'!$D$74/SUMSQ('TS-PILE'!$D$56:$D$75))),IF('TS-PILE'!$B$75="",1E+99,'TO HOP NLAN'!D68/ncoc+IF(SUMSQ('TS-PILE'!$E$56:$E$75)=0,0,'TO HOP NLAN'!E68*'TS-PILE'!$E$75/SUMSQ('TS-PILE'!$E$56:$E$75))+IF(SUMSQ('TS-PILE'!$D$56:$D$75)=0,0,'TO HOP NLAN'!F68*'TS-PILE'!$D$75/SUMSQ('TS-PILE'!$D$56:$D$75)))))</f>
        <v>0</v>
      </c>
      <c r="E68" s="46">
        <f t="shared" si="0"/>
        <v>-9.9999999999999997E+98</v>
      </c>
      <c r="F68" s="46">
        <f t="shared" si="1"/>
        <v>9.9999999999999997E+98</v>
      </c>
      <c r="G68" s="46">
        <f t="shared" si="2"/>
        <v>-9.9999999999999997E+98</v>
      </c>
      <c r="H68" s="46">
        <f t="shared" si="3"/>
        <v>9.9999999999999997E+98</v>
      </c>
    </row>
    <row r="69" spans="1:8" x14ac:dyDescent="0.3">
      <c r="A69" s="40" t="str">
        <f>'TO HOP NLAN'!A69</f>
        <v/>
      </c>
      <c r="B69" s="40" t="str">
        <f>'TO HOP NLAN'!L69</f>
        <v>SERVICE</v>
      </c>
      <c r="C69" s="46">
        <f>IF(A69="",0,MAX(IF('TS-PILE'!$B$56="",-1E+99,'TO HOP NLAN'!D69/ncoc+IF(SUMSQ('TS-PILE'!$E$56:$E$75)=0,0,'TO HOP NLAN'!E69*'TS-PILE'!$E$56/SUMSQ('TS-PILE'!$E$56:$E$75))+IF(SUMSQ('TS-PILE'!$D$56:$D$75)=0,0,'TO HOP NLAN'!F69*'TS-PILE'!$D$56/SUMSQ('TS-PILE'!$D$56:$D$75))),IF('TS-PILE'!$B$57="",-1E+99,'TO HOP NLAN'!D69/ncoc+IF(SUMSQ('TS-PILE'!$E$56:$E$75)=0,0,'TO HOP NLAN'!E69*'TS-PILE'!$E$57/SUMSQ('TS-PILE'!$E$56:$E$75))+IF(SUMSQ('TS-PILE'!$D$56:$D$75)=0,0,'TO HOP NLAN'!F69*'TS-PILE'!$D$57/SUMSQ('TS-PILE'!$D$56:$D$75))),IF('TS-PILE'!$B$58="",-1E+99,'TO HOP NLAN'!D69/ncoc+IF(SUMSQ('TS-PILE'!$E$56:$E$75)=0,0,'TO HOP NLAN'!E69*'TS-PILE'!$E$58/SUMSQ('TS-PILE'!$E$56:$E$75))+IF(SUMSQ('TS-PILE'!$D$56:$D$75)=0,0,'TO HOP NLAN'!F69*'TS-PILE'!$D$58/SUMSQ('TS-PILE'!$D$56:$D$75))),IF('TS-PILE'!$B$59="",-1E+99,'TO HOP NLAN'!D69/ncoc+IF(SUMSQ('TS-PILE'!$E$56:$E$75)=0,0,'TO HOP NLAN'!E69*'TS-PILE'!$E$59/SUMSQ('TS-PILE'!$E$56:$E$75))+IF(SUMSQ('TS-PILE'!$D$56:$D$75)=0,0,'TO HOP NLAN'!F69*'TS-PILE'!$D$59/SUMSQ('TS-PILE'!$D$56:$D$75))),IF('TS-PILE'!$B$60="",-1E+99,'TO HOP NLAN'!D69/ncoc+IF(SUMSQ('TS-PILE'!$E$56:$E$75)=0,0,'TO HOP NLAN'!E69*'TS-PILE'!$E$60/SUMSQ('TS-PILE'!$E$56:$E$75))+IF(SUMSQ('TS-PILE'!$D$56:$D$75)=0,0,'TO HOP NLAN'!F69*'TS-PILE'!$D$60/SUMSQ('TS-PILE'!$D$56:$D$75))),IF('TS-PILE'!$B$61="",-1E+99,'TO HOP NLAN'!D69/ncoc+IF(SUMSQ('TS-PILE'!$E$56:$E$75)=0,0,'TO HOP NLAN'!E69*'TS-PILE'!$E$61/SUMSQ('TS-PILE'!$E$56:$E$75))+IF(SUMSQ('TS-PILE'!$D$56:$D$75)=0,0,'TO HOP NLAN'!F69*'TS-PILE'!$D$61/SUMSQ('TS-PILE'!$D$56:$D$75))),IF('TS-PILE'!$B$62="",-1E+99,'TO HOP NLAN'!D69/ncoc+IF(SUMSQ('TS-PILE'!$E$56:$E$75)=0,0,'TO HOP NLAN'!E69*'TS-PILE'!$E$62/SUMSQ('TS-PILE'!$E$56:$E$75))+IF(SUMSQ('TS-PILE'!$D$56:$D$75)=0,0,'TO HOP NLAN'!F69*'TS-PILE'!$D$62/SUMSQ('TS-PILE'!$D$56:$D$75))),IF('TS-PILE'!$B$63="",-1E+99,'TO HOP NLAN'!D69/ncoc+IF(SUMSQ('TS-PILE'!$E$56:$E$75)=0,0,'TO HOP NLAN'!E69*'TS-PILE'!$E$63/SUMSQ('TS-PILE'!$E$56:$E$75))+IF(SUMSQ('TS-PILE'!$D$56:$D$75)=0,0,'TO HOP NLAN'!F69*'TS-PILE'!$D$63/SUMSQ('TS-PILE'!$D$56:$D$75))),IF('TS-PILE'!$B$64="",-1E+99,'TO HOP NLAN'!D69/ncoc+IF(SUMSQ('TS-PILE'!$E$56:$E$75)=0,0,'TO HOP NLAN'!E69*'TS-PILE'!$E$64/SUMSQ('TS-PILE'!$E$56:$E$75))+IF(SUMSQ('TS-PILE'!$D$56:$D$75)=0,0,'TO HOP NLAN'!F69*'TS-PILE'!$D$64/SUMSQ('TS-PILE'!$D$56:$D$75))),IF('TS-PILE'!$B$65="",-1E+99,'TO HOP NLAN'!D69/ncoc+IF(SUMSQ('TS-PILE'!$E$56:$E$75)=0,0,'TO HOP NLAN'!E69*'TS-PILE'!$E$65/SUMSQ('TS-PILE'!$E$56:$E$75))+IF(SUMSQ('TS-PILE'!$D$56:$D$75)=0,0,'TO HOP NLAN'!F69*'TS-PILE'!$D$65/SUMSQ('TS-PILE'!$D$56:$D$75))),IF('TS-PILE'!$B$66="",-1E+99,'TO HOP NLAN'!D69/ncoc+IF(SUMSQ('TS-PILE'!$E$56:$E$75)=0,0,'TO HOP NLAN'!E69*'TS-PILE'!$E$66/SUMSQ('TS-PILE'!$E$56:$E$75))+IF(SUMSQ('TS-PILE'!$D$56:$D$75)=0,0,'TO HOP NLAN'!F69*'TS-PILE'!$D$66/SUMSQ('TS-PILE'!$D$56:$D$75))),IF('TS-PILE'!$B$67="",-1E+99,'TO HOP NLAN'!D69/ncoc+IF(SUMSQ('TS-PILE'!$E$56:$E$75)=0,0,'TO HOP NLAN'!E69*'TS-PILE'!$E$67/SUMSQ('TS-PILE'!$E$56:$E$75))+IF(SUMSQ('TS-PILE'!$D$56:$D$75)=0,0,'TO HOP NLAN'!F69*'TS-PILE'!$D$67/SUMSQ('TS-PILE'!$D$56:$D$75))),IF('TS-PILE'!$B$68="",-1E+99,'TO HOP NLAN'!D69/ncoc+IF(SUMSQ('TS-PILE'!$E$56:$E$75)=0,0,'TO HOP NLAN'!E69*'TS-PILE'!$E$68/SUMSQ('TS-PILE'!$E$56:$E$75))+IF(SUMSQ('TS-PILE'!$D$56:$D$75)=0,0,'TO HOP NLAN'!F69*'TS-PILE'!$D$68/SUMSQ('TS-PILE'!$D$56:$D$75))),IF('TS-PILE'!$B$69="",-1E+99,'TO HOP NLAN'!D69/ncoc+IF(SUMSQ('TS-PILE'!$E$56:$E$75)=0,0,'TO HOP NLAN'!E69*'TS-PILE'!$E$69/SUMSQ('TS-PILE'!$E$56:$E$75))+IF(SUMSQ('TS-PILE'!$D$56:$D$75)=0,0,'TO HOP NLAN'!F69*'TS-PILE'!$D$69/SUMSQ('TS-PILE'!$D$56:$D$75))),IF('TS-PILE'!$B$70="",-1E+99,'TO HOP NLAN'!D69/ncoc+IF(SUMSQ('TS-PILE'!$E$56:$E$75)=0,0,'TO HOP NLAN'!E69*'TS-PILE'!$E$70/SUMSQ('TS-PILE'!$E$56:$E$75))+IF(SUMSQ('TS-PILE'!$D$56:$D$75)=0,0,'TO HOP NLAN'!F69*'TS-PILE'!$D$70/SUMSQ('TS-PILE'!$D$56:$D$75))),IF('TS-PILE'!$B$71="",-1E+99,'TO HOP NLAN'!D69/ncoc+IF(SUMSQ('TS-PILE'!$E$56:$E$75)=0,0,'TO HOP NLAN'!E69*'TS-PILE'!$E$71/SUMSQ('TS-PILE'!$E$56:$E$75))+IF(SUMSQ('TS-PILE'!$D$56:$D$75)=0,0,'TO HOP NLAN'!F69*'TS-PILE'!$D$71/SUMSQ('TS-PILE'!$D$56:$D$75))),IF('TS-PILE'!$B$72="",-1E+99,'TO HOP NLAN'!D69/ncoc+IF(SUMSQ('TS-PILE'!$E$56:$E$75)=0,0,'TO HOP NLAN'!E69*'TS-PILE'!$E$72/SUMSQ('TS-PILE'!$E$56:$E$75))+IF(SUMSQ('TS-PILE'!$D$56:$D$75)=0,0,'TO HOP NLAN'!F69*'TS-PILE'!$D$72/SUMSQ('TS-PILE'!$D$56:$D$75))),IF('TS-PILE'!$B$73="",-1E+99,'TO HOP NLAN'!D69/ncoc+IF(SUMSQ('TS-PILE'!$E$56:$E$75)=0,0,'TO HOP NLAN'!E69*'TS-PILE'!$E$73/SUMSQ('TS-PILE'!$E$56:$E$75))+IF(SUMSQ('TS-PILE'!$D$56:$D$75)=0,0,'TO HOP NLAN'!F69*'TS-PILE'!$D$73/SUMSQ('TS-PILE'!$D$56:$D$75))),IF('TS-PILE'!$B$74="",-1E+99,'TO HOP NLAN'!D69/ncoc+IF(SUMSQ('TS-PILE'!$E$56:$E$75)=0,0,'TO HOP NLAN'!E69*'TS-PILE'!$E$74/SUMSQ('TS-PILE'!$E$56:$E$75))+IF(SUMSQ('TS-PILE'!$D$56:$D$75)=0,0,'TO HOP NLAN'!F69*'TS-PILE'!$D$74/SUMSQ('TS-PILE'!$D$56:$D$75))),IF('TS-PILE'!$B$75="",-1E+99,'TO HOP NLAN'!D69/ncoc+IF(SUMSQ('TS-PILE'!$E$56:$E$75)=0,0,'TO HOP NLAN'!E69*'TS-PILE'!$E$75/SUMSQ('TS-PILE'!$E$56:$E$75))+IF(SUMSQ('TS-PILE'!$D$56:$D$75)=0,0,'TO HOP NLAN'!F69*'TS-PILE'!$D$75/SUMSQ('TS-PILE'!$D$56:$D$75)))))</f>
        <v>0</v>
      </c>
      <c r="D69" s="46">
        <f>IF(A69="",0,MIN(IF('TS-PILE'!$B$56="",1E+99,'TO HOP NLAN'!D69/ncoc+IF(SUMSQ('TS-PILE'!$E$56:$E$75)=0,0,'TO HOP NLAN'!E69*'TS-PILE'!$E$56/SUMSQ('TS-PILE'!$E$56:$E$75))+IF(SUMSQ('TS-PILE'!$D$56:$D$75)=0,0,'TO HOP NLAN'!F69*'TS-PILE'!$D$56/SUMSQ('TS-PILE'!$D$56:$D$75))),IF('TS-PILE'!$B$57="",1E+99,'TO HOP NLAN'!D69/ncoc+IF(SUMSQ('TS-PILE'!$E$56:$E$75)=0,0,'TO HOP NLAN'!E69*'TS-PILE'!$E$57/SUMSQ('TS-PILE'!$E$56:$E$75))+IF(SUMSQ('TS-PILE'!$D$56:$D$75)=0,0,'TO HOP NLAN'!F69*'TS-PILE'!$D$57/SUMSQ('TS-PILE'!$D$56:$D$75))),IF('TS-PILE'!$B$58="",1E+99,'TO HOP NLAN'!D69/ncoc+IF(SUMSQ('TS-PILE'!$E$56:$E$75)=0,0,'TO HOP NLAN'!E69*'TS-PILE'!$E$58/SUMSQ('TS-PILE'!$E$56:$E$75))+IF(SUMSQ('TS-PILE'!$D$56:$D$75)=0,0,'TO HOP NLAN'!F69*'TS-PILE'!$D$58/SUMSQ('TS-PILE'!$D$56:$D$75))),IF('TS-PILE'!$B$59="",1E+99,'TO HOP NLAN'!D69/ncoc+IF(SUMSQ('TS-PILE'!$E$56:$E$75)=0,0,'TO HOP NLAN'!E69*'TS-PILE'!$E$59/SUMSQ('TS-PILE'!$E$56:$E$75))+IF(SUMSQ('TS-PILE'!$D$56:$D$75)=0,0,'TO HOP NLAN'!F69*'TS-PILE'!$D$59/SUMSQ('TS-PILE'!$D$56:$D$75))),IF('TS-PILE'!$B$60="",1E+99,'TO HOP NLAN'!D69/ncoc+IF(SUMSQ('TS-PILE'!$E$56:$E$75)=0,0,'TO HOP NLAN'!E69*'TS-PILE'!$E$60/SUMSQ('TS-PILE'!$E$56:$E$75))+IF(SUMSQ('TS-PILE'!$D$56:$D$75)=0,0,'TO HOP NLAN'!F69*'TS-PILE'!$D$60/SUMSQ('TS-PILE'!$D$56:$D$75))),IF('TS-PILE'!$B$61="",1E+99,'TO HOP NLAN'!D69/ncoc+IF(SUMSQ('TS-PILE'!$E$56:$E$75)=0,0,'TO HOP NLAN'!E69*'TS-PILE'!$E$61/SUMSQ('TS-PILE'!$E$56:$E$75))+IF(SUMSQ('TS-PILE'!$D$56:$D$75)=0,0,'TO HOP NLAN'!F69*'TS-PILE'!$D$61/SUMSQ('TS-PILE'!$D$56:$D$75))),IF('TS-PILE'!$B$62="",1E+99,'TO HOP NLAN'!D69/ncoc+IF(SUMSQ('TS-PILE'!$E$56:$E$75)=0,0,'TO HOP NLAN'!E69*'TS-PILE'!$E$62/SUMSQ('TS-PILE'!$E$56:$E$75))+IF(SUMSQ('TS-PILE'!$D$56:$D$75)=0,0,'TO HOP NLAN'!F69*'TS-PILE'!$D$62/SUMSQ('TS-PILE'!$D$56:$D$75))),IF('TS-PILE'!$B$63="",1E+99,'TO HOP NLAN'!D69/ncoc+IF(SUMSQ('TS-PILE'!$E$56:$E$75)=0,0,'TO HOP NLAN'!E69*'TS-PILE'!$E$63/SUMSQ('TS-PILE'!$E$56:$E$75))+IF(SUMSQ('TS-PILE'!$D$56:$D$75)=0,0,'TO HOP NLAN'!F69*'TS-PILE'!$D$63/SUMSQ('TS-PILE'!$D$56:$D$75))),IF('TS-PILE'!$B$64="",1E+99,'TO HOP NLAN'!D69/ncoc+IF(SUMSQ('TS-PILE'!$E$56:$E$75)=0,0,'TO HOP NLAN'!E69*'TS-PILE'!$E$64/SUMSQ('TS-PILE'!$E$56:$E$75))+IF(SUMSQ('TS-PILE'!$D$56:$D$75)=0,0,'TO HOP NLAN'!F69*'TS-PILE'!$D$64/SUMSQ('TS-PILE'!$D$56:$D$75))),IF('TS-PILE'!$B$65="",1E+99,'TO HOP NLAN'!D69/ncoc+IF(SUMSQ('TS-PILE'!$E$56:$E$75)=0,0,'TO HOP NLAN'!E69*'TS-PILE'!$E$65/SUMSQ('TS-PILE'!$E$56:$E$75))+IF(SUMSQ('TS-PILE'!$D$56:$D$75)=0,0,'TO HOP NLAN'!F69*'TS-PILE'!$D$65/SUMSQ('TS-PILE'!$D$56:$D$75))),IF('TS-PILE'!$B$66="",1E+99,'TO HOP NLAN'!D69/ncoc+IF(SUMSQ('TS-PILE'!$E$56:$E$75)=0,0,'TO HOP NLAN'!E69*'TS-PILE'!$E$66/SUMSQ('TS-PILE'!$E$56:$E$75))+IF(SUMSQ('TS-PILE'!$D$56:$D$75)=0,0,'TO HOP NLAN'!F69*'TS-PILE'!$D$66/SUMSQ('TS-PILE'!$D$56:$D$75))),IF('TS-PILE'!$B$67="",1E+99,'TO HOP NLAN'!D69/ncoc+IF(SUMSQ('TS-PILE'!$E$56:$E$75)=0,0,'TO HOP NLAN'!E69*'TS-PILE'!$E$67/SUMSQ('TS-PILE'!$E$56:$E$75))+IF(SUMSQ('TS-PILE'!$D$56:$D$75)=0,0,'TO HOP NLAN'!F69*'TS-PILE'!$D$67/SUMSQ('TS-PILE'!$D$56:$D$75))),IF('TS-PILE'!$B$68="",1E+99,'TO HOP NLAN'!D69/ncoc+IF(SUMSQ('TS-PILE'!$E$56:$E$75)=0,0,'TO HOP NLAN'!E69*'TS-PILE'!$E$68/SUMSQ('TS-PILE'!$E$56:$E$75))+IF(SUMSQ('TS-PILE'!$D$56:$D$75)=0,0,'TO HOP NLAN'!F69*'TS-PILE'!$D$68/SUMSQ('TS-PILE'!$D$56:$D$75))),IF('TS-PILE'!$B$69="",1E+99,'TO HOP NLAN'!D69/ncoc+IF(SUMSQ('TS-PILE'!$E$56:$E$75)=0,0,'TO HOP NLAN'!E69*'TS-PILE'!$E$69/SUMSQ('TS-PILE'!$E$56:$E$75))+IF(SUMSQ('TS-PILE'!$D$56:$D$75)=0,0,'TO HOP NLAN'!F69*'TS-PILE'!$D$69/SUMSQ('TS-PILE'!$D$56:$D$75))),IF('TS-PILE'!$B$70="",1E+99,'TO HOP NLAN'!D69/ncoc+IF(SUMSQ('TS-PILE'!$E$56:$E$75)=0,0,'TO HOP NLAN'!E69*'TS-PILE'!$E$70/SUMSQ('TS-PILE'!$E$56:$E$75))+IF(SUMSQ('TS-PILE'!$D$56:$D$75)=0,0,'TO HOP NLAN'!F69*'TS-PILE'!$D$70/SUMSQ('TS-PILE'!$D$56:$D$75))),IF('TS-PILE'!$B$71="",1E+99,'TO HOP NLAN'!D69/ncoc+IF(SUMSQ('TS-PILE'!$E$56:$E$75)=0,0,'TO HOP NLAN'!E69*'TS-PILE'!$E$71/SUMSQ('TS-PILE'!$E$56:$E$75))+IF(SUMSQ('TS-PILE'!$D$56:$D$75)=0,0,'TO HOP NLAN'!F69*'TS-PILE'!$D$71/SUMSQ('TS-PILE'!$D$56:$D$75))),IF('TS-PILE'!$B$72="",1E+99,'TO HOP NLAN'!D69/ncoc+IF(SUMSQ('TS-PILE'!$E$56:$E$75)=0,0,'TO HOP NLAN'!E69*'TS-PILE'!$E$72/SUMSQ('TS-PILE'!$E$56:$E$75))+IF(SUMSQ('TS-PILE'!$D$56:$D$75)=0,0,'TO HOP NLAN'!F69*'TS-PILE'!$D$72/SUMSQ('TS-PILE'!$D$56:$D$75))),IF('TS-PILE'!$B$73="",1E+99,'TO HOP NLAN'!D69/ncoc+IF(SUMSQ('TS-PILE'!$E$56:$E$75)=0,0,'TO HOP NLAN'!E69*'TS-PILE'!$E$73/SUMSQ('TS-PILE'!$E$56:$E$75))+IF(SUMSQ('TS-PILE'!$D$56:$D$75)=0,0,'TO HOP NLAN'!F69*'TS-PILE'!$D$73/SUMSQ('TS-PILE'!$D$56:$D$75))),IF('TS-PILE'!$B$74="",1E+99,'TO HOP NLAN'!D69/ncoc+IF(SUMSQ('TS-PILE'!$E$56:$E$75)=0,0,'TO HOP NLAN'!E69*'TS-PILE'!$E$74/SUMSQ('TS-PILE'!$E$56:$E$75))+IF(SUMSQ('TS-PILE'!$D$56:$D$75)=0,0,'TO HOP NLAN'!F69*'TS-PILE'!$D$74/SUMSQ('TS-PILE'!$D$56:$D$75))),IF('TS-PILE'!$B$75="",1E+99,'TO HOP NLAN'!D69/ncoc+IF(SUMSQ('TS-PILE'!$E$56:$E$75)=0,0,'TO HOP NLAN'!E69*'TS-PILE'!$E$75/SUMSQ('TS-PILE'!$E$56:$E$75))+IF(SUMSQ('TS-PILE'!$D$56:$D$75)=0,0,'TO HOP NLAN'!F69*'TS-PILE'!$D$75/SUMSQ('TS-PILE'!$D$56:$D$75)))))</f>
        <v>0</v>
      </c>
      <c r="E69" s="46">
        <f t="shared" si="0"/>
        <v>-9.9999999999999997E+98</v>
      </c>
      <c r="F69" s="46">
        <f t="shared" si="1"/>
        <v>9.9999999999999997E+98</v>
      </c>
      <c r="G69" s="46">
        <f t="shared" si="2"/>
        <v>-9.9999999999999997E+98</v>
      </c>
      <c r="H69" s="46">
        <f t="shared" si="3"/>
        <v>9.9999999999999997E+98</v>
      </c>
    </row>
    <row r="70" spans="1:8" x14ac:dyDescent="0.3">
      <c r="A70" s="40" t="str">
        <f>'TO HOP NLAN'!A70</f>
        <v/>
      </c>
      <c r="B70" s="40" t="str">
        <f>'TO HOP NLAN'!L70</f>
        <v>SERVICE</v>
      </c>
      <c r="C70" s="46">
        <f>IF(A70="",0,MAX(IF('TS-PILE'!$B$56="",-1E+99,'TO HOP NLAN'!D70/ncoc+IF(SUMSQ('TS-PILE'!$E$56:$E$75)=0,0,'TO HOP NLAN'!E70*'TS-PILE'!$E$56/SUMSQ('TS-PILE'!$E$56:$E$75))+IF(SUMSQ('TS-PILE'!$D$56:$D$75)=0,0,'TO HOP NLAN'!F70*'TS-PILE'!$D$56/SUMSQ('TS-PILE'!$D$56:$D$75))),IF('TS-PILE'!$B$57="",-1E+99,'TO HOP NLAN'!D70/ncoc+IF(SUMSQ('TS-PILE'!$E$56:$E$75)=0,0,'TO HOP NLAN'!E70*'TS-PILE'!$E$57/SUMSQ('TS-PILE'!$E$56:$E$75))+IF(SUMSQ('TS-PILE'!$D$56:$D$75)=0,0,'TO HOP NLAN'!F70*'TS-PILE'!$D$57/SUMSQ('TS-PILE'!$D$56:$D$75))),IF('TS-PILE'!$B$58="",-1E+99,'TO HOP NLAN'!D70/ncoc+IF(SUMSQ('TS-PILE'!$E$56:$E$75)=0,0,'TO HOP NLAN'!E70*'TS-PILE'!$E$58/SUMSQ('TS-PILE'!$E$56:$E$75))+IF(SUMSQ('TS-PILE'!$D$56:$D$75)=0,0,'TO HOP NLAN'!F70*'TS-PILE'!$D$58/SUMSQ('TS-PILE'!$D$56:$D$75))),IF('TS-PILE'!$B$59="",-1E+99,'TO HOP NLAN'!D70/ncoc+IF(SUMSQ('TS-PILE'!$E$56:$E$75)=0,0,'TO HOP NLAN'!E70*'TS-PILE'!$E$59/SUMSQ('TS-PILE'!$E$56:$E$75))+IF(SUMSQ('TS-PILE'!$D$56:$D$75)=0,0,'TO HOP NLAN'!F70*'TS-PILE'!$D$59/SUMSQ('TS-PILE'!$D$56:$D$75))),IF('TS-PILE'!$B$60="",-1E+99,'TO HOP NLAN'!D70/ncoc+IF(SUMSQ('TS-PILE'!$E$56:$E$75)=0,0,'TO HOP NLAN'!E70*'TS-PILE'!$E$60/SUMSQ('TS-PILE'!$E$56:$E$75))+IF(SUMSQ('TS-PILE'!$D$56:$D$75)=0,0,'TO HOP NLAN'!F70*'TS-PILE'!$D$60/SUMSQ('TS-PILE'!$D$56:$D$75))),IF('TS-PILE'!$B$61="",-1E+99,'TO HOP NLAN'!D70/ncoc+IF(SUMSQ('TS-PILE'!$E$56:$E$75)=0,0,'TO HOP NLAN'!E70*'TS-PILE'!$E$61/SUMSQ('TS-PILE'!$E$56:$E$75))+IF(SUMSQ('TS-PILE'!$D$56:$D$75)=0,0,'TO HOP NLAN'!F70*'TS-PILE'!$D$61/SUMSQ('TS-PILE'!$D$56:$D$75))),IF('TS-PILE'!$B$62="",-1E+99,'TO HOP NLAN'!D70/ncoc+IF(SUMSQ('TS-PILE'!$E$56:$E$75)=0,0,'TO HOP NLAN'!E70*'TS-PILE'!$E$62/SUMSQ('TS-PILE'!$E$56:$E$75))+IF(SUMSQ('TS-PILE'!$D$56:$D$75)=0,0,'TO HOP NLAN'!F70*'TS-PILE'!$D$62/SUMSQ('TS-PILE'!$D$56:$D$75))),IF('TS-PILE'!$B$63="",-1E+99,'TO HOP NLAN'!D70/ncoc+IF(SUMSQ('TS-PILE'!$E$56:$E$75)=0,0,'TO HOP NLAN'!E70*'TS-PILE'!$E$63/SUMSQ('TS-PILE'!$E$56:$E$75))+IF(SUMSQ('TS-PILE'!$D$56:$D$75)=0,0,'TO HOP NLAN'!F70*'TS-PILE'!$D$63/SUMSQ('TS-PILE'!$D$56:$D$75))),IF('TS-PILE'!$B$64="",-1E+99,'TO HOP NLAN'!D70/ncoc+IF(SUMSQ('TS-PILE'!$E$56:$E$75)=0,0,'TO HOP NLAN'!E70*'TS-PILE'!$E$64/SUMSQ('TS-PILE'!$E$56:$E$75))+IF(SUMSQ('TS-PILE'!$D$56:$D$75)=0,0,'TO HOP NLAN'!F70*'TS-PILE'!$D$64/SUMSQ('TS-PILE'!$D$56:$D$75))),IF('TS-PILE'!$B$65="",-1E+99,'TO HOP NLAN'!D70/ncoc+IF(SUMSQ('TS-PILE'!$E$56:$E$75)=0,0,'TO HOP NLAN'!E70*'TS-PILE'!$E$65/SUMSQ('TS-PILE'!$E$56:$E$75))+IF(SUMSQ('TS-PILE'!$D$56:$D$75)=0,0,'TO HOP NLAN'!F70*'TS-PILE'!$D$65/SUMSQ('TS-PILE'!$D$56:$D$75))),IF('TS-PILE'!$B$66="",-1E+99,'TO HOP NLAN'!D70/ncoc+IF(SUMSQ('TS-PILE'!$E$56:$E$75)=0,0,'TO HOP NLAN'!E70*'TS-PILE'!$E$66/SUMSQ('TS-PILE'!$E$56:$E$75))+IF(SUMSQ('TS-PILE'!$D$56:$D$75)=0,0,'TO HOP NLAN'!F70*'TS-PILE'!$D$66/SUMSQ('TS-PILE'!$D$56:$D$75))),IF('TS-PILE'!$B$67="",-1E+99,'TO HOP NLAN'!D70/ncoc+IF(SUMSQ('TS-PILE'!$E$56:$E$75)=0,0,'TO HOP NLAN'!E70*'TS-PILE'!$E$67/SUMSQ('TS-PILE'!$E$56:$E$75))+IF(SUMSQ('TS-PILE'!$D$56:$D$75)=0,0,'TO HOP NLAN'!F70*'TS-PILE'!$D$67/SUMSQ('TS-PILE'!$D$56:$D$75))),IF('TS-PILE'!$B$68="",-1E+99,'TO HOP NLAN'!D70/ncoc+IF(SUMSQ('TS-PILE'!$E$56:$E$75)=0,0,'TO HOP NLAN'!E70*'TS-PILE'!$E$68/SUMSQ('TS-PILE'!$E$56:$E$75))+IF(SUMSQ('TS-PILE'!$D$56:$D$75)=0,0,'TO HOP NLAN'!F70*'TS-PILE'!$D$68/SUMSQ('TS-PILE'!$D$56:$D$75))),IF('TS-PILE'!$B$69="",-1E+99,'TO HOP NLAN'!D70/ncoc+IF(SUMSQ('TS-PILE'!$E$56:$E$75)=0,0,'TO HOP NLAN'!E70*'TS-PILE'!$E$69/SUMSQ('TS-PILE'!$E$56:$E$75))+IF(SUMSQ('TS-PILE'!$D$56:$D$75)=0,0,'TO HOP NLAN'!F70*'TS-PILE'!$D$69/SUMSQ('TS-PILE'!$D$56:$D$75))),IF('TS-PILE'!$B$70="",-1E+99,'TO HOP NLAN'!D70/ncoc+IF(SUMSQ('TS-PILE'!$E$56:$E$75)=0,0,'TO HOP NLAN'!E70*'TS-PILE'!$E$70/SUMSQ('TS-PILE'!$E$56:$E$75))+IF(SUMSQ('TS-PILE'!$D$56:$D$75)=0,0,'TO HOP NLAN'!F70*'TS-PILE'!$D$70/SUMSQ('TS-PILE'!$D$56:$D$75))),IF('TS-PILE'!$B$71="",-1E+99,'TO HOP NLAN'!D70/ncoc+IF(SUMSQ('TS-PILE'!$E$56:$E$75)=0,0,'TO HOP NLAN'!E70*'TS-PILE'!$E$71/SUMSQ('TS-PILE'!$E$56:$E$75))+IF(SUMSQ('TS-PILE'!$D$56:$D$75)=0,0,'TO HOP NLAN'!F70*'TS-PILE'!$D$71/SUMSQ('TS-PILE'!$D$56:$D$75))),IF('TS-PILE'!$B$72="",-1E+99,'TO HOP NLAN'!D70/ncoc+IF(SUMSQ('TS-PILE'!$E$56:$E$75)=0,0,'TO HOP NLAN'!E70*'TS-PILE'!$E$72/SUMSQ('TS-PILE'!$E$56:$E$75))+IF(SUMSQ('TS-PILE'!$D$56:$D$75)=0,0,'TO HOP NLAN'!F70*'TS-PILE'!$D$72/SUMSQ('TS-PILE'!$D$56:$D$75))),IF('TS-PILE'!$B$73="",-1E+99,'TO HOP NLAN'!D70/ncoc+IF(SUMSQ('TS-PILE'!$E$56:$E$75)=0,0,'TO HOP NLAN'!E70*'TS-PILE'!$E$73/SUMSQ('TS-PILE'!$E$56:$E$75))+IF(SUMSQ('TS-PILE'!$D$56:$D$75)=0,0,'TO HOP NLAN'!F70*'TS-PILE'!$D$73/SUMSQ('TS-PILE'!$D$56:$D$75))),IF('TS-PILE'!$B$74="",-1E+99,'TO HOP NLAN'!D70/ncoc+IF(SUMSQ('TS-PILE'!$E$56:$E$75)=0,0,'TO HOP NLAN'!E70*'TS-PILE'!$E$74/SUMSQ('TS-PILE'!$E$56:$E$75))+IF(SUMSQ('TS-PILE'!$D$56:$D$75)=0,0,'TO HOP NLAN'!F70*'TS-PILE'!$D$74/SUMSQ('TS-PILE'!$D$56:$D$75))),IF('TS-PILE'!$B$75="",-1E+99,'TO HOP NLAN'!D70/ncoc+IF(SUMSQ('TS-PILE'!$E$56:$E$75)=0,0,'TO HOP NLAN'!E70*'TS-PILE'!$E$75/SUMSQ('TS-PILE'!$E$56:$E$75))+IF(SUMSQ('TS-PILE'!$D$56:$D$75)=0,0,'TO HOP NLAN'!F70*'TS-PILE'!$D$75/SUMSQ('TS-PILE'!$D$56:$D$75)))))</f>
        <v>0</v>
      </c>
      <c r="D70" s="46">
        <f>IF(A70="",0,MIN(IF('TS-PILE'!$B$56="",1E+99,'TO HOP NLAN'!D70/ncoc+IF(SUMSQ('TS-PILE'!$E$56:$E$75)=0,0,'TO HOP NLAN'!E70*'TS-PILE'!$E$56/SUMSQ('TS-PILE'!$E$56:$E$75))+IF(SUMSQ('TS-PILE'!$D$56:$D$75)=0,0,'TO HOP NLAN'!F70*'TS-PILE'!$D$56/SUMSQ('TS-PILE'!$D$56:$D$75))),IF('TS-PILE'!$B$57="",1E+99,'TO HOP NLAN'!D70/ncoc+IF(SUMSQ('TS-PILE'!$E$56:$E$75)=0,0,'TO HOP NLAN'!E70*'TS-PILE'!$E$57/SUMSQ('TS-PILE'!$E$56:$E$75))+IF(SUMSQ('TS-PILE'!$D$56:$D$75)=0,0,'TO HOP NLAN'!F70*'TS-PILE'!$D$57/SUMSQ('TS-PILE'!$D$56:$D$75))),IF('TS-PILE'!$B$58="",1E+99,'TO HOP NLAN'!D70/ncoc+IF(SUMSQ('TS-PILE'!$E$56:$E$75)=0,0,'TO HOP NLAN'!E70*'TS-PILE'!$E$58/SUMSQ('TS-PILE'!$E$56:$E$75))+IF(SUMSQ('TS-PILE'!$D$56:$D$75)=0,0,'TO HOP NLAN'!F70*'TS-PILE'!$D$58/SUMSQ('TS-PILE'!$D$56:$D$75))),IF('TS-PILE'!$B$59="",1E+99,'TO HOP NLAN'!D70/ncoc+IF(SUMSQ('TS-PILE'!$E$56:$E$75)=0,0,'TO HOP NLAN'!E70*'TS-PILE'!$E$59/SUMSQ('TS-PILE'!$E$56:$E$75))+IF(SUMSQ('TS-PILE'!$D$56:$D$75)=0,0,'TO HOP NLAN'!F70*'TS-PILE'!$D$59/SUMSQ('TS-PILE'!$D$56:$D$75))),IF('TS-PILE'!$B$60="",1E+99,'TO HOP NLAN'!D70/ncoc+IF(SUMSQ('TS-PILE'!$E$56:$E$75)=0,0,'TO HOP NLAN'!E70*'TS-PILE'!$E$60/SUMSQ('TS-PILE'!$E$56:$E$75))+IF(SUMSQ('TS-PILE'!$D$56:$D$75)=0,0,'TO HOP NLAN'!F70*'TS-PILE'!$D$60/SUMSQ('TS-PILE'!$D$56:$D$75))),IF('TS-PILE'!$B$61="",1E+99,'TO HOP NLAN'!D70/ncoc+IF(SUMSQ('TS-PILE'!$E$56:$E$75)=0,0,'TO HOP NLAN'!E70*'TS-PILE'!$E$61/SUMSQ('TS-PILE'!$E$56:$E$75))+IF(SUMSQ('TS-PILE'!$D$56:$D$75)=0,0,'TO HOP NLAN'!F70*'TS-PILE'!$D$61/SUMSQ('TS-PILE'!$D$56:$D$75))),IF('TS-PILE'!$B$62="",1E+99,'TO HOP NLAN'!D70/ncoc+IF(SUMSQ('TS-PILE'!$E$56:$E$75)=0,0,'TO HOP NLAN'!E70*'TS-PILE'!$E$62/SUMSQ('TS-PILE'!$E$56:$E$75))+IF(SUMSQ('TS-PILE'!$D$56:$D$75)=0,0,'TO HOP NLAN'!F70*'TS-PILE'!$D$62/SUMSQ('TS-PILE'!$D$56:$D$75))),IF('TS-PILE'!$B$63="",1E+99,'TO HOP NLAN'!D70/ncoc+IF(SUMSQ('TS-PILE'!$E$56:$E$75)=0,0,'TO HOP NLAN'!E70*'TS-PILE'!$E$63/SUMSQ('TS-PILE'!$E$56:$E$75))+IF(SUMSQ('TS-PILE'!$D$56:$D$75)=0,0,'TO HOP NLAN'!F70*'TS-PILE'!$D$63/SUMSQ('TS-PILE'!$D$56:$D$75))),IF('TS-PILE'!$B$64="",1E+99,'TO HOP NLAN'!D70/ncoc+IF(SUMSQ('TS-PILE'!$E$56:$E$75)=0,0,'TO HOP NLAN'!E70*'TS-PILE'!$E$64/SUMSQ('TS-PILE'!$E$56:$E$75))+IF(SUMSQ('TS-PILE'!$D$56:$D$75)=0,0,'TO HOP NLAN'!F70*'TS-PILE'!$D$64/SUMSQ('TS-PILE'!$D$56:$D$75))),IF('TS-PILE'!$B$65="",1E+99,'TO HOP NLAN'!D70/ncoc+IF(SUMSQ('TS-PILE'!$E$56:$E$75)=0,0,'TO HOP NLAN'!E70*'TS-PILE'!$E$65/SUMSQ('TS-PILE'!$E$56:$E$75))+IF(SUMSQ('TS-PILE'!$D$56:$D$75)=0,0,'TO HOP NLAN'!F70*'TS-PILE'!$D$65/SUMSQ('TS-PILE'!$D$56:$D$75))),IF('TS-PILE'!$B$66="",1E+99,'TO HOP NLAN'!D70/ncoc+IF(SUMSQ('TS-PILE'!$E$56:$E$75)=0,0,'TO HOP NLAN'!E70*'TS-PILE'!$E$66/SUMSQ('TS-PILE'!$E$56:$E$75))+IF(SUMSQ('TS-PILE'!$D$56:$D$75)=0,0,'TO HOP NLAN'!F70*'TS-PILE'!$D$66/SUMSQ('TS-PILE'!$D$56:$D$75))),IF('TS-PILE'!$B$67="",1E+99,'TO HOP NLAN'!D70/ncoc+IF(SUMSQ('TS-PILE'!$E$56:$E$75)=0,0,'TO HOP NLAN'!E70*'TS-PILE'!$E$67/SUMSQ('TS-PILE'!$E$56:$E$75))+IF(SUMSQ('TS-PILE'!$D$56:$D$75)=0,0,'TO HOP NLAN'!F70*'TS-PILE'!$D$67/SUMSQ('TS-PILE'!$D$56:$D$75))),IF('TS-PILE'!$B$68="",1E+99,'TO HOP NLAN'!D70/ncoc+IF(SUMSQ('TS-PILE'!$E$56:$E$75)=0,0,'TO HOP NLAN'!E70*'TS-PILE'!$E$68/SUMSQ('TS-PILE'!$E$56:$E$75))+IF(SUMSQ('TS-PILE'!$D$56:$D$75)=0,0,'TO HOP NLAN'!F70*'TS-PILE'!$D$68/SUMSQ('TS-PILE'!$D$56:$D$75))),IF('TS-PILE'!$B$69="",1E+99,'TO HOP NLAN'!D70/ncoc+IF(SUMSQ('TS-PILE'!$E$56:$E$75)=0,0,'TO HOP NLAN'!E70*'TS-PILE'!$E$69/SUMSQ('TS-PILE'!$E$56:$E$75))+IF(SUMSQ('TS-PILE'!$D$56:$D$75)=0,0,'TO HOP NLAN'!F70*'TS-PILE'!$D$69/SUMSQ('TS-PILE'!$D$56:$D$75))),IF('TS-PILE'!$B$70="",1E+99,'TO HOP NLAN'!D70/ncoc+IF(SUMSQ('TS-PILE'!$E$56:$E$75)=0,0,'TO HOP NLAN'!E70*'TS-PILE'!$E$70/SUMSQ('TS-PILE'!$E$56:$E$75))+IF(SUMSQ('TS-PILE'!$D$56:$D$75)=0,0,'TO HOP NLAN'!F70*'TS-PILE'!$D$70/SUMSQ('TS-PILE'!$D$56:$D$75))),IF('TS-PILE'!$B$71="",1E+99,'TO HOP NLAN'!D70/ncoc+IF(SUMSQ('TS-PILE'!$E$56:$E$75)=0,0,'TO HOP NLAN'!E70*'TS-PILE'!$E$71/SUMSQ('TS-PILE'!$E$56:$E$75))+IF(SUMSQ('TS-PILE'!$D$56:$D$75)=0,0,'TO HOP NLAN'!F70*'TS-PILE'!$D$71/SUMSQ('TS-PILE'!$D$56:$D$75))),IF('TS-PILE'!$B$72="",1E+99,'TO HOP NLAN'!D70/ncoc+IF(SUMSQ('TS-PILE'!$E$56:$E$75)=0,0,'TO HOP NLAN'!E70*'TS-PILE'!$E$72/SUMSQ('TS-PILE'!$E$56:$E$75))+IF(SUMSQ('TS-PILE'!$D$56:$D$75)=0,0,'TO HOP NLAN'!F70*'TS-PILE'!$D$72/SUMSQ('TS-PILE'!$D$56:$D$75))),IF('TS-PILE'!$B$73="",1E+99,'TO HOP NLAN'!D70/ncoc+IF(SUMSQ('TS-PILE'!$E$56:$E$75)=0,0,'TO HOP NLAN'!E70*'TS-PILE'!$E$73/SUMSQ('TS-PILE'!$E$56:$E$75))+IF(SUMSQ('TS-PILE'!$D$56:$D$75)=0,0,'TO HOP NLAN'!F70*'TS-PILE'!$D$73/SUMSQ('TS-PILE'!$D$56:$D$75))),IF('TS-PILE'!$B$74="",1E+99,'TO HOP NLAN'!D70/ncoc+IF(SUMSQ('TS-PILE'!$E$56:$E$75)=0,0,'TO HOP NLAN'!E70*'TS-PILE'!$E$74/SUMSQ('TS-PILE'!$E$56:$E$75))+IF(SUMSQ('TS-PILE'!$D$56:$D$75)=0,0,'TO HOP NLAN'!F70*'TS-PILE'!$D$74/SUMSQ('TS-PILE'!$D$56:$D$75))),IF('TS-PILE'!$B$75="",1E+99,'TO HOP NLAN'!D70/ncoc+IF(SUMSQ('TS-PILE'!$E$56:$E$75)=0,0,'TO HOP NLAN'!E70*'TS-PILE'!$E$75/SUMSQ('TS-PILE'!$E$56:$E$75))+IF(SUMSQ('TS-PILE'!$D$56:$D$75)=0,0,'TO HOP NLAN'!F70*'TS-PILE'!$D$75/SUMSQ('TS-PILE'!$D$56:$D$75)))))</f>
        <v>0</v>
      </c>
      <c r="E70" s="46">
        <f t="shared" ref="E70:E133" si="4">IF(AND(A70&lt;&gt;"",B70="SERVICE"),C70,-1E+99)</f>
        <v>-9.9999999999999997E+98</v>
      </c>
      <c r="F70" s="46">
        <f t="shared" ref="F70:F133" si="5">IF(AND(A70&lt;&gt;"",B70="SERVICE"),D70,1E+99)</f>
        <v>9.9999999999999997E+98</v>
      </c>
      <c r="G70" s="46">
        <f t="shared" ref="G70:G133" si="6">IF(AND(A70&lt;&gt;"",B70="STRENGTH"),C70,-1E+99)</f>
        <v>-9.9999999999999997E+98</v>
      </c>
      <c r="H70" s="46">
        <f t="shared" ref="H70:H133" si="7">IF(AND(A70&lt;&gt;"",B70="STRENGTH"),D70,1E+99)</f>
        <v>9.9999999999999997E+98</v>
      </c>
    </row>
    <row r="71" spans="1:8" x14ac:dyDescent="0.3">
      <c r="A71" s="40" t="str">
        <f>'TO HOP NLAN'!A71</f>
        <v/>
      </c>
      <c r="B71" s="40" t="str">
        <f>'TO HOP NLAN'!L71</f>
        <v>SERVICE</v>
      </c>
      <c r="C71" s="46">
        <f>IF(A71="",0,MAX(IF('TS-PILE'!$B$56="",-1E+99,'TO HOP NLAN'!D71/ncoc+IF(SUMSQ('TS-PILE'!$E$56:$E$75)=0,0,'TO HOP NLAN'!E71*'TS-PILE'!$E$56/SUMSQ('TS-PILE'!$E$56:$E$75))+IF(SUMSQ('TS-PILE'!$D$56:$D$75)=0,0,'TO HOP NLAN'!F71*'TS-PILE'!$D$56/SUMSQ('TS-PILE'!$D$56:$D$75))),IF('TS-PILE'!$B$57="",-1E+99,'TO HOP NLAN'!D71/ncoc+IF(SUMSQ('TS-PILE'!$E$56:$E$75)=0,0,'TO HOP NLAN'!E71*'TS-PILE'!$E$57/SUMSQ('TS-PILE'!$E$56:$E$75))+IF(SUMSQ('TS-PILE'!$D$56:$D$75)=0,0,'TO HOP NLAN'!F71*'TS-PILE'!$D$57/SUMSQ('TS-PILE'!$D$56:$D$75))),IF('TS-PILE'!$B$58="",-1E+99,'TO HOP NLAN'!D71/ncoc+IF(SUMSQ('TS-PILE'!$E$56:$E$75)=0,0,'TO HOP NLAN'!E71*'TS-PILE'!$E$58/SUMSQ('TS-PILE'!$E$56:$E$75))+IF(SUMSQ('TS-PILE'!$D$56:$D$75)=0,0,'TO HOP NLAN'!F71*'TS-PILE'!$D$58/SUMSQ('TS-PILE'!$D$56:$D$75))),IF('TS-PILE'!$B$59="",-1E+99,'TO HOP NLAN'!D71/ncoc+IF(SUMSQ('TS-PILE'!$E$56:$E$75)=0,0,'TO HOP NLAN'!E71*'TS-PILE'!$E$59/SUMSQ('TS-PILE'!$E$56:$E$75))+IF(SUMSQ('TS-PILE'!$D$56:$D$75)=0,0,'TO HOP NLAN'!F71*'TS-PILE'!$D$59/SUMSQ('TS-PILE'!$D$56:$D$75))),IF('TS-PILE'!$B$60="",-1E+99,'TO HOP NLAN'!D71/ncoc+IF(SUMSQ('TS-PILE'!$E$56:$E$75)=0,0,'TO HOP NLAN'!E71*'TS-PILE'!$E$60/SUMSQ('TS-PILE'!$E$56:$E$75))+IF(SUMSQ('TS-PILE'!$D$56:$D$75)=0,0,'TO HOP NLAN'!F71*'TS-PILE'!$D$60/SUMSQ('TS-PILE'!$D$56:$D$75))),IF('TS-PILE'!$B$61="",-1E+99,'TO HOP NLAN'!D71/ncoc+IF(SUMSQ('TS-PILE'!$E$56:$E$75)=0,0,'TO HOP NLAN'!E71*'TS-PILE'!$E$61/SUMSQ('TS-PILE'!$E$56:$E$75))+IF(SUMSQ('TS-PILE'!$D$56:$D$75)=0,0,'TO HOP NLAN'!F71*'TS-PILE'!$D$61/SUMSQ('TS-PILE'!$D$56:$D$75))),IF('TS-PILE'!$B$62="",-1E+99,'TO HOP NLAN'!D71/ncoc+IF(SUMSQ('TS-PILE'!$E$56:$E$75)=0,0,'TO HOP NLAN'!E71*'TS-PILE'!$E$62/SUMSQ('TS-PILE'!$E$56:$E$75))+IF(SUMSQ('TS-PILE'!$D$56:$D$75)=0,0,'TO HOP NLAN'!F71*'TS-PILE'!$D$62/SUMSQ('TS-PILE'!$D$56:$D$75))),IF('TS-PILE'!$B$63="",-1E+99,'TO HOP NLAN'!D71/ncoc+IF(SUMSQ('TS-PILE'!$E$56:$E$75)=0,0,'TO HOP NLAN'!E71*'TS-PILE'!$E$63/SUMSQ('TS-PILE'!$E$56:$E$75))+IF(SUMSQ('TS-PILE'!$D$56:$D$75)=0,0,'TO HOP NLAN'!F71*'TS-PILE'!$D$63/SUMSQ('TS-PILE'!$D$56:$D$75))),IF('TS-PILE'!$B$64="",-1E+99,'TO HOP NLAN'!D71/ncoc+IF(SUMSQ('TS-PILE'!$E$56:$E$75)=0,0,'TO HOP NLAN'!E71*'TS-PILE'!$E$64/SUMSQ('TS-PILE'!$E$56:$E$75))+IF(SUMSQ('TS-PILE'!$D$56:$D$75)=0,0,'TO HOP NLAN'!F71*'TS-PILE'!$D$64/SUMSQ('TS-PILE'!$D$56:$D$75))),IF('TS-PILE'!$B$65="",-1E+99,'TO HOP NLAN'!D71/ncoc+IF(SUMSQ('TS-PILE'!$E$56:$E$75)=0,0,'TO HOP NLAN'!E71*'TS-PILE'!$E$65/SUMSQ('TS-PILE'!$E$56:$E$75))+IF(SUMSQ('TS-PILE'!$D$56:$D$75)=0,0,'TO HOP NLAN'!F71*'TS-PILE'!$D$65/SUMSQ('TS-PILE'!$D$56:$D$75))),IF('TS-PILE'!$B$66="",-1E+99,'TO HOP NLAN'!D71/ncoc+IF(SUMSQ('TS-PILE'!$E$56:$E$75)=0,0,'TO HOP NLAN'!E71*'TS-PILE'!$E$66/SUMSQ('TS-PILE'!$E$56:$E$75))+IF(SUMSQ('TS-PILE'!$D$56:$D$75)=0,0,'TO HOP NLAN'!F71*'TS-PILE'!$D$66/SUMSQ('TS-PILE'!$D$56:$D$75))),IF('TS-PILE'!$B$67="",-1E+99,'TO HOP NLAN'!D71/ncoc+IF(SUMSQ('TS-PILE'!$E$56:$E$75)=0,0,'TO HOP NLAN'!E71*'TS-PILE'!$E$67/SUMSQ('TS-PILE'!$E$56:$E$75))+IF(SUMSQ('TS-PILE'!$D$56:$D$75)=0,0,'TO HOP NLAN'!F71*'TS-PILE'!$D$67/SUMSQ('TS-PILE'!$D$56:$D$75))),IF('TS-PILE'!$B$68="",-1E+99,'TO HOP NLAN'!D71/ncoc+IF(SUMSQ('TS-PILE'!$E$56:$E$75)=0,0,'TO HOP NLAN'!E71*'TS-PILE'!$E$68/SUMSQ('TS-PILE'!$E$56:$E$75))+IF(SUMSQ('TS-PILE'!$D$56:$D$75)=0,0,'TO HOP NLAN'!F71*'TS-PILE'!$D$68/SUMSQ('TS-PILE'!$D$56:$D$75))),IF('TS-PILE'!$B$69="",-1E+99,'TO HOP NLAN'!D71/ncoc+IF(SUMSQ('TS-PILE'!$E$56:$E$75)=0,0,'TO HOP NLAN'!E71*'TS-PILE'!$E$69/SUMSQ('TS-PILE'!$E$56:$E$75))+IF(SUMSQ('TS-PILE'!$D$56:$D$75)=0,0,'TO HOP NLAN'!F71*'TS-PILE'!$D$69/SUMSQ('TS-PILE'!$D$56:$D$75))),IF('TS-PILE'!$B$70="",-1E+99,'TO HOP NLAN'!D71/ncoc+IF(SUMSQ('TS-PILE'!$E$56:$E$75)=0,0,'TO HOP NLAN'!E71*'TS-PILE'!$E$70/SUMSQ('TS-PILE'!$E$56:$E$75))+IF(SUMSQ('TS-PILE'!$D$56:$D$75)=0,0,'TO HOP NLAN'!F71*'TS-PILE'!$D$70/SUMSQ('TS-PILE'!$D$56:$D$75))),IF('TS-PILE'!$B$71="",-1E+99,'TO HOP NLAN'!D71/ncoc+IF(SUMSQ('TS-PILE'!$E$56:$E$75)=0,0,'TO HOP NLAN'!E71*'TS-PILE'!$E$71/SUMSQ('TS-PILE'!$E$56:$E$75))+IF(SUMSQ('TS-PILE'!$D$56:$D$75)=0,0,'TO HOP NLAN'!F71*'TS-PILE'!$D$71/SUMSQ('TS-PILE'!$D$56:$D$75))),IF('TS-PILE'!$B$72="",-1E+99,'TO HOP NLAN'!D71/ncoc+IF(SUMSQ('TS-PILE'!$E$56:$E$75)=0,0,'TO HOP NLAN'!E71*'TS-PILE'!$E$72/SUMSQ('TS-PILE'!$E$56:$E$75))+IF(SUMSQ('TS-PILE'!$D$56:$D$75)=0,0,'TO HOP NLAN'!F71*'TS-PILE'!$D$72/SUMSQ('TS-PILE'!$D$56:$D$75))),IF('TS-PILE'!$B$73="",-1E+99,'TO HOP NLAN'!D71/ncoc+IF(SUMSQ('TS-PILE'!$E$56:$E$75)=0,0,'TO HOP NLAN'!E71*'TS-PILE'!$E$73/SUMSQ('TS-PILE'!$E$56:$E$75))+IF(SUMSQ('TS-PILE'!$D$56:$D$75)=0,0,'TO HOP NLAN'!F71*'TS-PILE'!$D$73/SUMSQ('TS-PILE'!$D$56:$D$75))),IF('TS-PILE'!$B$74="",-1E+99,'TO HOP NLAN'!D71/ncoc+IF(SUMSQ('TS-PILE'!$E$56:$E$75)=0,0,'TO HOP NLAN'!E71*'TS-PILE'!$E$74/SUMSQ('TS-PILE'!$E$56:$E$75))+IF(SUMSQ('TS-PILE'!$D$56:$D$75)=0,0,'TO HOP NLAN'!F71*'TS-PILE'!$D$74/SUMSQ('TS-PILE'!$D$56:$D$75))),IF('TS-PILE'!$B$75="",-1E+99,'TO HOP NLAN'!D71/ncoc+IF(SUMSQ('TS-PILE'!$E$56:$E$75)=0,0,'TO HOP NLAN'!E71*'TS-PILE'!$E$75/SUMSQ('TS-PILE'!$E$56:$E$75))+IF(SUMSQ('TS-PILE'!$D$56:$D$75)=0,0,'TO HOP NLAN'!F71*'TS-PILE'!$D$75/SUMSQ('TS-PILE'!$D$56:$D$75)))))</f>
        <v>0</v>
      </c>
      <c r="D71" s="46">
        <f>IF(A71="",0,MIN(IF('TS-PILE'!$B$56="",1E+99,'TO HOP NLAN'!D71/ncoc+IF(SUMSQ('TS-PILE'!$E$56:$E$75)=0,0,'TO HOP NLAN'!E71*'TS-PILE'!$E$56/SUMSQ('TS-PILE'!$E$56:$E$75))+IF(SUMSQ('TS-PILE'!$D$56:$D$75)=0,0,'TO HOP NLAN'!F71*'TS-PILE'!$D$56/SUMSQ('TS-PILE'!$D$56:$D$75))),IF('TS-PILE'!$B$57="",1E+99,'TO HOP NLAN'!D71/ncoc+IF(SUMSQ('TS-PILE'!$E$56:$E$75)=0,0,'TO HOP NLAN'!E71*'TS-PILE'!$E$57/SUMSQ('TS-PILE'!$E$56:$E$75))+IF(SUMSQ('TS-PILE'!$D$56:$D$75)=0,0,'TO HOP NLAN'!F71*'TS-PILE'!$D$57/SUMSQ('TS-PILE'!$D$56:$D$75))),IF('TS-PILE'!$B$58="",1E+99,'TO HOP NLAN'!D71/ncoc+IF(SUMSQ('TS-PILE'!$E$56:$E$75)=0,0,'TO HOP NLAN'!E71*'TS-PILE'!$E$58/SUMSQ('TS-PILE'!$E$56:$E$75))+IF(SUMSQ('TS-PILE'!$D$56:$D$75)=0,0,'TO HOP NLAN'!F71*'TS-PILE'!$D$58/SUMSQ('TS-PILE'!$D$56:$D$75))),IF('TS-PILE'!$B$59="",1E+99,'TO HOP NLAN'!D71/ncoc+IF(SUMSQ('TS-PILE'!$E$56:$E$75)=0,0,'TO HOP NLAN'!E71*'TS-PILE'!$E$59/SUMSQ('TS-PILE'!$E$56:$E$75))+IF(SUMSQ('TS-PILE'!$D$56:$D$75)=0,0,'TO HOP NLAN'!F71*'TS-PILE'!$D$59/SUMSQ('TS-PILE'!$D$56:$D$75))),IF('TS-PILE'!$B$60="",1E+99,'TO HOP NLAN'!D71/ncoc+IF(SUMSQ('TS-PILE'!$E$56:$E$75)=0,0,'TO HOP NLAN'!E71*'TS-PILE'!$E$60/SUMSQ('TS-PILE'!$E$56:$E$75))+IF(SUMSQ('TS-PILE'!$D$56:$D$75)=0,0,'TO HOP NLAN'!F71*'TS-PILE'!$D$60/SUMSQ('TS-PILE'!$D$56:$D$75))),IF('TS-PILE'!$B$61="",1E+99,'TO HOP NLAN'!D71/ncoc+IF(SUMSQ('TS-PILE'!$E$56:$E$75)=0,0,'TO HOP NLAN'!E71*'TS-PILE'!$E$61/SUMSQ('TS-PILE'!$E$56:$E$75))+IF(SUMSQ('TS-PILE'!$D$56:$D$75)=0,0,'TO HOP NLAN'!F71*'TS-PILE'!$D$61/SUMSQ('TS-PILE'!$D$56:$D$75))),IF('TS-PILE'!$B$62="",1E+99,'TO HOP NLAN'!D71/ncoc+IF(SUMSQ('TS-PILE'!$E$56:$E$75)=0,0,'TO HOP NLAN'!E71*'TS-PILE'!$E$62/SUMSQ('TS-PILE'!$E$56:$E$75))+IF(SUMSQ('TS-PILE'!$D$56:$D$75)=0,0,'TO HOP NLAN'!F71*'TS-PILE'!$D$62/SUMSQ('TS-PILE'!$D$56:$D$75))),IF('TS-PILE'!$B$63="",1E+99,'TO HOP NLAN'!D71/ncoc+IF(SUMSQ('TS-PILE'!$E$56:$E$75)=0,0,'TO HOP NLAN'!E71*'TS-PILE'!$E$63/SUMSQ('TS-PILE'!$E$56:$E$75))+IF(SUMSQ('TS-PILE'!$D$56:$D$75)=0,0,'TO HOP NLAN'!F71*'TS-PILE'!$D$63/SUMSQ('TS-PILE'!$D$56:$D$75))),IF('TS-PILE'!$B$64="",1E+99,'TO HOP NLAN'!D71/ncoc+IF(SUMSQ('TS-PILE'!$E$56:$E$75)=0,0,'TO HOP NLAN'!E71*'TS-PILE'!$E$64/SUMSQ('TS-PILE'!$E$56:$E$75))+IF(SUMSQ('TS-PILE'!$D$56:$D$75)=0,0,'TO HOP NLAN'!F71*'TS-PILE'!$D$64/SUMSQ('TS-PILE'!$D$56:$D$75))),IF('TS-PILE'!$B$65="",1E+99,'TO HOP NLAN'!D71/ncoc+IF(SUMSQ('TS-PILE'!$E$56:$E$75)=0,0,'TO HOP NLAN'!E71*'TS-PILE'!$E$65/SUMSQ('TS-PILE'!$E$56:$E$75))+IF(SUMSQ('TS-PILE'!$D$56:$D$75)=0,0,'TO HOP NLAN'!F71*'TS-PILE'!$D$65/SUMSQ('TS-PILE'!$D$56:$D$75))),IF('TS-PILE'!$B$66="",1E+99,'TO HOP NLAN'!D71/ncoc+IF(SUMSQ('TS-PILE'!$E$56:$E$75)=0,0,'TO HOP NLAN'!E71*'TS-PILE'!$E$66/SUMSQ('TS-PILE'!$E$56:$E$75))+IF(SUMSQ('TS-PILE'!$D$56:$D$75)=0,0,'TO HOP NLAN'!F71*'TS-PILE'!$D$66/SUMSQ('TS-PILE'!$D$56:$D$75))),IF('TS-PILE'!$B$67="",1E+99,'TO HOP NLAN'!D71/ncoc+IF(SUMSQ('TS-PILE'!$E$56:$E$75)=0,0,'TO HOP NLAN'!E71*'TS-PILE'!$E$67/SUMSQ('TS-PILE'!$E$56:$E$75))+IF(SUMSQ('TS-PILE'!$D$56:$D$75)=0,0,'TO HOP NLAN'!F71*'TS-PILE'!$D$67/SUMSQ('TS-PILE'!$D$56:$D$75))),IF('TS-PILE'!$B$68="",1E+99,'TO HOP NLAN'!D71/ncoc+IF(SUMSQ('TS-PILE'!$E$56:$E$75)=0,0,'TO HOP NLAN'!E71*'TS-PILE'!$E$68/SUMSQ('TS-PILE'!$E$56:$E$75))+IF(SUMSQ('TS-PILE'!$D$56:$D$75)=0,0,'TO HOP NLAN'!F71*'TS-PILE'!$D$68/SUMSQ('TS-PILE'!$D$56:$D$75))),IF('TS-PILE'!$B$69="",1E+99,'TO HOP NLAN'!D71/ncoc+IF(SUMSQ('TS-PILE'!$E$56:$E$75)=0,0,'TO HOP NLAN'!E71*'TS-PILE'!$E$69/SUMSQ('TS-PILE'!$E$56:$E$75))+IF(SUMSQ('TS-PILE'!$D$56:$D$75)=0,0,'TO HOP NLAN'!F71*'TS-PILE'!$D$69/SUMSQ('TS-PILE'!$D$56:$D$75))),IF('TS-PILE'!$B$70="",1E+99,'TO HOP NLAN'!D71/ncoc+IF(SUMSQ('TS-PILE'!$E$56:$E$75)=0,0,'TO HOP NLAN'!E71*'TS-PILE'!$E$70/SUMSQ('TS-PILE'!$E$56:$E$75))+IF(SUMSQ('TS-PILE'!$D$56:$D$75)=0,0,'TO HOP NLAN'!F71*'TS-PILE'!$D$70/SUMSQ('TS-PILE'!$D$56:$D$75))),IF('TS-PILE'!$B$71="",1E+99,'TO HOP NLAN'!D71/ncoc+IF(SUMSQ('TS-PILE'!$E$56:$E$75)=0,0,'TO HOP NLAN'!E71*'TS-PILE'!$E$71/SUMSQ('TS-PILE'!$E$56:$E$75))+IF(SUMSQ('TS-PILE'!$D$56:$D$75)=0,0,'TO HOP NLAN'!F71*'TS-PILE'!$D$71/SUMSQ('TS-PILE'!$D$56:$D$75))),IF('TS-PILE'!$B$72="",1E+99,'TO HOP NLAN'!D71/ncoc+IF(SUMSQ('TS-PILE'!$E$56:$E$75)=0,0,'TO HOP NLAN'!E71*'TS-PILE'!$E$72/SUMSQ('TS-PILE'!$E$56:$E$75))+IF(SUMSQ('TS-PILE'!$D$56:$D$75)=0,0,'TO HOP NLAN'!F71*'TS-PILE'!$D$72/SUMSQ('TS-PILE'!$D$56:$D$75))),IF('TS-PILE'!$B$73="",1E+99,'TO HOP NLAN'!D71/ncoc+IF(SUMSQ('TS-PILE'!$E$56:$E$75)=0,0,'TO HOP NLAN'!E71*'TS-PILE'!$E$73/SUMSQ('TS-PILE'!$E$56:$E$75))+IF(SUMSQ('TS-PILE'!$D$56:$D$75)=0,0,'TO HOP NLAN'!F71*'TS-PILE'!$D$73/SUMSQ('TS-PILE'!$D$56:$D$75))),IF('TS-PILE'!$B$74="",1E+99,'TO HOP NLAN'!D71/ncoc+IF(SUMSQ('TS-PILE'!$E$56:$E$75)=0,0,'TO HOP NLAN'!E71*'TS-PILE'!$E$74/SUMSQ('TS-PILE'!$E$56:$E$75))+IF(SUMSQ('TS-PILE'!$D$56:$D$75)=0,0,'TO HOP NLAN'!F71*'TS-PILE'!$D$74/SUMSQ('TS-PILE'!$D$56:$D$75))),IF('TS-PILE'!$B$75="",1E+99,'TO HOP NLAN'!D71/ncoc+IF(SUMSQ('TS-PILE'!$E$56:$E$75)=0,0,'TO HOP NLAN'!E71*'TS-PILE'!$E$75/SUMSQ('TS-PILE'!$E$56:$E$75))+IF(SUMSQ('TS-PILE'!$D$56:$D$75)=0,0,'TO HOP NLAN'!F71*'TS-PILE'!$D$75/SUMSQ('TS-PILE'!$D$56:$D$75)))))</f>
        <v>0</v>
      </c>
      <c r="E71" s="46">
        <f t="shared" si="4"/>
        <v>-9.9999999999999997E+98</v>
      </c>
      <c r="F71" s="46">
        <f t="shared" si="5"/>
        <v>9.9999999999999997E+98</v>
      </c>
      <c r="G71" s="46">
        <f t="shared" si="6"/>
        <v>-9.9999999999999997E+98</v>
      </c>
      <c r="H71" s="46">
        <f t="shared" si="7"/>
        <v>9.9999999999999997E+98</v>
      </c>
    </row>
    <row r="72" spans="1:8" x14ac:dyDescent="0.3">
      <c r="A72" s="40" t="str">
        <f>'TO HOP NLAN'!A72</f>
        <v/>
      </c>
      <c r="B72" s="40" t="str">
        <f>'TO HOP NLAN'!L72</f>
        <v>SERVICE</v>
      </c>
      <c r="C72" s="46">
        <f>IF(A72="",0,MAX(IF('TS-PILE'!$B$56="",-1E+99,'TO HOP NLAN'!D72/ncoc+IF(SUMSQ('TS-PILE'!$E$56:$E$75)=0,0,'TO HOP NLAN'!E72*'TS-PILE'!$E$56/SUMSQ('TS-PILE'!$E$56:$E$75))+IF(SUMSQ('TS-PILE'!$D$56:$D$75)=0,0,'TO HOP NLAN'!F72*'TS-PILE'!$D$56/SUMSQ('TS-PILE'!$D$56:$D$75))),IF('TS-PILE'!$B$57="",-1E+99,'TO HOP NLAN'!D72/ncoc+IF(SUMSQ('TS-PILE'!$E$56:$E$75)=0,0,'TO HOP NLAN'!E72*'TS-PILE'!$E$57/SUMSQ('TS-PILE'!$E$56:$E$75))+IF(SUMSQ('TS-PILE'!$D$56:$D$75)=0,0,'TO HOP NLAN'!F72*'TS-PILE'!$D$57/SUMSQ('TS-PILE'!$D$56:$D$75))),IF('TS-PILE'!$B$58="",-1E+99,'TO HOP NLAN'!D72/ncoc+IF(SUMSQ('TS-PILE'!$E$56:$E$75)=0,0,'TO HOP NLAN'!E72*'TS-PILE'!$E$58/SUMSQ('TS-PILE'!$E$56:$E$75))+IF(SUMSQ('TS-PILE'!$D$56:$D$75)=0,0,'TO HOP NLAN'!F72*'TS-PILE'!$D$58/SUMSQ('TS-PILE'!$D$56:$D$75))),IF('TS-PILE'!$B$59="",-1E+99,'TO HOP NLAN'!D72/ncoc+IF(SUMSQ('TS-PILE'!$E$56:$E$75)=0,0,'TO HOP NLAN'!E72*'TS-PILE'!$E$59/SUMSQ('TS-PILE'!$E$56:$E$75))+IF(SUMSQ('TS-PILE'!$D$56:$D$75)=0,0,'TO HOP NLAN'!F72*'TS-PILE'!$D$59/SUMSQ('TS-PILE'!$D$56:$D$75))),IF('TS-PILE'!$B$60="",-1E+99,'TO HOP NLAN'!D72/ncoc+IF(SUMSQ('TS-PILE'!$E$56:$E$75)=0,0,'TO HOP NLAN'!E72*'TS-PILE'!$E$60/SUMSQ('TS-PILE'!$E$56:$E$75))+IF(SUMSQ('TS-PILE'!$D$56:$D$75)=0,0,'TO HOP NLAN'!F72*'TS-PILE'!$D$60/SUMSQ('TS-PILE'!$D$56:$D$75))),IF('TS-PILE'!$B$61="",-1E+99,'TO HOP NLAN'!D72/ncoc+IF(SUMSQ('TS-PILE'!$E$56:$E$75)=0,0,'TO HOP NLAN'!E72*'TS-PILE'!$E$61/SUMSQ('TS-PILE'!$E$56:$E$75))+IF(SUMSQ('TS-PILE'!$D$56:$D$75)=0,0,'TO HOP NLAN'!F72*'TS-PILE'!$D$61/SUMSQ('TS-PILE'!$D$56:$D$75))),IF('TS-PILE'!$B$62="",-1E+99,'TO HOP NLAN'!D72/ncoc+IF(SUMSQ('TS-PILE'!$E$56:$E$75)=0,0,'TO HOP NLAN'!E72*'TS-PILE'!$E$62/SUMSQ('TS-PILE'!$E$56:$E$75))+IF(SUMSQ('TS-PILE'!$D$56:$D$75)=0,0,'TO HOP NLAN'!F72*'TS-PILE'!$D$62/SUMSQ('TS-PILE'!$D$56:$D$75))),IF('TS-PILE'!$B$63="",-1E+99,'TO HOP NLAN'!D72/ncoc+IF(SUMSQ('TS-PILE'!$E$56:$E$75)=0,0,'TO HOP NLAN'!E72*'TS-PILE'!$E$63/SUMSQ('TS-PILE'!$E$56:$E$75))+IF(SUMSQ('TS-PILE'!$D$56:$D$75)=0,0,'TO HOP NLAN'!F72*'TS-PILE'!$D$63/SUMSQ('TS-PILE'!$D$56:$D$75))),IF('TS-PILE'!$B$64="",-1E+99,'TO HOP NLAN'!D72/ncoc+IF(SUMSQ('TS-PILE'!$E$56:$E$75)=0,0,'TO HOP NLAN'!E72*'TS-PILE'!$E$64/SUMSQ('TS-PILE'!$E$56:$E$75))+IF(SUMSQ('TS-PILE'!$D$56:$D$75)=0,0,'TO HOP NLAN'!F72*'TS-PILE'!$D$64/SUMSQ('TS-PILE'!$D$56:$D$75))),IF('TS-PILE'!$B$65="",-1E+99,'TO HOP NLAN'!D72/ncoc+IF(SUMSQ('TS-PILE'!$E$56:$E$75)=0,0,'TO HOP NLAN'!E72*'TS-PILE'!$E$65/SUMSQ('TS-PILE'!$E$56:$E$75))+IF(SUMSQ('TS-PILE'!$D$56:$D$75)=0,0,'TO HOP NLAN'!F72*'TS-PILE'!$D$65/SUMSQ('TS-PILE'!$D$56:$D$75))),IF('TS-PILE'!$B$66="",-1E+99,'TO HOP NLAN'!D72/ncoc+IF(SUMSQ('TS-PILE'!$E$56:$E$75)=0,0,'TO HOP NLAN'!E72*'TS-PILE'!$E$66/SUMSQ('TS-PILE'!$E$56:$E$75))+IF(SUMSQ('TS-PILE'!$D$56:$D$75)=0,0,'TO HOP NLAN'!F72*'TS-PILE'!$D$66/SUMSQ('TS-PILE'!$D$56:$D$75))),IF('TS-PILE'!$B$67="",-1E+99,'TO HOP NLAN'!D72/ncoc+IF(SUMSQ('TS-PILE'!$E$56:$E$75)=0,0,'TO HOP NLAN'!E72*'TS-PILE'!$E$67/SUMSQ('TS-PILE'!$E$56:$E$75))+IF(SUMSQ('TS-PILE'!$D$56:$D$75)=0,0,'TO HOP NLAN'!F72*'TS-PILE'!$D$67/SUMSQ('TS-PILE'!$D$56:$D$75))),IF('TS-PILE'!$B$68="",-1E+99,'TO HOP NLAN'!D72/ncoc+IF(SUMSQ('TS-PILE'!$E$56:$E$75)=0,0,'TO HOP NLAN'!E72*'TS-PILE'!$E$68/SUMSQ('TS-PILE'!$E$56:$E$75))+IF(SUMSQ('TS-PILE'!$D$56:$D$75)=0,0,'TO HOP NLAN'!F72*'TS-PILE'!$D$68/SUMSQ('TS-PILE'!$D$56:$D$75))),IF('TS-PILE'!$B$69="",-1E+99,'TO HOP NLAN'!D72/ncoc+IF(SUMSQ('TS-PILE'!$E$56:$E$75)=0,0,'TO HOP NLAN'!E72*'TS-PILE'!$E$69/SUMSQ('TS-PILE'!$E$56:$E$75))+IF(SUMSQ('TS-PILE'!$D$56:$D$75)=0,0,'TO HOP NLAN'!F72*'TS-PILE'!$D$69/SUMSQ('TS-PILE'!$D$56:$D$75))),IF('TS-PILE'!$B$70="",-1E+99,'TO HOP NLAN'!D72/ncoc+IF(SUMSQ('TS-PILE'!$E$56:$E$75)=0,0,'TO HOP NLAN'!E72*'TS-PILE'!$E$70/SUMSQ('TS-PILE'!$E$56:$E$75))+IF(SUMSQ('TS-PILE'!$D$56:$D$75)=0,0,'TO HOP NLAN'!F72*'TS-PILE'!$D$70/SUMSQ('TS-PILE'!$D$56:$D$75))),IF('TS-PILE'!$B$71="",-1E+99,'TO HOP NLAN'!D72/ncoc+IF(SUMSQ('TS-PILE'!$E$56:$E$75)=0,0,'TO HOP NLAN'!E72*'TS-PILE'!$E$71/SUMSQ('TS-PILE'!$E$56:$E$75))+IF(SUMSQ('TS-PILE'!$D$56:$D$75)=0,0,'TO HOP NLAN'!F72*'TS-PILE'!$D$71/SUMSQ('TS-PILE'!$D$56:$D$75))),IF('TS-PILE'!$B$72="",-1E+99,'TO HOP NLAN'!D72/ncoc+IF(SUMSQ('TS-PILE'!$E$56:$E$75)=0,0,'TO HOP NLAN'!E72*'TS-PILE'!$E$72/SUMSQ('TS-PILE'!$E$56:$E$75))+IF(SUMSQ('TS-PILE'!$D$56:$D$75)=0,0,'TO HOP NLAN'!F72*'TS-PILE'!$D$72/SUMSQ('TS-PILE'!$D$56:$D$75))),IF('TS-PILE'!$B$73="",-1E+99,'TO HOP NLAN'!D72/ncoc+IF(SUMSQ('TS-PILE'!$E$56:$E$75)=0,0,'TO HOP NLAN'!E72*'TS-PILE'!$E$73/SUMSQ('TS-PILE'!$E$56:$E$75))+IF(SUMSQ('TS-PILE'!$D$56:$D$75)=0,0,'TO HOP NLAN'!F72*'TS-PILE'!$D$73/SUMSQ('TS-PILE'!$D$56:$D$75))),IF('TS-PILE'!$B$74="",-1E+99,'TO HOP NLAN'!D72/ncoc+IF(SUMSQ('TS-PILE'!$E$56:$E$75)=0,0,'TO HOP NLAN'!E72*'TS-PILE'!$E$74/SUMSQ('TS-PILE'!$E$56:$E$75))+IF(SUMSQ('TS-PILE'!$D$56:$D$75)=0,0,'TO HOP NLAN'!F72*'TS-PILE'!$D$74/SUMSQ('TS-PILE'!$D$56:$D$75))),IF('TS-PILE'!$B$75="",-1E+99,'TO HOP NLAN'!D72/ncoc+IF(SUMSQ('TS-PILE'!$E$56:$E$75)=0,0,'TO HOP NLAN'!E72*'TS-PILE'!$E$75/SUMSQ('TS-PILE'!$E$56:$E$75))+IF(SUMSQ('TS-PILE'!$D$56:$D$75)=0,0,'TO HOP NLAN'!F72*'TS-PILE'!$D$75/SUMSQ('TS-PILE'!$D$56:$D$75)))))</f>
        <v>0</v>
      </c>
      <c r="D72" s="46">
        <f>IF(A72="",0,MIN(IF('TS-PILE'!$B$56="",1E+99,'TO HOP NLAN'!D72/ncoc+IF(SUMSQ('TS-PILE'!$E$56:$E$75)=0,0,'TO HOP NLAN'!E72*'TS-PILE'!$E$56/SUMSQ('TS-PILE'!$E$56:$E$75))+IF(SUMSQ('TS-PILE'!$D$56:$D$75)=0,0,'TO HOP NLAN'!F72*'TS-PILE'!$D$56/SUMSQ('TS-PILE'!$D$56:$D$75))),IF('TS-PILE'!$B$57="",1E+99,'TO HOP NLAN'!D72/ncoc+IF(SUMSQ('TS-PILE'!$E$56:$E$75)=0,0,'TO HOP NLAN'!E72*'TS-PILE'!$E$57/SUMSQ('TS-PILE'!$E$56:$E$75))+IF(SUMSQ('TS-PILE'!$D$56:$D$75)=0,0,'TO HOP NLAN'!F72*'TS-PILE'!$D$57/SUMSQ('TS-PILE'!$D$56:$D$75))),IF('TS-PILE'!$B$58="",1E+99,'TO HOP NLAN'!D72/ncoc+IF(SUMSQ('TS-PILE'!$E$56:$E$75)=0,0,'TO HOP NLAN'!E72*'TS-PILE'!$E$58/SUMSQ('TS-PILE'!$E$56:$E$75))+IF(SUMSQ('TS-PILE'!$D$56:$D$75)=0,0,'TO HOP NLAN'!F72*'TS-PILE'!$D$58/SUMSQ('TS-PILE'!$D$56:$D$75))),IF('TS-PILE'!$B$59="",1E+99,'TO HOP NLAN'!D72/ncoc+IF(SUMSQ('TS-PILE'!$E$56:$E$75)=0,0,'TO HOP NLAN'!E72*'TS-PILE'!$E$59/SUMSQ('TS-PILE'!$E$56:$E$75))+IF(SUMSQ('TS-PILE'!$D$56:$D$75)=0,0,'TO HOP NLAN'!F72*'TS-PILE'!$D$59/SUMSQ('TS-PILE'!$D$56:$D$75))),IF('TS-PILE'!$B$60="",1E+99,'TO HOP NLAN'!D72/ncoc+IF(SUMSQ('TS-PILE'!$E$56:$E$75)=0,0,'TO HOP NLAN'!E72*'TS-PILE'!$E$60/SUMSQ('TS-PILE'!$E$56:$E$75))+IF(SUMSQ('TS-PILE'!$D$56:$D$75)=0,0,'TO HOP NLAN'!F72*'TS-PILE'!$D$60/SUMSQ('TS-PILE'!$D$56:$D$75))),IF('TS-PILE'!$B$61="",1E+99,'TO HOP NLAN'!D72/ncoc+IF(SUMSQ('TS-PILE'!$E$56:$E$75)=0,0,'TO HOP NLAN'!E72*'TS-PILE'!$E$61/SUMSQ('TS-PILE'!$E$56:$E$75))+IF(SUMSQ('TS-PILE'!$D$56:$D$75)=0,0,'TO HOP NLAN'!F72*'TS-PILE'!$D$61/SUMSQ('TS-PILE'!$D$56:$D$75))),IF('TS-PILE'!$B$62="",1E+99,'TO HOP NLAN'!D72/ncoc+IF(SUMSQ('TS-PILE'!$E$56:$E$75)=0,0,'TO HOP NLAN'!E72*'TS-PILE'!$E$62/SUMSQ('TS-PILE'!$E$56:$E$75))+IF(SUMSQ('TS-PILE'!$D$56:$D$75)=0,0,'TO HOP NLAN'!F72*'TS-PILE'!$D$62/SUMSQ('TS-PILE'!$D$56:$D$75))),IF('TS-PILE'!$B$63="",1E+99,'TO HOP NLAN'!D72/ncoc+IF(SUMSQ('TS-PILE'!$E$56:$E$75)=0,0,'TO HOP NLAN'!E72*'TS-PILE'!$E$63/SUMSQ('TS-PILE'!$E$56:$E$75))+IF(SUMSQ('TS-PILE'!$D$56:$D$75)=0,0,'TO HOP NLAN'!F72*'TS-PILE'!$D$63/SUMSQ('TS-PILE'!$D$56:$D$75))),IF('TS-PILE'!$B$64="",1E+99,'TO HOP NLAN'!D72/ncoc+IF(SUMSQ('TS-PILE'!$E$56:$E$75)=0,0,'TO HOP NLAN'!E72*'TS-PILE'!$E$64/SUMSQ('TS-PILE'!$E$56:$E$75))+IF(SUMSQ('TS-PILE'!$D$56:$D$75)=0,0,'TO HOP NLAN'!F72*'TS-PILE'!$D$64/SUMSQ('TS-PILE'!$D$56:$D$75))),IF('TS-PILE'!$B$65="",1E+99,'TO HOP NLAN'!D72/ncoc+IF(SUMSQ('TS-PILE'!$E$56:$E$75)=0,0,'TO HOP NLAN'!E72*'TS-PILE'!$E$65/SUMSQ('TS-PILE'!$E$56:$E$75))+IF(SUMSQ('TS-PILE'!$D$56:$D$75)=0,0,'TO HOP NLAN'!F72*'TS-PILE'!$D$65/SUMSQ('TS-PILE'!$D$56:$D$75))),IF('TS-PILE'!$B$66="",1E+99,'TO HOP NLAN'!D72/ncoc+IF(SUMSQ('TS-PILE'!$E$56:$E$75)=0,0,'TO HOP NLAN'!E72*'TS-PILE'!$E$66/SUMSQ('TS-PILE'!$E$56:$E$75))+IF(SUMSQ('TS-PILE'!$D$56:$D$75)=0,0,'TO HOP NLAN'!F72*'TS-PILE'!$D$66/SUMSQ('TS-PILE'!$D$56:$D$75))),IF('TS-PILE'!$B$67="",1E+99,'TO HOP NLAN'!D72/ncoc+IF(SUMSQ('TS-PILE'!$E$56:$E$75)=0,0,'TO HOP NLAN'!E72*'TS-PILE'!$E$67/SUMSQ('TS-PILE'!$E$56:$E$75))+IF(SUMSQ('TS-PILE'!$D$56:$D$75)=0,0,'TO HOP NLAN'!F72*'TS-PILE'!$D$67/SUMSQ('TS-PILE'!$D$56:$D$75))),IF('TS-PILE'!$B$68="",1E+99,'TO HOP NLAN'!D72/ncoc+IF(SUMSQ('TS-PILE'!$E$56:$E$75)=0,0,'TO HOP NLAN'!E72*'TS-PILE'!$E$68/SUMSQ('TS-PILE'!$E$56:$E$75))+IF(SUMSQ('TS-PILE'!$D$56:$D$75)=0,0,'TO HOP NLAN'!F72*'TS-PILE'!$D$68/SUMSQ('TS-PILE'!$D$56:$D$75))),IF('TS-PILE'!$B$69="",1E+99,'TO HOP NLAN'!D72/ncoc+IF(SUMSQ('TS-PILE'!$E$56:$E$75)=0,0,'TO HOP NLAN'!E72*'TS-PILE'!$E$69/SUMSQ('TS-PILE'!$E$56:$E$75))+IF(SUMSQ('TS-PILE'!$D$56:$D$75)=0,0,'TO HOP NLAN'!F72*'TS-PILE'!$D$69/SUMSQ('TS-PILE'!$D$56:$D$75))),IF('TS-PILE'!$B$70="",1E+99,'TO HOP NLAN'!D72/ncoc+IF(SUMSQ('TS-PILE'!$E$56:$E$75)=0,0,'TO HOP NLAN'!E72*'TS-PILE'!$E$70/SUMSQ('TS-PILE'!$E$56:$E$75))+IF(SUMSQ('TS-PILE'!$D$56:$D$75)=0,0,'TO HOP NLAN'!F72*'TS-PILE'!$D$70/SUMSQ('TS-PILE'!$D$56:$D$75))),IF('TS-PILE'!$B$71="",1E+99,'TO HOP NLAN'!D72/ncoc+IF(SUMSQ('TS-PILE'!$E$56:$E$75)=0,0,'TO HOP NLAN'!E72*'TS-PILE'!$E$71/SUMSQ('TS-PILE'!$E$56:$E$75))+IF(SUMSQ('TS-PILE'!$D$56:$D$75)=0,0,'TO HOP NLAN'!F72*'TS-PILE'!$D$71/SUMSQ('TS-PILE'!$D$56:$D$75))),IF('TS-PILE'!$B$72="",1E+99,'TO HOP NLAN'!D72/ncoc+IF(SUMSQ('TS-PILE'!$E$56:$E$75)=0,0,'TO HOP NLAN'!E72*'TS-PILE'!$E$72/SUMSQ('TS-PILE'!$E$56:$E$75))+IF(SUMSQ('TS-PILE'!$D$56:$D$75)=0,0,'TO HOP NLAN'!F72*'TS-PILE'!$D$72/SUMSQ('TS-PILE'!$D$56:$D$75))),IF('TS-PILE'!$B$73="",1E+99,'TO HOP NLAN'!D72/ncoc+IF(SUMSQ('TS-PILE'!$E$56:$E$75)=0,0,'TO HOP NLAN'!E72*'TS-PILE'!$E$73/SUMSQ('TS-PILE'!$E$56:$E$75))+IF(SUMSQ('TS-PILE'!$D$56:$D$75)=0,0,'TO HOP NLAN'!F72*'TS-PILE'!$D$73/SUMSQ('TS-PILE'!$D$56:$D$75))),IF('TS-PILE'!$B$74="",1E+99,'TO HOP NLAN'!D72/ncoc+IF(SUMSQ('TS-PILE'!$E$56:$E$75)=0,0,'TO HOP NLAN'!E72*'TS-PILE'!$E$74/SUMSQ('TS-PILE'!$E$56:$E$75))+IF(SUMSQ('TS-PILE'!$D$56:$D$75)=0,0,'TO HOP NLAN'!F72*'TS-PILE'!$D$74/SUMSQ('TS-PILE'!$D$56:$D$75))),IF('TS-PILE'!$B$75="",1E+99,'TO HOP NLAN'!D72/ncoc+IF(SUMSQ('TS-PILE'!$E$56:$E$75)=0,0,'TO HOP NLAN'!E72*'TS-PILE'!$E$75/SUMSQ('TS-PILE'!$E$56:$E$75))+IF(SUMSQ('TS-PILE'!$D$56:$D$75)=0,0,'TO HOP NLAN'!F72*'TS-PILE'!$D$75/SUMSQ('TS-PILE'!$D$56:$D$75)))))</f>
        <v>0</v>
      </c>
      <c r="E72" s="46">
        <f t="shared" si="4"/>
        <v>-9.9999999999999997E+98</v>
      </c>
      <c r="F72" s="46">
        <f t="shared" si="5"/>
        <v>9.9999999999999997E+98</v>
      </c>
      <c r="G72" s="46">
        <f t="shared" si="6"/>
        <v>-9.9999999999999997E+98</v>
      </c>
      <c r="H72" s="46">
        <f t="shared" si="7"/>
        <v>9.9999999999999997E+98</v>
      </c>
    </row>
    <row r="73" spans="1:8" x14ac:dyDescent="0.3">
      <c r="A73" s="40" t="str">
        <f>'TO HOP NLAN'!A73</f>
        <v/>
      </c>
      <c r="B73" s="40" t="str">
        <f>'TO HOP NLAN'!L73</f>
        <v>SERVICE</v>
      </c>
      <c r="C73" s="46">
        <f>IF(A73="",0,MAX(IF('TS-PILE'!$B$56="",-1E+99,'TO HOP NLAN'!D73/ncoc+IF(SUMSQ('TS-PILE'!$E$56:$E$75)=0,0,'TO HOP NLAN'!E73*'TS-PILE'!$E$56/SUMSQ('TS-PILE'!$E$56:$E$75))+IF(SUMSQ('TS-PILE'!$D$56:$D$75)=0,0,'TO HOP NLAN'!F73*'TS-PILE'!$D$56/SUMSQ('TS-PILE'!$D$56:$D$75))),IF('TS-PILE'!$B$57="",-1E+99,'TO HOP NLAN'!D73/ncoc+IF(SUMSQ('TS-PILE'!$E$56:$E$75)=0,0,'TO HOP NLAN'!E73*'TS-PILE'!$E$57/SUMSQ('TS-PILE'!$E$56:$E$75))+IF(SUMSQ('TS-PILE'!$D$56:$D$75)=0,0,'TO HOP NLAN'!F73*'TS-PILE'!$D$57/SUMSQ('TS-PILE'!$D$56:$D$75))),IF('TS-PILE'!$B$58="",-1E+99,'TO HOP NLAN'!D73/ncoc+IF(SUMSQ('TS-PILE'!$E$56:$E$75)=0,0,'TO HOP NLAN'!E73*'TS-PILE'!$E$58/SUMSQ('TS-PILE'!$E$56:$E$75))+IF(SUMSQ('TS-PILE'!$D$56:$D$75)=0,0,'TO HOP NLAN'!F73*'TS-PILE'!$D$58/SUMSQ('TS-PILE'!$D$56:$D$75))),IF('TS-PILE'!$B$59="",-1E+99,'TO HOP NLAN'!D73/ncoc+IF(SUMSQ('TS-PILE'!$E$56:$E$75)=0,0,'TO HOP NLAN'!E73*'TS-PILE'!$E$59/SUMSQ('TS-PILE'!$E$56:$E$75))+IF(SUMSQ('TS-PILE'!$D$56:$D$75)=0,0,'TO HOP NLAN'!F73*'TS-PILE'!$D$59/SUMSQ('TS-PILE'!$D$56:$D$75))),IF('TS-PILE'!$B$60="",-1E+99,'TO HOP NLAN'!D73/ncoc+IF(SUMSQ('TS-PILE'!$E$56:$E$75)=0,0,'TO HOP NLAN'!E73*'TS-PILE'!$E$60/SUMSQ('TS-PILE'!$E$56:$E$75))+IF(SUMSQ('TS-PILE'!$D$56:$D$75)=0,0,'TO HOP NLAN'!F73*'TS-PILE'!$D$60/SUMSQ('TS-PILE'!$D$56:$D$75))),IF('TS-PILE'!$B$61="",-1E+99,'TO HOP NLAN'!D73/ncoc+IF(SUMSQ('TS-PILE'!$E$56:$E$75)=0,0,'TO HOP NLAN'!E73*'TS-PILE'!$E$61/SUMSQ('TS-PILE'!$E$56:$E$75))+IF(SUMSQ('TS-PILE'!$D$56:$D$75)=0,0,'TO HOP NLAN'!F73*'TS-PILE'!$D$61/SUMSQ('TS-PILE'!$D$56:$D$75))),IF('TS-PILE'!$B$62="",-1E+99,'TO HOP NLAN'!D73/ncoc+IF(SUMSQ('TS-PILE'!$E$56:$E$75)=0,0,'TO HOP NLAN'!E73*'TS-PILE'!$E$62/SUMSQ('TS-PILE'!$E$56:$E$75))+IF(SUMSQ('TS-PILE'!$D$56:$D$75)=0,0,'TO HOP NLAN'!F73*'TS-PILE'!$D$62/SUMSQ('TS-PILE'!$D$56:$D$75))),IF('TS-PILE'!$B$63="",-1E+99,'TO HOP NLAN'!D73/ncoc+IF(SUMSQ('TS-PILE'!$E$56:$E$75)=0,0,'TO HOP NLAN'!E73*'TS-PILE'!$E$63/SUMSQ('TS-PILE'!$E$56:$E$75))+IF(SUMSQ('TS-PILE'!$D$56:$D$75)=0,0,'TO HOP NLAN'!F73*'TS-PILE'!$D$63/SUMSQ('TS-PILE'!$D$56:$D$75))),IF('TS-PILE'!$B$64="",-1E+99,'TO HOP NLAN'!D73/ncoc+IF(SUMSQ('TS-PILE'!$E$56:$E$75)=0,0,'TO HOP NLAN'!E73*'TS-PILE'!$E$64/SUMSQ('TS-PILE'!$E$56:$E$75))+IF(SUMSQ('TS-PILE'!$D$56:$D$75)=0,0,'TO HOP NLAN'!F73*'TS-PILE'!$D$64/SUMSQ('TS-PILE'!$D$56:$D$75))),IF('TS-PILE'!$B$65="",-1E+99,'TO HOP NLAN'!D73/ncoc+IF(SUMSQ('TS-PILE'!$E$56:$E$75)=0,0,'TO HOP NLAN'!E73*'TS-PILE'!$E$65/SUMSQ('TS-PILE'!$E$56:$E$75))+IF(SUMSQ('TS-PILE'!$D$56:$D$75)=0,0,'TO HOP NLAN'!F73*'TS-PILE'!$D$65/SUMSQ('TS-PILE'!$D$56:$D$75))),IF('TS-PILE'!$B$66="",-1E+99,'TO HOP NLAN'!D73/ncoc+IF(SUMSQ('TS-PILE'!$E$56:$E$75)=0,0,'TO HOP NLAN'!E73*'TS-PILE'!$E$66/SUMSQ('TS-PILE'!$E$56:$E$75))+IF(SUMSQ('TS-PILE'!$D$56:$D$75)=0,0,'TO HOP NLAN'!F73*'TS-PILE'!$D$66/SUMSQ('TS-PILE'!$D$56:$D$75))),IF('TS-PILE'!$B$67="",-1E+99,'TO HOP NLAN'!D73/ncoc+IF(SUMSQ('TS-PILE'!$E$56:$E$75)=0,0,'TO HOP NLAN'!E73*'TS-PILE'!$E$67/SUMSQ('TS-PILE'!$E$56:$E$75))+IF(SUMSQ('TS-PILE'!$D$56:$D$75)=0,0,'TO HOP NLAN'!F73*'TS-PILE'!$D$67/SUMSQ('TS-PILE'!$D$56:$D$75))),IF('TS-PILE'!$B$68="",-1E+99,'TO HOP NLAN'!D73/ncoc+IF(SUMSQ('TS-PILE'!$E$56:$E$75)=0,0,'TO HOP NLAN'!E73*'TS-PILE'!$E$68/SUMSQ('TS-PILE'!$E$56:$E$75))+IF(SUMSQ('TS-PILE'!$D$56:$D$75)=0,0,'TO HOP NLAN'!F73*'TS-PILE'!$D$68/SUMSQ('TS-PILE'!$D$56:$D$75))),IF('TS-PILE'!$B$69="",-1E+99,'TO HOP NLAN'!D73/ncoc+IF(SUMSQ('TS-PILE'!$E$56:$E$75)=0,0,'TO HOP NLAN'!E73*'TS-PILE'!$E$69/SUMSQ('TS-PILE'!$E$56:$E$75))+IF(SUMSQ('TS-PILE'!$D$56:$D$75)=0,0,'TO HOP NLAN'!F73*'TS-PILE'!$D$69/SUMSQ('TS-PILE'!$D$56:$D$75))),IF('TS-PILE'!$B$70="",-1E+99,'TO HOP NLAN'!D73/ncoc+IF(SUMSQ('TS-PILE'!$E$56:$E$75)=0,0,'TO HOP NLAN'!E73*'TS-PILE'!$E$70/SUMSQ('TS-PILE'!$E$56:$E$75))+IF(SUMSQ('TS-PILE'!$D$56:$D$75)=0,0,'TO HOP NLAN'!F73*'TS-PILE'!$D$70/SUMSQ('TS-PILE'!$D$56:$D$75))),IF('TS-PILE'!$B$71="",-1E+99,'TO HOP NLAN'!D73/ncoc+IF(SUMSQ('TS-PILE'!$E$56:$E$75)=0,0,'TO HOP NLAN'!E73*'TS-PILE'!$E$71/SUMSQ('TS-PILE'!$E$56:$E$75))+IF(SUMSQ('TS-PILE'!$D$56:$D$75)=0,0,'TO HOP NLAN'!F73*'TS-PILE'!$D$71/SUMSQ('TS-PILE'!$D$56:$D$75))),IF('TS-PILE'!$B$72="",-1E+99,'TO HOP NLAN'!D73/ncoc+IF(SUMSQ('TS-PILE'!$E$56:$E$75)=0,0,'TO HOP NLAN'!E73*'TS-PILE'!$E$72/SUMSQ('TS-PILE'!$E$56:$E$75))+IF(SUMSQ('TS-PILE'!$D$56:$D$75)=0,0,'TO HOP NLAN'!F73*'TS-PILE'!$D$72/SUMSQ('TS-PILE'!$D$56:$D$75))),IF('TS-PILE'!$B$73="",-1E+99,'TO HOP NLAN'!D73/ncoc+IF(SUMSQ('TS-PILE'!$E$56:$E$75)=0,0,'TO HOP NLAN'!E73*'TS-PILE'!$E$73/SUMSQ('TS-PILE'!$E$56:$E$75))+IF(SUMSQ('TS-PILE'!$D$56:$D$75)=0,0,'TO HOP NLAN'!F73*'TS-PILE'!$D$73/SUMSQ('TS-PILE'!$D$56:$D$75))),IF('TS-PILE'!$B$74="",-1E+99,'TO HOP NLAN'!D73/ncoc+IF(SUMSQ('TS-PILE'!$E$56:$E$75)=0,0,'TO HOP NLAN'!E73*'TS-PILE'!$E$74/SUMSQ('TS-PILE'!$E$56:$E$75))+IF(SUMSQ('TS-PILE'!$D$56:$D$75)=0,0,'TO HOP NLAN'!F73*'TS-PILE'!$D$74/SUMSQ('TS-PILE'!$D$56:$D$75))),IF('TS-PILE'!$B$75="",-1E+99,'TO HOP NLAN'!D73/ncoc+IF(SUMSQ('TS-PILE'!$E$56:$E$75)=0,0,'TO HOP NLAN'!E73*'TS-PILE'!$E$75/SUMSQ('TS-PILE'!$E$56:$E$75))+IF(SUMSQ('TS-PILE'!$D$56:$D$75)=0,0,'TO HOP NLAN'!F73*'TS-PILE'!$D$75/SUMSQ('TS-PILE'!$D$56:$D$75)))))</f>
        <v>0</v>
      </c>
      <c r="D73" s="46">
        <f>IF(A73="",0,MIN(IF('TS-PILE'!$B$56="",1E+99,'TO HOP NLAN'!D73/ncoc+IF(SUMSQ('TS-PILE'!$E$56:$E$75)=0,0,'TO HOP NLAN'!E73*'TS-PILE'!$E$56/SUMSQ('TS-PILE'!$E$56:$E$75))+IF(SUMSQ('TS-PILE'!$D$56:$D$75)=0,0,'TO HOP NLAN'!F73*'TS-PILE'!$D$56/SUMSQ('TS-PILE'!$D$56:$D$75))),IF('TS-PILE'!$B$57="",1E+99,'TO HOP NLAN'!D73/ncoc+IF(SUMSQ('TS-PILE'!$E$56:$E$75)=0,0,'TO HOP NLAN'!E73*'TS-PILE'!$E$57/SUMSQ('TS-PILE'!$E$56:$E$75))+IF(SUMSQ('TS-PILE'!$D$56:$D$75)=0,0,'TO HOP NLAN'!F73*'TS-PILE'!$D$57/SUMSQ('TS-PILE'!$D$56:$D$75))),IF('TS-PILE'!$B$58="",1E+99,'TO HOP NLAN'!D73/ncoc+IF(SUMSQ('TS-PILE'!$E$56:$E$75)=0,0,'TO HOP NLAN'!E73*'TS-PILE'!$E$58/SUMSQ('TS-PILE'!$E$56:$E$75))+IF(SUMSQ('TS-PILE'!$D$56:$D$75)=0,0,'TO HOP NLAN'!F73*'TS-PILE'!$D$58/SUMSQ('TS-PILE'!$D$56:$D$75))),IF('TS-PILE'!$B$59="",1E+99,'TO HOP NLAN'!D73/ncoc+IF(SUMSQ('TS-PILE'!$E$56:$E$75)=0,0,'TO HOP NLAN'!E73*'TS-PILE'!$E$59/SUMSQ('TS-PILE'!$E$56:$E$75))+IF(SUMSQ('TS-PILE'!$D$56:$D$75)=0,0,'TO HOP NLAN'!F73*'TS-PILE'!$D$59/SUMSQ('TS-PILE'!$D$56:$D$75))),IF('TS-PILE'!$B$60="",1E+99,'TO HOP NLAN'!D73/ncoc+IF(SUMSQ('TS-PILE'!$E$56:$E$75)=0,0,'TO HOP NLAN'!E73*'TS-PILE'!$E$60/SUMSQ('TS-PILE'!$E$56:$E$75))+IF(SUMSQ('TS-PILE'!$D$56:$D$75)=0,0,'TO HOP NLAN'!F73*'TS-PILE'!$D$60/SUMSQ('TS-PILE'!$D$56:$D$75))),IF('TS-PILE'!$B$61="",1E+99,'TO HOP NLAN'!D73/ncoc+IF(SUMSQ('TS-PILE'!$E$56:$E$75)=0,0,'TO HOP NLAN'!E73*'TS-PILE'!$E$61/SUMSQ('TS-PILE'!$E$56:$E$75))+IF(SUMSQ('TS-PILE'!$D$56:$D$75)=0,0,'TO HOP NLAN'!F73*'TS-PILE'!$D$61/SUMSQ('TS-PILE'!$D$56:$D$75))),IF('TS-PILE'!$B$62="",1E+99,'TO HOP NLAN'!D73/ncoc+IF(SUMSQ('TS-PILE'!$E$56:$E$75)=0,0,'TO HOP NLAN'!E73*'TS-PILE'!$E$62/SUMSQ('TS-PILE'!$E$56:$E$75))+IF(SUMSQ('TS-PILE'!$D$56:$D$75)=0,0,'TO HOP NLAN'!F73*'TS-PILE'!$D$62/SUMSQ('TS-PILE'!$D$56:$D$75))),IF('TS-PILE'!$B$63="",1E+99,'TO HOP NLAN'!D73/ncoc+IF(SUMSQ('TS-PILE'!$E$56:$E$75)=0,0,'TO HOP NLAN'!E73*'TS-PILE'!$E$63/SUMSQ('TS-PILE'!$E$56:$E$75))+IF(SUMSQ('TS-PILE'!$D$56:$D$75)=0,0,'TO HOP NLAN'!F73*'TS-PILE'!$D$63/SUMSQ('TS-PILE'!$D$56:$D$75))),IF('TS-PILE'!$B$64="",1E+99,'TO HOP NLAN'!D73/ncoc+IF(SUMSQ('TS-PILE'!$E$56:$E$75)=0,0,'TO HOP NLAN'!E73*'TS-PILE'!$E$64/SUMSQ('TS-PILE'!$E$56:$E$75))+IF(SUMSQ('TS-PILE'!$D$56:$D$75)=0,0,'TO HOP NLAN'!F73*'TS-PILE'!$D$64/SUMSQ('TS-PILE'!$D$56:$D$75))),IF('TS-PILE'!$B$65="",1E+99,'TO HOP NLAN'!D73/ncoc+IF(SUMSQ('TS-PILE'!$E$56:$E$75)=0,0,'TO HOP NLAN'!E73*'TS-PILE'!$E$65/SUMSQ('TS-PILE'!$E$56:$E$75))+IF(SUMSQ('TS-PILE'!$D$56:$D$75)=0,0,'TO HOP NLAN'!F73*'TS-PILE'!$D$65/SUMSQ('TS-PILE'!$D$56:$D$75))),IF('TS-PILE'!$B$66="",1E+99,'TO HOP NLAN'!D73/ncoc+IF(SUMSQ('TS-PILE'!$E$56:$E$75)=0,0,'TO HOP NLAN'!E73*'TS-PILE'!$E$66/SUMSQ('TS-PILE'!$E$56:$E$75))+IF(SUMSQ('TS-PILE'!$D$56:$D$75)=0,0,'TO HOP NLAN'!F73*'TS-PILE'!$D$66/SUMSQ('TS-PILE'!$D$56:$D$75))),IF('TS-PILE'!$B$67="",1E+99,'TO HOP NLAN'!D73/ncoc+IF(SUMSQ('TS-PILE'!$E$56:$E$75)=0,0,'TO HOP NLAN'!E73*'TS-PILE'!$E$67/SUMSQ('TS-PILE'!$E$56:$E$75))+IF(SUMSQ('TS-PILE'!$D$56:$D$75)=0,0,'TO HOP NLAN'!F73*'TS-PILE'!$D$67/SUMSQ('TS-PILE'!$D$56:$D$75))),IF('TS-PILE'!$B$68="",1E+99,'TO HOP NLAN'!D73/ncoc+IF(SUMSQ('TS-PILE'!$E$56:$E$75)=0,0,'TO HOP NLAN'!E73*'TS-PILE'!$E$68/SUMSQ('TS-PILE'!$E$56:$E$75))+IF(SUMSQ('TS-PILE'!$D$56:$D$75)=0,0,'TO HOP NLAN'!F73*'TS-PILE'!$D$68/SUMSQ('TS-PILE'!$D$56:$D$75))),IF('TS-PILE'!$B$69="",1E+99,'TO HOP NLAN'!D73/ncoc+IF(SUMSQ('TS-PILE'!$E$56:$E$75)=0,0,'TO HOP NLAN'!E73*'TS-PILE'!$E$69/SUMSQ('TS-PILE'!$E$56:$E$75))+IF(SUMSQ('TS-PILE'!$D$56:$D$75)=0,0,'TO HOP NLAN'!F73*'TS-PILE'!$D$69/SUMSQ('TS-PILE'!$D$56:$D$75))),IF('TS-PILE'!$B$70="",1E+99,'TO HOP NLAN'!D73/ncoc+IF(SUMSQ('TS-PILE'!$E$56:$E$75)=0,0,'TO HOP NLAN'!E73*'TS-PILE'!$E$70/SUMSQ('TS-PILE'!$E$56:$E$75))+IF(SUMSQ('TS-PILE'!$D$56:$D$75)=0,0,'TO HOP NLAN'!F73*'TS-PILE'!$D$70/SUMSQ('TS-PILE'!$D$56:$D$75))),IF('TS-PILE'!$B$71="",1E+99,'TO HOP NLAN'!D73/ncoc+IF(SUMSQ('TS-PILE'!$E$56:$E$75)=0,0,'TO HOP NLAN'!E73*'TS-PILE'!$E$71/SUMSQ('TS-PILE'!$E$56:$E$75))+IF(SUMSQ('TS-PILE'!$D$56:$D$75)=0,0,'TO HOP NLAN'!F73*'TS-PILE'!$D$71/SUMSQ('TS-PILE'!$D$56:$D$75))),IF('TS-PILE'!$B$72="",1E+99,'TO HOP NLAN'!D73/ncoc+IF(SUMSQ('TS-PILE'!$E$56:$E$75)=0,0,'TO HOP NLAN'!E73*'TS-PILE'!$E$72/SUMSQ('TS-PILE'!$E$56:$E$75))+IF(SUMSQ('TS-PILE'!$D$56:$D$75)=0,0,'TO HOP NLAN'!F73*'TS-PILE'!$D$72/SUMSQ('TS-PILE'!$D$56:$D$75))),IF('TS-PILE'!$B$73="",1E+99,'TO HOP NLAN'!D73/ncoc+IF(SUMSQ('TS-PILE'!$E$56:$E$75)=0,0,'TO HOP NLAN'!E73*'TS-PILE'!$E$73/SUMSQ('TS-PILE'!$E$56:$E$75))+IF(SUMSQ('TS-PILE'!$D$56:$D$75)=0,0,'TO HOP NLAN'!F73*'TS-PILE'!$D$73/SUMSQ('TS-PILE'!$D$56:$D$75))),IF('TS-PILE'!$B$74="",1E+99,'TO HOP NLAN'!D73/ncoc+IF(SUMSQ('TS-PILE'!$E$56:$E$75)=0,0,'TO HOP NLAN'!E73*'TS-PILE'!$E$74/SUMSQ('TS-PILE'!$E$56:$E$75))+IF(SUMSQ('TS-PILE'!$D$56:$D$75)=0,0,'TO HOP NLAN'!F73*'TS-PILE'!$D$74/SUMSQ('TS-PILE'!$D$56:$D$75))),IF('TS-PILE'!$B$75="",1E+99,'TO HOP NLAN'!D73/ncoc+IF(SUMSQ('TS-PILE'!$E$56:$E$75)=0,0,'TO HOP NLAN'!E73*'TS-PILE'!$E$75/SUMSQ('TS-PILE'!$E$56:$E$75))+IF(SUMSQ('TS-PILE'!$D$56:$D$75)=0,0,'TO HOP NLAN'!F73*'TS-PILE'!$D$75/SUMSQ('TS-PILE'!$D$56:$D$75)))))</f>
        <v>0</v>
      </c>
      <c r="E73" s="46">
        <f t="shared" si="4"/>
        <v>-9.9999999999999997E+98</v>
      </c>
      <c r="F73" s="46">
        <f t="shared" si="5"/>
        <v>9.9999999999999997E+98</v>
      </c>
      <c r="G73" s="46">
        <f t="shared" si="6"/>
        <v>-9.9999999999999997E+98</v>
      </c>
      <c r="H73" s="46">
        <f t="shared" si="7"/>
        <v>9.9999999999999997E+98</v>
      </c>
    </row>
    <row r="74" spans="1:8" x14ac:dyDescent="0.3">
      <c r="A74" s="40" t="str">
        <f>'TO HOP NLAN'!A74</f>
        <v/>
      </c>
      <c r="B74" s="40" t="str">
        <f>'TO HOP NLAN'!L74</f>
        <v>STRENGTH</v>
      </c>
      <c r="C74" s="46">
        <f>IF(A74="",0,MAX(IF('TS-PILE'!$B$56="",-1E+99,'TO HOP NLAN'!D74/ncoc+IF(SUMSQ('TS-PILE'!$E$56:$E$75)=0,0,'TO HOP NLAN'!E74*'TS-PILE'!$E$56/SUMSQ('TS-PILE'!$E$56:$E$75))+IF(SUMSQ('TS-PILE'!$D$56:$D$75)=0,0,'TO HOP NLAN'!F74*'TS-PILE'!$D$56/SUMSQ('TS-PILE'!$D$56:$D$75))),IF('TS-PILE'!$B$57="",-1E+99,'TO HOP NLAN'!D74/ncoc+IF(SUMSQ('TS-PILE'!$E$56:$E$75)=0,0,'TO HOP NLAN'!E74*'TS-PILE'!$E$57/SUMSQ('TS-PILE'!$E$56:$E$75))+IF(SUMSQ('TS-PILE'!$D$56:$D$75)=0,0,'TO HOP NLAN'!F74*'TS-PILE'!$D$57/SUMSQ('TS-PILE'!$D$56:$D$75))),IF('TS-PILE'!$B$58="",-1E+99,'TO HOP NLAN'!D74/ncoc+IF(SUMSQ('TS-PILE'!$E$56:$E$75)=0,0,'TO HOP NLAN'!E74*'TS-PILE'!$E$58/SUMSQ('TS-PILE'!$E$56:$E$75))+IF(SUMSQ('TS-PILE'!$D$56:$D$75)=0,0,'TO HOP NLAN'!F74*'TS-PILE'!$D$58/SUMSQ('TS-PILE'!$D$56:$D$75))),IF('TS-PILE'!$B$59="",-1E+99,'TO HOP NLAN'!D74/ncoc+IF(SUMSQ('TS-PILE'!$E$56:$E$75)=0,0,'TO HOP NLAN'!E74*'TS-PILE'!$E$59/SUMSQ('TS-PILE'!$E$56:$E$75))+IF(SUMSQ('TS-PILE'!$D$56:$D$75)=0,0,'TO HOP NLAN'!F74*'TS-PILE'!$D$59/SUMSQ('TS-PILE'!$D$56:$D$75))),IF('TS-PILE'!$B$60="",-1E+99,'TO HOP NLAN'!D74/ncoc+IF(SUMSQ('TS-PILE'!$E$56:$E$75)=0,0,'TO HOP NLAN'!E74*'TS-PILE'!$E$60/SUMSQ('TS-PILE'!$E$56:$E$75))+IF(SUMSQ('TS-PILE'!$D$56:$D$75)=0,0,'TO HOP NLAN'!F74*'TS-PILE'!$D$60/SUMSQ('TS-PILE'!$D$56:$D$75))),IF('TS-PILE'!$B$61="",-1E+99,'TO HOP NLAN'!D74/ncoc+IF(SUMSQ('TS-PILE'!$E$56:$E$75)=0,0,'TO HOP NLAN'!E74*'TS-PILE'!$E$61/SUMSQ('TS-PILE'!$E$56:$E$75))+IF(SUMSQ('TS-PILE'!$D$56:$D$75)=0,0,'TO HOP NLAN'!F74*'TS-PILE'!$D$61/SUMSQ('TS-PILE'!$D$56:$D$75))),IF('TS-PILE'!$B$62="",-1E+99,'TO HOP NLAN'!D74/ncoc+IF(SUMSQ('TS-PILE'!$E$56:$E$75)=0,0,'TO HOP NLAN'!E74*'TS-PILE'!$E$62/SUMSQ('TS-PILE'!$E$56:$E$75))+IF(SUMSQ('TS-PILE'!$D$56:$D$75)=0,0,'TO HOP NLAN'!F74*'TS-PILE'!$D$62/SUMSQ('TS-PILE'!$D$56:$D$75))),IF('TS-PILE'!$B$63="",-1E+99,'TO HOP NLAN'!D74/ncoc+IF(SUMSQ('TS-PILE'!$E$56:$E$75)=0,0,'TO HOP NLAN'!E74*'TS-PILE'!$E$63/SUMSQ('TS-PILE'!$E$56:$E$75))+IF(SUMSQ('TS-PILE'!$D$56:$D$75)=0,0,'TO HOP NLAN'!F74*'TS-PILE'!$D$63/SUMSQ('TS-PILE'!$D$56:$D$75))),IF('TS-PILE'!$B$64="",-1E+99,'TO HOP NLAN'!D74/ncoc+IF(SUMSQ('TS-PILE'!$E$56:$E$75)=0,0,'TO HOP NLAN'!E74*'TS-PILE'!$E$64/SUMSQ('TS-PILE'!$E$56:$E$75))+IF(SUMSQ('TS-PILE'!$D$56:$D$75)=0,0,'TO HOP NLAN'!F74*'TS-PILE'!$D$64/SUMSQ('TS-PILE'!$D$56:$D$75))),IF('TS-PILE'!$B$65="",-1E+99,'TO HOP NLAN'!D74/ncoc+IF(SUMSQ('TS-PILE'!$E$56:$E$75)=0,0,'TO HOP NLAN'!E74*'TS-PILE'!$E$65/SUMSQ('TS-PILE'!$E$56:$E$75))+IF(SUMSQ('TS-PILE'!$D$56:$D$75)=0,0,'TO HOP NLAN'!F74*'TS-PILE'!$D$65/SUMSQ('TS-PILE'!$D$56:$D$75))),IF('TS-PILE'!$B$66="",-1E+99,'TO HOP NLAN'!D74/ncoc+IF(SUMSQ('TS-PILE'!$E$56:$E$75)=0,0,'TO HOP NLAN'!E74*'TS-PILE'!$E$66/SUMSQ('TS-PILE'!$E$56:$E$75))+IF(SUMSQ('TS-PILE'!$D$56:$D$75)=0,0,'TO HOP NLAN'!F74*'TS-PILE'!$D$66/SUMSQ('TS-PILE'!$D$56:$D$75))),IF('TS-PILE'!$B$67="",-1E+99,'TO HOP NLAN'!D74/ncoc+IF(SUMSQ('TS-PILE'!$E$56:$E$75)=0,0,'TO HOP NLAN'!E74*'TS-PILE'!$E$67/SUMSQ('TS-PILE'!$E$56:$E$75))+IF(SUMSQ('TS-PILE'!$D$56:$D$75)=0,0,'TO HOP NLAN'!F74*'TS-PILE'!$D$67/SUMSQ('TS-PILE'!$D$56:$D$75))),IF('TS-PILE'!$B$68="",-1E+99,'TO HOP NLAN'!D74/ncoc+IF(SUMSQ('TS-PILE'!$E$56:$E$75)=0,0,'TO HOP NLAN'!E74*'TS-PILE'!$E$68/SUMSQ('TS-PILE'!$E$56:$E$75))+IF(SUMSQ('TS-PILE'!$D$56:$D$75)=0,0,'TO HOP NLAN'!F74*'TS-PILE'!$D$68/SUMSQ('TS-PILE'!$D$56:$D$75))),IF('TS-PILE'!$B$69="",-1E+99,'TO HOP NLAN'!D74/ncoc+IF(SUMSQ('TS-PILE'!$E$56:$E$75)=0,0,'TO HOP NLAN'!E74*'TS-PILE'!$E$69/SUMSQ('TS-PILE'!$E$56:$E$75))+IF(SUMSQ('TS-PILE'!$D$56:$D$75)=0,0,'TO HOP NLAN'!F74*'TS-PILE'!$D$69/SUMSQ('TS-PILE'!$D$56:$D$75))),IF('TS-PILE'!$B$70="",-1E+99,'TO HOP NLAN'!D74/ncoc+IF(SUMSQ('TS-PILE'!$E$56:$E$75)=0,0,'TO HOP NLAN'!E74*'TS-PILE'!$E$70/SUMSQ('TS-PILE'!$E$56:$E$75))+IF(SUMSQ('TS-PILE'!$D$56:$D$75)=0,0,'TO HOP NLAN'!F74*'TS-PILE'!$D$70/SUMSQ('TS-PILE'!$D$56:$D$75))),IF('TS-PILE'!$B$71="",-1E+99,'TO HOP NLAN'!D74/ncoc+IF(SUMSQ('TS-PILE'!$E$56:$E$75)=0,0,'TO HOP NLAN'!E74*'TS-PILE'!$E$71/SUMSQ('TS-PILE'!$E$56:$E$75))+IF(SUMSQ('TS-PILE'!$D$56:$D$75)=0,0,'TO HOP NLAN'!F74*'TS-PILE'!$D$71/SUMSQ('TS-PILE'!$D$56:$D$75))),IF('TS-PILE'!$B$72="",-1E+99,'TO HOP NLAN'!D74/ncoc+IF(SUMSQ('TS-PILE'!$E$56:$E$75)=0,0,'TO HOP NLAN'!E74*'TS-PILE'!$E$72/SUMSQ('TS-PILE'!$E$56:$E$75))+IF(SUMSQ('TS-PILE'!$D$56:$D$75)=0,0,'TO HOP NLAN'!F74*'TS-PILE'!$D$72/SUMSQ('TS-PILE'!$D$56:$D$75))),IF('TS-PILE'!$B$73="",-1E+99,'TO HOP NLAN'!D74/ncoc+IF(SUMSQ('TS-PILE'!$E$56:$E$75)=0,0,'TO HOP NLAN'!E74*'TS-PILE'!$E$73/SUMSQ('TS-PILE'!$E$56:$E$75))+IF(SUMSQ('TS-PILE'!$D$56:$D$75)=0,0,'TO HOP NLAN'!F74*'TS-PILE'!$D$73/SUMSQ('TS-PILE'!$D$56:$D$75))),IF('TS-PILE'!$B$74="",-1E+99,'TO HOP NLAN'!D74/ncoc+IF(SUMSQ('TS-PILE'!$E$56:$E$75)=0,0,'TO HOP NLAN'!E74*'TS-PILE'!$E$74/SUMSQ('TS-PILE'!$E$56:$E$75))+IF(SUMSQ('TS-PILE'!$D$56:$D$75)=0,0,'TO HOP NLAN'!F74*'TS-PILE'!$D$74/SUMSQ('TS-PILE'!$D$56:$D$75))),IF('TS-PILE'!$B$75="",-1E+99,'TO HOP NLAN'!D74/ncoc+IF(SUMSQ('TS-PILE'!$E$56:$E$75)=0,0,'TO HOP NLAN'!E74*'TS-PILE'!$E$75/SUMSQ('TS-PILE'!$E$56:$E$75))+IF(SUMSQ('TS-PILE'!$D$56:$D$75)=0,0,'TO HOP NLAN'!F74*'TS-PILE'!$D$75/SUMSQ('TS-PILE'!$D$56:$D$75)))))</f>
        <v>0</v>
      </c>
      <c r="D74" s="46">
        <f>IF(A74="",0,MIN(IF('TS-PILE'!$B$56="",1E+99,'TO HOP NLAN'!D74/ncoc+IF(SUMSQ('TS-PILE'!$E$56:$E$75)=0,0,'TO HOP NLAN'!E74*'TS-PILE'!$E$56/SUMSQ('TS-PILE'!$E$56:$E$75))+IF(SUMSQ('TS-PILE'!$D$56:$D$75)=0,0,'TO HOP NLAN'!F74*'TS-PILE'!$D$56/SUMSQ('TS-PILE'!$D$56:$D$75))),IF('TS-PILE'!$B$57="",1E+99,'TO HOP NLAN'!D74/ncoc+IF(SUMSQ('TS-PILE'!$E$56:$E$75)=0,0,'TO HOP NLAN'!E74*'TS-PILE'!$E$57/SUMSQ('TS-PILE'!$E$56:$E$75))+IF(SUMSQ('TS-PILE'!$D$56:$D$75)=0,0,'TO HOP NLAN'!F74*'TS-PILE'!$D$57/SUMSQ('TS-PILE'!$D$56:$D$75))),IF('TS-PILE'!$B$58="",1E+99,'TO HOP NLAN'!D74/ncoc+IF(SUMSQ('TS-PILE'!$E$56:$E$75)=0,0,'TO HOP NLAN'!E74*'TS-PILE'!$E$58/SUMSQ('TS-PILE'!$E$56:$E$75))+IF(SUMSQ('TS-PILE'!$D$56:$D$75)=0,0,'TO HOP NLAN'!F74*'TS-PILE'!$D$58/SUMSQ('TS-PILE'!$D$56:$D$75))),IF('TS-PILE'!$B$59="",1E+99,'TO HOP NLAN'!D74/ncoc+IF(SUMSQ('TS-PILE'!$E$56:$E$75)=0,0,'TO HOP NLAN'!E74*'TS-PILE'!$E$59/SUMSQ('TS-PILE'!$E$56:$E$75))+IF(SUMSQ('TS-PILE'!$D$56:$D$75)=0,0,'TO HOP NLAN'!F74*'TS-PILE'!$D$59/SUMSQ('TS-PILE'!$D$56:$D$75))),IF('TS-PILE'!$B$60="",1E+99,'TO HOP NLAN'!D74/ncoc+IF(SUMSQ('TS-PILE'!$E$56:$E$75)=0,0,'TO HOP NLAN'!E74*'TS-PILE'!$E$60/SUMSQ('TS-PILE'!$E$56:$E$75))+IF(SUMSQ('TS-PILE'!$D$56:$D$75)=0,0,'TO HOP NLAN'!F74*'TS-PILE'!$D$60/SUMSQ('TS-PILE'!$D$56:$D$75))),IF('TS-PILE'!$B$61="",1E+99,'TO HOP NLAN'!D74/ncoc+IF(SUMSQ('TS-PILE'!$E$56:$E$75)=0,0,'TO HOP NLAN'!E74*'TS-PILE'!$E$61/SUMSQ('TS-PILE'!$E$56:$E$75))+IF(SUMSQ('TS-PILE'!$D$56:$D$75)=0,0,'TO HOP NLAN'!F74*'TS-PILE'!$D$61/SUMSQ('TS-PILE'!$D$56:$D$75))),IF('TS-PILE'!$B$62="",1E+99,'TO HOP NLAN'!D74/ncoc+IF(SUMSQ('TS-PILE'!$E$56:$E$75)=0,0,'TO HOP NLAN'!E74*'TS-PILE'!$E$62/SUMSQ('TS-PILE'!$E$56:$E$75))+IF(SUMSQ('TS-PILE'!$D$56:$D$75)=0,0,'TO HOP NLAN'!F74*'TS-PILE'!$D$62/SUMSQ('TS-PILE'!$D$56:$D$75))),IF('TS-PILE'!$B$63="",1E+99,'TO HOP NLAN'!D74/ncoc+IF(SUMSQ('TS-PILE'!$E$56:$E$75)=0,0,'TO HOP NLAN'!E74*'TS-PILE'!$E$63/SUMSQ('TS-PILE'!$E$56:$E$75))+IF(SUMSQ('TS-PILE'!$D$56:$D$75)=0,0,'TO HOP NLAN'!F74*'TS-PILE'!$D$63/SUMSQ('TS-PILE'!$D$56:$D$75))),IF('TS-PILE'!$B$64="",1E+99,'TO HOP NLAN'!D74/ncoc+IF(SUMSQ('TS-PILE'!$E$56:$E$75)=0,0,'TO HOP NLAN'!E74*'TS-PILE'!$E$64/SUMSQ('TS-PILE'!$E$56:$E$75))+IF(SUMSQ('TS-PILE'!$D$56:$D$75)=0,0,'TO HOP NLAN'!F74*'TS-PILE'!$D$64/SUMSQ('TS-PILE'!$D$56:$D$75))),IF('TS-PILE'!$B$65="",1E+99,'TO HOP NLAN'!D74/ncoc+IF(SUMSQ('TS-PILE'!$E$56:$E$75)=0,0,'TO HOP NLAN'!E74*'TS-PILE'!$E$65/SUMSQ('TS-PILE'!$E$56:$E$75))+IF(SUMSQ('TS-PILE'!$D$56:$D$75)=0,0,'TO HOP NLAN'!F74*'TS-PILE'!$D$65/SUMSQ('TS-PILE'!$D$56:$D$75))),IF('TS-PILE'!$B$66="",1E+99,'TO HOP NLAN'!D74/ncoc+IF(SUMSQ('TS-PILE'!$E$56:$E$75)=0,0,'TO HOP NLAN'!E74*'TS-PILE'!$E$66/SUMSQ('TS-PILE'!$E$56:$E$75))+IF(SUMSQ('TS-PILE'!$D$56:$D$75)=0,0,'TO HOP NLAN'!F74*'TS-PILE'!$D$66/SUMSQ('TS-PILE'!$D$56:$D$75))),IF('TS-PILE'!$B$67="",1E+99,'TO HOP NLAN'!D74/ncoc+IF(SUMSQ('TS-PILE'!$E$56:$E$75)=0,0,'TO HOP NLAN'!E74*'TS-PILE'!$E$67/SUMSQ('TS-PILE'!$E$56:$E$75))+IF(SUMSQ('TS-PILE'!$D$56:$D$75)=0,0,'TO HOP NLAN'!F74*'TS-PILE'!$D$67/SUMSQ('TS-PILE'!$D$56:$D$75))),IF('TS-PILE'!$B$68="",1E+99,'TO HOP NLAN'!D74/ncoc+IF(SUMSQ('TS-PILE'!$E$56:$E$75)=0,0,'TO HOP NLAN'!E74*'TS-PILE'!$E$68/SUMSQ('TS-PILE'!$E$56:$E$75))+IF(SUMSQ('TS-PILE'!$D$56:$D$75)=0,0,'TO HOP NLAN'!F74*'TS-PILE'!$D$68/SUMSQ('TS-PILE'!$D$56:$D$75))),IF('TS-PILE'!$B$69="",1E+99,'TO HOP NLAN'!D74/ncoc+IF(SUMSQ('TS-PILE'!$E$56:$E$75)=0,0,'TO HOP NLAN'!E74*'TS-PILE'!$E$69/SUMSQ('TS-PILE'!$E$56:$E$75))+IF(SUMSQ('TS-PILE'!$D$56:$D$75)=0,0,'TO HOP NLAN'!F74*'TS-PILE'!$D$69/SUMSQ('TS-PILE'!$D$56:$D$75))),IF('TS-PILE'!$B$70="",1E+99,'TO HOP NLAN'!D74/ncoc+IF(SUMSQ('TS-PILE'!$E$56:$E$75)=0,0,'TO HOP NLAN'!E74*'TS-PILE'!$E$70/SUMSQ('TS-PILE'!$E$56:$E$75))+IF(SUMSQ('TS-PILE'!$D$56:$D$75)=0,0,'TO HOP NLAN'!F74*'TS-PILE'!$D$70/SUMSQ('TS-PILE'!$D$56:$D$75))),IF('TS-PILE'!$B$71="",1E+99,'TO HOP NLAN'!D74/ncoc+IF(SUMSQ('TS-PILE'!$E$56:$E$75)=0,0,'TO HOP NLAN'!E74*'TS-PILE'!$E$71/SUMSQ('TS-PILE'!$E$56:$E$75))+IF(SUMSQ('TS-PILE'!$D$56:$D$75)=0,0,'TO HOP NLAN'!F74*'TS-PILE'!$D$71/SUMSQ('TS-PILE'!$D$56:$D$75))),IF('TS-PILE'!$B$72="",1E+99,'TO HOP NLAN'!D74/ncoc+IF(SUMSQ('TS-PILE'!$E$56:$E$75)=0,0,'TO HOP NLAN'!E74*'TS-PILE'!$E$72/SUMSQ('TS-PILE'!$E$56:$E$75))+IF(SUMSQ('TS-PILE'!$D$56:$D$75)=0,0,'TO HOP NLAN'!F74*'TS-PILE'!$D$72/SUMSQ('TS-PILE'!$D$56:$D$75))),IF('TS-PILE'!$B$73="",1E+99,'TO HOP NLAN'!D74/ncoc+IF(SUMSQ('TS-PILE'!$E$56:$E$75)=0,0,'TO HOP NLAN'!E74*'TS-PILE'!$E$73/SUMSQ('TS-PILE'!$E$56:$E$75))+IF(SUMSQ('TS-PILE'!$D$56:$D$75)=0,0,'TO HOP NLAN'!F74*'TS-PILE'!$D$73/SUMSQ('TS-PILE'!$D$56:$D$75))),IF('TS-PILE'!$B$74="",1E+99,'TO HOP NLAN'!D74/ncoc+IF(SUMSQ('TS-PILE'!$E$56:$E$75)=0,0,'TO HOP NLAN'!E74*'TS-PILE'!$E$74/SUMSQ('TS-PILE'!$E$56:$E$75))+IF(SUMSQ('TS-PILE'!$D$56:$D$75)=0,0,'TO HOP NLAN'!F74*'TS-PILE'!$D$74/SUMSQ('TS-PILE'!$D$56:$D$75))),IF('TS-PILE'!$B$75="",1E+99,'TO HOP NLAN'!D74/ncoc+IF(SUMSQ('TS-PILE'!$E$56:$E$75)=0,0,'TO HOP NLAN'!E74*'TS-PILE'!$E$75/SUMSQ('TS-PILE'!$E$56:$E$75))+IF(SUMSQ('TS-PILE'!$D$56:$D$75)=0,0,'TO HOP NLAN'!F74*'TS-PILE'!$D$75/SUMSQ('TS-PILE'!$D$56:$D$75)))))</f>
        <v>0</v>
      </c>
      <c r="E74" s="46">
        <f t="shared" si="4"/>
        <v>-9.9999999999999997E+98</v>
      </c>
      <c r="F74" s="46">
        <f t="shared" si="5"/>
        <v>9.9999999999999997E+98</v>
      </c>
      <c r="G74" s="46">
        <f t="shared" si="6"/>
        <v>-9.9999999999999997E+98</v>
      </c>
      <c r="H74" s="46">
        <f t="shared" si="7"/>
        <v>9.9999999999999997E+98</v>
      </c>
    </row>
    <row r="75" spans="1:8" x14ac:dyDescent="0.3">
      <c r="A75" s="40" t="str">
        <f>'TO HOP NLAN'!A75</f>
        <v/>
      </c>
      <c r="B75" s="40" t="str">
        <f>'TO HOP NLAN'!L75</f>
        <v>STRENGTH</v>
      </c>
      <c r="C75" s="46">
        <f>IF(A75="",0,MAX(IF('TS-PILE'!$B$56="",-1E+99,'TO HOP NLAN'!D75/ncoc+IF(SUMSQ('TS-PILE'!$E$56:$E$75)=0,0,'TO HOP NLAN'!E75*'TS-PILE'!$E$56/SUMSQ('TS-PILE'!$E$56:$E$75))+IF(SUMSQ('TS-PILE'!$D$56:$D$75)=0,0,'TO HOP NLAN'!F75*'TS-PILE'!$D$56/SUMSQ('TS-PILE'!$D$56:$D$75))),IF('TS-PILE'!$B$57="",-1E+99,'TO HOP NLAN'!D75/ncoc+IF(SUMSQ('TS-PILE'!$E$56:$E$75)=0,0,'TO HOP NLAN'!E75*'TS-PILE'!$E$57/SUMSQ('TS-PILE'!$E$56:$E$75))+IF(SUMSQ('TS-PILE'!$D$56:$D$75)=0,0,'TO HOP NLAN'!F75*'TS-PILE'!$D$57/SUMSQ('TS-PILE'!$D$56:$D$75))),IF('TS-PILE'!$B$58="",-1E+99,'TO HOP NLAN'!D75/ncoc+IF(SUMSQ('TS-PILE'!$E$56:$E$75)=0,0,'TO HOP NLAN'!E75*'TS-PILE'!$E$58/SUMSQ('TS-PILE'!$E$56:$E$75))+IF(SUMSQ('TS-PILE'!$D$56:$D$75)=0,0,'TO HOP NLAN'!F75*'TS-PILE'!$D$58/SUMSQ('TS-PILE'!$D$56:$D$75))),IF('TS-PILE'!$B$59="",-1E+99,'TO HOP NLAN'!D75/ncoc+IF(SUMSQ('TS-PILE'!$E$56:$E$75)=0,0,'TO HOP NLAN'!E75*'TS-PILE'!$E$59/SUMSQ('TS-PILE'!$E$56:$E$75))+IF(SUMSQ('TS-PILE'!$D$56:$D$75)=0,0,'TO HOP NLAN'!F75*'TS-PILE'!$D$59/SUMSQ('TS-PILE'!$D$56:$D$75))),IF('TS-PILE'!$B$60="",-1E+99,'TO HOP NLAN'!D75/ncoc+IF(SUMSQ('TS-PILE'!$E$56:$E$75)=0,0,'TO HOP NLAN'!E75*'TS-PILE'!$E$60/SUMSQ('TS-PILE'!$E$56:$E$75))+IF(SUMSQ('TS-PILE'!$D$56:$D$75)=0,0,'TO HOP NLAN'!F75*'TS-PILE'!$D$60/SUMSQ('TS-PILE'!$D$56:$D$75))),IF('TS-PILE'!$B$61="",-1E+99,'TO HOP NLAN'!D75/ncoc+IF(SUMSQ('TS-PILE'!$E$56:$E$75)=0,0,'TO HOP NLAN'!E75*'TS-PILE'!$E$61/SUMSQ('TS-PILE'!$E$56:$E$75))+IF(SUMSQ('TS-PILE'!$D$56:$D$75)=0,0,'TO HOP NLAN'!F75*'TS-PILE'!$D$61/SUMSQ('TS-PILE'!$D$56:$D$75))),IF('TS-PILE'!$B$62="",-1E+99,'TO HOP NLAN'!D75/ncoc+IF(SUMSQ('TS-PILE'!$E$56:$E$75)=0,0,'TO HOP NLAN'!E75*'TS-PILE'!$E$62/SUMSQ('TS-PILE'!$E$56:$E$75))+IF(SUMSQ('TS-PILE'!$D$56:$D$75)=0,0,'TO HOP NLAN'!F75*'TS-PILE'!$D$62/SUMSQ('TS-PILE'!$D$56:$D$75))),IF('TS-PILE'!$B$63="",-1E+99,'TO HOP NLAN'!D75/ncoc+IF(SUMSQ('TS-PILE'!$E$56:$E$75)=0,0,'TO HOP NLAN'!E75*'TS-PILE'!$E$63/SUMSQ('TS-PILE'!$E$56:$E$75))+IF(SUMSQ('TS-PILE'!$D$56:$D$75)=0,0,'TO HOP NLAN'!F75*'TS-PILE'!$D$63/SUMSQ('TS-PILE'!$D$56:$D$75))),IF('TS-PILE'!$B$64="",-1E+99,'TO HOP NLAN'!D75/ncoc+IF(SUMSQ('TS-PILE'!$E$56:$E$75)=0,0,'TO HOP NLAN'!E75*'TS-PILE'!$E$64/SUMSQ('TS-PILE'!$E$56:$E$75))+IF(SUMSQ('TS-PILE'!$D$56:$D$75)=0,0,'TO HOP NLAN'!F75*'TS-PILE'!$D$64/SUMSQ('TS-PILE'!$D$56:$D$75))),IF('TS-PILE'!$B$65="",-1E+99,'TO HOP NLAN'!D75/ncoc+IF(SUMSQ('TS-PILE'!$E$56:$E$75)=0,0,'TO HOP NLAN'!E75*'TS-PILE'!$E$65/SUMSQ('TS-PILE'!$E$56:$E$75))+IF(SUMSQ('TS-PILE'!$D$56:$D$75)=0,0,'TO HOP NLAN'!F75*'TS-PILE'!$D$65/SUMSQ('TS-PILE'!$D$56:$D$75))),IF('TS-PILE'!$B$66="",-1E+99,'TO HOP NLAN'!D75/ncoc+IF(SUMSQ('TS-PILE'!$E$56:$E$75)=0,0,'TO HOP NLAN'!E75*'TS-PILE'!$E$66/SUMSQ('TS-PILE'!$E$56:$E$75))+IF(SUMSQ('TS-PILE'!$D$56:$D$75)=0,0,'TO HOP NLAN'!F75*'TS-PILE'!$D$66/SUMSQ('TS-PILE'!$D$56:$D$75))),IF('TS-PILE'!$B$67="",-1E+99,'TO HOP NLAN'!D75/ncoc+IF(SUMSQ('TS-PILE'!$E$56:$E$75)=0,0,'TO HOP NLAN'!E75*'TS-PILE'!$E$67/SUMSQ('TS-PILE'!$E$56:$E$75))+IF(SUMSQ('TS-PILE'!$D$56:$D$75)=0,0,'TO HOP NLAN'!F75*'TS-PILE'!$D$67/SUMSQ('TS-PILE'!$D$56:$D$75))),IF('TS-PILE'!$B$68="",-1E+99,'TO HOP NLAN'!D75/ncoc+IF(SUMSQ('TS-PILE'!$E$56:$E$75)=0,0,'TO HOP NLAN'!E75*'TS-PILE'!$E$68/SUMSQ('TS-PILE'!$E$56:$E$75))+IF(SUMSQ('TS-PILE'!$D$56:$D$75)=0,0,'TO HOP NLAN'!F75*'TS-PILE'!$D$68/SUMSQ('TS-PILE'!$D$56:$D$75))),IF('TS-PILE'!$B$69="",-1E+99,'TO HOP NLAN'!D75/ncoc+IF(SUMSQ('TS-PILE'!$E$56:$E$75)=0,0,'TO HOP NLAN'!E75*'TS-PILE'!$E$69/SUMSQ('TS-PILE'!$E$56:$E$75))+IF(SUMSQ('TS-PILE'!$D$56:$D$75)=0,0,'TO HOP NLAN'!F75*'TS-PILE'!$D$69/SUMSQ('TS-PILE'!$D$56:$D$75))),IF('TS-PILE'!$B$70="",-1E+99,'TO HOP NLAN'!D75/ncoc+IF(SUMSQ('TS-PILE'!$E$56:$E$75)=0,0,'TO HOP NLAN'!E75*'TS-PILE'!$E$70/SUMSQ('TS-PILE'!$E$56:$E$75))+IF(SUMSQ('TS-PILE'!$D$56:$D$75)=0,0,'TO HOP NLAN'!F75*'TS-PILE'!$D$70/SUMSQ('TS-PILE'!$D$56:$D$75))),IF('TS-PILE'!$B$71="",-1E+99,'TO HOP NLAN'!D75/ncoc+IF(SUMSQ('TS-PILE'!$E$56:$E$75)=0,0,'TO HOP NLAN'!E75*'TS-PILE'!$E$71/SUMSQ('TS-PILE'!$E$56:$E$75))+IF(SUMSQ('TS-PILE'!$D$56:$D$75)=0,0,'TO HOP NLAN'!F75*'TS-PILE'!$D$71/SUMSQ('TS-PILE'!$D$56:$D$75))),IF('TS-PILE'!$B$72="",-1E+99,'TO HOP NLAN'!D75/ncoc+IF(SUMSQ('TS-PILE'!$E$56:$E$75)=0,0,'TO HOP NLAN'!E75*'TS-PILE'!$E$72/SUMSQ('TS-PILE'!$E$56:$E$75))+IF(SUMSQ('TS-PILE'!$D$56:$D$75)=0,0,'TO HOP NLAN'!F75*'TS-PILE'!$D$72/SUMSQ('TS-PILE'!$D$56:$D$75))),IF('TS-PILE'!$B$73="",-1E+99,'TO HOP NLAN'!D75/ncoc+IF(SUMSQ('TS-PILE'!$E$56:$E$75)=0,0,'TO HOP NLAN'!E75*'TS-PILE'!$E$73/SUMSQ('TS-PILE'!$E$56:$E$75))+IF(SUMSQ('TS-PILE'!$D$56:$D$75)=0,0,'TO HOP NLAN'!F75*'TS-PILE'!$D$73/SUMSQ('TS-PILE'!$D$56:$D$75))),IF('TS-PILE'!$B$74="",-1E+99,'TO HOP NLAN'!D75/ncoc+IF(SUMSQ('TS-PILE'!$E$56:$E$75)=0,0,'TO HOP NLAN'!E75*'TS-PILE'!$E$74/SUMSQ('TS-PILE'!$E$56:$E$75))+IF(SUMSQ('TS-PILE'!$D$56:$D$75)=0,0,'TO HOP NLAN'!F75*'TS-PILE'!$D$74/SUMSQ('TS-PILE'!$D$56:$D$75))),IF('TS-PILE'!$B$75="",-1E+99,'TO HOP NLAN'!D75/ncoc+IF(SUMSQ('TS-PILE'!$E$56:$E$75)=0,0,'TO HOP NLAN'!E75*'TS-PILE'!$E$75/SUMSQ('TS-PILE'!$E$56:$E$75))+IF(SUMSQ('TS-PILE'!$D$56:$D$75)=0,0,'TO HOP NLAN'!F75*'TS-PILE'!$D$75/SUMSQ('TS-PILE'!$D$56:$D$75)))))</f>
        <v>0</v>
      </c>
      <c r="D75" s="46">
        <f>IF(A75="",0,MIN(IF('TS-PILE'!$B$56="",1E+99,'TO HOP NLAN'!D75/ncoc+IF(SUMSQ('TS-PILE'!$E$56:$E$75)=0,0,'TO HOP NLAN'!E75*'TS-PILE'!$E$56/SUMSQ('TS-PILE'!$E$56:$E$75))+IF(SUMSQ('TS-PILE'!$D$56:$D$75)=0,0,'TO HOP NLAN'!F75*'TS-PILE'!$D$56/SUMSQ('TS-PILE'!$D$56:$D$75))),IF('TS-PILE'!$B$57="",1E+99,'TO HOP NLAN'!D75/ncoc+IF(SUMSQ('TS-PILE'!$E$56:$E$75)=0,0,'TO HOP NLAN'!E75*'TS-PILE'!$E$57/SUMSQ('TS-PILE'!$E$56:$E$75))+IF(SUMSQ('TS-PILE'!$D$56:$D$75)=0,0,'TO HOP NLAN'!F75*'TS-PILE'!$D$57/SUMSQ('TS-PILE'!$D$56:$D$75))),IF('TS-PILE'!$B$58="",1E+99,'TO HOP NLAN'!D75/ncoc+IF(SUMSQ('TS-PILE'!$E$56:$E$75)=0,0,'TO HOP NLAN'!E75*'TS-PILE'!$E$58/SUMSQ('TS-PILE'!$E$56:$E$75))+IF(SUMSQ('TS-PILE'!$D$56:$D$75)=0,0,'TO HOP NLAN'!F75*'TS-PILE'!$D$58/SUMSQ('TS-PILE'!$D$56:$D$75))),IF('TS-PILE'!$B$59="",1E+99,'TO HOP NLAN'!D75/ncoc+IF(SUMSQ('TS-PILE'!$E$56:$E$75)=0,0,'TO HOP NLAN'!E75*'TS-PILE'!$E$59/SUMSQ('TS-PILE'!$E$56:$E$75))+IF(SUMSQ('TS-PILE'!$D$56:$D$75)=0,0,'TO HOP NLAN'!F75*'TS-PILE'!$D$59/SUMSQ('TS-PILE'!$D$56:$D$75))),IF('TS-PILE'!$B$60="",1E+99,'TO HOP NLAN'!D75/ncoc+IF(SUMSQ('TS-PILE'!$E$56:$E$75)=0,0,'TO HOP NLAN'!E75*'TS-PILE'!$E$60/SUMSQ('TS-PILE'!$E$56:$E$75))+IF(SUMSQ('TS-PILE'!$D$56:$D$75)=0,0,'TO HOP NLAN'!F75*'TS-PILE'!$D$60/SUMSQ('TS-PILE'!$D$56:$D$75))),IF('TS-PILE'!$B$61="",1E+99,'TO HOP NLAN'!D75/ncoc+IF(SUMSQ('TS-PILE'!$E$56:$E$75)=0,0,'TO HOP NLAN'!E75*'TS-PILE'!$E$61/SUMSQ('TS-PILE'!$E$56:$E$75))+IF(SUMSQ('TS-PILE'!$D$56:$D$75)=0,0,'TO HOP NLAN'!F75*'TS-PILE'!$D$61/SUMSQ('TS-PILE'!$D$56:$D$75))),IF('TS-PILE'!$B$62="",1E+99,'TO HOP NLAN'!D75/ncoc+IF(SUMSQ('TS-PILE'!$E$56:$E$75)=0,0,'TO HOP NLAN'!E75*'TS-PILE'!$E$62/SUMSQ('TS-PILE'!$E$56:$E$75))+IF(SUMSQ('TS-PILE'!$D$56:$D$75)=0,0,'TO HOP NLAN'!F75*'TS-PILE'!$D$62/SUMSQ('TS-PILE'!$D$56:$D$75))),IF('TS-PILE'!$B$63="",1E+99,'TO HOP NLAN'!D75/ncoc+IF(SUMSQ('TS-PILE'!$E$56:$E$75)=0,0,'TO HOP NLAN'!E75*'TS-PILE'!$E$63/SUMSQ('TS-PILE'!$E$56:$E$75))+IF(SUMSQ('TS-PILE'!$D$56:$D$75)=0,0,'TO HOP NLAN'!F75*'TS-PILE'!$D$63/SUMSQ('TS-PILE'!$D$56:$D$75))),IF('TS-PILE'!$B$64="",1E+99,'TO HOP NLAN'!D75/ncoc+IF(SUMSQ('TS-PILE'!$E$56:$E$75)=0,0,'TO HOP NLAN'!E75*'TS-PILE'!$E$64/SUMSQ('TS-PILE'!$E$56:$E$75))+IF(SUMSQ('TS-PILE'!$D$56:$D$75)=0,0,'TO HOP NLAN'!F75*'TS-PILE'!$D$64/SUMSQ('TS-PILE'!$D$56:$D$75))),IF('TS-PILE'!$B$65="",1E+99,'TO HOP NLAN'!D75/ncoc+IF(SUMSQ('TS-PILE'!$E$56:$E$75)=0,0,'TO HOP NLAN'!E75*'TS-PILE'!$E$65/SUMSQ('TS-PILE'!$E$56:$E$75))+IF(SUMSQ('TS-PILE'!$D$56:$D$75)=0,0,'TO HOP NLAN'!F75*'TS-PILE'!$D$65/SUMSQ('TS-PILE'!$D$56:$D$75))),IF('TS-PILE'!$B$66="",1E+99,'TO HOP NLAN'!D75/ncoc+IF(SUMSQ('TS-PILE'!$E$56:$E$75)=0,0,'TO HOP NLAN'!E75*'TS-PILE'!$E$66/SUMSQ('TS-PILE'!$E$56:$E$75))+IF(SUMSQ('TS-PILE'!$D$56:$D$75)=0,0,'TO HOP NLAN'!F75*'TS-PILE'!$D$66/SUMSQ('TS-PILE'!$D$56:$D$75))),IF('TS-PILE'!$B$67="",1E+99,'TO HOP NLAN'!D75/ncoc+IF(SUMSQ('TS-PILE'!$E$56:$E$75)=0,0,'TO HOP NLAN'!E75*'TS-PILE'!$E$67/SUMSQ('TS-PILE'!$E$56:$E$75))+IF(SUMSQ('TS-PILE'!$D$56:$D$75)=0,0,'TO HOP NLAN'!F75*'TS-PILE'!$D$67/SUMSQ('TS-PILE'!$D$56:$D$75))),IF('TS-PILE'!$B$68="",1E+99,'TO HOP NLAN'!D75/ncoc+IF(SUMSQ('TS-PILE'!$E$56:$E$75)=0,0,'TO HOP NLAN'!E75*'TS-PILE'!$E$68/SUMSQ('TS-PILE'!$E$56:$E$75))+IF(SUMSQ('TS-PILE'!$D$56:$D$75)=0,0,'TO HOP NLAN'!F75*'TS-PILE'!$D$68/SUMSQ('TS-PILE'!$D$56:$D$75))),IF('TS-PILE'!$B$69="",1E+99,'TO HOP NLAN'!D75/ncoc+IF(SUMSQ('TS-PILE'!$E$56:$E$75)=0,0,'TO HOP NLAN'!E75*'TS-PILE'!$E$69/SUMSQ('TS-PILE'!$E$56:$E$75))+IF(SUMSQ('TS-PILE'!$D$56:$D$75)=0,0,'TO HOP NLAN'!F75*'TS-PILE'!$D$69/SUMSQ('TS-PILE'!$D$56:$D$75))),IF('TS-PILE'!$B$70="",1E+99,'TO HOP NLAN'!D75/ncoc+IF(SUMSQ('TS-PILE'!$E$56:$E$75)=0,0,'TO HOP NLAN'!E75*'TS-PILE'!$E$70/SUMSQ('TS-PILE'!$E$56:$E$75))+IF(SUMSQ('TS-PILE'!$D$56:$D$75)=0,0,'TO HOP NLAN'!F75*'TS-PILE'!$D$70/SUMSQ('TS-PILE'!$D$56:$D$75))),IF('TS-PILE'!$B$71="",1E+99,'TO HOP NLAN'!D75/ncoc+IF(SUMSQ('TS-PILE'!$E$56:$E$75)=0,0,'TO HOP NLAN'!E75*'TS-PILE'!$E$71/SUMSQ('TS-PILE'!$E$56:$E$75))+IF(SUMSQ('TS-PILE'!$D$56:$D$75)=0,0,'TO HOP NLAN'!F75*'TS-PILE'!$D$71/SUMSQ('TS-PILE'!$D$56:$D$75))),IF('TS-PILE'!$B$72="",1E+99,'TO HOP NLAN'!D75/ncoc+IF(SUMSQ('TS-PILE'!$E$56:$E$75)=0,0,'TO HOP NLAN'!E75*'TS-PILE'!$E$72/SUMSQ('TS-PILE'!$E$56:$E$75))+IF(SUMSQ('TS-PILE'!$D$56:$D$75)=0,0,'TO HOP NLAN'!F75*'TS-PILE'!$D$72/SUMSQ('TS-PILE'!$D$56:$D$75))),IF('TS-PILE'!$B$73="",1E+99,'TO HOP NLAN'!D75/ncoc+IF(SUMSQ('TS-PILE'!$E$56:$E$75)=0,0,'TO HOP NLAN'!E75*'TS-PILE'!$E$73/SUMSQ('TS-PILE'!$E$56:$E$75))+IF(SUMSQ('TS-PILE'!$D$56:$D$75)=0,0,'TO HOP NLAN'!F75*'TS-PILE'!$D$73/SUMSQ('TS-PILE'!$D$56:$D$75))),IF('TS-PILE'!$B$74="",1E+99,'TO HOP NLAN'!D75/ncoc+IF(SUMSQ('TS-PILE'!$E$56:$E$75)=0,0,'TO HOP NLAN'!E75*'TS-PILE'!$E$74/SUMSQ('TS-PILE'!$E$56:$E$75))+IF(SUMSQ('TS-PILE'!$D$56:$D$75)=0,0,'TO HOP NLAN'!F75*'TS-PILE'!$D$74/SUMSQ('TS-PILE'!$D$56:$D$75))),IF('TS-PILE'!$B$75="",1E+99,'TO HOP NLAN'!D75/ncoc+IF(SUMSQ('TS-PILE'!$E$56:$E$75)=0,0,'TO HOP NLAN'!E75*'TS-PILE'!$E$75/SUMSQ('TS-PILE'!$E$56:$E$75))+IF(SUMSQ('TS-PILE'!$D$56:$D$75)=0,0,'TO HOP NLAN'!F75*'TS-PILE'!$D$75/SUMSQ('TS-PILE'!$D$56:$D$75)))))</f>
        <v>0</v>
      </c>
      <c r="E75" s="46">
        <f t="shared" si="4"/>
        <v>-9.9999999999999997E+98</v>
      </c>
      <c r="F75" s="46">
        <f t="shared" si="5"/>
        <v>9.9999999999999997E+98</v>
      </c>
      <c r="G75" s="46">
        <f t="shared" si="6"/>
        <v>-9.9999999999999997E+98</v>
      </c>
      <c r="H75" s="46">
        <f t="shared" si="7"/>
        <v>9.9999999999999997E+98</v>
      </c>
    </row>
    <row r="76" spans="1:8" x14ac:dyDescent="0.3">
      <c r="A76" s="40" t="str">
        <f>'TO HOP NLAN'!A76</f>
        <v/>
      </c>
      <c r="B76" s="40" t="str">
        <f>'TO HOP NLAN'!L76</f>
        <v>STRENGTH</v>
      </c>
      <c r="C76" s="46">
        <f>IF(A76="",0,MAX(IF('TS-PILE'!$B$56="",-1E+99,'TO HOP NLAN'!D76/ncoc+IF(SUMSQ('TS-PILE'!$E$56:$E$75)=0,0,'TO HOP NLAN'!E76*'TS-PILE'!$E$56/SUMSQ('TS-PILE'!$E$56:$E$75))+IF(SUMSQ('TS-PILE'!$D$56:$D$75)=0,0,'TO HOP NLAN'!F76*'TS-PILE'!$D$56/SUMSQ('TS-PILE'!$D$56:$D$75))),IF('TS-PILE'!$B$57="",-1E+99,'TO HOP NLAN'!D76/ncoc+IF(SUMSQ('TS-PILE'!$E$56:$E$75)=0,0,'TO HOP NLAN'!E76*'TS-PILE'!$E$57/SUMSQ('TS-PILE'!$E$56:$E$75))+IF(SUMSQ('TS-PILE'!$D$56:$D$75)=0,0,'TO HOP NLAN'!F76*'TS-PILE'!$D$57/SUMSQ('TS-PILE'!$D$56:$D$75))),IF('TS-PILE'!$B$58="",-1E+99,'TO HOP NLAN'!D76/ncoc+IF(SUMSQ('TS-PILE'!$E$56:$E$75)=0,0,'TO HOP NLAN'!E76*'TS-PILE'!$E$58/SUMSQ('TS-PILE'!$E$56:$E$75))+IF(SUMSQ('TS-PILE'!$D$56:$D$75)=0,0,'TO HOP NLAN'!F76*'TS-PILE'!$D$58/SUMSQ('TS-PILE'!$D$56:$D$75))),IF('TS-PILE'!$B$59="",-1E+99,'TO HOP NLAN'!D76/ncoc+IF(SUMSQ('TS-PILE'!$E$56:$E$75)=0,0,'TO HOP NLAN'!E76*'TS-PILE'!$E$59/SUMSQ('TS-PILE'!$E$56:$E$75))+IF(SUMSQ('TS-PILE'!$D$56:$D$75)=0,0,'TO HOP NLAN'!F76*'TS-PILE'!$D$59/SUMSQ('TS-PILE'!$D$56:$D$75))),IF('TS-PILE'!$B$60="",-1E+99,'TO HOP NLAN'!D76/ncoc+IF(SUMSQ('TS-PILE'!$E$56:$E$75)=0,0,'TO HOP NLAN'!E76*'TS-PILE'!$E$60/SUMSQ('TS-PILE'!$E$56:$E$75))+IF(SUMSQ('TS-PILE'!$D$56:$D$75)=0,0,'TO HOP NLAN'!F76*'TS-PILE'!$D$60/SUMSQ('TS-PILE'!$D$56:$D$75))),IF('TS-PILE'!$B$61="",-1E+99,'TO HOP NLAN'!D76/ncoc+IF(SUMSQ('TS-PILE'!$E$56:$E$75)=0,0,'TO HOP NLAN'!E76*'TS-PILE'!$E$61/SUMSQ('TS-PILE'!$E$56:$E$75))+IF(SUMSQ('TS-PILE'!$D$56:$D$75)=0,0,'TO HOP NLAN'!F76*'TS-PILE'!$D$61/SUMSQ('TS-PILE'!$D$56:$D$75))),IF('TS-PILE'!$B$62="",-1E+99,'TO HOP NLAN'!D76/ncoc+IF(SUMSQ('TS-PILE'!$E$56:$E$75)=0,0,'TO HOP NLAN'!E76*'TS-PILE'!$E$62/SUMSQ('TS-PILE'!$E$56:$E$75))+IF(SUMSQ('TS-PILE'!$D$56:$D$75)=0,0,'TO HOP NLAN'!F76*'TS-PILE'!$D$62/SUMSQ('TS-PILE'!$D$56:$D$75))),IF('TS-PILE'!$B$63="",-1E+99,'TO HOP NLAN'!D76/ncoc+IF(SUMSQ('TS-PILE'!$E$56:$E$75)=0,0,'TO HOP NLAN'!E76*'TS-PILE'!$E$63/SUMSQ('TS-PILE'!$E$56:$E$75))+IF(SUMSQ('TS-PILE'!$D$56:$D$75)=0,0,'TO HOP NLAN'!F76*'TS-PILE'!$D$63/SUMSQ('TS-PILE'!$D$56:$D$75))),IF('TS-PILE'!$B$64="",-1E+99,'TO HOP NLAN'!D76/ncoc+IF(SUMSQ('TS-PILE'!$E$56:$E$75)=0,0,'TO HOP NLAN'!E76*'TS-PILE'!$E$64/SUMSQ('TS-PILE'!$E$56:$E$75))+IF(SUMSQ('TS-PILE'!$D$56:$D$75)=0,0,'TO HOP NLAN'!F76*'TS-PILE'!$D$64/SUMSQ('TS-PILE'!$D$56:$D$75))),IF('TS-PILE'!$B$65="",-1E+99,'TO HOP NLAN'!D76/ncoc+IF(SUMSQ('TS-PILE'!$E$56:$E$75)=0,0,'TO HOP NLAN'!E76*'TS-PILE'!$E$65/SUMSQ('TS-PILE'!$E$56:$E$75))+IF(SUMSQ('TS-PILE'!$D$56:$D$75)=0,0,'TO HOP NLAN'!F76*'TS-PILE'!$D$65/SUMSQ('TS-PILE'!$D$56:$D$75))),IF('TS-PILE'!$B$66="",-1E+99,'TO HOP NLAN'!D76/ncoc+IF(SUMSQ('TS-PILE'!$E$56:$E$75)=0,0,'TO HOP NLAN'!E76*'TS-PILE'!$E$66/SUMSQ('TS-PILE'!$E$56:$E$75))+IF(SUMSQ('TS-PILE'!$D$56:$D$75)=0,0,'TO HOP NLAN'!F76*'TS-PILE'!$D$66/SUMSQ('TS-PILE'!$D$56:$D$75))),IF('TS-PILE'!$B$67="",-1E+99,'TO HOP NLAN'!D76/ncoc+IF(SUMSQ('TS-PILE'!$E$56:$E$75)=0,0,'TO HOP NLAN'!E76*'TS-PILE'!$E$67/SUMSQ('TS-PILE'!$E$56:$E$75))+IF(SUMSQ('TS-PILE'!$D$56:$D$75)=0,0,'TO HOP NLAN'!F76*'TS-PILE'!$D$67/SUMSQ('TS-PILE'!$D$56:$D$75))),IF('TS-PILE'!$B$68="",-1E+99,'TO HOP NLAN'!D76/ncoc+IF(SUMSQ('TS-PILE'!$E$56:$E$75)=0,0,'TO HOP NLAN'!E76*'TS-PILE'!$E$68/SUMSQ('TS-PILE'!$E$56:$E$75))+IF(SUMSQ('TS-PILE'!$D$56:$D$75)=0,0,'TO HOP NLAN'!F76*'TS-PILE'!$D$68/SUMSQ('TS-PILE'!$D$56:$D$75))),IF('TS-PILE'!$B$69="",-1E+99,'TO HOP NLAN'!D76/ncoc+IF(SUMSQ('TS-PILE'!$E$56:$E$75)=0,0,'TO HOP NLAN'!E76*'TS-PILE'!$E$69/SUMSQ('TS-PILE'!$E$56:$E$75))+IF(SUMSQ('TS-PILE'!$D$56:$D$75)=0,0,'TO HOP NLAN'!F76*'TS-PILE'!$D$69/SUMSQ('TS-PILE'!$D$56:$D$75))),IF('TS-PILE'!$B$70="",-1E+99,'TO HOP NLAN'!D76/ncoc+IF(SUMSQ('TS-PILE'!$E$56:$E$75)=0,0,'TO HOP NLAN'!E76*'TS-PILE'!$E$70/SUMSQ('TS-PILE'!$E$56:$E$75))+IF(SUMSQ('TS-PILE'!$D$56:$D$75)=0,0,'TO HOP NLAN'!F76*'TS-PILE'!$D$70/SUMSQ('TS-PILE'!$D$56:$D$75))),IF('TS-PILE'!$B$71="",-1E+99,'TO HOP NLAN'!D76/ncoc+IF(SUMSQ('TS-PILE'!$E$56:$E$75)=0,0,'TO HOP NLAN'!E76*'TS-PILE'!$E$71/SUMSQ('TS-PILE'!$E$56:$E$75))+IF(SUMSQ('TS-PILE'!$D$56:$D$75)=0,0,'TO HOP NLAN'!F76*'TS-PILE'!$D$71/SUMSQ('TS-PILE'!$D$56:$D$75))),IF('TS-PILE'!$B$72="",-1E+99,'TO HOP NLAN'!D76/ncoc+IF(SUMSQ('TS-PILE'!$E$56:$E$75)=0,0,'TO HOP NLAN'!E76*'TS-PILE'!$E$72/SUMSQ('TS-PILE'!$E$56:$E$75))+IF(SUMSQ('TS-PILE'!$D$56:$D$75)=0,0,'TO HOP NLAN'!F76*'TS-PILE'!$D$72/SUMSQ('TS-PILE'!$D$56:$D$75))),IF('TS-PILE'!$B$73="",-1E+99,'TO HOP NLAN'!D76/ncoc+IF(SUMSQ('TS-PILE'!$E$56:$E$75)=0,0,'TO HOP NLAN'!E76*'TS-PILE'!$E$73/SUMSQ('TS-PILE'!$E$56:$E$75))+IF(SUMSQ('TS-PILE'!$D$56:$D$75)=0,0,'TO HOP NLAN'!F76*'TS-PILE'!$D$73/SUMSQ('TS-PILE'!$D$56:$D$75))),IF('TS-PILE'!$B$74="",-1E+99,'TO HOP NLAN'!D76/ncoc+IF(SUMSQ('TS-PILE'!$E$56:$E$75)=0,0,'TO HOP NLAN'!E76*'TS-PILE'!$E$74/SUMSQ('TS-PILE'!$E$56:$E$75))+IF(SUMSQ('TS-PILE'!$D$56:$D$75)=0,0,'TO HOP NLAN'!F76*'TS-PILE'!$D$74/SUMSQ('TS-PILE'!$D$56:$D$75))),IF('TS-PILE'!$B$75="",-1E+99,'TO HOP NLAN'!D76/ncoc+IF(SUMSQ('TS-PILE'!$E$56:$E$75)=0,0,'TO HOP NLAN'!E76*'TS-PILE'!$E$75/SUMSQ('TS-PILE'!$E$56:$E$75))+IF(SUMSQ('TS-PILE'!$D$56:$D$75)=0,0,'TO HOP NLAN'!F76*'TS-PILE'!$D$75/SUMSQ('TS-PILE'!$D$56:$D$75)))))</f>
        <v>0</v>
      </c>
      <c r="D76" s="46">
        <f>IF(A76="",0,MIN(IF('TS-PILE'!$B$56="",1E+99,'TO HOP NLAN'!D76/ncoc+IF(SUMSQ('TS-PILE'!$E$56:$E$75)=0,0,'TO HOP NLAN'!E76*'TS-PILE'!$E$56/SUMSQ('TS-PILE'!$E$56:$E$75))+IF(SUMSQ('TS-PILE'!$D$56:$D$75)=0,0,'TO HOP NLAN'!F76*'TS-PILE'!$D$56/SUMSQ('TS-PILE'!$D$56:$D$75))),IF('TS-PILE'!$B$57="",1E+99,'TO HOP NLAN'!D76/ncoc+IF(SUMSQ('TS-PILE'!$E$56:$E$75)=0,0,'TO HOP NLAN'!E76*'TS-PILE'!$E$57/SUMSQ('TS-PILE'!$E$56:$E$75))+IF(SUMSQ('TS-PILE'!$D$56:$D$75)=0,0,'TO HOP NLAN'!F76*'TS-PILE'!$D$57/SUMSQ('TS-PILE'!$D$56:$D$75))),IF('TS-PILE'!$B$58="",1E+99,'TO HOP NLAN'!D76/ncoc+IF(SUMSQ('TS-PILE'!$E$56:$E$75)=0,0,'TO HOP NLAN'!E76*'TS-PILE'!$E$58/SUMSQ('TS-PILE'!$E$56:$E$75))+IF(SUMSQ('TS-PILE'!$D$56:$D$75)=0,0,'TO HOP NLAN'!F76*'TS-PILE'!$D$58/SUMSQ('TS-PILE'!$D$56:$D$75))),IF('TS-PILE'!$B$59="",1E+99,'TO HOP NLAN'!D76/ncoc+IF(SUMSQ('TS-PILE'!$E$56:$E$75)=0,0,'TO HOP NLAN'!E76*'TS-PILE'!$E$59/SUMSQ('TS-PILE'!$E$56:$E$75))+IF(SUMSQ('TS-PILE'!$D$56:$D$75)=0,0,'TO HOP NLAN'!F76*'TS-PILE'!$D$59/SUMSQ('TS-PILE'!$D$56:$D$75))),IF('TS-PILE'!$B$60="",1E+99,'TO HOP NLAN'!D76/ncoc+IF(SUMSQ('TS-PILE'!$E$56:$E$75)=0,0,'TO HOP NLAN'!E76*'TS-PILE'!$E$60/SUMSQ('TS-PILE'!$E$56:$E$75))+IF(SUMSQ('TS-PILE'!$D$56:$D$75)=0,0,'TO HOP NLAN'!F76*'TS-PILE'!$D$60/SUMSQ('TS-PILE'!$D$56:$D$75))),IF('TS-PILE'!$B$61="",1E+99,'TO HOP NLAN'!D76/ncoc+IF(SUMSQ('TS-PILE'!$E$56:$E$75)=0,0,'TO HOP NLAN'!E76*'TS-PILE'!$E$61/SUMSQ('TS-PILE'!$E$56:$E$75))+IF(SUMSQ('TS-PILE'!$D$56:$D$75)=0,0,'TO HOP NLAN'!F76*'TS-PILE'!$D$61/SUMSQ('TS-PILE'!$D$56:$D$75))),IF('TS-PILE'!$B$62="",1E+99,'TO HOP NLAN'!D76/ncoc+IF(SUMSQ('TS-PILE'!$E$56:$E$75)=0,0,'TO HOP NLAN'!E76*'TS-PILE'!$E$62/SUMSQ('TS-PILE'!$E$56:$E$75))+IF(SUMSQ('TS-PILE'!$D$56:$D$75)=0,0,'TO HOP NLAN'!F76*'TS-PILE'!$D$62/SUMSQ('TS-PILE'!$D$56:$D$75))),IF('TS-PILE'!$B$63="",1E+99,'TO HOP NLAN'!D76/ncoc+IF(SUMSQ('TS-PILE'!$E$56:$E$75)=0,0,'TO HOP NLAN'!E76*'TS-PILE'!$E$63/SUMSQ('TS-PILE'!$E$56:$E$75))+IF(SUMSQ('TS-PILE'!$D$56:$D$75)=0,0,'TO HOP NLAN'!F76*'TS-PILE'!$D$63/SUMSQ('TS-PILE'!$D$56:$D$75))),IF('TS-PILE'!$B$64="",1E+99,'TO HOP NLAN'!D76/ncoc+IF(SUMSQ('TS-PILE'!$E$56:$E$75)=0,0,'TO HOP NLAN'!E76*'TS-PILE'!$E$64/SUMSQ('TS-PILE'!$E$56:$E$75))+IF(SUMSQ('TS-PILE'!$D$56:$D$75)=0,0,'TO HOP NLAN'!F76*'TS-PILE'!$D$64/SUMSQ('TS-PILE'!$D$56:$D$75))),IF('TS-PILE'!$B$65="",1E+99,'TO HOP NLAN'!D76/ncoc+IF(SUMSQ('TS-PILE'!$E$56:$E$75)=0,0,'TO HOP NLAN'!E76*'TS-PILE'!$E$65/SUMSQ('TS-PILE'!$E$56:$E$75))+IF(SUMSQ('TS-PILE'!$D$56:$D$75)=0,0,'TO HOP NLAN'!F76*'TS-PILE'!$D$65/SUMSQ('TS-PILE'!$D$56:$D$75))),IF('TS-PILE'!$B$66="",1E+99,'TO HOP NLAN'!D76/ncoc+IF(SUMSQ('TS-PILE'!$E$56:$E$75)=0,0,'TO HOP NLAN'!E76*'TS-PILE'!$E$66/SUMSQ('TS-PILE'!$E$56:$E$75))+IF(SUMSQ('TS-PILE'!$D$56:$D$75)=0,0,'TO HOP NLAN'!F76*'TS-PILE'!$D$66/SUMSQ('TS-PILE'!$D$56:$D$75))),IF('TS-PILE'!$B$67="",1E+99,'TO HOP NLAN'!D76/ncoc+IF(SUMSQ('TS-PILE'!$E$56:$E$75)=0,0,'TO HOP NLAN'!E76*'TS-PILE'!$E$67/SUMSQ('TS-PILE'!$E$56:$E$75))+IF(SUMSQ('TS-PILE'!$D$56:$D$75)=0,0,'TO HOP NLAN'!F76*'TS-PILE'!$D$67/SUMSQ('TS-PILE'!$D$56:$D$75))),IF('TS-PILE'!$B$68="",1E+99,'TO HOP NLAN'!D76/ncoc+IF(SUMSQ('TS-PILE'!$E$56:$E$75)=0,0,'TO HOP NLAN'!E76*'TS-PILE'!$E$68/SUMSQ('TS-PILE'!$E$56:$E$75))+IF(SUMSQ('TS-PILE'!$D$56:$D$75)=0,0,'TO HOP NLAN'!F76*'TS-PILE'!$D$68/SUMSQ('TS-PILE'!$D$56:$D$75))),IF('TS-PILE'!$B$69="",1E+99,'TO HOP NLAN'!D76/ncoc+IF(SUMSQ('TS-PILE'!$E$56:$E$75)=0,0,'TO HOP NLAN'!E76*'TS-PILE'!$E$69/SUMSQ('TS-PILE'!$E$56:$E$75))+IF(SUMSQ('TS-PILE'!$D$56:$D$75)=0,0,'TO HOP NLAN'!F76*'TS-PILE'!$D$69/SUMSQ('TS-PILE'!$D$56:$D$75))),IF('TS-PILE'!$B$70="",1E+99,'TO HOP NLAN'!D76/ncoc+IF(SUMSQ('TS-PILE'!$E$56:$E$75)=0,0,'TO HOP NLAN'!E76*'TS-PILE'!$E$70/SUMSQ('TS-PILE'!$E$56:$E$75))+IF(SUMSQ('TS-PILE'!$D$56:$D$75)=0,0,'TO HOP NLAN'!F76*'TS-PILE'!$D$70/SUMSQ('TS-PILE'!$D$56:$D$75))),IF('TS-PILE'!$B$71="",1E+99,'TO HOP NLAN'!D76/ncoc+IF(SUMSQ('TS-PILE'!$E$56:$E$75)=0,0,'TO HOP NLAN'!E76*'TS-PILE'!$E$71/SUMSQ('TS-PILE'!$E$56:$E$75))+IF(SUMSQ('TS-PILE'!$D$56:$D$75)=0,0,'TO HOP NLAN'!F76*'TS-PILE'!$D$71/SUMSQ('TS-PILE'!$D$56:$D$75))),IF('TS-PILE'!$B$72="",1E+99,'TO HOP NLAN'!D76/ncoc+IF(SUMSQ('TS-PILE'!$E$56:$E$75)=0,0,'TO HOP NLAN'!E76*'TS-PILE'!$E$72/SUMSQ('TS-PILE'!$E$56:$E$75))+IF(SUMSQ('TS-PILE'!$D$56:$D$75)=0,0,'TO HOP NLAN'!F76*'TS-PILE'!$D$72/SUMSQ('TS-PILE'!$D$56:$D$75))),IF('TS-PILE'!$B$73="",1E+99,'TO HOP NLAN'!D76/ncoc+IF(SUMSQ('TS-PILE'!$E$56:$E$75)=0,0,'TO HOP NLAN'!E76*'TS-PILE'!$E$73/SUMSQ('TS-PILE'!$E$56:$E$75))+IF(SUMSQ('TS-PILE'!$D$56:$D$75)=0,0,'TO HOP NLAN'!F76*'TS-PILE'!$D$73/SUMSQ('TS-PILE'!$D$56:$D$75))),IF('TS-PILE'!$B$74="",1E+99,'TO HOP NLAN'!D76/ncoc+IF(SUMSQ('TS-PILE'!$E$56:$E$75)=0,0,'TO HOP NLAN'!E76*'TS-PILE'!$E$74/SUMSQ('TS-PILE'!$E$56:$E$75))+IF(SUMSQ('TS-PILE'!$D$56:$D$75)=0,0,'TO HOP NLAN'!F76*'TS-PILE'!$D$74/SUMSQ('TS-PILE'!$D$56:$D$75))),IF('TS-PILE'!$B$75="",1E+99,'TO HOP NLAN'!D76/ncoc+IF(SUMSQ('TS-PILE'!$E$56:$E$75)=0,0,'TO HOP NLAN'!E76*'TS-PILE'!$E$75/SUMSQ('TS-PILE'!$E$56:$E$75))+IF(SUMSQ('TS-PILE'!$D$56:$D$75)=0,0,'TO HOP NLAN'!F76*'TS-PILE'!$D$75/SUMSQ('TS-PILE'!$D$56:$D$75)))))</f>
        <v>0</v>
      </c>
      <c r="E76" s="46">
        <f t="shared" si="4"/>
        <v>-9.9999999999999997E+98</v>
      </c>
      <c r="F76" s="46">
        <f t="shared" si="5"/>
        <v>9.9999999999999997E+98</v>
      </c>
      <c r="G76" s="46">
        <f t="shared" si="6"/>
        <v>-9.9999999999999997E+98</v>
      </c>
      <c r="H76" s="46">
        <f t="shared" si="7"/>
        <v>9.9999999999999997E+98</v>
      </c>
    </row>
    <row r="77" spans="1:8" x14ac:dyDescent="0.3">
      <c r="A77" s="40" t="str">
        <f>'TO HOP NLAN'!A77</f>
        <v/>
      </c>
      <c r="B77" s="40" t="str">
        <f>'TO HOP NLAN'!L77</f>
        <v>STRENGTH</v>
      </c>
      <c r="C77" s="46">
        <f>IF(A77="",0,MAX(IF('TS-PILE'!$B$56="",-1E+99,'TO HOP NLAN'!D77/ncoc+IF(SUMSQ('TS-PILE'!$E$56:$E$75)=0,0,'TO HOP NLAN'!E77*'TS-PILE'!$E$56/SUMSQ('TS-PILE'!$E$56:$E$75))+IF(SUMSQ('TS-PILE'!$D$56:$D$75)=0,0,'TO HOP NLAN'!F77*'TS-PILE'!$D$56/SUMSQ('TS-PILE'!$D$56:$D$75))),IF('TS-PILE'!$B$57="",-1E+99,'TO HOP NLAN'!D77/ncoc+IF(SUMSQ('TS-PILE'!$E$56:$E$75)=0,0,'TO HOP NLAN'!E77*'TS-PILE'!$E$57/SUMSQ('TS-PILE'!$E$56:$E$75))+IF(SUMSQ('TS-PILE'!$D$56:$D$75)=0,0,'TO HOP NLAN'!F77*'TS-PILE'!$D$57/SUMSQ('TS-PILE'!$D$56:$D$75))),IF('TS-PILE'!$B$58="",-1E+99,'TO HOP NLAN'!D77/ncoc+IF(SUMSQ('TS-PILE'!$E$56:$E$75)=0,0,'TO HOP NLAN'!E77*'TS-PILE'!$E$58/SUMSQ('TS-PILE'!$E$56:$E$75))+IF(SUMSQ('TS-PILE'!$D$56:$D$75)=0,0,'TO HOP NLAN'!F77*'TS-PILE'!$D$58/SUMSQ('TS-PILE'!$D$56:$D$75))),IF('TS-PILE'!$B$59="",-1E+99,'TO HOP NLAN'!D77/ncoc+IF(SUMSQ('TS-PILE'!$E$56:$E$75)=0,0,'TO HOP NLAN'!E77*'TS-PILE'!$E$59/SUMSQ('TS-PILE'!$E$56:$E$75))+IF(SUMSQ('TS-PILE'!$D$56:$D$75)=0,0,'TO HOP NLAN'!F77*'TS-PILE'!$D$59/SUMSQ('TS-PILE'!$D$56:$D$75))),IF('TS-PILE'!$B$60="",-1E+99,'TO HOP NLAN'!D77/ncoc+IF(SUMSQ('TS-PILE'!$E$56:$E$75)=0,0,'TO HOP NLAN'!E77*'TS-PILE'!$E$60/SUMSQ('TS-PILE'!$E$56:$E$75))+IF(SUMSQ('TS-PILE'!$D$56:$D$75)=0,0,'TO HOP NLAN'!F77*'TS-PILE'!$D$60/SUMSQ('TS-PILE'!$D$56:$D$75))),IF('TS-PILE'!$B$61="",-1E+99,'TO HOP NLAN'!D77/ncoc+IF(SUMSQ('TS-PILE'!$E$56:$E$75)=0,0,'TO HOP NLAN'!E77*'TS-PILE'!$E$61/SUMSQ('TS-PILE'!$E$56:$E$75))+IF(SUMSQ('TS-PILE'!$D$56:$D$75)=0,0,'TO HOP NLAN'!F77*'TS-PILE'!$D$61/SUMSQ('TS-PILE'!$D$56:$D$75))),IF('TS-PILE'!$B$62="",-1E+99,'TO HOP NLAN'!D77/ncoc+IF(SUMSQ('TS-PILE'!$E$56:$E$75)=0,0,'TO HOP NLAN'!E77*'TS-PILE'!$E$62/SUMSQ('TS-PILE'!$E$56:$E$75))+IF(SUMSQ('TS-PILE'!$D$56:$D$75)=0,0,'TO HOP NLAN'!F77*'TS-PILE'!$D$62/SUMSQ('TS-PILE'!$D$56:$D$75))),IF('TS-PILE'!$B$63="",-1E+99,'TO HOP NLAN'!D77/ncoc+IF(SUMSQ('TS-PILE'!$E$56:$E$75)=0,0,'TO HOP NLAN'!E77*'TS-PILE'!$E$63/SUMSQ('TS-PILE'!$E$56:$E$75))+IF(SUMSQ('TS-PILE'!$D$56:$D$75)=0,0,'TO HOP NLAN'!F77*'TS-PILE'!$D$63/SUMSQ('TS-PILE'!$D$56:$D$75))),IF('TS-PILE'!$B$64="",-1E+99,'TO HOP NLAN'!D77/ncoc+IF(SUMSQ('TS-PILE'!$E$56:$E$75)=0,0,'TO HOP NLAN'!E77*'TS-PILE'!$E$64/SUMSQ('TS-PILE'!$E$56:$E$75))+IF(SUMSQ('TS-PILE'!$D$56:$D$75)=0,0,'TO HOP NLAN'!F77*'TS-PILE'!$D$64/SUMSQ('TS-PILE'!$D$56:$D$75))),IF('TS-PILE'!$B$65="",-1E+99,'TO HOP NLAN'!D77/ncoc+IF(SUMSQ('TS-PILE'!$E$56:$E$75)=0,0,'TO HOP NLAN'!E77*'TS-PILE'!$E$65/SUMSQ('TS-PILE'!$E$56:$E$75))+IF(SUMSQ('TS-PILE'!$D$56:$D$75)=0,0,'TO HOP NLAN'!F77*'TS-PILE'!$D$65/SUMSQ('TS-PILE'!$D$56:$D$75))),IF('TS-PILE'!$B$66="",-1E+99,'TO HOP NLAN'!D77/ncoc+IF(SUMSQ('TS-PILE'!$E$56:$E$75)=0,0,'TO HOP NLAN'!E77*'TS-PILE'!$E$66/SUMSQ('TS-PILE'!$E$56:$E$75))+IF(SUMSQ('TS-PILE'!$D$56:$D$75)=0,0,'TO HOP NLAN'!F77*'TS-PILE'!$D$66/SUMSQ('TS-PILE'!$D$56:$D$75))),IF('TS-PILE'!$B$67="",-1E+99,'TO HOP NLAN'!D77/ncoc+IF(SUMSQ('TS-PILE'!$E$56:$E$75)=0,0,'TO HOP NLAN'!E77*'TS-PILE'!$E$67/SUMSQ('TS-PILE'!$E$56:$E$75))+IF(SUMSQ('TS-PILE'!$D$56:$D$75)=0,0,'TO HOP NLAN'!F77*'TS-PILE'!$D$67/SUMSQ('TS-PILE'!$D$56:$D$75))),IF('TS-PILE'!$B$68="",-1E+99,'TO HOP NLAN'!D77/ncoc+IF(SUMSQ('TS-PILE'!$E$56:$E$75)=0,0,'TO HOP NLAN'!E77*'TS-PILE'!$E$68/SUMSQ('TS-PILE'!$E$56:$E$75))+IF(SUMSQ('TS-PILE'!$D$56:$D$75)=0,0,'TO HOP NLAN'!F77*'TS-PILE'!$D$68/SUMSQ('TS-PILE'!$D$56:$D$75))),IF('TS-PILE'!$B$69="",-1E+99,'TO HOP NLAN'!D77/ncoc+IF(SUMSQ('TS-PILE'!$E$56:$E$75)=0,0,'TO HOP NLAN'!E77*'TS-PILE'!$E$69/SUMSQ('TS-PILE'!$E$56:$E$75))+IF(SUMSQ('TS-PILE'!$D$56:$D$75)=0,0,'TO HOP NLAN'!F77*'TS-PILE'!$D$69/SUMSQ('TS-PILE'!$D$56:$D$75))),IF('TS-PILE'!$B$70="",-1E+99,'TO HOP NLAN'!D77/ncoc+IF(SUMSQ('TS-PILE'!$E$56:$E$75)=0,0,'TO HOP NLAN'!E77*'TS-PILE'!$E$70/SUMSQ('TS-PILE'!$E$56:$E$75))+IF(SUMSQ('TS-PILE'!$D$56:$D$75)=0,0,'TO HOP NLAN'!F77*'TS-PILE'!$D$70/SUMSQ('TS-PILE'!$D$56:$D$75))),IF('TS-PILE'!$B$71="",-1E+99,'TO HOP NLAN'!D77/ncoc+IF(SUMSQ('TS-PILE'!$E$56:$E$75)=0,0,'TO HOP NLAN'!E77*'TS-PILE'!$E$71/SUMSQ('TS-PILE'!$E$56:$E$75))+IF(SUMSQ('TS-PILE'!$D$56:$D$75)=0,0,'TO HOP NLAN'!F77*'TS-PILE'!$D$71/SUMSQ('TS-PILE'!$D$56:$D$75))),IF('TS-PILE'!$B$72="",-1E+99,'TO HOP NLAN'!D77/ncoc+IF(SUMSQ('TS-PILE'!$E$56:$E$75)=0,0,'TO HOP NLAN'!E77*'TS-PILE'!$E$72/SUMSQ('TS-PILE'!$E$56:$E$75))+IF(SUMSQ('TS-PILE'!$D$56:$D$75)=0,0,'TO HOP NLAN'!F77*'TS-PILE'!$D$72/SUMSQ('TS-PILE'!$D$56:$D$75))),IF('TS-PILE'!$B$73="",-1E+99,'TO HOP NLAN'!D77/ncoc+IF(SUMSQ('TS-PILE'!$E$56:$E$75)=0,0,'TO HOP NLAN'!E77*'TS-PILE'!$E$73/SUMSQ('TS-PILE'!$E$56:$E$75))+IF(SUMSQ('TS-PILE'!$D$56:$D$75)=0,0,'TO HOP NLAN'!F77*'TS-PILE'!$D$73/SUMSQ('TS-PILE'!$D$56:$D$75))),IF('TS-PILE'!$B$74="",-1E+99,'TO HOP NLAN'!D77/ncoc+IF(SUMSQ('TS-PILE'!$E$56:$E$75)=0,0,'TO HOP NLAN'!E77*'TS-PILE'!$E$74/SUMSQ('TS-PILE'!$E$56:$E$75))+IF(SUMSQ('TS-PILE'!$D$56:$D$75)=0,0,'TO HOP NLAN'!F77*'TS-PILE'!$D$74/SUMSQ('TS-PILE'!$D$56:$D$75))),IF('TS-PILE'!$B$75="",-1E+99,'TO HOP NLAN'!D77/ncoc+IF(SUMSQ('TS-PILE'!$E$56:$E$75)=0,0,'TO HOP NLAN'!E77*'TS-PILE'!$E$75/SUMSQ('TS-PILE'!$E$56:$E$75))+IF(SUMSQ('TS-PILE'!$D$56:$D$75)=0,0,'TO HOP NLAN'!F77*'TS-PILE'!$D$75/SUMSQ('TS-PILE'!$D$56:$D$75)))))</f>
        <v>0</v>
      </c>
      <c r="D77" s="46">
        <f>IF(A77="",0,MIN(IF('TS-PILE'!$B$56="",1E+99,'TO HOP NLAN'!D77/ncoc+IF(SUMSQ('TS-PILE'!$E$56:$E$75)=0,0,'TO HOP NLAN'!E77*'TS-PILE'!$E$56/SUMSQ('TS-PILE'!$E$56:$E$75))+IF(SUMSQ('TS-PILE'!$D$56:$D$75)=0,0,'TO HOP NLAN'!F77*'TS-PILE'!$D$56/SUMSQ('TS-PILE'!$D$56:$D$75))),IF('TS-PILE'!$B$57="",1E+99,'TO HOP NLAN'!D77/ncoc+IF(SUMSQ('TS-PILE'!$E$56:$E$75)=0,0,'TO HOP NLAN'!E77*'TS-PILE'!$E$57/SUMSQ('TS-PILE'!$E$56:$E$75))+IF(SUMSQ('TS-PILE'!$D$56:$D$75)=0,0,'TO HOP NLAN'!F77*'TS-PILE'!$D$57/SUMSQ('TS-PILE'!$D$56:$D$75))),IF('TS-PILE'!$B$58="",1E+99,'TO HOP NLAN'!D77/ncoc+IF(SUMSQ('TS-PILE'!$E$56:$E$75)=0,0,'TO HOP NLAN'!E77*'TS-PILE'!$E$58/SUMSQ('TS-PILE'!$E$56:$E$75))+IF(SUMSQ('TS-PILE'!$D$56:$D$75)=0,0,'TO HOP NLAN'!F77*'TS-PILE'!$D$58/SUMSQ('TS-PILE'!$D$56:$D$75))),IF('TS-PILE'!$B$59="",1E+99,'TO HOP NLAN'!D77/ncoc+IF(SUMSQ('TS-PILE'!$E$56:$E$75)=0,0,'TO HOP NLAN'!E77*'TS-PILE'!$E$59/SUMSQ('TS-PILE'!$E$56:$E$75))+IF(SUMSQ('TS-PILE'!$D$56:$D$75)=0,0,'TO HOP NLAN'!F77*'TS-PILE'!$D$59/SUMSQ('TS-PILE'!$D$56:$D$75))),IF('TS-PILE'!$B$60="",1E+99,'TO HOP NLAN'!D77/ncoc+IF(SUMSQ('TS-PILE'!$E$56:$E$75)=0,0,'TO HOP NLAN'!E77*'TS-PILE'!$E$60/SUMSQ('TS-PILE'!$E$56:$E$75))+IF(SUMSQ('TS-PILE'!$D$56:$D$75)=0,0,'TO HOP NLAN'!F77*'TS-PILE'!$D$60/SUMSQ('TS-PILE'!$D$56:$D$75))),IF('TS-PILE'!$B$61="",1E+99,'TO HOP NLAN'!D77/ncoc+IF(SUMSQ('TS-PILE'!$E$56:$E$75)=0,0,'TO HOP NLAN'!E77*'TS-PILE'!$E$61/SUMSQ('TS-PILE'!$E$56:$E$75))+IF(SUMSQ('TS-PILE'!$D$56:$D$75)=0,0,'TO HOP NLAN'!F77*'TS-PILE'!$D$61/SUMSQ('TS-PILE'!$D$56:$D$75))),IF('TS-PILE'!$B$62="",1E+99,'TO HOP NLAN'!D77/ncoc+IF(SUMSQ('TS-PILE'!$E$56:$E$75)=0,0,'TO HOP NLAN'!E77*'TS-PILE'!$E$62/SUMSQ('TS-PILE'!$E$56:$E$75))+IF(SUMSQ('TS-PILE'!$D$56:$D$75)=0,0,'TO HOP NLAN'!F77*'TS-PILE'!$D$62/SUMSQ('TS-PILE'!$D$56:$D$75))),IF('TS-PILE'!$B$63="",1E+99,'TO HOP NLAN'!D77/ncoc+IF(SUMSQ('TS-PILE'!$E$56:$E$75)=0,0,'TO HOP NLAN'!E77*'TS-PILE'!$E$63/SUMSQ('TS-PILE'!$E$56:$E$75))+IF(SUMSQ('TS-PILE'!$D$56:$D$75)=0,0,'TO HOP NLAN'!F77*'TS-PILE'!$D$63/SUMSQ('TS-PILE'!$D$56:$D$75))),IF('TS-PILE'!$B$64="",1E+99,'TO HOP NLAN'!D77/ncoc+IF(SUMSQ('TS-PILE'!$E$56:$E$75)=0,0,'TO HOP NLAN'!E77*'TS-PILE'!$E$64/SUMSQ('TS-PILE'!$E$56:$E$75))+IF(SUMSQ('TS-PILE'!$D$56:$D$75)=0,0,'TO HOP NLAN'!F77*'TS-PILE'!$D$64/SUMSQ('TS-PILE'!$D$56:$D$75))),IF('TS-PILE'!$B$65="",1E+99,'TO HOP NLAN'!D77/ncoc+IF(SUMSQ('TS-PILE'!$E$56:$E$75)=0,0,'TO HOP NLAN'!E77*'TS-PILE'!$E$65/SUMSQ('TS-PILE'!$E$56:$E$75))+IF(SUMSQ('TS-PILE'!$D$56:$D$75)=0,0,'TO HOP NLAN'!F77*'TS-PILE'!$D$65/SUMSQ('TS-PILE'!$D$56:$D$75))),IF('TS-PILE'!$B$66="",1E+99,'TO HOP NLAN'!D77/ncoc+IF(SUMSQ('TS-PILE'!$E$56:$E$75)=0,0,'TO HOP NLAN'!E77*'TS-PILE'!$E$66/SUMSQ('TS-PILE'!$E$56:$E$75))+IF(SUMSQ('TS-PILE'!$D$56:$D$75)=0,0,'TO HOP NLAN'!F77*'TS-PILE'!$D$66/SUMSQ('TS-PILE'!$D$56:$D$75))),IF('TS-PILE'!$B$67="",1E+99,'TO HOP NLAN'!D77/ncoc+IF(SUMSQ('TS-PILE'!$E$56:$E$75)=0,0,'TO HOP NLAN'!E77*'TS-PILE'!$E$67/SUMSQ('TS-PILE'!$E$56:$E$75))+IF(SUMSQ('TS-PILE'!$D$56:$D$75)=0,0,'TO HOP NLAN'!F77*'TS-PILE'!$D$67/SUMSQ('TS-PILE'!$D$56:$D$75))),IF('TS-PILE'!$B$68="",1E+99,'TO HOP NLAN'!D77/ncoc+IF(SUMSQ('TS-PILE'!$E$56:$E$75)=0,0,'TO HOP NLAN'!E77*'TS-PILE'!$E$68/SUMSQ('TS-PILE'!$E$56:$E$75))+IF(SUMSQ('TS-PILE'!$D$56:$D$75)=0,0,'TO HOP NLAN'!F77*'TS-PILE'!$D$68/SUMSQ('TS-PILE'!$D$56:$D$75))),IF('TS-PILE'!$B$69="",1E+99,'TO HOP NLAN'!D77/ncoc+IF(SUMSQ('TS-PILE'!$E$56:$E$75)=0,0,'TO HOP NLAN'!E77*'TS-PILE'!$E$69/SUMSQ('TS-PILE'!$E$56:$E$75))+IF(SUMSQ('TS-PILE'!$D$56:$D$75)=0,0,'TO HOP NLAN'!F77*'TS-PILE'!$D$69/SUMSQ('TS-PILE'!$D$56:$D$75))),IF('TS-PILE'!$B$70="",1E+99,'TO HOP NLAN'!D77/ncoc+IF(SUMSQ('TS-PILE'!$E$56:$E$75)=0,0,'TO HOP NLAN'!E77*'TS-PILE'!$E$70/SUMSQ('TS-PILE'!$E$56:$E$75))+IF(SUMSQ('TS-PILE'!$D$56:$D$75)=0,0,'TO HOP NLAN'!F77*'TS-PILE'!$D$70/SUMSQ('TS-PILE'!$D$56:$D$75))),IF('TS-PILE'!$B$71="",1E+99,'TO HOP NLAN'!D77/ncoc+IF(SUMSQ('TS-PILE'!$E$56:$E$75)=0,0,'TO HOP NLAN'!E77*'TS-PILE'!$E$71/SUMSQ('TS-PILE'!$E$56:$E$75))+IF(SUMSQ('TS-PILE'!$D$56:$D$75)=0,0,'TO HOP NLAN'!F77*'TS-PILE'!$D$71/SUMSQ('TS-PILE'!$D$56:$D$75))),IF('TS-PILE'!$B$72="",1E+99,'TO HOP NLAN'!D77/ncoc+IF(SUMSQ('TS-PILE'!$E$56:$E$75)=0,0,'TO HOP NLAN'!E77*'TS-PILE'!$E$72/SUMSQ('TS-PILE'!$E$56:$E$75))+IF(SUMSQ('TS-PILE'!$D$56:$D$75)=0,0,'TO HOP NLAN'!F77*'TS-PILE'!$D$72/SUMSQ('TS-PILE'!$D$56:$D$75))),IF('TS-PILE'!$B$73="",1E+99,'TO HOP NLAN'!D77/ncoc+IF(SUMSQ('TS-PILE'!$E$56:$E$75)=0,0,'TO HOP NLAN'!E77*'TS-PILE'!$E$73/SUMSQ('TS-PILE'!$E$56:$E$75))+IF(SUMSQ('TS-PILE'!$D$56:$D$75)=0,0,'TO HOP NLAN'!F77*'TS-PILE'!$D$73/SUMSQ('TS-PILE'!$D$56:$D$75))),IF('TS-PILE'!$B$74="",1E+99,'TO HOP NLAN'!D77/ncoc+IF(SUMSQ('TS-PILE'!$E$56:$E$75)=0,0,'TO HOP NLAN'!E77*'TS-PILE'!$E$74/SUMSQ('TS-PILE'!$E$56:$E$75))+IF(SUMSQ('TS-PILE'!$D$56:$D$75)=0,0,'TO HOP NLAN'!F77*'TS-PILE'!$D$74/SUMSQ('TS-PILE'!$D$56:$D$75))),IF('TS-PILE'!$B$75="",1E+99,'TO HOP NLAN'!D77/ncoc+IF(SUMSQ('TS-PILE'!$E$56:$E$75)=0,0,'TO HOP NLAN'!E77*'TS-PILE'!$E$75/SUMSQ('TS-PILE'!$E$56:$E$75))+IF(SUMSQ('TS-PILE'!$D$56:$D$75)=0,0,'TO HOP NLAN'!F77*'TS-PILE'!$D$75/SUMSQ('TS-PILE'!$D$56:$D$75)))))</f>
        <v>0</v>
      </c>
      <c r="E77" s="46">
        <f t="shared" si="4"/>
        <v>-9.9999999999999997E+98</v>
      </c>
      <c r="F77" s="46">
        <f t="shared" si="5"/>
        <v>9.9999999999999997E+98</v>
      </c>
      <c r="G77" s="46">
        <f t="shared" si="6"/>
        <v>-9.9999999999999997E+98</v>
      </c>
      <c r="H77" s="46">
        <f t="shared" si="7"/>
        <v>9.9999999999999997E+98</v>
      </c>
    </row>
    <row r="78" spans="1:8" x14ac:dyDescent="0.3">
      <c r="A78" s="40" t="str">
        <f>'TO HOP NLAN'!A78</f>
        <v/>
      </c>
      <c r="B78" s="40" t="str">
        <f>'TO HOP NLAN'!L78</f>
        <v>STRENGTH</v>
      </c>
      <c r="C78" s="46">
        <f>IF(A78="",0,MAX(IF('TS-PILE'!$B$56="",-1E+99,'TO HOP NLAN'!D78/ncoc+IF(SUMSQ('TS-PILE'!$E$56:$E$75)=0,0,'TO HOP NLAN'!E78*'TS-PILE'!$E$56/SUMSQ('TS-PILE'!$E$56:$E$75))+IF(SUMSQ('TS-PILE'!$D$56:$D$75)=0,0,'TO HOP NLAN'!F78*'TS-PILE'!$D$56/SUMSQ('TS-PILE'!$D$56:$D$75))),IF('TS-PILE'!$B$57="",-1E+99,'TO HOP NLAN'!D78/ncoc+IF(SUMSQ('TS-PILE'!$E$56:$E$75)=0,0,'TO HOP NLAN'!E78*'TS-PILE'!$E$57/SUMSQ('TS-PILE'!$E$56:$E$75))+IF(SUMSQ('TS-PILE'!$D$56:$D$75)=0,0,'TO HOP NLAN'!F78*'TS-PILE'!$D$57/SUMSQ('TS-PILE'!$D$56:$D$75))),IF('TS-PILE'!$B$58="",-1E+99,'TO HOP NLAN'!D78/ncoc+IF(SUMSQ('TS-PILE'!$E$56:$E$75)=0,0,'TO HOP NLAN'!E78*'TS-PILE'!$E$58/SUMSQ('TS-PILE'!$E$56:$E$75))+IF(SUMSQ('TS-PILE'!$D$56:$D$75)=0,0,'TO HOP NLAN'!F78*'TS-PILE'!$D$58/SUMSQ('TS-PILE'!$D$56:$D$75))),IF('TS-PILE'!$B$59="",-1E+99,'TO HOP NLAN'!D78/ncoc+IF(SUMSQ('TS-PILE'!$E$56:$E$75)=0,0,'TO HOP NLAN'!E78*'TS-PILE'!$E$59/SUMSQ('TS-PILE'!$E$56:$E$75))+IF(SUMSQ('TS-PILE'!$D$56:$D$75)=0,0,'TO HOP NLAN'!F78*'TS-PILE'!$D$59/SUMSQ('TS-PILE'!$D$56:$D$75))),IF('TS-PILE'!$B$60="",-1E+99,'TO HOP NLAN'!D78/ncoc+IF(SUMSQ('TS-PILE'!$E$56:$E$75)=0,0,'TO HOP NLAN'!E78*'TS-PILE'!$E$60/SUMSQ('TS-PILE'!$E$56:$E$75))+IF(SUMSQ('TS-PILE'!$D$56:$D$75)=0,0,'TO HOP NLAN'!F78*'TS-PILE'!$D$60/SUMSQ('TS-PILE'!$D$56:$D$75))),IF('TS-PILE'!$B$61="",-1E+99,'TO HOP NLAN'!D78/ncoc+IF(SUMSQ('TS-PILE'!$E$56:$E$75)=0,0,'TO HOP NLAN'!E78*'TS-PILE'!$E$61/SUMSQ('TS-PILE'!$E$56:$E$75))+IF(SUMSQ('TS-PILE'!$D$56:$D$75)=0,0,'TO HOP NLAN'!F78*'TS-PILE'!$D$61/SUMSQ('TS-PILE'!$D$56:$D$75))),IF('TS-PILE'!$B$62="",-1E+99,'TO HOP NLAN'!D78/ncoc+IF(SUMSQ('TS-PILE'!$E$56:$E$75)=0,0,'TO HOP NLAN'!E78*'TS-PILE'!$E$62/SUMSQ('TS-PILE'!$E$56:$E$75))+IF(SUMSQ('TS-PILE'!$D$56:$D$75)=0,0,'TO HOP NLAN'!F78*'TS-PILE'!$D$62/SUMSQ('TS-PILE'!$D$56:$D$75))),IF('TS-PILE'!$B$63="",-1E+99,'TO HOP NLAN'!D78/ncoc+IF(SUMSQ('TS-PILE'!$E$56:$E$75)=0,0,'TO HOP NLAN'!E78*'TS-PILE'!$E$63/SUMSQ('TS-PILE'!$E$56:$E$75))+IF(SUMSQ('TS-PILE'!$D$56:$D$75)=0,0,'TO HOP NLAN'!F78*'TS-PILE'!$D$63/SUMSQ('TS-PILE'!$D$56:$D$75))),IF('TS-PILE'!$B$64="",-1E+99,'TO HOP NLAN'!D78/ncoc+IF(SUMSQ('TS-PILE'!$E$56:$E$75)=0,0,'TO HOP NLAN'!E78*'TS-PILE'!$E$64/SUMSQ('TS-PILE'!$E$56:$E$75))+IF(SUMSQ('TS-PILE'!$D$56:$D$75)=0,0,'TO HOP NLAN'!F78*'TS-PILE'!$D$64/SUMSQ('TS-PILE'!$D$56:$D$75))),IF('TS-PILE'!$B$65="",-1E+99,'TO HOP NLAN'!D78/ncoc+IF(SUMSQ('TS-PILE'!$E$56:$E$75)=0,0,'TO HOP NLAN'!E78*'TS-PILE'!$E$65/SUMSQ('TS-PILE'!$E$56:$E$75))+IF(SUMSQ('TS-PILE'!$D$56:$D$75)=0,0,'TO HOP NLAN'!F78*'TS-PILE'!$D$65/SUMSQ('TS-PILE'!$D$56:$D$75))),IF('TS-PILE'!$B$66="",-1E+99,'TO HOP NLAN'!D78/ncoc+IF(SUMSQ('TS-PILE'!$E$56:$E$75)=0,0,'TO HOP NLAN'!E78*'TS-PILE'!$E$66/SUMSQ('TS-PILE'!$E$56:$E$75))+IF(SUMSQ('TS-PILE'!$D$56:$D$75)=0,0,'TO HOP NLAN'!F78*'TS-PILE'!$D$66/SUMSQ('TS-PILE'!$D$56:$D$75))),IF('TS-PILE'!$B$67="",-1E+99,'TO HOP NLAN'!D78/ncoc+IF(SUMSQ('TS-PILE'!$E$56:$E$75)=0,0,'TO HOP NLAN'!E78*'TS-PILE'!$E$67/SUMSQ('TS-PILE'!$E$56:$E$75))+IF(SUMSQ('TS-PILE'!$D$56:$D$75)=0,0,'TO HOP NLAN'!F78*'TS-PILE'!$D$67/SUMSQ('TS-PILE'!$D$56:$D$75))),IF('TS-PILE'!$B$68="",-1E+99,'TO HOP NLAN'!D78/ncoc+IF(SUMSQ('TS-PILE'!$E$56:$E$75)=0,0,'TO HOP NLAN'!E78*'TS-PILE'!$E$68/SUMSQ('TS-PILE'!$E$56:$E$75))+IF(SUMSQ('TS-PILE'!$D$56:$D$75)=0,0,'TO HOP NLAN'!F78*'TS-PILE'!$D$68/SUMSQ('TS-PILE'!$D$56:$D$75))),IF('TS-PILE'!$B$69="",-1E+99,'TO HOP NLAN'!D78/ncoc+IF(SUMSQ('TS-PILE'!$E$56:$E$75)=0,0,'TO HOP NLAN'!E78*'TS-PILE'!$E$69/SUMSQ('TS-PILE'!$E$56:$E$75))+IF(SUMSQ('TS-PILE'!$D$56:$D$75)=0,0,'TO HOP NLAN'!F78*'TS-PILE'!$D$69/SUMSQ('TS-PILE'!$D$56:$D$75))),IF('TS-PILE'!$B$70="",-1E+99,'TO HOP NLAN'!D78/ncoc+IF(SUMSQ('TS-PILE'!$E$56:$E$75)=0,0,'TO HOP NLAN'!E78*'TS-PILE'!$E$70/SUMSQ('TS-PILE'!$E$56:$E$75))+IF(SUMSQ('TS-PILE'!$D$56:$D$75)=0,0,'TO HOP NLAN'!F78*'TS-PILE'!$D$70/SUMSQ('TS-PILE'!$D$56:$D$75))),IF('TS-PILE'!$B$71="",-1E+99,'TO HOP NLAN'!D78/ncoc+IF(SUMSQ('TS-PILE'!$E$56:$E$75)=0,0,'TO HOP NLAN'!E78*'TS-PILE'!$E$71/SUMSQ('TS-PILE'!$E$56:$E$75))+IF(SUMSQ('TS-PILE'!$D$56:$D$75)=0,0,'TO HOP NLAN'!F78*'TS-PILE'!$D$71/SUMSQ('TS-PILE'!$D$56:$D$75))),IF('TS-PILE'!$B$72="",-1E+99,'TO HOP NLAN'!D78/ncoc+IF(SUMSQ('TS-PILE'!$E$56:$E$75)=0,0,'TO HOP NLAN'!E78*'TS-PILE'!$E$72/SUMSQ('TS-PILE'!$E$56:$E$75))+IF(SUMSQ('TS-PILE'!$D$56:$D$75)=0,0,'TO HOP NLAN'!F78*'TS-PILE'!$D$72/SUMSQ('TS-PILE'!$D$56:$D$75))),IF('TS-PILE'!$B$73="",-1E+99,'TO HOP NLAN'!D78/ncoc+IF(SUMSQ('TS-PILE'!$E$56:$E$75)=0,0,'TO HOP NLAN'!E78*'TS-PILE'!$E$73/SUMSQ('TS-PILE'!$E$56:$E$75))+IF(SUMSQ('TS-PILE'!$D$56:$D$75)=0,0,'TO HOP NLAN'!F78*'TS-PILE'!$D$73/SUMSQ('TS-PILE'!$D$56:$D$75))),IF('TS-PILE'!$B$74="",-1E+99,'TO HOP NLAN'!D78/ncoc+IF(SUMSQ('TS-PILE'!$E$56:$E$75)=0,0,'TO HOP NLAN'!E78*'TS-PILE'!$E$74/SUMSQ('TS-PILE'!$E$56:$E$75))+IF(SUMSQ('TS-PILE'!$D$56:$D$75)=0,0,'TO HOP NLAN'!F78*'TS-PILE'!$D$74/SUMSQ('TS-PILE'!$D$56:$D$75))),IF('TS-PILE'!$B$75="",-1E+99,'TO HOP NLAN'!D78/ncoc+IF(SUMSQ('TS-PILE'!$E$56:$E$75)=0,0,'TO HOP NLAN'!E78*'TS-PILE'!$E$75/SUMSQ('TS-PILE'!$E$56:$E$75))+IF(SUMSQ('TS-PILE'!$D$56:$D$75)=0,0,'TO HOP NLAN'!F78*'TS-PILE'!$D$75/SUMSQ('TS-PILE'!$D$56:$D$75)))))</f>
        <v>0</v>
      </c>
      <c r="D78" s="46">
        <f>IF(A78="",0,MIN(IF('TS-PILE'!$B$56="",1E+99,'TO HOP NLAN'!D78/ncoc+IF(SUMSQ('TS-PILE'!$E$56:$E$75)=0,0,'TO HOP NLAN'!E78*'TS-PILE'!$E$56/SUMSQ('TS-PILE'!$E$56:$E$75))+IF(SUMSQ('TS-PILE'!$D$56:$D$75)=0,0,'TO HOP NLAN'!F78*'TS-PILE'!$D$56/SUMSQ('TS-PILE'!$D$56:$D$75))),IF('TS-PILE'!$B$57="",1E+99,'TO HOP NLAN'!D78/ncoc+IF(SUMSQ('TS-PILE'!$E$56:$E$75)=0,0,'TO HOP NLAN'!E78*'TS-PILE'!$E$57/SUMSQ('TS-PILE'!$E$56:$E$75))+IF(SUMSQ('TS-PILE'!$D$56:$D$75)=0,0,'TO HOP NLAN'!F78*'TS-PILE'!$D$57/SUMSQ('TS-PILE'!$D$56:$D$75))),IF('TS-PILE'!$B$58="",1E+99,'TO HOP NLAN'!D78/ncoc+IF(SUMSQ('TS-PILE'!$E$56:$E$75)=0,0,'TO HOP NLAN'!E78*'TS-PILE'!$E$58/SUMSQ('TS-PILE'!$E$56:$E$75))+IF(SUMSQ('TS-PILE'!$D$56:$D$75)=0,0,'TO HOP NLAN'!F78*'TS-PILE'!$D$58/SUMSQ('TS-PILE'!$D$56:$D$75))),IF('TS-PILE'!$B$59="",1E+99,'TO HOP NLAN'!D78/ncoc+IF(SUMSQ('TS-PILE'!$E$56:$E$75)=0,0,'TO HOP NLAN'!E78*'TS-PILE'!$E$59/SUMSQ('TS-PILE'!$E$56:$E$75))+IF(SUMSQ('TS-PILE'!$D$56:$D$75)=0,0,'TO HOP NLAN'!F78*'TS-PILE'!$D$59/SUMSQ('TS-PILE'!$D$56:$D$75))),IF('TS-PILE'!$B$60="",1E+99,'TO HOP NLAN'!D78/ncoc+IF(SUMSQ('TS-PILE'!$E$56:$E$75)=0,0,'TO HOP NLAN'!E78*'TS-PILE'!$E$60/SUMSQ('TS-PILE'!$E$56:$E$75))+IF(SUMSQ('TS-PILE'!$D$56:$D$75)=0,0,'TO HOP NLAN'!F78*'TS-PILE'!$D$60/SUMSQ('TS-PILE'!$D$56:$D$75))),IF('TS-PILE'!$B$61="",1E+99,'TO HOP NLAN'!D78/ncoc+IF(SUMSQ('TS-PILE'!$E$56:$E$75)=0,0,'TO HOP NLAN'!E78*'TS-PILE'!$E$61/SUMSQ('TS-PILE'!$E$56:$E$75))+IF(SUMSQ('TS-PILE'!$D$56:$D$75)=0,0,'TO HOP NLAN'!F78*'TS-PILE'!$D$61/SUMSQ('TS-PILE'!$D$56:$D$75))),IF('TS-PILE'!$B$62="",1E+99,'TO HOP NLAN'!D78/ncoc+IF(SUMSQ('TS-PILE'!$E$56:$E$75)=0,0,'TO HOP NLAN'!E78*'TS-PILE'!$E$62/SUMSQ('TS-PILE'!$E$56:$E$75))+IF(SUMSQ('TS-PILE'!$D$56:$D$75)=0,0,'TO HOP NLAN'!F78*'TS-PILE'!$D$62/SUMSQ('TS-PILE'!$D$56:$D$75))),IF('TS-PILE'!$B$63="",1E+99,'TO HOP NLAN'!D78/ncoc+IF(SUMSQ('TS-PILE'!$E$56:$E$75)=0,0,'TO HOP NLAN'!E78*'TS-PILE'!$E$63/SUMSQ('TS-PILE'!$E$56:$E$75))+IF(SUMSQ('TS-PILE'!$D$56:$D$75)=0,0,'TO HOP NLAN'!F78*'TS-PILE'!$D$63/SUMSQ('TS-PILE'!$D$56:$D$75))),IF('TS-PILE'!$B$64="",1E+99,'TO HOP NLAN'!D78/ncoc+IF(SUMSQ('TS-PILE'!$E$56:$E$75)=0,0,'TO HOP NLAN'!E78*'TS-PILE'!$E$64/SUMSQ('TS-PILE'!$E$56:$E$75))+IF(SUMSQ('TS-PILE'!$D$56:$D$75)=0,0,'TO HOP NLAN'!F78*'TS-PILE'!$D$64/SUMSQ('TS-PILE'!$D$56:$D$75))),IF('TS-PILE'!$B$65="",1E+99,'TO HOP NLAN'!D78/ncoc+IF(SUMSQ('TS-PILE'!$E$56:$E$75)=0,0,'TO HOP NLAN'!E78*'TS-PILE'!$E$65/SUMSQ('TS-PILE'!$E$56:$E$75))+IF(SUMSQ('TS-PILE'!$D$56:$D$75)=0,0,'TO HOP NLAN'!F78*'TS-PILE'!$D$65/SUMSQ('TS-PILE'!$D$56:$D$75))),IF('TS-PILE'!$B$66="",1E+99,'TO HOP NLAN'!D78/ncoc+IF(SUMSQ('TS-PILE'!$E$56:$E$75)=0,0,'TO HOP NLAN'!E78*'TS-PILE'!$E$66/SUMSQ('TS-PILE'!$E$56:$E$75))+IF(SUMSQ('TS-PILE'!$D$56:$D$75)=0,0,'TO HOP NLAN'!F78*'TS-PILE'!$D$66/SUMSQ('TS-PILE'!$D$56:$D$75))),IF('TS-PILE'!$B$67="",1E+99,'TO HOP NLAN'!D78/ncoc+IF(SUMSQ('TS-PILE'!$E$56:$E$75)=0,0,'TO HOP NLAN'!E78*'TS-PILE'!$E$67/SUMSQ('TS-PILE'!$E$56:$E$75))+IF(SUMSQ('TS-PILE'!$D$56:$D$75)=0,0,'TO HOP NLAN'!F78*'TS-PILE'!$D$67/SUMSQ('TS-PILE'!$D$56:$D$75))),IF('TS-PILE'!$B$68="",1E+99,'TO HOP NLAN'!D78/ncoc+IF(SUMSQ('TS-PILE'!$E$56:$E$75)=0,0,'TO HOP NLAN'!E78*'TS-PILE'!$E$68/SUMSQ('TS-PILE'!$E$56:$E$75))+IF(SUMSQ('TS-PILE'!$D$56:$D$75)=0,0,'TO HOP NLAN'!F78*'TS-PILE'!$D$68/SUMSQ('TS-PILE'!$D$56:$D$75))),IF('TS-PILE'!$B$69="",1E+99,'TO HOP NLAN'!D78/ncoc+IF(SUMSQ('TS-PILE'!$E$56:$E$75)=0,0,'TO HOP NLAN'!E78*'TS-PILE'!$E$69/SUMSQ('TS-PILE'!$E$56:$E$75))+IF(SUMSQ('TS-PILE'!$D$56:$D$75)=0,0,'TO HOP NLAN'!F78*'TS-PILE'!$D$69/SUMSQ('TS-PILE'!$D$56:$D$75))),IF('TS-PILE'!$B$70="",1E+99,'TO HOP NLAN'!D78/ncoc+IF(SUMSQ('TS-PILE'!$E$56:$E$75)=0,0,'TO HOP NLAN'!E78*'TS-PILE'!$E$70/SUMSQ('TS-PILE'!$E$56:$E$75))+IF(SUMSQ('TS-PILE'!$D$56:$D$75)=0,0,'TO HOP NLAN'!F78*'TS-PILE'!$D$70/SUMSQ('TS-PILE'!$D$56:$D$75))),IF('TS-PILE'!$B$71="",1E+99,'TO HOP NLAN'!D78/ncoc+IF(SUMSQ('TS-PILE'!$E$56:$E$75)=0,0,'TO HOP NLAN'!E78*'TS-PILE'!$E$71/SUMSQ('TS-PILE'!$E$56:$E$75))+IF(SUMSQ('TS-PILE'!$D$56:$D$75)=0,0,'TO HOP NLAN'!F78*'TS-PILE'!$D$71/SUMSQ('TS-PILE'!$D$56:$D$75))),IF('TS-PILE'!$B$72="",1E+99,'TO HOP NLAN'!D78/ncoc+IF(SUMSQ('TS-PILE'!$E$56:$E$75)=0,0,'TO HOP NLAN'!E78*'TS-PILE'!$E$72/SUMSQ('TS-PILE'!$E$56:$E$75))+IF(SUMSQ('TS-PILE'!$D$56:$D$75)=0,0,'TO HOP NLAN'!F78*'TS-PILE'!$D$72/SUMSQ('TS-PILE'!$D$56:$D$75))),IF('TS-PILE'!$B$73="",1E+99,'TO HOP NLAN'!D78/ncoc+IF(SUMSQ('TS-PILE'!$E$56:$E$75)=0,0,'TO HOP NLAN'!E78*'TS-PILE'!$E$73/SUMSQ('TS-PILE'!$E$56:$E$75))+IF(SUMSQ('TS-PILE'!$D$56:$D$75)=0,0,'TO HOP NLAN'!F78*'TS-PILE'!$D$73/SUMSQ('TS-PILE'!$D$56:$D$75))),IF('TS-PILE'!$B$74="",1E+99,'TO HOP NLAN'!D78/ncoc+IF(SUMSQ('TS-PILE'!$E$56:$E$75)=0,0,'TO HOP NLAN'!E78*'TS-PILE'!$E$74/SUMSQ('TS-PILE'!$E$56:$E$75))+IF(SUMSQ('TS-PILE'!$D$56:$D$75)=0,0,'TO HOP NLAN'!F78*'TS-PILE'!$D$74/SUMSQ('TS-PILE'!$D$56:$D$75))),IF('TS-PILE'!$B$75="",1E+99,'TO HOP NLAN'!D78/ncoc+IF(SUMSQ('TS-PILE'!$E$56:$E$75)=0,0,'TO HOP NLAN'!E78*'TS-PILE'!$E$75/SUMSQ('TS-PILE'!$E$56:$E$75))+IF(SUMSQ('TS-PILE'!$D$56:$D$75)=0,0,'TO HOP NLAN'!F78*'TS-PILE'!$D$75/SUMSQ('TS-PILE'!$D$56:$D$75)))))</f>
        <v>0</v>
      </c>
      <c r="E78" s="46">
        <f t="shared" si="4"/>
        <v>-9.9999999999999997E+98</v>
      </c>
      <c r="F78" s="46">
        <f t="shared" si="5"/>
        <v>9.9999999999999997E+98</v>
      </c>
      <c r="G78" s="46">
        <f t="shared" si="6"/>
        <v>-9.9999999999999997E+98</v>
      </c>
      <c r="H78" s="46">
        <f t="shared" si="7"/>
        <v>9.9999999999999997E+98</v>
      </c>
    </row>
    <row r="79" spans="1:8" x14ac:dyDescent="0.3">
      <c r="A79" s="40" t="str">
        <f>'TO HOP NLAN'!A79</f>
        <v/>
      </c>
      <c r="B79" s="40" t="str">
        <f>'TO HOP NLAN'!L79</f>
        <v>STRENGTH</v>
      </c>
      <c r="C79" s="46">
        <f>IF(A79="",0,MAX(IF('TS-PILE'!$B$56="",-1E+99,'TO HOP NLAN'!D79/ncoc+IF(SUMSQ('TS-PILE'!$E$56:$E$75)=0,0,'TO HOP NLAN'!E79*'TS-PILE'!$E$56/SUMSQ('TS-PILE'!$E$56:$E$75))+IF(SUMSQ('TS-PILE'!$D$56:$D$75)=0,0,'TO HOP NLAN'!F79*'TS-PILE'!$D$56/SUMSQ('TS-PILE'!$D$56:$D$75))),IF('TS-PILE'!$B$57="",-1E+99,'TO HOP NLAN'!D79/ncoc+IF(SUMSQ('TS-PILE'!$E$56:$E$75)=0,0,'TO HOP NLAN'!E79*'TS-PILE'!$E$57/SUMSQ('TS-PILE'!$E$56:$E$75))+IF(SUMSQ('TS-PILE'!$D$56:$D$75)=0,0,'TO HOP NLAN'!F79*'TS-PILE'!$D$57/SUMSQ('TS-PILE'!$D$56:$D$75))),IF('TS-PILE'!$B$58="",-1E+99,'TO HOP NLAN'!D79/ncoc+IF(SUMSQ('TS-PILE'!$E$56:$E$75)=0,0,'TO HOP NLAN'!E79*'TS-PILE'!$E$58/SUMSQ('TS-PILE'!$E$56:$E$75))+IF(SUMSQ('TS-PILE'!$D$56:$D$75)=0,0,'TO HOP NLAN'!F79*'TS-PILE'!$D$58/SUMSQ('TS-PILE'!$D$56:$D$75))),IF('TS-PILE'!$B$59="",-1E+99,'TO HOP NLAN'!D79/ncoc+IF(SUMSQ('TS-PILE'!$E$56:$E$75)=0,0,'TO HOP NLAN'!E79*'TS-PILE'!$E$59/SUMSQ('TS-PILE'!$E$56:$E$75))+IF(SUMSQ('TS-PILE'!$D$56:$D$75)=0,0,'TO HOP NLAN'!F79*'TS-PILE'!$D$59/SUMSQ('TS-PILE'!$D$56:$D$75))),IF('TS-PILE'!$B$60="",-1E+99,'TO HOP NLAN'!D79/ncoc+IF(SUMSQ('TS-PILE'!$E$56:$E$75)=0,0,'TO HOP NLAN'!E79*'TS-PILE'!$E$60/SUMSQ('TS-PILE'!$E$56:$E$75))+IF(SUMSQ('TS-PILE'!$D$56:$D$75)=0,0,'TO HOP NLAN'!F79*'TS-PILE'!$D$60/SUMSQ('TS-PILE'!$D$56:$D$75))),IF('TS-PILE'!$B$61="",-1E+99,'TO HOP NLAN'!D79/ncoc+IF(SUMSQ('TS-PILE'!$E$56:$E$75)=0,0,'TO HOP NLAN'!E79*'TS-PILE'!$E$61/SUMSQ('TS-PILE'!$E$56:$E$75))+IF(SUMSQ('TS-PILE'!$D$56:$D$75)=0,0,'TO HOP NLAN'!F79*'TS-PILE'!$D$61/SUMSQ('TS-PILE'!$D$56:$D$75))),IF('TS-PILE'!$B$62="",-1E+99,'TO HOP NLAN'!D79/ncoc+IF(SUMSQ('TS-PILE'!$E$56:$E$75)=0,0,'TO HOP NLAN'!E79*'TS-PILE'!$E$62/SUMSQ('TS-PILE'!$E$56:$E$75))+IF(SUMSQ('TS-PILE'!$D$56:$D$75)=0,0,'TO HOP NLAN'!F79*'TS-PILE'!$D$62/SUMSQ('TS-PILE'!$D$56:$D$75))),IF('TS-PILE'!$B$63="",-1E+99,'TO HOP NLAN'!D79/ncoc+IF(SUMSQ('TS-PILE'!$E$56:$E$75)=0,0,'TO HOP NLAN'!E79*'TS-PILE'!$E$63/SUMSQ('TS-PILE'!$E$56:$E$75))+IF(SUMSQ('TS-PILE'!$D$56:$D$75)=0,0,'TO HOP NLAN'!F79*'TS-PILE'!$D$63/SUMSQ('TS-PILE'!$D$56:$D$75))),IF('TS-PILE'!$B$64="",-1E+99,'TO HOP NLAN'!D79/ncoc+IF(SUMSQ('TS-PILE'!$E$56:$E$75)=0,0,'TO HOP NLAN'!E79*'TS-PILE'!$E$64/SUMSQ('TS-PILE'!$E$56:$E$75))+IF(SUMSQ('TS-PILE'!$D$56:$D$75)=0,0,'TO HOP NLAN'!F79*'TS-PILE'!$D$64/SUMSQ('TS-PILE'!$D$56:$D$75))),IF('TS-PILE'!$B$65="",-1E+99,'TO HOP NLAN'!D79/ncoc+IF(SUMSQ('TS-PILE'!$E$56:$E$75)=0,0,'TO HOP NLAN'!E79*'TS-PILE'!$E$65/SUMSQ('TS-PILE'!$E$56:$E$75))+IF(SUMSQ('TS-PILE'!$D$56:$D$75)=0,0,'TO HOP NLAN'!F79*'TS-PILE'!$D$65/SUMSQ('TS-PILE'!$D$56:$D$75))),IF('TS-PILE'!$B$66="",-1E+99,'TO HOP NLAN'!D79/ncoc+IF(SUMSQ('TS-PILE'!$E$56:$E$75)=0,0,'TO HOP NLAN'!E79*'TS-PILE'!$E$66/SUMSQ('TS-PILE'!$E$56:$E$75))+IF(SUMSQ('TS-PILE'!$D$56:$D$75)=0,0,'TO HOP NLAN'!F79*'TS-PILE'!$D$66/SUMSQ('TS-PILE'!$D$56:$D$75))),IF('TS-PILE'!$B$67="",-1E+99,'TO HOP NLAN'!D79/ncoc+IF(SUMSQ('TS-PILE'!$E$56:$E$75)=0,0,'TO HOP NLAN'!E79*'TS-PILE'!$E$67/SUMSQ('TS-PILE'!$E$56:$E$75))+IF(SUMSQ('TS-PILE'!$D$56:$D$75)=0,0,'TO HOP NLAN'!F79*'TS-PILE'!$D$67/SUMSQ('TS-PILE'!$D$56:$D$75))),IF('TS-PILE'!$B$68="",-1E+99,'TO HOP NLAN'!D79/ncoc+IF(SUMSQ('TS-PILE'!$E$56:$E$75)=0,0,'TO HOP NLAN'!E79*'TS-PILE'!$E$68/SUMSQ('TS-PILE'!$E$56:$E$75))+IF(SUMSQ('TS-PILE'!$D$56:$D$75)=0,0,'TO HOP NLAN'!F79*'TS-PILE'!$D$68/SUMSQ('TS-PILE'!$D$56:$D$75))),IF('TS-PILE'!$B$69="",-1E+99,'TO HOP NLAN'!D79/ncoc+IF(SUMSQ('TS-PILE'!$E$56:$E$75)=0,0,'TO HOP NLAN'!E79*'TS-PILE'!$E$69/SUMSQ('TS-PILE'!$E$56:$E$75))+IF(SUMSQ('TS-PILE'!$D$56:$D$75)=0,0,'TO HOP NLAN'!F79*'TS-PILE'!$D$69/SUMSQ('TS-PILE'!$D$56:$D$75))),IF('TS-PILE'!$B$70="",-1E+99,'TO HOP NLAN'!D79/ncoc+IF(SUMSQ('TS-PILE'!$E$56:$E$75)=0,0,'TO HOP NLAN'!E79*'TS-PILE'!$E$70/SUMSQ('TS-PILE'!$E$56:$E$75))+IF(SUMSQ('TS-PILE'!$D$56:$D$75)=0,0,'TO HOP NLAN'!F79*'TS-PILE'!$D$70/SUMSQ('TS-PILE'!$D$56:$D$75))),IF('TS-PILE'!$B$71="",-1E+99,'TO HOP NLAN'!D79/ncoc+IF(SUMSQ('TS-PILE'!$E$56:$E$75)=0,0,'TO HOP NLAN'!E79*'TS-PILE'!$E$71/SUMSQ('TS-PILE'!$E$56:$E$75))+IF(SUMSQ('TS-PILE'!$D$56:$D$75)=0,0,'TO HOP NLAN'!F79*'TS-PILE'!$D$71/SUMSQ('TS-PILE'!$D$56:$D$75))),IF('TS-PILE'!$B$72="",-1E+99,'TO HOP NLAN'!D79/ncoc+IF(SUMSQ('TS-PILE'!$E$56:$E$75)=0,0,'TO HOP NLAN'!E79*'TS-PILE'!$E$72/SUMSQ('TS-PILE'!$E$56:$E$75))+IF(SUMSQ('TS-PILE'!$D$56:$D$75)=0,0,'TO HOP NLAN'!F79*'TS-PILE'!$D$72/SUMSQ('TS-PILE'!$D$56:$D$75))),IF('TS-PILE'!$B$73="",-1E+99,'TO HOP NLAN'!D79/ncoc+IF(SUMSQ('TS-PILE'!$E$56:$E$75)=0,0,'TO HOP NLAN'!E79*'TS-PILE'!$E$73/SUMSQ('TS-PILE'!$E$56:$E$75))+IF(SUMSQ('TS-PILE'!$D$56:$D$75)=0,0,'TO HOP NLAN'!F79*'TS-PILE'!$D$73/SUMSQ('TS-PILE'!$D$56:$D$75))),IF('TS-PILE'!$B$74="",-1E+99,'TO HOP NLAN'!D79/ncoc+IF(SUMSQ('TS-PILE'!$E$56:$E$75)=0,0,'TO HOP NLAN'!E79*'TS-PILE'!$E$74/SUMSQ('TS-PILE'!$E$56:$E$75))+IF(SUMSQ('TS-PILE'!$D$56:$D$75)=0,0,'TO HOP NLAN'!F79*'TS-PILE'!$D$74/SUMSQ('TS-PILE'!$D$56:$D$75))),IF('TS-PILE'!$B$75="",-1E+99,'TO HOP NLAN'!D79/ncoc+IF(SUMSQ('TS-PILE'!$E$56:$E$75)=0,0,'TO HOP NLAN'!E79*'TS-PILE'!$E$75/SUMSQ('TS-PILE'!$E$56:$E$75))+IF(SUMSQ('TS-PILE'!$D$56:$D$75)=0,0,'TO HOP NLAN'!F79*'TS-PILE'!$D$75/SUMSQ('TS-PILE'!$D$56:$D$75)))))</f>
        <v>0</v>
      </c>
      <c r="D79" s="46">
        <f>IF(A79="",0,MIN(IF('TS-PILE'!$B$56="",1E+99,'TO HOP NLAN'!D79/ncoc+IF(SUMSQ('TS-PILE'!$E$56:$E$75)=0,0,'TO HOP NLAN'!E79*'TS-PILE'!$E$56/SUMSQ('TS-PILE'!$E$56:$E$75))+IF(SUMSQ('TS-PILE'!$D$56:$D$75)=0,0,'TO HOP NLAN'!F79*'TS-PILE'!$D$56/SUMSQ('TS-PILE'!$D$56:$D$75))),IF('TS-PILE'!$B$57="",1E+99,'TO HOP NLAN'!D79/ncoc+IF(SUMSQ('TS-PILE'!$E$56:$E$75)=0,0,'TO HOP NLAN'!E79*'TS-PILE'!$E$57/SUMSQ('TS-PILE'!$E$56:$E$75))+IF(SUMSQ('TS-PILE'!$D$56:$D$75)=0,0,'TO HOP NLAN'!F79*'TS-PILE'!$D$57/SUMSQ('TS-PILE'!$D$56:$D$75))),IF('TS-PILE'!$B$58="",1E+99,'TO HOP NLAN'!D79/ncoc+IF(SUMSQ('TS-PILE'!$E$56:$E$75)=0,0,'TO HOP NLAN'!E79*'TS-PILE'!$E$58/SUMSQ('TS-PILE'!$E$56:$E$75))+IF(SUMSQ('TS-PILE'!$D$56:$D$75)=0,0,'TO HOP NLAN'!F79*'TS-PILE'!$D$58/SUMSQ('TS-PILE'!$D$56:$D$75))),IF('TS-PILE'!$B$59="",1E+99,'TO HOP NLAN'!D79/ncoc+IF(SUMSQ('TS-PILE'!$E$56:$E$75)=0,0,'TO HOP NLAN'!E79*'TS-PILE'!$E$59/SUMSQ('TS-PILE'!$E$56:$E$75))+IF(SUMSQ('TS-PILE'!$D$56:$D$75)=0,0,'TO HOP NLAN'!F79*'TS-PILE'!$D$59/SUMSQ('TS-PILE'!$D$56:$D$75))),IF('TS-PILE'!$B$60="",1E+99,'TO HOP NLAN'!D79/ncoc+IF(SUMSQ('TS-PILE'!$E$56:$E$75)=0,0,'TO HOP NLAN'!E79*'TS-PILE'!$E$60/SUMSQ('TS-PILE'!$E$56:$E$75))+IF(SUMSQ('TS-PILE'!$D$56:$D$75)=0,0,'TO HOP NLAN'!F79*'TS-PILE'!$D$60/SUMSQ('TS-PILE'!$D$56:$D$75))),IF('TS-PILE'!$B$61="",1E+99,'TO HOP NLAN'!D79/ncoc+IF(SUMSQ('TS-PILE'!$E$56:$E$75)=0,0,'TO HOP NLAN'!E79*'TS-PILE'!$E$61/SUMSQ('TS-PILE'!$E$56:$E$75))+IF(SUMSQ('TS-PILE'!$D$56:$D$75)=0,0,'TO HOP NLAN'!F79*'TS-PILE'!$D$61/SUMSQ('TS-PILE'!$D$56:$D$75))),IF('TS-PILE'!$B$62="",1E+99,'TO HOP NLAN'!D79/ncoc+IF(SUMSQ('TS-PILE'!$E$56:$E$75)=0,0,'TO HOP NLAN'!E79*'TS-PILE'!$E$62/SUMSQ('TS-PILE'!$E$56:$E$75))+IF(SUMSQ('TS-PILE'!$D$56:$D$75)=0,0,'TO HOP NLAN'!F79*'TS-PILE'!$D$62/SUMSQ('TS-PILE'!$D$56:$D$75))),IF('TS-PILE'!$B$63="",1E+99,'TO HOP NLAN'!D79/ncoc+IF(SUMSQ('TS-PILE'!$E$56:$E$75)=0,0,'TO HOP NLAN'!E79*'TS-PILE'!$E$63/SUMSQ('TS-PILE'!$E$56:$E$75))+IF(SUMSQ('TS-PILE'!$D$56:$D$75)=0,0,'TO HOP NLAN'!F79*'TS-PILE'!$D$63/SUMSQ('TS-PILE'!$D$56:$D$75))),IF('TS-PILE'!$B$64="",1E+99,'TO HOP NLAN'!D79/ncoc+IF(SUMSQ('TS-PILE'!$E$56:$E$75)=0,0,'TO HOP NLAN'!E79*'TS-PILE'!$E$64/SUMSQ('TS-PILE'!$E$56:$E$75))+IF(SUMSQ('TS-PILE'!$D$56:$D$75)=0,0,'TO HOP NLAN'!F79*'TS-PILE'!$D$64/SUMSQ('TS-PILE'!$D$56:$D$75))),IF('TS-PILE'!$B$65="",1E+99,'TO HOP NLAN'!D79/ncoc+IF(SUMSQ('TS-PILE'!$E$56:$E$75)=0,0,'TO HOP NLAN'!E79*'TS-PILE'!$E$65/SUMSQ('TS-PILE'!$E$56:$E$75))+IF(SUMSQ('TS-PILE'!$D$56:$D$75)=0,0,'TO HOP NLAN'!F79*'TS-PILE'!$D$65/SUMSQ('TS-PILE'!$D$56:$D$75))),IF('TS-PILE'!$B$66="",1E+99,'TO HOP NLAN'!D79/ncoc+IF(SUMSQ('TS-PILE'!$E$56:$E$75)=0,0,'TO HOP NLAN'!E79*'TS-PILE'!$E$66/SUMSQ('TS-PILE'!$E$56:$E$75))+IF(SUMSQ('TS-PILE'!$D$56:$D$75)=0,0,'TO HOP NLAN'!F79*'TS-PILE'!$D$66/SUMSQ('TS-PILE'!$D$56:$D$75))),IF('TS-PILE'!$B$67="",1E+99,'TO HOP NLAN'!D79/ncoc+IF(SUMSQ('TS-PILE'!$E$56:$E$75)=0,0,'TO HOP NLAN'!E79*'TS-PILE'!$E$67/SUMSQ('TS-PILE'!$E$56:$E$75))+IF(SUMSQ('TS-PILE'!$D$56:$D$75)=0,0,'TO HOP NLAN'!F79*'TS-PILE'!$D$67/SUMSQ('TS-PILE'!$D$56:$D$75))),IF('TS-PILE'!$B$68="",1E+99,'TO HOP NLAN'!D79/ncoc+IF(SUMSQ('TS-PILE'!$E$56:$E$75)=0,0,'TO HOP NLAN'!E79*'TS-PILE'!$E$68/SUMSQ('TS-PILE'!$E$56:$E$75))+IF(SUMSQ('TS-PILE'!$D$56:$D$75)=0,0,'TO HOP NLAN'!F79*'TS-PILE'!$D$68/SUMSQ('TS-PILE'!$D$56:$D$75))),IF('TS-PILE'!$B$69="",1E+99,'TO HOP NLAN'!D79/ncoc+IF(SUMSQ('TS-PILE'!$E$56:$E$75)=0,0,'TO HOP NLAN'!E79*'TS-PILE'!$E$69/SUMSQ('TS-PILE'!$E$56:$E$75))+IF(SUMSQ('TS-PILE'!$D$56:$D$75)=0,0,'TO HOP NLAN'!F79*'TS-PILE'!$D$69/SUMSQ('TS-PILE'!$D$56:$D$75))),IF('TS-PILE'!$B$70="",1E+99,'TO HOP NLAN'!D79/ncoc+IF(SUMSQ('TS-PILE'!$E$56:$E$75)=0,0,'TO HOP NLAN'!E79*'TS-PILE'!$E$70/SUMSQ('TS-PILE'!$E$56:$E$75))+IF(SUMSQ('TS-PILE'!$D$56:$D$75)=0,0,'TO HOP NLAN'!F79*'TS-PILE'!$D$70/SUMSQ('TS-PILE'!$D$56:$D$75))),IF('TS-PILE'!$B$71="",1E+99,'TO HOP NLAN'!D79/ncoc+IF(SUMSQ('TS-PILE'!$E$56:$E$75)=0,0,'TO HOP NLAN'!E79*'TS-PILE'!$E$71/SUMSQ('TS-PILE'!$E$56:$E$75))+IF(SUMSQ('TS-PILE'!$D$56:$D$75)=0,0,'TO HOP NLAN'!F79*'TS-PILE'!$D$71/SUMSQ('TS-PILE'!$D$56:$D$75))),IF('TS-PILE'!$B$72="",1E+99,'TO HOP NLAN'!D79/ncoc+IF(SUMSQ('TS-PILE'!$E$56:$E$75)=0,0,'TO HOP NLAN'!E79*'TS-PILE'!$E$72/SUMSQ('TS-PILE'!$E$56:$E$75))+IF(SUMSQ('TS-PILE'!$D$56:$D$75)=0,0,'TO HOP NLAN'!F79*'TS-PILE'!$D$72/SUMSQ('TS-PILE'!$D$56:$D$75))),IF('TS-PILE'!$B$73="",1E+99,'TO HOP NLAN'!D79/ncoc+IF(SUMSQ('TS-PILE'!$E$56:$E$75)=0,0,'TO HOP NLAN'!E79*'TS-PILE'!$E$73/SUMSQ('TS-PILE'!$E$56:$E$75))+IF(SUMSQ('TS-PILE'!$D$56:$D$75)=0,0,'TO HOP NLAN'!F79*'TS-PILE'!$D$73/SUMSQ('TS-PILE'!$D$56:$D$75))),IF('TS-PILE'!$B$74="",1E+99,'TO HOP NLAN'!D79/ncoc+IF(SUMSQ('TS-PILE'!$E$56:$E$75)=0,0,'TO HOP NLAN'!E79*'TS-PILE'!$E$74/SUMSQ('TS-PILE'!$E$56:$E$75))+IF(SUMSQ('TS-PILE'!$D$56:$D$75)=0,0,'TO HOP NLAN'!F79*'TS-PILE'!$D$74/SUMSQ('TS-PILE'!$D$56:$D$75))),IF('TS-PILE'!$B$75="",1E+99,'TO HOP NLAN'!D79/ncoc+IF(SUMSQ('TS-PILE'!$E$56:$E$75)=0,0,'TO HOP NLAN'!E79*'TS-PILE'!$E$75/SUMSQ('TS-PILE'!$E$56:$E$75))+IF(SUMSQ('TS-PILE'!$D$56:$D$75)=0,0,'TO HOP NLAN'!F79*'TS-PILE'!$D$75/SUMSQ('TS-PILE'!$D$56:$D$75)))))</f>
        <v>0</v>
      </c>
      <c r="E79" s="46">
        <f t="shared" si="4"/>
        <v>-9.9999999999999997E+98</v>
      </c>
      <c r="F79" s="46">
        <f t="shared" si="5"/>
        <v>9.9999999999999997E+98</v>
      </c>
      <c r="G79" s="46">
        <f t="shared" si="6"/>
        <v>-9.9999999999999997E+98</v>
      </c>
      <c r="H79" s="46">
        <f t="shared" si="7"/>
        <v>9.9999999999999997E+98</v>
      </c>
    </row>
    <row r="80" spans="1:8" x14ac:dyDescent="0.3">
      <c r="A80" s="40" t="str">
        <f>'TO HOP NLAN'!A80</f>
        <v/>
      </c>
      <c r="B80" s="40" t="str">
        <f>'TO HOP NLAN'!L80</f>
        <v>STRENGTH</v>
      </c>
      <c r="C80" s="46">
        <f>IF(A80="",0,MAX(IF('TS-PILE'!$B$56="",-1E+99,'TO HOP NLAN'!D80/ncoc+IF(SUMSQ('TS-PILE'!$E$56:$E$75)=0,0,'TO HOP NLAN'!E80*'TS-PILE'!$E$56/SUMSQ('TS-PILE'!$E$56:$E$75))+IF(SUMSQ('TS-PILE'!$D$56:$D$75)=0,0,'TO HOP NLAN'!F80*'TS-PILE'!$D$56/SUMSQ('TS-PILE'!$D$56:$D$75))),IF('TS-PILE'!$B$57="",-1E+99,'TO HOP NLAN'!D80/ncoc+IF(SUMSQ('TS-PILE'!$E$56:$E$75)=0,0,'TO HOP NLAN'!E80*'TS-PILE'!$E$57/SUMSQ('TS-PILE'!$E$56:$E$75))+IF(SUMSQ('TS-PILE'!$D$56:$D$75)=0,0,'TO HOP NLAN'!F80*'TS-PILE'!$D$57/SUMSQ('TS-PILE'!$D$56:$D$75))),IF('TS-PILE'!$B$58="",-1E+99,'TO HOP NLAN'!D80/ncoc+IF(SUMSQ('TS-PILE'!$E$56:$E$75)=0,0,'TO HOP NLAN'!E80*'TS-PILE'!$E$58/SUMSQ('TS-PILE'!$E$56:$E$75))+IF(SUMSQ('TS-PILE'!$D$56:$D$75)=0,0,'TO HOP NLAN'!F80*'TS-PILE'!$D$58/SUMSQ('TS-PILE'!$D$56:$D$75))),IF('TS-PILE'!$B$59="",-1E+99,'TO HOP NLAN'!D80/ncoc+IF(SUMSQ('TS-PILE'!$E$56:$E$75)=0,0,'TO HOP NLAN'!E80*'TS-PILE'!$E$59/SUMSQ('TS-PILE'!$E$56:$E$75))+IF(SUMSQ('TS-PILE'!$D$56:$D$75)=0,0,'TO HOP NLAN'!F80*'TS-PILE'!$D$59/SUMSQ('TS-PILE'!$D$56:$D$75))),IF('TS-PILE'!$B$60="",-1E+99,'TO HOP NLAN'!D80/ncoc+IF(SUMSQ('TS-PILE'!$E$56:$E$75)=0,0,'TO HOP NLAN'!E80*'TS-PILE'!$E$60/SUMSQ('TS-PILE'!$E$56:$E$75))+IF(SUMSQ('TS-PILE'!$D$56:$D$75)=0,0,'TO HOP NLAN'!F80*'TS-PILE'!$D$60/SUMSQ('TS-PILE'!$D$56:$D$75))),IF('TS-PILE'!$B$61="",-1E+99,'TO HOP NLAN'!D80/ncoc+IF(SUMSQ('TS-PILE'!$E$56:$E$75)=0,0,'TO HOP NLAN'!E80*'TS-PILE'!$E$61/SUMSQ('TS-PILE'!$E$56:$E$75))+IF(SUMSQ('TS-PILE'!$D$56:$D$75)=0,0,'TO HOP NLAN'!F80*'TS-PILE'!$D$61/SUMSQ('TS-PILE'!$D$56:$D$75))),IF('TS-PILE'!$B$62="",-1E+99,'TO HOP NLAN'!D80/ncoc+IF(SUMSQ('TS-PILE'!$E$56:$E$75)=0,0,'TO HOP NLAN'!E80*'TS-PILE'!$E$62/SUMSQ('TS-PILE'!$E$56:$E$75))+IF(SUMSQ('TS-PILE'!$D$56:$D$75)=0,0,'TO HOP NLAN'!F80*'TS-PILE'!$D$62/SUMSQ('TS-PILE'!$D$56:$D$75))),IF('TS-PILE'!$B$63="",-1E+99,'TO HOP NLAN'!D80/ncoc+IF(SUMSQ('TS-PILE'!$E$56:$E$75)=0,0,'TO HOP NLAN'!E80*'TS-PILE'!$E$63/SUMSQ('TS-PILE'!$E$56:$E$75))+IF(SUMSQ('TS-PILE'!$D$56:$D$75)=0,0,'TO HOP NLAN'!F80*'TS-PILE'!$D$63/SUMSQ('TS-PILE'!$D$56:$D$75))),IF('TS-PILE'!$B$64="",-1E+99,'TO HOP NLAN'!D80/ncoc+IF(SUMSQ('TS-PILE'!$E$56:$E$75)=0,0,'TO HOP NLAN'!E80*'TS-PILE'!$E$64/SUMSQ('TS-PILE'!$E$56:$E$75))+IF(SUMSQ('TS-PILE'!$D$56:$D$75)=0,0,'TO HOP NLAN'!F80*'TS-PILE'!$D$64/SUMSQ('TS-PILE'!$D$56:$D$75))),IF('TS-PILE'!$B$65="",-1E+99,'TO HOP NLAN'!D80/ncoc+IF(SUMSQ('TS-PILE'!$E$56:$E$75)=0,0,'TO HOP NLAN'!E80*'TS-PILE'!$E$65/SUMSQ('TS-PILE'!$E$56:$E$75))+IF(SUMSQ('TS-PILE'!$D$56:$D$75)=0,0,'TO HOP NLAN'!F80*'TS-PILE'!$D$65/SUMSQ('TS-PILE'!$D$56:$D$75))),IF('TS-PILE'!$B$66="",-1E+99,'TO HOP NLAN'!D80/ncoc+IF(SUMSQ('TS-PILE'!$E$56:$E$75)=0,0,'TO HOP NLAN'!E80*'TS-PILE'!$E$66/SUMSQ('TS-PILE'!$E$56:$E$75))+IF(SUMSQ('TS-PILE'!$D$56:$D$75)=0,0,'TO HOP NLAN'!F80*'TS-PILE'!$D$66/SUMSQ('TS-PILE'!$D$56:$D$75))),IF('TS-PILE'!$B$67="",-1E+99,'TO HOP NLAN'!D80/ncoc+IF(SUMSQ('TS-PILE'!$E$56:$E$75)=0,0,'TO HOP NLAN'!E80*'TS-PILE'!$E$67/SUMSQ('TS-PILE'!$E$56:$E$75))+IF(SUMSQ('TS-PILE'!$D$56:$D$75)=0,0,'TO HOP NLAN'!F80*'TS-PILE'!$D$67/SUMSQ('TS-PILE'!$D$56:$D$75))),IF('TS-PILE'!$B$68="",-1E+99,'TO HOP NLAN'!D80/ncoc+IF(SUMSQ('TS-PILE'!$E$56:$E$75)=0,0,'TO HOP NLAN'!E80*'TS-PILE'!$E$68/SUMSQ('TS-PILE'!$E$56:$E$75))+IF(SUMSQ('TS-PILE'!$D$56:$D$75)=0,0,'TO HOP NLAN'!F80*'TS-PILE'!$D$68/SUMSQ('TS-PILE'!$D$56:$D$75))),IF('TS-PILE'!$B$69="",-1E+99,'TO HOP NLAN'!D80/ncoc+IF(SUMSQ('TS-PILE'!$E$56:$E$75)=0,0,'TO HOP NLAN'!E80*'TS-PILE'!$E$69/SUMSQ('TS-PILE'!$E$56:$E$75))+IF(SUMSQ('TS-PILE'!$D$56:$D$75)=0,0,'TO HOP NLAN'!F80*'TS-PILE'!$D$69/SUMSQ('TS-PILE'!$D$56:$D$75))),IF('TS-PILE'!$B$70="",-1E+99,'TO HOP NLAN'!D80/ncoc+IF(SUMSQ('TS-PILE'!$E$56:$E$75)=0,0,'TO HOP NLAN'!E80*'TS-PILE'!$E$70/SUMSQ('TS-PILE'!$E$56:$E$75))+IF(SUMSQ('TS-PILE'!$D$56:$D$75)=0,0,'TO HOP NLAN'!F80*'TS-PILE'!$D$70/SUMSQ('TS-PILE'!$D$56:$D$75))),IF('TS-PILE'!$B$71="",-1E+99,'TO HOP NLAN'!D80/ncoc+IF(SUMSQ('TS-PILE'!$E$56:$E$75)=0,0,'TO HOP NLAN'!E80*'TS-PILE'!$E$71/SUMSQ('TS-PILE'!$E$56:$E$75))+IF(SUMSQ('TS-PILE'!$D$56:$D$75)=0,0,'TO HOP NLAN'!F80*'TS-PILE'!$D$71/SUMSQ('TS-PILE'!$D$56:$D$75))),IF('TS-PILE'!$B$72="",-1E+99,'TO HOP NLAN'!D80/ncoc+IF(SUMSQ('TS-PILE'!$E$56:$E$75)=0,0,'TO HOP NLAN'!E80*'TS-PILE'!$E$72/SUMSQ('TS-PILE'!$E$56:$E$75))+IF(SUMSQ('TS-PILE'!$D$56:$D$75)=0,0,'TO HOP NLAN'!F80*'TS-PILE'!$D$72/SUMSQ('TS-PILE'!$D$56:$D$75))),IF('TS-PILE'!$B$73="",-1E+99,'TO HOP NLAN'!D80/ncoc+IF(SUMSQ('TS-PILE'!$E$56:$E$75)=0,0,'TO HOP NLAN'!E80*'TS-PILE'!$E$73/SUMSQ('TS-PILE'!$E$56:$E$75))+IF(SUMSQ('TS-PILE'!$D$56:$D$75)=0,0,'TO HOP NLAN'!F80*'TS-PILE'!$D$73/SUMSQ('TS-PILE'!$D$56:$D$75))),IF('TS-PILE'!$B$74="",-1E+99,'TO HOP NLAN'!D80/ncoc+IF(SUMSQ('TS-PILE'!$E$56:$E$75)=0,0,'TO HOP NLAN'!E80*'TS-PILE'!$E$74/SUMSQ('TS-PILE'!$E$56:$E$75))+IF(SUMSQ('TS-PILE'!$D$56:$D$75)=0,0,'TO HOP NLAN'!F80*'TS-PILE'!$D$74/SUMSQ('TS-PILE'!$D$56:$D$75))),IF('TS-PILE'!$B$75="",-1E+99,'TO HOP NLAN'!D80/ncoc+IF(SUMSQ('TS-PILE'!$E$56:$E$75)=0,0,'TO HOP NLAN'!E80*'TS-PILE'!$E$75/SUMSQ('TS-PILE'!$E$56:$E$75))+IF(SUMSQ('TS-PILE'!$D$56:$D$75)=0,0,'TO HOP NLAN'!F80*'TS-PILE'!$D$75/SUMSQ('TS-PILE'!$D$56:$D$75)))))</f>
        <v>0</v>
      </c>
      <c r="D80" s="46">
        <f>IF(A80="",0,MIN(IF('TS-PILE'!$B$56="",1E+99,'TO HOP NLAN'!D80/ncoc+IF(SUMSQ('TS-PILE'!$E$56:$E$75)=0,0,'TO HOP NLAN'!E80*'TS-PILE'!$E$56/SUMSQ('TS-PILE'!$E$56:$E$75))+IF(SUMSQ('TS-PILE'!$D$56:$D$75)=0,0,'TO HOP NLAN'!F80*'TS-PILE'!$D$56/SUMSQ('TS-PILE'!$D$56:$D$75))),IF('TS-PILE'!$B$57="",1E+99,'TO HOP NLAN'!D80/ncoc+IF(SUMSQ('TS-PILE'!$E$56:$E$75)=0,0,'TO HOP NLAN'!E80*'TS-PILE'!$E$57/SUMSQ('TS-PILE'!$E$56:$E$75))+IF(SUMSQ('TS-PILE'!$D$56:$D$75)=0,0,'TO HOP NLAN'!F80*'TS-PILE'!$D$57/SUMSQ('TS-PILE'!$D$56:$D$75))),IF('TS-PILE'!$B$58="",1E+99,'TO HOP NLAN'!D80/ncoc+IF(SUMSQ('TS-PILE'!$E$56:$E$75)=0,0,'TO HOP NLAN'!E80*'TS-PILE'!$E$58/SUMSQ('TS-PILE'!$E$56:$E$75))+IF(SUMSQ('TS-PILE'!$D$56:$D$75)=0,0,'TO HOP NLAN'!F80*'TS-PILE'!$D$58/SUMSQ('TS-PILE'!$D$56:$D$75))),IF('TS-PILE'!$B$59="",1E+99,'TO HOP NLAN'!D80/ncoc+IF(SUMSQ('TS-PILE'!$E$56:$E$75)=0,0,'TO HOP NLAN'!E80*'TS-PILE'!$E$59/SUMSQ('TS-PILE'!$E$56:$E$75))+IF(SUMSQ('TS-PILE'!$D$56:$D$75)=0,0,'TO HOP NLAN'!F80*'TS-PILE'!$D$59/SUMSQ('TS-PILE'!$D$56:$D$75))),IF('TS-PILE'!$B$60="",1E+99,'TO HOP NLAN'!D80/ncoc+IF(SUMSQ('TS-PILE'!$E$56:$E$75)=0,0,'TO HOP NLAN'!E80*'TS-PILE'!$E$60/SUMSQ('TS-PILE'!$E$56:$E$75))+IF(SUMSQ('TS-PILE'!$D$56:$D$75)=0,0,'TO HOP NLAN'!F80*'TS-PILE'!$D$60/SUMSQ('TS-PILE'!$D$56:$D$75))),IF('TS-PILE'!$B$61="",1E+99,'TO HOP NLAN'!D80/ncoc+IF(SUMSQ('TS-PILE'!$E$56:$E$75)=0,0,'TO HOP NLAN'!E80*'TS-PILE'!$E$61/SUMSQ('TS-PILE'!$E$56:$E$75))+IF(SUMSQ('TS-PILE'!$D$56:$D$75)=0,0,'TO HOP NLAN'!F80*'TS-PILE'!$D$61/SUMSQ('TS-PILE'!$D$56:$D$75))),IF('TS-PILE'!$B$62="",1E+99,'TO HOP NLAN'!D80/ncoc+IF(SUMSQ('TS-PILE'!$E$56:$E$75)=0,0,'TO HOP NLAN'!E80*'TS-PILE'!$E$62/SUMSQ('TS-PILE'!$E$56:$E$75))+IF(SUMSQ('TS-PILE'!$D$56:$D$75)=0,0,'TO HOP NLAN'!F80*'TS-PILE'!$D$62/SUMSQ('TS-PILE'!$D$56:$D$75))),IF('TS-PILE'!$B$63="",1E+99,'TO HOP NLAN'!D80/ncoc+IF(SUMSQ('TS-PILE'!$E$56:$E$75)=0,0,'TO HOP NLAN'!E80*'TS-PILE'!$E$63/SUMSQ('TS-PILE'!$E$56:$E$75))+IF(SUMSQ('TS-PILE'!$D$56:$D$75)=0,0,'TO HOP NLAN'!F80*'TS-PILE'!$D$63/SUMSQ('TS-PILE'!$D$56:$D$75))),IF('TS-PILE'!$B$64="",1E+99,'TO HOP NLAN'!D80/ncoc+IF(SUMSQ('TS-PILE'!$E$56:$E$75)=0,0,'TO HOP NLAN'!E80*'TS-PILE'!$E$64/SUMSQ('TS-PILE'!$E$56:$E$75))+IF(SUMSQ('TS-PILE'!$D$56:$D$75)=0,0,'TO HOP NLAN'!F80*'TS-PILE'!$D$64/SUMSQ('TS-PILE'!$D$56:$D$75))),IF('TS-PILE'!$B$65="",1E+99,'TO HOP NLAN'!D80/ncoc+IF(SUMSQ('TS-PILE'!$E$56:$E$75)=0,0,'TO HOP NLAN'!E80*'TS-PILE'!$E$65/SUMSQ('TS-PILE'!$E$56:$E$75))+IF(SUMSQ('TS-PILE'!$D$56:$D$75)=0,0,'TO HOP NLAN'!F80*'TS-PILE'!$D$65/SUMSQ('TS-PILE'!$D$56:$D$75))),IF('TS-PILE'!$B$66="",1E+99,'TO HOP NLAN'!D80/ncoc+IF(SUMSQ('TS-PILE'!$E$56:$E$75)=0,0,'TO HOP NLAN'!E80*'TS-PILE'!$E$66/SUMSQ('TS-PILE'!$E$56:$E$75))+IF(SUMSQ('TS-PILE'!$D$56:$D$75)=0,0,'TO HOP NLAN'!F80*'TS-PILE'!$D$66/SUMSQ('TS-PILE'!$D$56:$D$75))),IF('TS-PILE'!$B$67="",1E+99,'TO HOP NLAN'!D80/ncoc+IF(SUMSQ('TS-PILE'!$E$56:$E$75)=0,0,'TO HOP NLAN'!E80*'TS-PILE'!$E$67/SUMSQ('TS-PILE'!$E$56:$E$75))+IF(SUMSQ('TS-PILE'!$D$56:$D$75)=0,0,'TO HOP NLAN'!F80*'TS-PILE'!$D$67/SUMSQ('TS-PILE'!$D$56:$D$75))),IF('TS-PILE'!$B$68="",1E+99,'TO HOP NLAN'!D80/ncoc+IF(SUMSQ('TS-PILE'!$E$56:$E$75)=0,0,'TO HOP NLAN'!E80*'TS-PILE'!$E$68/SUMSQ('TS-PILE'!$E$56:$E$75))+IF(SUMSQ('TS-PILE'!$D$56:$D$75)=0,0,'TO HOP NLAN'!F80*'TS-PILE'!$D$68/SUMSQ('TS-PILE'!$D$56:$D$75))),IF('TS-PILE'!$B$69="",1E+99,'TO HOP NLAN'!D80/ncoc+IF(SUMSQ('TS-PILE'!$E$56:$E$75)=0,0,'TO HOP NLAN'!E80*'TS-PILE'!$E$69/SUMSQ('TS-PILE'!$E$56:$E$75))+IF(SUMSQ('TS-PILE'!$D$56:$D$75)=0,0,'TO HOP NLAN'!F80*'TS-PILE'!$D$69/SUMSQ('TS-PILE'!$D$56:$D$75))),IF('TS-PILE'!$B$70="",1E+99,'TO HOP NLAN'!D80/ncoc+IF(SUMSQ('TS-PILE'!$E$56:$E$75)=0,0,'TO HOP NLAN'!E80*'TS-PILE'!$E$70/SUMSQ('TS-PILE'!$E$56:$E$75))+IF(SUMSQ('TS-PILE'!$D$56:$D$75)=0,0,'TO HOP NLAN'!F80*'TS-PILE'!$D$70/SUMSQ('TS-PILE'!$D$56:$D$75))),IF('TS-PILE'!$B$71="",1E+99,'TO HOP NLAN'!D80/ncoc+IF(SUMSQ('TS-PILE'!$E$56:$E$75)=0,0,'TO HOP NLAN'!E80*'TS-PILE'!$E$71/SUMSQ('TS-PILE'!$E$56:$E$75))+IF(SUMSQ('TS-PILE'!$D$56:$D$75)=0,0,'TO HOP NLAN'!F80*'TS-PILE'!$D$71/SUMSQ('TS-PILE'!$D$56:$D$75))),IF('TS-PILE'!$B$72="",1E+99,'TO HOP NLAN'!D80/ncoc+IF(SUMSQ('TS-PILE'!$E$56:$E$75)=0,0,'TO HOP NLAN'!E80*'TS-PILE'!$E$72/SUMSQ('TS-PILE'!$E$56:$E$75))+IF(SUMSQ('TS-PILE'!$D$56:$D$75)=0,0,'TO HOP NLAN'!F80*'TS-PILE'!$D$72/SUMSQ('TS-PILE'!$D$56:$D$75))),IF('TS-PILE'!$B$73="",1E+99,'TO HOP NLAN'!D80/ncoc+IF(SUMSQ('TS-PILE'!$E$56:$E$75)=0,0,'TO HOP NLAN'!E80*'TS-PILE'!$E$73/SUMSQ('TS-PILE'!$E$56:$E$75))+IF(SUMSQ('TS-PILE'!$D$56:$D$75)=0,0,'TO HOP NLAN'!F80*'TS-PILE'!$D$73/SUMSQ('TS-PILE'!$D$56:$D$75))),IF('TS-PILE'!$B$74="",1E+99,'TO HOP NLAN'!D80/ncoc+IF(SUMSQ('TS-PILE'!$E$56:$E$75)=0,0,'TO HOP NLAN'!E80*'TS-PILE'!$E$74/SUMSQ('TS-PILE'!$E$56:$E$75))+IF(SUMSQ('TS-PILE'!$D$56:$D$75)=0,0,'TO HOP NLAN'!F80*'TS-PILE'!$D$74/SUMSQ('TS-PILE'!$D$56:$D$75))),IF('TS-PILE'!$B$75="",1E+99,'TO HOP NLAN'!D80/ncoc+IF(SUMSQ('TS-PILE'!$E$56:$E$75)=0,0,'TO HOP NLAN'!E80*'TS-PILE'!$E$75/SUMSQ('TS-PILE'!$E$56:$E$75))+IF(SUMSQ('TS-PILE'!$D$56:$D$75)=0,0,'TO HOP NLAN'!F80*'TS-PILE'!$D$75/SUMSQ('TS-PILE'!$D$56:$D$75)))))</f>
        <v>0</v>
      </c>
      <c r="E80" s="46">
        <f t="shared" si="4"/>
        <v>-9.9999999999999997E+98</v>
      </c>
      <c r="F80" s="46">
        <f t="shared" si="5"/>
        <v>9.9999999999999997E+98</v>
      </c>
      <c r="G80" s="46">
        <f t="shared" si="6"/>
        <v>-9.9999999999999997E+98</v>
      </c>
      <c r="H80" s="46">
        <f t="shared" si="7"/>
        <v>9.9999999999999997E+98</v>
      </c>
    </row>
    <row r="81" spans="1:8" x14ac:dyDescent="0.3">
      <c r="A81" s="40" t="str">
        <f>'TO HOP NLAN'!A81</f>
        <v/>
      </c>
      <c r="B81" s="40" t="str">
        <f>'TO HOP NLAN'!L81</f>
        <v>STRENGTH</v>
      </c>
      <c r="C81" s="46">
        <f>IF(A81="",0,MAX(IF('TS-PILE'!$B$56="",-1E+99,'TO HOP NLAN'!D81/ncoc+IF(SUMSQ('TS-PILE'!$E$56:$E$75)=0,0,'TO HOP NLAN'!E81*'TS-PILE'!$E$56/SUMSQ('TS-PILE'!$E$56:$E$75))+IF(SUMSQ('TS-PILE'!$D$56:$D$75)=0,0,'TO HOP NLAN'!F81*'TS-PILE'!$D$56/SUMSQ('TS-PILE'!$D$56:$D$75))),IF('TS-PILE'!$B$57="",-1E+99,'TO HOP NLAN'!D81/ncoc+IF(SUMSQ('TS-PILE'!$E$56:$E$75)=0,0,'TO HOP NLAN'!E81*'TS-PILE'!$E$57/SUMSQ('TS-PILE'!$E$56:$E$75))+IF(SUMSQ('TS-PILE'!$D$56:$D$75)=0,0,'TO HOP NLAN'!F81*'TS-PILE'!$D$57/SUMSQ('TS-PILE'!$D$56:$D$75))),IF('TS-PILE'!$B$58="",-1E+99,'TO HOP NLAN'!D81/ncoc+IF(SUMSQ('TS-PILE'!$E$56:$E$75)=0,0,'TO HOP NLAN'!E81*'TS-PILE'!$E$58/SUMSQ('TS-PILE'!$E$56:$E$75))+IF(SUMSQ('TS-PILE'!$D$56:$D$75)=0,0,'TO HOP NLAN'!F81*'TS-PILE'!$D$58/SUMSQ('TS-PILE'!$D$56:$D$75))),IF('TS-PILE'!$B$59="",-1E+99,'TO HOP NLAN'!D81/ncoc+IF(SUMSQ('TS-PILE'!$E$56:$E$75)=0,0,'TO HOP NLAN'!E81*'TS-PILE'!$E$59/SUMSQ('TS-PILE'!$E$56:$E$75))+IF(SUMSQ('TS-PILE'!$D$56:$D$75)=0,0,'TO HOP NLAN'!F81*'TS-PILE'!$D$59/SUMSQ('TS-PILE'!$D$56:$D$75))),IF('TS-PILE'!$B$60="",-1E+99,'TO HOP NLAN'!D81/ncoc+IF(SUMSQ('TS-PILE'!$E$56:$E$75)=0,0,'TO HOP NLAN'!E81*'TS-PILE'!$E$60/SUMSQ('TS-PILE'!$E$56:$E$75))+IF(SUMSQ('TS-PILE'!$D$56:$D$75)=0,0,'TO HOP NLAN'!F81*'TS-PILE'!$D$60/SUMSQ('TS-PILE'!$D$56:$D$75))),IF('TS-PILE'!$B$61="",-1E+99,'TO HOP NLAN'!D81/ncoc+IF(SUMSQ('TS-PILE'!$E$56:$E$75)=0,0,'TO HOP NLAN'!E81*'TS-PILE'!$E$61/SUMSQ('TS-PILE'!$E$56:$E$75))+IF(SUMSQ('TS-PILE'!$D$56:$D$75)=0,0,'TO HOP NLAN'!F81*'TS-PILE'!$D$61/SUMSQ('TS-PILE'!$D$56:$D$75))),IF('TS-PILE'!$B$62="",-1E+99,'TO HOP NLAN'!D81/ncoc+IF(SUMSQ('TS-PILE'!$E$56:$E$75)=0,0,'TO HOP NLAN'!E81*'TS-PILE'!$E$62/SUMSQ('TS-PILE'!$E$56:$E$75))+IF(SUMSQ('TS-PILE'!$D$56:$D$75)=0,0,'TO HOP NLAN'!F81*'TS-PILE'!$D$62/SUMSQ('TS-PILE'!$D$56:$D$75))),IF('TS-PILE'!$B$63="",-1E+99,'TO HOP NLAN'!D81/ncoc+IF(SUMSQ('TS-PILE'!$E$56:$E$75)=0,0,'TO HOP NLAN'!E81*'TS-PILE'!$E$63/SUMSQ('TS-PILE'!$E$56:$E$75))+IF(SUMSQ('TS-PILE'!$D$56:$D$75)=0,0,'TO HOP NLAN'!F81*'TS-PILE'!$D$63/SUMSQ('TS-PILE'!$D$56:$D$75))),IF('TS-PILE'!$B$64="",-1E+99,'TO HOP NLAN'!D81/ncoc+IF(SUMSQ('TS-PILE'!$E$56:$E$75)=0,0,'TO HOP NLAN'!E81*'TS-PILE'!$E$64/SUMSQ('TS-PILE'!$E$56:$E$75))+IF(SUMSQ('TS-PILE'!$D$56:$D$75)=0,0,'TO HOP NLAN'!F81*'TS-PILE'!$D$64/SUMSQ('TS-PILE'!$D$56:$D$75))),IF('TS-PILE'!$B$65="",-1E+99,'TO HOP NLAN'!D81/ncoc+IF(SUMSQ('TS-PILE'!$E$56:$E$75)=0,0,'TO HOP NLAN'!E81*'TS-PILE'!$E$65/SUMSQ('TS-PILE'!$E$56:$E$75))+IF(SUMSQ('TS-PILE'!$D$56:$D$75)=0,0,'TO HOP NLAN'!F81*'TS-PILE'!$D$65/SUMSQ('TS-PILE'!$D$56:$D$75))),IF('TS-PILE'!$B$66="",-1E+99,'TO HOP NLAN'!D81/ncoc+IF(SUMSQ('TS-PILE'!$E$56:$E$75)=0,0,'TO HOP NLAN'!E81*'TS-PILE'!$E$66/SUMSQ('TS-PILE'!$E$56:$E$75))+IF(SUMSQ('TS-PILE'!$D$56:$D$75)=0,0,'TO HOP NLAN'!F81*'TS-PILE'!$D$66/SUMSQ('TS-PILE'!$D$56:$D$75))),IF('TS-PILE'!$B$67="",-1E+99,'TO HOP NLAN'!D81/ncoc+IF(SUMSQ('TS-PILE'!$E$56:$E$75)=0,0,'TO HOP NLAN'!E81*'TS-PILE'!$E$67/SUMSQ('TS-PILE'!$E$56:$E$75))+IF(SUMSQ('TS-PILE'!$D$56:$D$75)=0,0,'TO HOP NLAN'!F81*'TS-PILE'!$D$67/SUMSQ('TS-PILE'!$D$56:$D$75))),IF('TS-PILE'!$B$68="",-1E+99,'TO HOP NLAN'!D81/ncoc+IF(SUMSQ('TS-PILE'!$E$56:$E$75)=0,0,'TO HOP NLAN'!E81*'TS-PILE'!$E$68/SUMSQ('TS-PILE'!$E$56:$E$75))+IF(SUMSQ('TS-PILE'!$D$56:$D$75)=0,0,'TO HOP NLAN'!F81*'TS-PILE'!$D$68/SUMSQ('TS-PILE'!$D$56:$D$75))),IF('TS-PILE'!$B$69="",-1E+99,'TO HOP NLAN'!D81/ncoc+IF(SUMSQ('TS-PILE'!$E$56:$E$75)=0,0,'TO HOP NLAN'!E81*'TS-PILE'!$E$69/SUMSQ('TS-PILE'!$E$56:$E$75))+IF(SUMSQ('TS-PILE'!$D$56:$D$75)=0,0,'TO HOP NLAN'!F81*'TS-PILE'!$D$69/SUMSQ('TS-PILE'!$D$56:$D$75))),IF('TS-PILE'!$B$70="",-1E+99,'TO HOP NLAN'!D81/ncoc+IF(SUMSQ('TS-PILE'!$E$56:$E$75)=0,0,'TO HOP NLAN'!E81*'TS-PILE'!$E$70/SUMSQ('TS-PILE'!$E$56:$E$75))+IF(SUMSQ('TS-PILE'!$D$56:$D$75)=0,0,'TO HOP NLAN'!F81*'TS-PILE'!$D$70/SUMSQ('TS-PILE'!$D$56:$D$75))),IF('TS-PILE'!$B$71="",-1E+99,'TO HOP NLAN'!D81/ncoc+IF(SUMSQ('TS-PILE'!$E$56:$E$75)=0,0,'TO HOP NLAN'!E81*'TS-PILE'!$E$71/SUMSQ('TS-PILE'!$E$56:$E$75))+IF(SUMSQ('TS-PILE'!$D$56:$D$75)=0,0,'TO HOP NLAN'!F81*'TS-PILE'!$D$71/SUMSQ('TS-PILE'!$D$56:$D$75))),IF('TS-PILE'!$B$72="",-1E+99,'TO HOP NLAN'!D81/ncoc+IF(SUMSQ('TS-PILE'!$E$56:$E$75)=0,0,'TO HOP NLAN'!E81*'TS-PILE'!$E$72/SUMSQ('TS-PILE'!$E$56:$E$75))+IF(SUMSQ('TS-PILE'!$D$56:$D$75)=0,0,'TO HOP NLAN'!F81*'TS-PILE'!$D$72/SUMSQ('TS-PILE'!$D$56:$D$75))),IF('TS-PILE'!$B$73="",-1E+99,'TO HOP NLAN'!D81/ncoc+IF(SUMSQ('TS-PILE'!$E$56:$E$75)=0,0,'TO HOP NLAN'!E81*'TS-PILE'!$E$73/SUMSQ('TS-PILE'!$E$56:$E$75))+IF(SUMSQ('TS-PILE'!$D$56:$D$75)=0,0,'TO HOP NLAN'!F81*'TS-PILE'!$D$73/SUMSQ('TS-PILE'!$D$56:$D$75))),IF('TS-PILE'!$B$74="",-1E+99,'TO HOP NLAN'!D81/ncoc+IF(SUMSQ('TS-PILE'!$E$56:$E$75)=0,0,'TO HOP NLAN'!E81*'TS-PILE'!$E$74/SUMSQ('TS-PILE'!$E$56:$E$75))+IF(SUMSQ('TS-PILE'!$D$56:$D$75)=0,0,'TO HOP NLAN'!F81*'TS-PILE'!$D$74/SUMSQ('TS-PILE'!$D$56:$D$75))),IF('TS-PILE'!$B$75="",-1E+99,'TO HOP NLAN'!D81/ncoc+IF(SUMSQ('TS-PILE'!$E$56:$E$75)=0,0,'TO HOP NLAN'!E81*'TS-PILE'!$E$75/SUMSQ('TS-PILE'!$E$56:$E$75))+IF(SUMSQ('TS-PILE'!$D$56:$D$75)=0,0,'TO HOP NLAN'!F81*'TS-PILE'!$D$75/SUMSQ('TS-PILE'!$D$56:$D$75)))))</f>
        <v>0</v>
      </c>
      <c r="D81" s="46">
        <f>IF(A81="",0,MIN(IF('TS-PILE'!$B$56="",1E+99,'TO HOP NLAN'!D81/ncoc+IF(SUMSQ('TS-PILE'!$E$56:$E$75)=0,0,'TO HOP NLAN'!E81*'TS-PILE'!$E$56/SUMSQ('TS-PILE'!$E$56:$E$75))+IF(SUMSQ('TS-PILE'!$D$56:$D$75)=0,0,'TO HOP NLAN'!F81*'TS-PILE'!$D$56/SUMSQ('TS-PILE'!$D$56:$D$75))),IF('TS-PILE'!$B$57="",1E+99,'TO HOP NLAN'!D81/ncoc+IF(SUMSQ('TS-PILE'!$E$56:$E$75)=0,0,'TO HOP NLAN'!E81*'TS-PILE'!$E$57/SUMSQ('TS-PILE'!$E$56:$E$75))+IF(SUMSQ('TS-PILE'!$D$56:$D$75)=0,0,'TO HOP NLAN'!F81*'TS-PILE'!$D$57/SUMSQ('TS-PILE'!$D$56:$D$75))),IF('TS-PILE'!$B$58="",1E+99,'TO HOP NLAN'!D81/ncoc+IF(SUMSQ('TS-PILE'!$E$56:$E$75)=0,0,'TO HOP NLAN'!E81*'TS-PILE'!$E$58/SUMSQ('TS-PILE'!$E$56:$E$75))+IF(SUMSQ('TS-PILE'!$D$56:$D$75)=0,0,'TO HOP NLAN'!F81*'TS-PILE'!$D$58/SUMSQ('TS-PILE'!$D$56:$D$75))),IF('TS-PILE'!$B$59="",1E+99,'TO HOP NLAN'!D81/ncoc+IF(SUMSQ('TS-PILE'!$E$56:$E$75)=0,0,'TO HOP NLAN'!E81*'TS-PILE'!$E$59/SUMSQ('TS-PILE'!$E$56:$E$75))+IF(SUMSQ('TS-PILE'!$D$56:$D$75)=0,0,'TO HOP NLAN'!F81*'TS-PILE'!$D$59/SUMSQ('TS-PILE'!$D$56:$D$75))),IF('TS-PILE'!$B$60="",1E+99,'TO HOP NLAN'!D81/ncoc+IF(SUMSQ('TS-PILE'!$E$56:$E$75)=0,0,'TO HOP NLAN'!E81*'TS-PILE'!$E$60/SUMSQ('TS-PILE'!$E$56:$E$75))+IF(SUMSQ('TS-PILE'!$D$56:$D$75)=0,0,'TO HOP NLAN'!F81*'TS-PILE'!$D$60/SUMSQ('TS-PILE'!$D$56:$D$75))),IF('TS-PILE'!$B$61="",1E+99,'TO HOP NLAN'!D81/ncoc+IF(SUMSQ('TS-PILE'!$E$56:$E$75)=0,0,'TO HOP NLAN'!E81*'TS-PILE'!$E$61/SUMSQ('TS-PILE'!$E$56:$E$75))+IF(SUMSQ('TS-PILE'!$D$56:$D$75)=0,0,'TO HOP NLAN'!F81*'TS-PILE'!$D$61/SUMSQ('TS-PILE'!$D$56:$D$75))),IF('TS-PILE'!$B$62="",1E+99,'TO HOP NLAN'!D81/ncoc+IF(SUMSQ('TS-PILE'!$E$56:$E$75)=0,0,'TO HOP NLAN'!E81*'TS-PILE'!$E$62/SUMSQ('TS-PILE'!$E$56:$E$75))+IF(SUMSQ('TS-PILE'!$D$56:$D$75)=0,0,'TO HOP NLAN'!F81*'TS-PILE'!$D$62/SUMSQ('TS-PILE'!$D$56:$D$75))),IF('TS-PILE'!$B$63="",1E+99,'TO HOP NLAN'!D81/ncoc+IF(SUMSQ('TS-PILE'!$E$56:$E$75)=0,0,'TO HOP NLAN'!E81*'TS-PILE'!$E$63/SUMSQ('TS-PILE'!$E$56:$E$75))+IF(SUMSQ('TS-PILE'!$D$56:$D$75)=0,0,'TO HOP NLAN'!F81*'TS-PILE'!$D$63/SUMSQ('TS-PILE'!$D$56:$D$75))),IF('TS-PILE'!$B$64="",1E+99,'TO HOP NLAN'!D81/ncoc+IF(SUMSQ('TS-PILE'!$E$56:$E$75)=0,0,'TO HOP NLAN'!E81*'TS-PILE'!$E$64/SUMSQ('TS-PILE'!$E$56:$E$75))+IF(SUMSQ('TS-PILE'!$D$56:$D$75)=0,0,'TO HOP NLAN'!F81*'TS-PILE'!$D$64/SUMSQ('TS-PILE'!$D$56:$D$75))),IF('TS-PILE'!$B$65="",1E+99,'TO HOP NLAN'!D81/ncoc+IF(SUMSQ('TS-PILE'!$E$56:$E$75)=0,0,'TO HOP NLAN'!E81*'TS-PILE'!$E$65/SUMSQ('TS-PILE'!$E$56:$E$75))+IF(SUMSQ('TS-PILE'!$D$56:$D$75)=0,0,'TO HOP NLAN'!F81*'TS-PILE'!$D$65/SUMSQ('TS-PILE'!$D$56:$D$75))),IF('TS-PILE'!$B$66="",1E+99,'TO HOP NLAN'!D81/ncoc+IF(SUMSQ('TS-PILE'!$E$56:$E$75)=0,0,'TO HOP NLAN'!E81*'TS-PILE'!$E$66/SUMSQ('TS-PILE'!$E$56:$E$75))+IF(SUMSQ('TS-PILE'!$D$56:$D$75)=0,0,'TO HOP NLAN'!F81*'TS-PILE'!$D$66/SUMSQ('TS-PILE'!$D$56:$D$75))),IF('TS-PILE'!$B$67="",1E+99,'TO HOP NLAN'!D81/ncoc+IF(SUMSQ('TS-PILE'!$E$56:$E$75)=0,0,'TO HOP NLAN'!E81*'TS-PILE'!$E$67/SUMSQ('TS-PILE'!$E$56:$E$75))+IF(SUMSQ('TS-PILE'!$D$56:$D$75)=0,0,'TO HOP NLAN'!F81*'TS-PILE'!$D$67/SUMSQ('TS-PILE'!$D$56:$D$75))),IF('TS-PILE'!$B$68="",1E+99,'TO HOP NLAN'!D81/ncoc+IF(SUMSQ('TS-PILE'!$E$56:$E$75)=0,0,'TO HOP NLAN'!E81*'TS-PILE'!$E$68/SUMSQ('TS-PILE'!$E$56:$E$75))+IF(SUMSQ('TS-PILE'!$D$56:$D$75)=0,0,'TO HOP NLAN'!F81*'TS-PILE'!$D$68/SUMSQ('TS-PILE'!$D$56:$D$75))),IF('TS-PILE'!$B$69="",1E+99,'TO HOP NLAN'!D81/ncoc+IF(SUMSQ('TS-PILE'!$E$56:$E$75)=0,0,'TO HOP NLAN'!E81*'TS-PILE'!$E$69/SUMSQ('TS-PILE'!$E$56:$E$75))+IF(SUMSQ('TS-PILE'!$D$56:$D$75)=0,0,'TO HOP NLAN'!F81*'TS-PILE'!$D$69/SUMSQ('TS-PILE'!$D$56:$D$75))),IF('TS-PILE'!$B$70="",1E+99,'TO HOP NLAN'!D81/ncoc+IF(SUMSQ('TS-PILE'!$E$56:$E$75)=0,0,'TO HOP NLAN'!E81*'TS-PILE'!$E$70/SUMSQ('TS-PILE'!$E$56:$E$75))+IF(SUMSQ('TS-PILE'!$D$56:$D$75)=0,0,'TO HOP NLAN'!F81*'TS-PILE'!$D$70/SUMSQ('TS-PILE'!$D$56:$D$75))),IF('TS-PILE'!$B$71="",1E+99,'TO HOP NLAN'!D81/ncoc+IF(SUMSQ('TS-PILE'!$E$56:$E$75)=0,0,'TO HOP NLAN'!E81*'TS-PILE'!$E$71/SUMSQ('TS-PILE'!$E$56:$E$75))+IF(SUMSQ('TS-PILE'!$D$56:$D$75)=0,0,'TO HOP NLAN'!F81*'TS-PILE'!$D$71/SUMSQ('TS-PILE'!$D$56:$D$75))),IF('TS-PILE'!$B$72="",1E+99,'TO HOP NLAN'!D81/ncoc+IF(SUMSQ('TS-PILE'!$E$56:$E$75)=0,0,'TO HOP NLAN'!E81*'TS-PILE'!$E$72/SUMSQ('TS-PILE'!$E$56:$E$75))+IF(SUMSQ('TS-PILE'!$D$56:$D$75)=0,0,'TO HOP NLAN'!F81*'TS-PILE'!$D$72/SUMSQ('TS-PILE'!$D$56:$D$75))),IF('TS-PILE'!$B$73="",1E+99,'TO HOP NLAN'!D81/ncoc+IF(SUMSQ('TS-PILE'!$E$56:$E$75)=0,0,'TO HOP NLAN'!E81*'TS-PILE'!$E$73/SUMSQ('TS-PILE'!$E$56:$E$75))+IF(SUMSQ('TS-PILE'!$D$56:$D$75)=0,0,'TO HOP NLAN'!F81*'TS-PILE'!$D$73/SUMSQ('TS-PILE'!$D$56:$D$75))),IF('TS-PILE'!$B$74="",1E+99,'TO HOP NLAN'!D81/ncoc+IF(SUMSQ('TS-PILE'!$E$56:$E$75)=0,0,'TO HOP NLAN'!E81*'TS-PILE'!$E$74/SUMSQ('TS-PILE'!$E$56:$E$75))+IF(SUMSQ('TS-PILE'!$D$56:$D$75)=0,0,'TO HOP NLAN'!F81*'TS-PILE'!$D$74/SUMSQ('TS-PILE'!$D$56:$D$75))),IF('TS-PILE'!$B$75="",1E+99,'TO HOP NLAN'!D81/ncoc+IF(SUMSQ('TS-PILE'!$E$56:$E$75)=0,0,'TO HOP NLAN'!E81*'TS-PILE'!$E$75/SUMSQ('TS-PILE'!$E$56:$E$75))+IF(SUMSQ('TS-PILE'!$D$56:$D$75)=0,0,'TO HOP NLAN'!F81*'TS-PILE'!$D$75/SUMSQ('TS-PILE'!$D$56:$D$75)))))</f>
        <v>0</v>
      </c>
      <c r="E81" s="46">
        <f t="shared" si="4"/>
        <v>-9.9999999999999997E+98</v>
      </c>
      <c r="F81" s="46">
        <f t="shared" si="5"/>
        <v>9.9999999999999997E+98</v>
      </c>
      <c r="G81" s="46">
        <f t="shared" si="6"/>
        <v>-9.9999999999999997E+98</v>
      </c>
      <c r="H81" s="46">
        <f t="shared" si="7"/>
        <v>9.9999999999999997E+98</v>
      </c>
    </row>
    <row r="82" spans="1:8" x14ac:dyDescent="0.3">
      <c r="A82" s="40" t="str">
        <f>'TO HOP NLAN'!A82</f>
        <v/>
      </c>
      <c r="B82" s="40" t="str">
        <f>'TO HOP NLAN'!L82</f>
        <v>STRENGTH</v>
      </c>
      <c r="C82" s="46">
        <f>IF(A82="",0,MAX(IF('TS-PILE'!$B$56="",-1E+99,'TO HOP NLAN'!D82/ncoc+IF(SUMSQ('TS-PILE'!$E$56:$E$75)=0,0,'TO HOP NLAN'!E82*'TS-PILE'!$E$56/SUMSQ('TS-PILE'!$E$56:$E$75))+IF(SUMSQ('TS-PILE'!$D$56:$D$75)=0,0,'TO HOP NLAN'!F82*'TS-PILE'!$D$56/SUMSQ('TS-PILE'!$D$56:$D$75))),IF('TS-PILE'!$B$57="",-1E+99,'TO HOP NLAN'!D82/ncoc+IF(SUMSQ('TS-PILE'!$E$56:$E$75)=0,0,'TO HOP NLAN'!E82*'TS-PILE'!$E$57/SUMSQ('TS-PILE'!$E$56:$E$75))+IF(SUMSQ('TS-PILE'!$D$56:$D$75)=0,0,'TO HOP NLAN'!F82*'TS-PILE'!$D$57/SUMSQ('TS-PILE'!$D$56:$D$75))),IF('TS-PILE'!$B$58="",-1E+99,'TO HOP NLAN'!D82/ncoc+IF(SUMSQ('TS-PILE'!$E$56:$E$75)=0,0,'TO HOP NLAN'!E82*'TS-PILE'!$E$58/SUMSQ('TS-PILE'!$E$56:$E$75))+IF(SUMSQ('TS-PILE'!$D$56:$D$75)=0,0,'TO HOP NLAN'!F82*'TS-PILE'!$D$58/SUMSQ('TS-PILE'!$D$56:$D$75))),IF('TS-PILE'!$B$59="",-1E+99,'TO HOP NLAN'!D82/ncoc+IF(SUMSQ('TS-PILE'!$E$56:$E$75)=0,0,'TO HOP NLAN'!E82*'TS-PILE'!$E$59/SUMSQ('TS-PILE'!$E$56:$E$75))+IF(SUMSQ('TS-PILE'!$D$56:$D$75)=0,0,'TO HOP NLAN'!F82*'TS-PILE'!$D$59/SUMSQ('TS-PILE'!$D$56:$D$75))),IF('TS-PILE'!$B$60="",-1E+99,'TO HOP NLAN'!D82/ncoc+IF(SUMSQ('TS-PILE'!$E$56:$E$75)=0,0,'TO HOP NLAN'!E82*'TS-PILE'!$E$60/SUMSQ('TS-PILE'!$E$56:$E$75))+IF(SUMSQ('TS-PILE'!$D$56:$D$75)=0,0,'TO HOP NLAN'!F82*'TS-PILE'!$D$60/SUMSQ('TS-PILE'!$D$56:$D$75))),IF('TS-PILE'!$B$61="",-1E+99,'TO HOP NLAN'!D82/ncoc+IF(SUMSQ('TS-PILE'!$E$56:$E$75)=0,0,'TO HOP NLAN'!E82*'TS-PILE'!$E$61/SUMSQ('TS-PILE'!$E$56:$E$75))+IF(SUMSQ('TS-PILE'!$D$56:$D$75)=0,0,'TO HOP NLAN'!F82*'TS-PILE'!$D$61/SUMSQ('TS-PILE'!$D$56:$D$75))),IF('TS-PILE'!$B$62="",-1E+99,'TO HOP NLAN'!D82/ncoc+IF(SUMSQ('TS-PILE'!$E$56:$E$75)=0,0,'TO HOP NLAN'!E82*'TS-PILE'!$E$62/SUMSQ('TS-PILE'!$E$56:$E$75))+IF(SUMSQ('TS-PILE'!$D$56:$D$75)=0,0,'TO HOP NLAN'!F82*'TS-PILE'!$D$62/SUMSQ('TS-PILE'!$D$56:$D$75))),IF('TS-PILE'!$B$63="",-1E+99,'TO HOP NLAN'!D82/ncoc+IF(SUMSQ('TS-PILE'!$E$56:$E$75)=0,0,'TO HOP NLAN'!E82*'TS-PILE'!$E$63/SUMSQ('TS-PILE'!$E$56:$E$75))+IF(SUMSQ('TS-PILE'!$D$56:$D$75)=0,0,'TO HOP NLAN'!F82*'TS-PILE'!$D$63/SUMSQ('TS-PILE'!$D$56:$D$75))),IF('TS-PILE'!$B$64="",-1E+99,'TO HOP NLAN'!D82/ncoc+IF(SUMSQ('TS-PILE'!$E$56:$E$75)=0,0,'TO HOP NLAN'!E82*'TS-PILE'!$E$64/SUMSQ('TS-PILE'!$E$56:$E$75))+IF(SUMSQ('TS-PILE'!$D$56:$D$75)=0,0,'TO HOP NLAN'!F82*'TS-PILE'!$D$64/SUMSQ('TS-PILE'!$D$56:$D$75))),IF('TS-PILE'!$B$65="",-1E+99,'TO HOP NLAN'!D82/ncoc+IF(SUMSQ('TS-PILE'!$E$56:$E$75)=0,0,'TO HOP NLAN'!E82*'TS-PILE'!$E$65/SUMSQ('TS-PILE'!$E$56:$E$75))+IF(SUMSQ('TS-PILE'!$D$56:$D$75)=0,0,'TO HOP NLAN'!F82*'TS-PILE'!$D$65/SUMSQ('TS-PILE'!$D$56:$D$75))),IF('TS-PILE'!$B$66="",-1E+99,'TO HOP NLAN'!D82/ncoc+IF(SUMSQ('TS-PILE'!$E$56:$E$75)=0,0,'TO HOP NLAN'!E82*'TS-PILE'!$E$66/SUMSQ('TS-PILE'!$E$56:$E$75))+IF(SUMSQ('TS-PILE'!$D$56:$D$75)=0,0,'TO HOP NLAN'!F82*'TS-PILE'!$D$66/SUMSQ('TS-PILE'!$D$56:$D$75))),IF('TS-PILE'!$B$67="",-1E+99,'TO HOP NLAN'!D82/ncoc+IF(SUMSQ('TS-PILE'!$E$56:$E$75)=0,0,'TO HOP NLAN'!E82*'TS-PILE'!$E$67/SUMSQ('TS-PILE'!$E$56:$E$75))+IF(SUMSQ('TS-PILE'!$D$56:$D$75)=0,0,'TO HOP NLAN'!F82*'TS-PILE'!$D$67/SUMSQ('TS-PILE'!$D$56:$D$75))),IF('TS-PILE'!$B$68="",-1E+99,'TO HOP NLAN'!D82/ncoc+IF(SUMSQ('TS-PILE'!$E$56:$E$75)=0,0,'TO HOP NLAN'!E82*'TS-PILE'!$E$68/SUMSQ('TS-PILE'!$E$56:$E$75))+IF(SUMSQ('TS-PILE'!$D$56:$D$75)=0,0,'TO HOP NLAN'!F82*'TS-PILE'!$D$68/SUMSQ('TS-PILE'!$D$56:$D$75))),IF('TS-PILE'!$B$69="",-1E+99,'TO HOP NLAN'!D82/ncoc+IF(SUMSQ('TS-PILE'!$E$56:$E$75)=0,0,'TO HOP NLAN'!E82*'TS-PILE'!$E$69/SUMSQ('TS-PILE'!$E$56:$E$75))+IF(SUMSQ('TS-PILE'!$D$56:$D$75)=0,0,'TO HOP NLAN'!F82*'TS-PILE'!$D$69/SUMSQ('TS-PILE'!$D$56:$D$75))),IF('TS-PILE'!$B$70="",-1E+99,'TO HOP NLAN'!D82/ncoc+IF(SUMSQ('TS-PILE'!$E$56:$E$75)=0,0,'TO HOP NLAN'!E82*'TS-PILE'!$E$70/SUMSQ('TS-PILE'!$E$56:$E$75))+IF(SUMSQ('TS-PILE'!$D$56:$D$75)=0,0,'TO HOP NLAN'!F82*'TS-PILE'!$D$70/SUMSQ('TS-PILE'!$D$56:$D$75))),IF('TS-PILE'!$B$71="",-1E+99,'TO HOP NLAN'!D82/ncoc+IF(SUMSQ('TS-PILE'!$E$56:$E$75)=0,0,'TO HOP NLAN'!E82*'TS-PILE'!$E$71/SUMSQ('TS-PILE'!$E$56:$E$75))+IF(SUMSQ('TS-PILE'!$D$56:$D$75)=0,0,'TO HOP NLAN'!F82*'TS-PILE'!$D$71/SUMSQ('TS-PILE'!$D$56:$D$75))),IF('TS-PILE'!$B$72="",-1E+99,'TO HOP NLAN'!D82/ncoc+IF(SUMSQ('TS-PILE'!$E$56:$E$75)=0,0,'TO HOP NLAN'!E82*'TS-PILE'!$E$72/SUMSQ('TS-PILE'!$E$56:$E$75))+IF(SUMSQ('TS-PILE'!$D$56:$D$75)=0,0,'TO HOP NLAN'!F82*'TS-PILE'!$D$72/SUMSQ('TS-PILE'!$D$56:$D$75))),IF('TS-PILE'!$B$73="",-1E+99,'TO HOP NLAN'!D82/ncoc+IF(SUMSQ('TS-PILE'!$E$56:$E$75)=0,0,'TO HOP NLAN'!E82*'TS-PILE'!$E$73/SUMSQ('TS-PILE'!$E$56:$E$75))+IF(SUMSQ('TS-PILE'!$D$56:$D$75)=0,0,'TO HOP NLAN'!F82*'TS-PILE'!$D$73/SUMSQ('TS-PILE'!$D$56:$D$75))),IF('TS-PILE'!$B$74="",-1E+99,'TO HOP NLAN'!D82/ncoc+IF(SUMSQ('TS-PILE'!$E$56:$E$75)=0,0,'TO HOP NLAN'!E82*'TS-PILE'!$E$74/SUMSQ('TS-PILE'!$E$56:$E$75))+IF(SUMSQ('TS-PILE'!$D$56:$D$75)=0,0,'TO HOP NLAN'!F82*'TS-PILE'!$D$74/SUMSQ('TS-PILE'!$D$56:$D$75))),IF('TS-PILE'!$B$75="",-1E+99,'TO HOP NLAN'!D82/ncoc+IF(SUMSQ('TS-PILE'!$E$56:$E$75)=0,0,'TO HOP NLAN'!E82*'TS-PILE'!$E$75/SUMSQ('TS-PILE'!$E$56:$E$75))+IF(SUMSQ('TS-PILE'!$D$56:$D$75)=0,0,'TO HOP NLAN'!F82*'TS-PILE'!$D$75/SUMSQ('TS-PILE'!$D$56:$D$75)))))</f>
        <v>0</v>
      </c>
      <c r="D82" s="46">
        <f>IF(A82="",0,MIN(IF('TS-PILE'!$B$56="",1E+99,'TO HOP NLAN'!D82/ncoc+IF(SUMSQ('TS-PILE'!$E$56:$E$75)=0,0,'TO HOP NLAN'!E82*'TS-PILE'!$E$56/SUMSQ('TS-PILE'!$E$56:$E$75))+IF(SUMSQ('TS-PILE'!$D$56:$D$75)=0,0,'TO HOP NLAN'!F82*'TS-PILE'!$D$56/SUMSQ('TS-PILE'!$D$56:$D$75))),IF('TS-PILE'!$B$57="",1E+99,'TO HOP NLAN'!D82/ncoc+IF(SUMSQ('TS-PILE'!$E$56:$E$75)=0,0,'TO HOP NLAN'!E82*'TS-PILE'!$E$57/SUMSQ('TS-PILE'!$E$56:$E$75))+IF(SUMSQ('TS-PILE'!$D$56:$D$75)=0,0,'TO HOP NLAN'!F82*'TS-PILE'!$D$57/SUMSQ('TS-PILE'!$D$56:$D$75))),IF('TS-PILE'!$B$58="",1E+99,'TO HOP NLAN'!D82/ncoc+IF(SUMSQ('TS-PILE'!$E$56:$E$75)=0,0,'TO HOP NLAN'!E82*'TS-PILE'!$E$58/SUMSQ('TS-PILE'!$E$56:$E$75))+IF(SUMSQ('TS-PILE'!$D$56:$D$75)=0,0,'TO HOP NLAN'!F82*'TS-PILE'!$D$58/SUMSQ('TS-PILE'!$D$56:$D$75))),IF('TS-PILE'!$B$59="",1E+99,'TO HOP NLAN'!D82/ncoc+IF(SUMSQ('TS-PILE'!$E$56:$E$75)=0,0,'TO HOP NLAN'!E82*'TS-PILE'!$E$59/SUMSQ('TS-PILE'!$E$56:$E$75))+IF(SUMSQ('TS-PILE'!$D$56:$D$75)=0,0,'TO HOP NLAN'!F82*'TS-PILE'!$D$59/SUMSQ('TS-PILE'!$D$56:$D$75))),IF('TS-PILE'!$B$60="",1E+99,'TO HOP NLAN'!D82/ncoc+IF(SUMSQ('TS-PILE'!$E$56:$E$75)=0,0,'TO HOP NLAN'!E82*'TS-PILE'!$E$60/SUMSQ('TS-PILE'!$E$56:$E$75))+IF(SUMSQ('TS-PILE'!$D$56:$D$75)=0,0,'TO HOP NLAN'!F82*'TS-PILE'!$D$60/SUMSQ('TS-PILE'!$D$56:$D$75))),IF('TS-PILE'!$B$61="",1E+99,'TO HOP NLAN'!D82/ncoc+IF(SUMSQ('TS-PILE'!$E$56:$E$75)=0,0,'TO HOP NLAN'!E82*'TS-PILE'!$E$61/SUMSQ('TS-PILE'!$E$56:$E$75))+IF(SUMSQ('TS-PILE'!$D$56:$D$75)=0,0,'TO HOP NLAN'!F82*'TS-PILE'!$D$61/SUMSQ('TS-PILE'!$D$56:$D$75))),IF('TS-PILE'!$B$62="",1E+99,'TO HOP NLAN'!D82/ncoc+IF(SUMSQ('TS-PILE'!$E$56:$E$75)=0,0,'TO HOP NLAN'!E82*'TS-PILE'!$E$62/SUMSQ('TS-PILE'!$E$56:$E$75))+IF(SUMSQ('TS-PILE'!$D$56:$D$75)=0,0,'TO HOP NLAN'!F82*'TS-PILE'!$D$62/SUMSQ('TS-PILE'!$D$56:$D$75))),IF('TS-PILE'!$B$63="",1E+99,'TO HOP NLAN'!D82/ncoc+IF(SUMSQ('TS-PILE'!$E$56:$E$75)=0,0,'TO HOP NLAN'!E82*'TS-PILE'!$E$63/SUMSQ('TS-PILE'!$E$56:$E$75))+IF(SUMSQ('TS-PILE'!$D$56:$D$75)=0,0,'TO HOP NLAN'!F82*'TS-PILE'!$D$63/SUMSQ('TS-PILE'!$D$56:$D$75))),IF('TS-PILE'!$B$64="",1E+99,'TO HOP NLAN'!D82/ncoc+IF(SUMSQ('TS-PILE'!$E$56:$E$75)=0,0,'TO HOP NLAN'!E82*'TS-PILE'!$E$64/SUMSQ('TS-PILE'!$E$56:$E$75))+IF(SUMSQ('TS-PILE'!$D$56:$D$75)=0,0,'TO HOP NLAN'!F82*'TS-PILE'!$D$64/SUMSQ('TS-PILE'!$D$56:$D$75))),IF('TS-PILE'!$B$65="",1E+99,'TO HOP NLAN'!D82/ncoc+IF(SUMSQ('TS-PILE'!$E$56:$E$75)=0,0,'TO HOP NLAN'!E82*'TS-PILE'!$E$65/SUMSQ('TS-PILE'!$E$56:$E$75))+IF(SUMSQ('TS-PILE'!$D$56:$D$75)=0,0,'TO HOP NLAN'!F82*'TS-PILE'!$D$65/SUMSQ('TS-PILE'!$D$56:$D$75))),IF('TS-PILE'!$B$66="",1E+99,'TO HOP NLAN'!D82/ncoc+IF(SUMSQ('TS-PILE'!$E$56:$E$75)=0,0,'TO HOP NLAN'!E82*'TS-PILE'!$E$66/SUMSQ('TS-PILE'!$E$56:$E$75))+IF(SUMSQ('TS-PILE'!$D$56:$D$75)=0,0,'TO HOP NLAN'!F82*'TS-PILE'!$D$66/SUMSQ('TS-PILE'!$D$56:$D$75))),IF('TS-PILE'!$B$67="",1E+99,'TO HOP NLAN'!D82/ncoc+IF(SUMSQ('TS-PILE'!$E$56:$E$75)=0,0,'TO HOP NLAN'!E82*'TS-PILE'!$E$67/SUMSQ('TS-PILE'!$E$56:$E$75))+IF(SUMSQ('TS-PILE'!$D$56:$D$75)=0,0,'TO HOP NLAN'!F82*'TS-PILE'!$D$67/SUMSQ('TS-PILE'!$D$56:$D$75))),IF('TS-PILE'!$B$68="",1E+99,'TO HOP NLAN'!D82/ncoc+IF(SUMSQ('TS-PILE'!$E$56:$E$75)=0,0,'TO HOP NLAN'!E82*'TS-PILE'!$E$68/SUMSQ('TS-PILE'!$E$56:$E$75))+IF(SUMSQ('TS-PILE'!$D$56:$D$75)=0,0,'TO HOP NLAN'!F82*'TS-PILE'!$D$68/SUMSQ('TS-PILE'!$D$56:$D$75))),IF('TS-PILE'!$B$69="",1E+99,'TO HOP NLAN'!D82/ncoc+IF(SUMSQ('TS-PILE'!$E$56:$E$75)=0,0,'TO HOP NLAN'!E82*'TS-PILE'!$E$69/SUMSQ('TS-PILE'!$E$56:$E$75))+IF(SUMSQ('TS-PILE'!$D$56:$D$75)=0,0,'TO HOP NLAN'!F82*'TS-PILE'!$D$69/SUMSQ('TS-PILE'!$D$56:$D$75))),IF('TS-PILE'!$B$70="",1E+99,'TO HOP NLAN'!D82/ncoc+IF(SUMSQ('TS-PILE'!$E$56:$E$75)=0,0,'TO HOP NLAN'!E82*'TS-PILE'!$E$70/SUMSQ('TS-PILE'!$E$56:$E$75))+IF(SUMSQ('TS-PILE'!$D$56:$D$75)=0,0,'TO HOP NLAN'!F82*'TS-PILE'!$D$70/SUMSQ('TS-PILE'!$D$56:$D$75))),IF('TS-PILE'!$B$71="",1E+99,'TO HOP NLAN'!D82/ncoc+IF(SUMSQ('TS-PILE'!$E$56:$E$75)=0,0,'TO HOP NLAN'!E82*'TS-PILE'!$E$71/SUMSQ('TS-PILE'!$E$56:$E$75))+IF(SUMSQ('TS-PILE'!$D$56:$D$75)=0,0,'TO HOP NLAN'!F82*'TS-PILE'!$D$71/SUMSQ('TS-PILE'!$D$56:$D$75))),IF('TS-PILE'!$B$72="",1E+99,'TO HOP NLAN'!D82/ncoc+IF(SUMSQ('TS-PILE'!$E$56:$E$75)=0,0,'TO HOP NLAN'!E82*'TS-PILE'!$E$72/SUMSQ('TS-PILE'!$E$56:$E$75))+IF(SUMSQ('TS-PILE'!$D$56:$D$75)=0,0,'TO HOP NLAN'!F82*'TS-PILE'!$D$72/SUMSQ('TS-PILE'!$D$56:$D$75))),IF('TS-PILE'!$B$73="",1E+99,'TO HOP NLAN'!D82/ncoc+IF(SUMSQ('TS-PILE'!$E$56:$E$75)=0,0,'TO HOP NLAN'!E82*'TS-PILE'!$E$73/SUMSQ('TS-PILE'!$E$56:$E$75))+IF(SUMSQ('TS-PILE'!$D$56:$D$75)=0,0,'TO HOP NLAN'!F82*'TS-PILE'!$D$73/SUMSQ('TS-PILE'!$D$56:$D$75))),IF('TS-PILE'!$B$74="",1E+99,'TO HOP NLAN'!D82/ncoc+IF(SUMSQ('TS-PILE'!$E$56:$E$75)=0,0,'TO HOP NLAN'!E82*'TS-PILE'!$E$74/SUMSQ('TS-PILE'!$E$56:$E$75))+IF(SUMSQ('TS-PILE'!$D$56:$D$75)=0,0,'TO HOP NLAN'!F82*'TS-PILE'!$D$74/SUMSQ('TS-PILE'!$D$56:$D$75))),IF('TS-PILE'!$B$75="",1E+99,'TO HOP NLAN'!D82/ncoc+IF(SUMSQ('TS-PILE'!$E$56:$E$75)=0,0,'TO HOP NLAN'!E82*'TS-PILE'!$E$75/SUMSQ('TS-PILE'!$E$56:$E$75))+IF(SUMSQ('TS-PILE'!$D$56:$D$75)=0,0,'TO HOP NLAN'!F82*'TS-PILE'!$D$75/SUMSQ('TS-PILE'!$D$56:$D$75)))))</f>
        <v>0</v>
      </c>
      <c r="E82" s="46">
        <f t="shared" si="4"/>
        <v>-9.9999999999999997E+98</v>
      </c>
      <c r="F82" s="46">
        <f t="shared" si="5"/>
        <v>9.9999999999999997E+98</v>
      </c>
      <c r="G82" s="46">
        <f t="shared" si="6"/>
        <v>-9.9999999999999997E+98</v>
      </c>
      <c r="H82" s="46">
        <f t="shared" si="7"/>
        <v>9.9999999999999997E+98</v>
      </c>
    </row>
    <row r="83" spans="1:8" x14ac:dyDescent="0.3">
      <c r="A83" s="40" t="str">
        <f>'TO HOP NLAN'!A83</f>
        <v/>
      </c>
      <c r="B83" s="40" t="str">
        <f>'TO HOP NLAN'!L83</f>
        <v>STRENGTH</v>
      </c>
      <c r="C83" s="46">
        <f>IF(A83="",0,MAX(IF('TS-PILE'!$B$56="",-1E+99,'TO HOP NLAN'!D83/ncoc+IF(SUMSQ('TS-PILE'!$E$56:$E$75)=0,0,'TO HOP NLAN'!E83*'TS-PILE'!$E$56/SUMSQ('TS-PILE'!$E$56:$E$75))+IF(SUMSQ('TS-PILE'!$D$56:$D$75)=0,0,'TO HOP NLAN'!F83*'TS-PILE'!$D$56/SUMSQ('TS-PILE'!$D$56:$D$75))),IF('TS-PILE'!$B$57="",-1E+99,'TO HOP NLAN'!D83/ncoc+IF(SUMSQ('TS-PILE'!$E$56:$E$75)=0,0,'TO HOP NLAN'!E83*'TS-PILE'!$E$57/SUMSQ('TS-PILE'!$E$56:$E$75))+IF(SUMSQ('TS-PILE'!$D$56:$D$75)=0,0,'TO HOP NLAN'!F83*'TS-PILE'!$D$57/SUMSQ('TS-PILE'!$D$56:$D$75))),IF('TS-PILE'!$B$58="",-1E+99,'TO HOP NLAN'!D83/ncoc+IF(SUMSQ('TS-PILE'!$E$56:$E$75)=0,0,'TO HOP NLAN'!E83*'TS-PILE'!$E$58/SUMSQ('TS-PILE'!$E$56:$E$75))+IF(SUMSQ('TS-PILE'!$D$56:$D$75)=0,0,'TO HOP NLAN'!F83*'TS-PILE'!$D$58/SUMSQ('TS-PILE'!$D$56:$D$75))),IF('TS-PILE'!$B$59="",-1E+99,'TO HOP NLAN'!D83/ncoc+IF(SUMSQ('TS-PILE'!$E$56:$E$75)=0,0,'TO HOP NLAN'!E83*'TS-PILE'!$E$59/SUMSQ('TS-PILE'!$E$56:$E$75))+IF(SUMSQ('TS-PILE'!$D$56:$D$75)=0,0,'TO HOP NLAN'!F83*'TS-PILE'!$D$59/SUMSQ('TS-PILE'!$D$56:$D$75))),IF('TS-PILE'!$B$60="",-1E+99,'TO HOP NLAN'!D83/ncoc+IF(SUMSQ('TS-PILE'!$E$56:$E$75)=0,0,'TO HOP NLAN'!E83*'TS-PILE'!$E$60/SUMSQ('TS-PILE'!$E$56:$E$75))+IF(SUMSQ('TS-PILE'!$D$56:$D$75)=0,0,'TO HOP NLAN'!F83*'TS-PILE'!$D$60/SUMSQ('TS-PILE'!$D$56:$D$75))),IF('TS-PILE'!$B$61="",-1E+99,'TO HOP NLAN'!D83/ncoc+IF(SUMSQ('TS-PILE'!$E$56:$E$75)=0,0,'TO HOP NLAN'!E83*'TS-PILE'!$E$61/SUMSQ('TS-PILE'!$E$56:$E$75))+IF(SUMSQ('TS-PILE'!$D$56:$D$75)=0,0,'TO HOP NLAN'!F83*'TS-PILE'!$D$61/SUMSQ('TS-PILE'!$D$56:$D$75))),IF('TS-PILE'!$B$62="",-1E+99,'TO HOP NLAN'!D83/ncoc+IF(SUMSQ('TS-PILE'!$E$56:$E$75)=0,0,'TO HOP NLAN'!E83*'TS-PILE'!$E$62/SUMSQ('TS-PILE'!$E$56:$E$75))+IF(SUMSQ('TS-PILE'!$D$56:$D$75)=0,0,'TO HOP NLAN'!F83*'TS-PILE'!$D$62/SUMSQ('TS-PILE'!$D$56:$D$75))),IF('TS-PILE'!$B$63="",-1E+99,'TO HOP NLAN'!D83/ncoc+IF(SUMSQ('TS-PILE'!$E$56:$E$75)=0,0,'TO HOP NLAN'!E83*'TS-PILE'!$E$63/SUMSQ('TS-PILE'!$E$56:$E$75))+IF(SUMSQ('TS-PILE'!$D$56:$D$75)=0,0,'TO HOP NLAN'!F83*'TS-PILE'!$D$63/SUMSQ('TS-PILE'!$D$56:$D$75))),IF('TS-PILE'!$B$64="",-1E+99,'TO HOP NLAN'!D83/ncoc+IF(SUMSQ('TS-PILE'!$E$56:$E$75)=0,0,'TO HOP NLAN'!E83*'TS-PILE'!$E$64/SUMSQ('TS-PILE'!$E$56:$E$75))+IF(SUMSQ('TS-PILE'!$D$56:$D$75)=0,0,'TO HOP NLAN'!F83*'TS-PILE'!$D$64/SUMSQ('TS-PILE'!$D$56:$D$75))),IF('TS-PILE'!$B$65="",-1E+99,'TO HOP NLAN'!D83/ncoc+IF(SUMSQ('TS-PILE'!$E$56:$E$75)=0,0,'TO HOP NLAN'!E83*'TS-PILE'!$E$65/SUMSQ('TS-PILE'!$E$56:$E$75))+IF(SUMSQ('TS-PILE'!$D$56:$D$75)=0,0,'TO HOP NLAN'!F83*'TS-PILE'!$D$65/SUMSQ('TS-PILE'!$D$56:$D$75))),IF('TS-PILE'!$B$66="",-1E+99,'TO HOP NLAN'!D83/ncoc+IF(SUMSQ('TS-PILE'!$E$56:$E$75)=0,0,'TO HOP NLAN'!E83*'TS-PILE'!$E$66/SUMSQ('TS-PILE'!$E$56:$E$75))+IF(SUMSQ('TS-PILE'!$D$56:$D$75)=0,0,'TO HOP NLAN'!F83*'TS-PILE'!$D$66/SUMSQ('TS-PILE'!$D$56:$D$75))),IF('TS-PILE'!$B$67="",-1E+99,'TO HOP NLAN'!D83/ncoc+IF(SUMSQ('TS-PILE'!$E$56:$E$75)=0,0,'TO HOP NLAN'!E83*'TS-PILE'!$E$67/SUMSQ('TS-PILE'!$E$56:$E$75))+IF(SUMSQ('TS-PILE'!$D$56:$D$75)=0,0,'TO HOP NLAN'!F83*'TS-PILE'!$D$67/SUMSQ('TS-PILE'!$D$56:$D$75))),IF('TS-PILE'!$B$68="",-1E+99,'TO HOP NLAN'!D83/ncoc+IF(SUMSQ('TS-PILE'!$E$56:$E$75)=0,0,'TO HOP NLAN'!E83*'TS-PILE'!$E$68/SUMSQ('TS-PILE'!$E$56:$E$75))+IF(SUMSQ('TS-PILE'!$D$56:$D$75)=0,0,'TO HOP NLAN'!F83*'TS-PILE'!$D$68/SUMSQ('TS-PILE'!$D$56:$D$75))),IF('TS-PILE'!$B$69="",-1E+99,'TO HOP NLAN'!D83/ncoc+IF(SUMSQ('TS-PILE'!$E$56:$E$75)=0,0,'TO HOP NLAN'!E83*'TS-PILE'!$E$69/SUMSQ('TS-PILE'!$E$56:$E$75))+IF(SUMSQ('TS-PILE'!$D$56:$D$75)=0,0,'TO HOP NLAN'!F83*'TS-PILE'!$D$69/SUMSQ('TS-PILE'!$D$56:$D$75))),IF('TS-PILE'!$B$70="",-1E+99,'TO HOP NLAN'!D83/ncoc+IF(SUMSQ('TS-PILE'!$E$56:$E$75)=0,0,'TO HOP NLAN'!E83*'TS-PILE'!$E$70/SUMSQ('TS-PILE'!$E$56:$E$75))+IF(SUMSQ('TS-PILE'!$D$56:$D$75)=0,0,'TO HOP NLAN'!F83*'TS-PILE'!$D$70/SUMSQ('TS-PILE'!$D$56:$D$75))),IF('TS-PILE'!$B$71="",-1E+99,'TO HOP NLAN'!D83/ncoc+IF(SUMSQ('TS-PILE'!$E$56:$E$75)=0,0,'TO HOP NLAN'!E83*'TS-PILE'!$E$71/SUMSQ('TS-PILE'!$E$56:$E$75))+IF(SUMSQ('TS-PILE'!$D$56:$D$75)=0,0,'TO HOP NLAN'!F83*'TS-PILE'!$D$71/SUMSQ('TS-PILE'!$D$56:$D$75))),IF('TS-PILE'!$B$72="",-1E+99,'TO HOP NLAN'!D83/ncoc+IF(SUMSQ('TS-PILE'!$E$56:$E$75)=0,0,'TO HOP NLAN'!E83*'TS-PILE'!$E$72/SUMSQ('TS-PILE'!$E$56:$E$75))+IF(SUMSQ('TS-PILE'!$D$56:$D$75)=0,0,'TO HOP NLAN'!F83*'TS-PILE'!$D$72/SUMSQ('TS-PILE'!$D$56:$D$75))),IF('TS-PILE'!$B$73="",-1E+99,'TO HOP NLAN'!D83/ncoc+IF(SUMSQ('TS-PILE'!$E$56:$E$75)=0,0,'TO HOP NLAN'!E83*'TS-PILE'!$E$73/SUMSQ('TS-PILE'!$E$56:$E$75))+IF(SUMSQ('TS-PILE'!$D$56:$D$75)=0,0,'TO HOP NLAN'!F83*'TS-PILE'!$D$73/SUMSQ('TS-PILE'!$D$56:$D$75))),IF('TS-PILE'!$B$74="",-1E+99,'TO HOP NLAN'!D83/ncoc+IF(SUMSQ('TS-PILE'!$E$56:$E$75)=0,0,'TO HOP NLAN'!E83*'TS-PILE'!$E$74/SUMSQ('TS-PILE'!$E$56:$E$75))+IF(SUMSQ('TS-PILE'!$D$56:$D$75)=0,0,'TO HOP NLAN'!F83*'TS-PILE'!$D$74/SUMSQ('TS-PILE'!$D$56:$D$75))),IF('TS-PILE'!$B$75="",-1E+99,'TO HOP NLAN'!D83/ncoc+IF(SUMSQ('TS-PILE'!$E$56:$E$75)=0,0,'TO HOP NLAN'!E83*'TS-PILE'!$E$75/SUMSQ('TS-PILE'!$E$56:$E$75))+IF(SUMSQ('TS-PILE'!$D$56:$D$75)=0,0,'TO HOP NLAN'!F83*'TS-PILE'!$D$75/SUMSQ('TS-PILE'!$D$56:$D$75)))))</f>
        <v>0</v>
      </c>
      <c r="D83" s="46">
        <f>IF(A83="",0,MIN(IF('TS-PILE'!$B$56="",1E+99,'TO HOP NLAN'!D83/ncoc+IF(SUMSQ('TS-PILE'!$E$56:$E$75)=0,0,'TO HOP NLAN'!E83*'TS-PILE'!$E$56/SUMSQ('TS-PILE'!$E$56:$E$75))+IF(SUMSQ('TS-PILE'!$D$56:$D$75)=0,0,'TO HOP NLAN'!F83*'TS-PILE'!$D$56/SUMSQ('TS-PILE'!$D$56:$D$75))),IF('TS-PILE'!$B$57="",1E+99,'TO HOP NLAN'!D83/ncoc+IF(SUMSQ('TS-PILE'!$E$56:$E$75)=0,0,'TO HOP NLAN'!E83*'TS-PILE'!$E$57/SUMSQ('TS-PILE'!$E$56:$E$75))+IF(SUMSQ('TS-PILE'!$D$56:$D$75)=0,0,'TO HOP NLAN'!F83*'TS-PILE'!$D$57/SUMSQ('TS-PILE'!$D$56:$D$75))),IF('TS-PILE'!$B$58="",1E+99,'TO HOP NLAN'!D83/ncoc+IF(SUMSQ('TS-PILE'!$E$56:$E$75)=0,0,'TO HOP NLAN'!E83*'TS-PILE'!$E$58/SUMSQ('TS-PILE'!$E$56:$E$75))+IF(SUMSQ('TS-PILE'!$D$56:$D$75)=0,0,'TO HOP NLAN'!F83*'TS-PILE'!$D$58/SUMSQ('TS-PILE'!$D$56:$D$75))),IF('TS-PILE'!$B$59="",1E+99,'TO HOP NLAN'!D83/ncoc+IF(SUMSQ('TS-PILE'!$E$56:$E$75)=0,0,'TO HOP NLAN'!E83*'TS-PILE'!$E$59/SUMSQ('TS-PILE'!$E$56:$E$75))+IF(SUMSQ('TS-PILE'!$D$56:$D$75)=0,0,'TO HOP NLAN'!F83*'TS-PILE'!$D$59/SUMSQ('TS-PILE'!$D$56:$D$75))),IF('TS-PILE'!$B$60="",1E+99,'TO HOP NLAN'!D83/ncoc+IF(SUMSQ('TS-PILE'!$E$56:$E$75)=0,0,'TO HOP NLAN'!E83*'TS-PILE'!$E$60/SUMSQ('TS-PILE'!$E$56:$E$75))+IF(SUMSQ('TS-PILE'!$D$56:$D$75)=0,0,'TO HOP NLAN'!F83*'TS-PILE'!$D$60/SUMSQ('TS-PILE'!$D$56:$D$75))),IF('TS-PILE'!$B$61="",1E+99,'TO HOP NLAN'!D83/ncoc+IF(SUMSQ('TS-PILE'!$E$56:$E$75)=0,0,'TO HOP NLAN'!E83*'TS-PILE'!$E$61/SUMSQ('TS-PILE'!$E$56:$E$75))+IF(SUMSQ('TS-PILE'!$D$56:$D$75)=0,0,'TO HOP NLAN'!F83*'TS-PILE'!$D$61/SUMSQ('TS-PILE'!$D$56:$D$75))),IF('TS-PILE'!$B$62="",1E+99,'TO HOP NLAN'!D83/ncoc+IF(SUMSQ('TS-PILE'!$E$56:$E$75)=0,0,'TO HOP NLAN'!E83*'TS-PILE'!$E$62/SUMSQ('TS-PILE'!$E$56:$E$75))+IF(SUMSQ('TS-PILE'!$D$56:$D$75)=0,0,'TO HOP NLAN'!F83*'TS-PILE'!$D$62/SUMSQ('TS-PILE'!$D$56:$D$75))),IF('TS-PILE'!$B$63="",1E+99,'TO HOP NLAN'!D83/ncoc+IF(SUMSQ('TS-PILE'!$E$56:$E$75)=0,0,'TO HOP NLAN'!E83*'TS-PILE'!$E$63/SUMSQ('TS-PILE'!$E$56:$E$75))+IF(SUMSQ('TS-PILE'!$D$56:$D$75)=0,0,'TO HOP NLAN'!F83*'TS-PILE'!$D$63/SUMSQ('TS-PILE'!$D$56:$D$75))),IF('TS-PILE'!$B$64="",1E+99,'TO HOP NLAN'!D83/ncoc+IF(SUMSQ('TS-PILE'!$E$56:$E$75)=0,0,'TO HOP NLAN'!E83*'TS-PILE'!$E$64/SUMSQ('TS-PILE'!$E$56:$E$75))+IF(SUMSQ('TS-PILE'!$D$56:$D$75)=0,0,'TO HOP NLAN'!F83*'TS-PILE'!$D$64/SUMSQ('TS-PILE'!$D$56:$D$75))),IF('TS-PILE'!$B$65="",1E+99,'TO HOP NLAN'!D83/ncoc+IF(SUMSQ('TS-PILE'!$E$56:$E$75)=0,0,'TO HOP NLAN'!E83*'TS-PILE'!$E$65/SUMSQ('TS-PILE'!$E$56:$E$75))+IF(SUMSQ('TS-PILE'!$D$56:$D$75)=0,0,'TO HOP NLAN'!F83*'TS-PILE'!$D$65/SUMSQ('TS-PILE'!$D$56:$D$75))),IF('TS-PILE'!$B$66="",1E+99,'TO HOP NLAN'!D83/ncoc+IF(SUMSQ('TS-PILE'!$E$56:$E$75)=0,0,'TO HOP NLAN'!E83*'TS-PILE'!$E$66/SUMSQ('TS-PILE'!$E$56:$E$75))+IF(SUMSQ('TS-PILE'!$D$56:$D$75)=0,0,'TO HOP NLAN'!F83*'TS-PILE'!$D$66/SUMSQ('TS-PILE'!$D$56:$D$75))),IF('TS-PILE'!$B$67="",1E+99,'TO HOP NLAN'!D83/ncoc+IF(SUMSQ('TS-PILE'!$E$56:$E$75)=0,0,'TO HOP NLAN'!E83*'TS-PILE'!$E$67/SUMSQ('TS-PILE'!$E$56:$E$75))+IF(SUMSQ('TS-PILE'!$D$56:$D$75)=0,0,'TO HOP NLAN'!F83*'TS-PILE'!$D$67/SUMSQ('TS-PILE'!$D$56:$D$75))),IF('TS-PILE'!$B$68="",1E+99,'TO HOP NLAN'!D83/ncoc+IF(SUMSQ('TS-PILE'!$E$56:$E$75)=0,0,'TO HOP NLAN'!E83*'TS-PILE'!$E$68/SUMSQ('TS-PILE'!$E$56:$E$75))+IF(SUMSQ('TS-PILE'!$D$56:$D$75)=0,0,'TO HOP NLAN'!F83*'TS-PILE'!$D$68/SUMSQ('TS-PILE'!$D$56:$D$75))),IF('TS-PILE'!$B$69="",1E+99,'TO HOP NLAN'!D83/ncoc+IF(SUMSQ('TS-PILE'!$E$56:$E$75)=0,0,'TO HOP NLAN'!E83*'TS-PILE'!$E$69/SUMSQ('TS-PILE'!$E$56:$E$75))+IF(SUMSQ('TS-PILE'!$D$56:$D$75)=0,0,'TO HOP NLAN'!F83*'TS-PILE'!$D$69/SUMSQ('TS-PILE'!$D$56:$D$75))),IF('TS-PILE'!$B$70="",1E+99,'TO HOP NLAN'!D83/ncoc+IF(SUMSQ('TS-PILE'!$E$56:$E$75)=0,0,'TO HOP NLAN'!E83*'TS-PILE'!$E$70/SUMSQ('TS-PILE'!$E$56:$E$75))+IF(SUMSQ('TS-PILE'!$D$56:$D$75)=0,0,'TO HOP NLAN'!F83*'TS-PILE'!$D$70/SUMSQ('TS-PILE'!$D$56:$D$75))),IF('TS-PILE'!$B$71="",1E+99,'TO HOP NLAN'!D83/ncoc+IF(SUMSQ('TS-PILE'!$E$56:$E$75)=0,0,'TO HOP NLAN'!E83*'TS-PILE'!$E$71/SUMSQ('TS-PILE'!$E$56:$E$75))+IF(SUMSQ('TS-PILE'!$D$56:$D$75)=0,0,'TO HOP NLAN'!F83*'TS-PILE'!$D$71/SUMSQ('TS-PILE'!$D$56:$D$75))),IF('TS-PILE'!$B$72="",1E+99,'TO HOP NLAN'!D83/ncoc+IF(SUMSQ('TS-PILE'!$E$56:$E$75)=0,0,'TO HOP NLAN'!E83*'TS-PILE'!$E$72/SUMSQ('TS-PILE'!$E$56:$E$75))+IF(SUMSQ('TS-PILE'!$D$56:$D$75)=0,0,'TO HOP NLAN'!F83*'TS-PILE'!$D$72/SUMSQ('TS-PILE'!$D$56:$D$75))),IF('TS-PILE'!$B$73="",1E+99,'TO HOP NLAN'!D83/ncoc+IF(SUMSQ('TS-PILE'!$E$56:$E$75)=0,0,'TO HOP NLAN'!E83*'TS-PILE'!$E$73/SUMSQ('TS-PILE'!$E$56:$E$75))+IF(SUMSQ('TS-PILE'!$D$56:$D$75)=0,0,'TO HOP NLAN'!F83*'TS-PILE'!$D$73/SUMSQ('TS-PILE'!$D$56:$D$75))),IF('TS-PILE'!$B$74="",1E+99,'TO HOP NLAN'!D83/ncoc+IF(SUMSQ('TS-PILE'!$E$56:$E$75)=0,0,'TO HOP NLAN'!E83*'TS-PILE'!$E$74/SUMSQ('TS-PILE'!$E$56:$E$75))+IF(SUMSQ('TS-PILE'!$D$56:$D$75)=0,0,'TO HOP NLAN'!F83*'TS-PILE'!$D$74/SUMSQ('TS-PILE'!$D$56:$D$75))),IF('TS-PILE'!$B$75="",1E+99,'TO HOP NLAN'!D83/ncoc+IF(SUMSQ('TS-PILE'!$E$56:$E$75)=0,0,'TO HOP NLAN'!E83*'TS-PILE'!$E$75/SUMSQ('TS-PILE'!$E$56:$E$75))+IF(SUMSQ('TS-PILE'!$D$56:$D$75)=0,0,'TO HOP NLAN'!F83*'TS-PILE'!$D$75/SUMSQ('TS-PILE'!$D$56:$D$75)))))</f>
        <v>0</v>
      </c>
      <c r="E83" s="46">
        <f t="shared" si="4"/>
        <v>-9.9999999999999997E+98</v>
      </c>
      <c r="F83" s="46">
        <f t="shared" si="5"/>
        <v>9.9999999999999997E+98</v>
      </c>
      <c r="G83" s="46">
        <f t="shared" si="6"/>
        <v>-9.9999999999999997E+98</v>
      </c>
      <c r="H83" s="46">
        <f t="shared" si="7"/>
        <v>9.9999999999999997E+98</v>
      </c>
    </row>
    <row r="84" spans="1:8" x14ac:dyDescent="0.3">
      <c r="A84" s="40" t="str">
        <f>'TO HOP NLAN'!A84</f>
        <v/>
      </c>
      <c r="B84" s="40" t="str">
        <f>'TO HOP NLAN'!L84</f>
        <v>STRENGTH</v>
      </c>
      <c r="C84" s="46">
        <f>IF(A84="",0,MAX(IF('TS-PILE'!$B$56="",-1E+99,'TO HOP NLAN'!D84/ncoc+IF(SUMSQ('TS-PILE'!$E$56:$E$75)=0,0,'TO HOP NLAN'!E84*'TS-PILE'!$E$56/SUMSQ('TS-PILE'!$E$56:$E$75))+IF(SUMSQ('TS-PILE'!$D$56:$D$75)=0,0,'TO HOP NLAN'!F84*'TS-PILE'!$D$56/SUMSQ('TS-PILE'!$D$56:$D$75))),IF('TS-PILE'!$B$57="",-1E+99,'TO HOP NLAN'!D84/ncoc+IF(SUMSQ('TS-PILE'!$E$56:$E$75)=0,0,'TO HOP NLAN'!E84*'TS-PILE'!$E$57/SUMSQ('TS-PILE'!$E$56:$E$75))+IF(SUMSQ('TS-PILE'!$D$56:$D$75)=0,0,'TO HOP NLAN'!F84*'TS-PILE'!$D$57/SUMSQ('TS-PILE'!$D$56:$D$75))),IF('TS-PILE'!$B$58="",-1E+99,'TO HOP NLAN'!D84/ncoc+IF(SUMSQ('TS-PILE'!$E$56:$E$75)=0,0,'TO HOP NLAN'!E84*'TS-PILE'!$E$58/SUMSQ('TS-PILE'!$E$56:$E$75))+IF(SUMSQ('TS-PILE'!$D$56:$D$75)=0,0,'TO HOP NLAN'!F84*'TS-PILE'!$D$58/SUMSQ('TS-PILE'!$D$56:$D$75))),IF('TS-PILE'!$B$59="",-1E+99,'TO HOP NLAN'!D84/ncoc+IF(SUMSQ('TS-PILE'!$E$56:$E$75)=0,0,'TO HOP NLAN'!E84*'TS-PILE'!$E$59/SUMSQ('TS-PILE'!$E$56:$E$75))+IF(SUMSQ('TS-PILE'!$D$56:$D$75)=0,0,'TO HOP NLAN'!F84*'TS-PILE'!$D$59/SUMSQ('TS-PILE'!$D$56:$D$75))),IF('TS-PILE'!$B$60="",-1E+99,'TO HOP NLAN'!D84/ncoc+IF(SUMSQ('TS-PILE'!$E$56:$E$75)=0,0,'TO HOP NLAN'!E84*'TS-PILE'!$E$60/SUMSQ('TS-PILE'!$E$56:$E$75))+IF(SUMSQ('TS-PILE'!$D$56:$D$75)=0,0,'TO HOP NLAN'!F84*'TS-PILE'!$D$60/SUMSQ('TS-PILE'!$D$56:$D$75))),IF('TS-PILE'!$B$61="",-1E+99,'TO HOP NLAN'!D84/ncoc+IF(SUMSQ('TS-PILE'!$E$56:$E$75)=0,0,'TO HOP NLAN'!E84*'TS-PILE'!$E$61/SUMSQ('TS-PILE'!$E$56:$E$75))+IF(SUMSQ('TS-PILE'!$D$56:$D$75)=0,0,'TO HOP NLAN'!F84*'TS-PILE'!$D$61/SUMSQ('TS-PILE'!$D$56:$D$75))),IF('TS-PILE'!$B$62="",-1E+99,'TO HOP NLAN'!D84/ncoc+IF(SUMSQ('TS-PILE'!$E$56:$E$75)=0,0,'TO HOP NLAN'!E84*'TS-PILE'!$E$62/SUMSQ('TS-PILE'!$E$56:$E$75))+IF(SUMSQ('TS-PILE'!$D$56:$D$75)=0,0,'TO HOP NLAN'!F84*'TS-PILE'!$D$62/SUMSQ('TS-PILE'!$D$56:$D$75))),IF('TS-PILE'!$B$63="",-1E+99,'TO HOP NLAN'!D84/ncoc+IF(SUMSQ('TS-PILE'!$E$56:$E$75)=0,0,'TO HOP NLAN'!E84*'TS-PILE'!$E$63/SUMSQ('TS-PILE'!$E$56:$E$75))+IF(SUMSQ('TS-PILE'!$D$56:$D$75)=0,0,'TO HOP NLAN'!F84*'TS-PILE'!$D$63/SUMSQ('TS-PILE'!$D$56:$D$75))),IF('TS-PILE'!$B$64="",-1E+99,'TO HOP NLAN'!D84/ncoc+IF(SUMSQ('TS-PILE'!$E$56:$E$75)=0,0,'TO HOP NLAN'!E84*'TS-PILE'!$E$64/SUMSQ('TS-PILE'!$E$56:$E$75))+IF(SUMSQ('TS-PILE'!$D$56:$D$75)=0,0,'TO HOP NLAN'!F84*'TS-PILE'!$D$64/SUMSQ('TS-PILE'!$D$56:$D$75))),IF('TS-PILE'!$B$65="",-1E+99,'TO HOP NLAN'!D84/ncoc+IF(SUMSQ('TS-PILE'!$E$56:$E$75)=0,0,'TO HOP NLAN'!E84*'TS-PILE'!$E$65/SUMSQ('TS-PILE'!$E$56:$E$75))+IF(SUMSQ('TS-PILE'!$D$56:$D$75)=0,0,'TO HOP NLAN'!F84*'TS-PILE'!$D$65/SUMSQ('TS-PILE'!$D$56:$D$75))),IF('TS-PILE'!$B$66="",-1E+99,'TO HOP NLAN'!D84/ncoc+IF(SUMSQ('TS-PILE'!$E$56:$E$75)=0,0,'TO HOP NLAN'!E84*'TS-PILE'!$E$66/SUMSQ('TS-PILE'!$E$56:$E$75))+IF(SUMSQ('TS-PILE'!$D$56:$D$75)=0,0,'TO HOP NLAN'!F84*'TS-PILE'!$D$66/SUMSQ('TS-PILE'!$D$56:$D$75))),IF('TS-PILE'!$B$67="",-1E+99,'TO HOP NLAN'!D84/ncoc+IF(SUMSQ('TS-PILE'!$E$56:$E$75)=0,0,'TO HOP NLAN'!E84*'TS-PILE'!$E$67/SUMSQ('TS-PILE'!$E$56:$E$75))+IF(SUMSQ('TS-PILE'!$D$56:$D$75)=0,0,'TO HOP NLAN'!F84*'TS-PILE'!$D$67/SUMSQ('TS-PILE'!$D$56:$D$75))),IF('TS-PILE'!$B$68="",-1E+99,'TO HOP NLAN'!D84/ncoc+IF(SUMSQ('TS-PILE'!$E$56:$E$75)=0,0,'TO HOP NLAN'!E84*'TS-PILE'!$E$68/SUMSQ('TS-PILE'!$E$56:$E$75))+IF(SUMSQ('TS-PILE'!$D$56:$D$75)=0,0,'TO HOP NLAN'!F84*'TS-PILE'!$D$68/SUMSQ('TS-PILE'!$D$56:$D$75))),IF('TS-PILE'!$B$69="",-1E+99,'TO HOP NLAN'!D84/ncoc+IF(SUMSQ('TS-PILE'!$E$56:$E$75)=0,0,'TO HOP NLAN'!E84*'TS-PILE'!$E$69/SUMSQ('TS-PILE'!$E$56:$E$75))+IF(SUMSQ('TS-PILE'!$D$56:$D$75)=0,0,'TO HOP NLAN'!F84*'TS-PILE'!$D$69/SUMSQ('TS-PILE'!$D$56:$D$75))),IF('TS-PILE'!$B$70="",-1E+99,'TO HOP NLAN'!D84/ncoc+IF(SUMSQ('TS-PILE'!$E$56:$E$75)=0,0,'TO HOP NLAN'!E84*'TS-PILE'!$E$70/SUMSQ('TS-PILE'!$E$56:$E$75))+IF(SUMSQ('TS-PILE'!$D$56:$D$75)=0,0,'TO HOP NLAN'!F84*'TS-PILE'!$D$70/SUMSQ('TS-PILE'!$D$56:$D$75))),IF('TS-PILE'!$B$71="",-1E+99,'TO HOP NLAN'!D84/ncoc+IF(SUMSQ('TS-PILE'!$E$56:$E$75)=0,0,'TO HOP NLAN'!E84*'TS-PILE'!$E$71/SUMSQ('TS-PILE'!$E$56:$E$75))+IF(SUMSQ('TS-PILE'!$D$56:$D$75)=0,0,'TO HOP NLAN'!F84*'TS-PILE'!$D$71/SUMSQ('TS-PILE'!$D$56:$D$75))),IF('TS-PILE'!$B$72="",-1E+99,'TO HOP NLAN'!D84/ncoc+IF(SUMSQ('TS-PILE'!$E$56:$E$75)=0,0,'TO HOP NLAN'!E84*'TS-PILE'!$E$72/SUMSQ('TS-PILE'!$E$56:$E$75))+IF(SUMSQ('TS-PILE'!$D$56:$D$75)=0,0,'TO HOP NLAN'!F84*'TS-PILE'!$D$72/SUMSQ('TS-PILE'!$D$56:$D$75))),IF('TS-PILE'!$B$73="",-1E+99,'TO HOP NLAN'!D84/ncoc+IF(SUMSQ('TS-PILE'!$E$56:$E$75)=0,0,'TO HOP NLAN'!E84*'TS-PILE'!$E$73/SUMSQ('TS-PILE'!$E$56:$E$75))+IF(SUMSQ('TS-PILE'!$D$56:$D$75)=0,0,'TO HOP NLAN'!F84*'TS-PILE'!$D$73/SUMSQ('TS-PILE'!$D$56:$D$75))),IF('TS-PILE'!$B$74="",-1E+99,'TO HOP NLAN'!D84/ncoc+IF(SUMSQ('TS-PILE'!$E$56:$E$75)=0,0,'TO HOP NLAN'!E84*'TS-PILE'!$E$74/SUMSQ('TS-PILE'!$E$56:$E$75))+IF(SUMSQ('TS-PILE'!$D$56:$D$75)=0,0,'TO HOP NLAN'!F84*'TS-PILE'!$D$74/SUMSQ('TS-PILE'!$D$56:$D$75))),IF('TS-PILE'!$B$75="",-1E+99,'TO HOP NLAN'!D84/ncoc+IF(SUMSQ('TS-PILE'!$E$56:$E$75)=0,0,'TO HOP NLAN'!E84*'TS-PILE'!$E$75/SUMSQ('TS-PILE'!$E$56:$E$75))+IF(SUMSQ('TS-PILE'!$D$56:$D$75)=0,0,'TO HOP NLAN'!F84*'TS-PILE'!$D$75/SUMSQ('TS-PILE'!$D$56:$D$75)))))</f>
        <v>0</v>
      </c>
      <c r="D84" s="46">
        <f>IF(A84="",0,MIN(IF('TS-PILE'!$B$56="",1E+99,'TO HOP NLAN'!D84/ncoc+IF(SUMSQ('TS-PILE'!$E$56:$E$75)=0,0,'TO HOP NLAN'!E84*'TS-PILE'!$E$56/SUMSQ('TS-PILE'!$E$56:$E$75))+IF(SUMSQ('TS-PILE'!$D$56:$D$75)=0,0,'TO HOP NLAN'!F84*'TS-PILE'!$D$56/SUMSQ('TS-PILE'!$D$56:$D$75))),IF('TS-PILE'!$B$57="",1E+99,'TO HOP NLAN'!D84/ncoc+IF(SUMSQ('TS-PILE'!$E$56:$E$75)=0,0,'TO HOP NLAN'!E84*'TS-PILE'!$E$57/SUMSQ('TS-PILE'!$E$56:$E$75))+IF(SUMSQ('TS-PILE'!$D$56:$D$75)=0,0,'TO HOP NLAN'!F84*'TS-PILE'!$D$57/SUMSQ('TS-PILE'!$D$56:$D$75))),IF('TS-PILE'!$B$58="",1E+99,'TO HOP NLAN'!D84/ncoc+IF(SUMSQ('TS-PILE'!$E$56:$E$75)=0,0,'TO HOP NLAN'!E84*'TS-PILE'!$E$58/SUMSQ('TS-PILE'!$E$56:$E$75))+IF(SUMSQ('TS-PILE'!$D$56:$D$75)=0,0,'TO HOP NLAN'!F84*'TS-PILE'!$D$58/SUMSQ('TS-PILE'!$D$56:$D$75))),IF('TS-PILE'!$B$59="",1E+99,'TO HOP NLAN'!D84/ncoc+IF(SUMSQ('TS-PILE'!$E$56:$E$75)=0,0,'TO HOP NLAN'!E84*'TS-PILE'!$E$59/SUMSQ('TS-PILE'!$E$56:$E$75))+IF(SUMSQ('TS-PILE'!$D$56:$D$75)=0,0,'TO HOP NLAN'!F84*'TS-PILE'!$D$59/SUMSQ('TS-PILE'!$D$56:$D$75))),IF('TS-PILE'!$B$60="",1E+99,'TO HOP NLAN'!D84/ncoc+IF(SUMSQ('TS-PILE'!$E$56:$E$75)=0,0,'TO HOP NLAN'!E84*'TS-PILE'!$E$60/SUMSQ('TS-PILE'!$E$56:$E$75))+IF(SUMSQ('TS-PILE'!$D$56:$D$75)=0,0,'TO HOP NLAN'!F84*'TS-PILE'!$D$60/SUMSQ('TS-PILE'!$D$56:$D$75))),IF('TS-PILE'!$B$61="",1E+99,'TO HOP NLAN'!D84/ncoc+IF(SUMSQ('TS-PILE'!$E$56:$E$75)=0,0,'TO HOP NLAN'!E84*'TS-PILE'!$E$61/SUMSQ('TS-PILE'!$E$56:$E$75))+IF(SUMSQ('TS-PILE'!$D$56:$D$75)=0,0,'TO HOP NLAN'!F84*'TS-PILE'!$D$61/SUMSQ('TS-PILE'!$D$56:$D$75))),IF('TS-PILE'!$B$62="",1E+99,'TO HOP NLAN'!D84/ncoc+IF(SUMSQ('TS-PILE'!$E$56:$E$75)=0,0,'TO HOP NLAN'!E84*'TS-PILE'!$E$62/SUMSQ('TS-PILE'!$E$56:$E$75))+IF(SUMSQ('TS-PILE'!$D$56:$D$75)=0,0,'TO HOP NLAN'!F84*'TS-PILE'!$D$62/SUMSQ('TS-PILE'!$D$56:$D$75))),IF('TS-PILE'!$B$63="",1E+99,'TO HOP NLAN'!D84/ncoc+IF(SUMSQ('TS-PILE'!$E$56:$E$75)=0,0,'TO HOP NLAN'!E84*'TS-PILE'!$E$63/SUMSQ('TS-PILE'!$E$56:$E$75))+IF(SUMSQ('TS-PILE'!$D$56:$D$75)=0,0,'TO HOP NLAN'!F84*'TS-PILE'!$D$63/SUMSQ('TS-PILE'!$D$56:$D$75))),IF('TS-PILE'!$B$64="",1E+99,'TO HOP NLAN'!D84/ncoc+IF(SUMSQ('TS-PILE'!$E$56:$E$75)=0,0,'TO HOP NLAN'!E84*'TS-PILE'!$E$64/SUMSQ('TS-PILE'!$E$56:$E$75))+IF(SUMSQ('TS-PILE'!$D$56:$D$75)=0,0,'TO HOP NLAN'!F84*'TS-PILE'!$D$64/SUMSQ('TS-PILE'!$D$56:$D$75))),IF('TS-PILE'!$B$65="",1E+99,'TO HOP NLAN'!D84/ncoc+IF(SUMSQ('TS-PILE'!$E$56:$E$75)=0,0,'TO HOP NLAN'!E84*'TS-PILE'!$E$65/SUMSQ('TS-PILE'!$E$56:$E$75))+IF(SUMSQ('TS-PILE'!$D$56:$D$75)=0,0,'TO HOP NLAN'!F84*'TS-PILE'!$D$65/SUMSQ('TS-PILE'!$D$56:$D$75))),IF('TS-PILE'!$B$66="",1E+99,'TO HOP NLAN'!D84/ncoc+IF(SUMSQ('TS-PILE'!$E$56:$E$75)=0,0,'TO HOP NLAN'!E84*'TS-PILE'!$E$66/SUMSQ('TS-PILE'!$E$56:$E$75))+IF(SUMSQ('TS-PILE'!$D$56:$D$75)=0,0,'TO HOP NLAN'!F84*'TS-PILE'!$D$66/SUMSQ('TS-PILE'!$D$56:$D$75))),IF('TS-PILE'!$B$67="",1E+99,'TO HOP NLAN'!D84/ncoc+IF(SUMSQ('TS-PILE'!$E$56:$E$75)=0,0,'TO HOP NLAN'!E84*'TS-PILE'!$E$67/SUMSQ('TS-PILE'!$E$56:$E$75))+IF(SUMSQ('TS-PILE'!$D$56:$D$75)=0,0,'TO HOP NLAN'!F84*'TS-PILE'!$D$67/SUMSQ('TS-PILE'!$D$56:$D$75))),IF('TS-PILE'!$B$68="",1E+99,'TO HOP NLAN'!D84/ncoc+IF(SUMSQ('TS-PILE'!$E$56:$E$75)=0,0,'TO HOP NLAN'!E84*'TS-PILE'!$E$68/SUMSQ('TS-PILE'!$E$56:$E$75))+IF(SUMSQ('TS-PILE'!$D$56:$D$75)=0,0,'TO HOP NLAN'!F84*'TS-PILE'!$D$68/SUMSQ('TS-PILE'!$D$56:$D$75))),IF('TS-PILE'!$B$69="",1E+99,'TO HOP NLAN'!D84/ncoc+IF(SUMSQ('TS-PILE'!$E$56:$E$75)=0,0,'TO HOP NLAN'!E84*'TS-PILE'!$E$69/SUMSQ('TS-PILE'!$E$56:$E$75))+IF(SUMSQ('TS-PILE'!$D$56:$D$75)=0,0,'TO HOP NLAN'!F84*'TS-PILE'!$D$69/SUMSQ('TS-PILE'!$D$56:$D$75))),IF('TS-PILE'!$B$70="",1E+99,'TO HOP NLAN'!D84/ncoc+IF(SUMSQ('TS-PILE'!$E$56:$E$75)=0,0,'TO HOP NLAN'!E84*'TS-PILE'!$E$70/SUMSQ('TS-PILE'!$E$56:$E$75))+IF(SUMSQ('TS-PILE'!$D$56:$D$75)=0,0,'TO HOP NLAN'!F84*'TS-PILE'!$D$70/SUMSQ('TS-PILE'!$D$56:$D$75))),IF('TS-PILE'!$B$71="",1E+99,'TO HOP NLAN'!D84/ncoc+IF(SUMSQ('TS-PILE'!$E$56:$E$75)=0,0,'TO HOP NLAN'!E84*'TS-PILE'!$E$71/SUMSQ('TS-PILE'!$E$56:$E$75))+IF(SUMSQ('TS-PILE'!$D$56:$D$75)=0,0,'TO HOP NLAN'!F84*'TS-PILE'!$D$71/SUMSQ('TS-PILE'!$D$56:$D$75))),IF('TS-PILE'!$B$72="",1E+99,'TO HOP NLAN'!D84/ncoc+IF(SUMSQ('TS-PILE'!$E$56:$E$75)=0,0,'TO HOP NLAN'!E84*'TS-PILE'!$E$72/SUMSQ('TS-PILE'!$E$56:$E$75))+IF(SUMSQ('TS-PILE'!$D$56:$D$75)=0,0,'TO HOP NLAN'!F84*'TS-PILE'!$D$72/SUMSQ('TS-PILE'!$D$56:$D$75))),IF('TS-PILE'!$B$73="",1E+99,'TO HOP NLAN'!D84/ncoc+IF(SUMSQ('TS-PILE'!$E$56:$E$75)=0,0,'TO HOP NLAN'!E84*'TS-PILE'!$E$73/SUMSQ('TS-PILE'!$E$56:$E$75))+IF(SUMSQ('TS-PILE'!$D$56:$D$75)=0,0,'TO HOP NLAN'!F84*'TS-PILE'!$D$73/SUMSQ('TS-PILE'!$D$56:$D$75))),IF('TS-PILE'!$B$74="",1E+99,'TO HOP NLAN'!D84/ncoc+IF(SUMSQ('TS-PILE'!$E$56:$E$75)=0,0,'TO HOP NLAN'!E84*'TS-PILE'!$E$74/SUMSQ('TS-PILE'!$E$56:$E$75))+IF(SUMSQ('TS-PILE'!$D$56:$D$75)=0,0,'TO HOP NLAN'!F84*'TS-PILE'!$D$74/SUMSQ('TS-PILE'!$D$56:$D$75))),IF('TS-PILE'!$B$75="",1E+99,'TO HOP NLAN'!D84/ncoc+IF(SUMSQ('TS-PILE'!$E$56:$E$75)=0,0,'TO HOP NLAN'!E84*'TS-PILE'!$E$75/SUMSQ('TS-PILE'!$E$56:$E$75))+IF(SUMSQ('TS-PILE'!$D$56:$D$75)=0,0,'TO HOP NLAN'!F84*'TS-PILE'!$D$75/SUMSQ('TS-PILE'!$D$56:$D$75)))))</f>
        <v>0</v>
      </c>
      <c r="E84" s="46">
        <f t="shared" si="4"/>
        <v>-9.9999999999999997E+98</v>
      </c>
      <c r="F84" s="46">
        <f t="shared" si="5"/>
        <v>9.9999999999999997E+98</v>
      </c>
      <c r="G84" s="46">
        <f t="shared" si="6"/>
        <v>-9.9999999999999997E+98</v>
      </c>
      <c r="H84" s="46">
        <f t="shared" si="7"/>
        <v>9.9999999999999997E+98</v>
      </c>
    </row>
    <row r="85" spans="1:8" x14ac:dyDescent="0.3">
      <c r="A85" s="40" t="str">
        <f>'TO HOP NLAN'!A85</f>
        <v/>
      </c>
      <c r="B85" s="40" t="str">
        <f>'TO HOP NLAN'!L85</f>
        <v>STRENGTH</v>
      </c>
      <c r="C85" s="46">
        <f>IF(A85="",0,MAX(IF('TS-PILE'!$B$56="",-1E+99,'TO HOP NLAN'!D85/ncoc+IF(SUMSQ('TS-PILE'!$E$56:$E$75)=0,0,'TO HOP NLAN'!E85*'TS-PILE'!$E$56/SUMSQ('TS-PILE'!$E$56:$E$75))+IF(SUMSQ('TS-PILE'!$D$56:$D$75)=0,0,'TO HOP NLAN'!F85*'TS-PILE'!$D$56/SUMSQ('TS-PILE'!$D$56:$D$75))),IF('TS-PILE'!$B$57="",-1E+99,'TO HOP NLAN'!D85/ncoc+IF(SUMSQ('TS-PILE'!$E$56:$E$75)=0,0,'TO HOP NLAN'!E85*'TS-PILE'!$E$57/SUMSQ('TS-PILE'!$E$56:$E$75))+IF(SUMSQ('TS-PILE'!$D$56:$D$75)=0,0,'TO HOP NLAN'!F85*'TS-PILE'!$D$57/SUMSQ('TS-PILE'!$D$56:$D$75))),IF('TS-PILE'!$B$58="",-1E+99,'TO HOP NLAN'!D85/ncoc+IF(SUMSQ('TS-PILE'!$E$56:$E$75)=0,0,'TO HOP NLAN'!E85*'TS-PILE'!$E$58/SUMSQ('TS-PILE'!$E$56:$E$75))+IF(SUMSQ('TS-PILE'!$D$56:$D$75)=0,0,'TO HOP NLAN'!F85*'TS-PILE'!$D$58/SUMSQ('TS-PILE'!$D$56:$D$75))),IF('TS-PILE'!$B$59="",-1E+99,'TO HOP NLAN'!D85/ncoc+IF(SUMSQ('TS-PILE'!$E$56:$E$75)=0,0,'TO HOP NLAN'!E85*'TS-PILE'!$E$59/SUMSQ('TS-PILE'!$E$56:$E$75))+IF(SUMSQ('TS-PILE'!$D$56:$D$75)=0,0,'TO HOP NLAN'!F85*'TS-PILE'!$D$59/SUMSQ('TS-PILE'!$D$56:$D$75))),IF('TS-PILE'!$B$60="",-1E+99,'TO HOP NLAN'!D85/ncoc+IF(SUMSQ('TS-PILE'!$E$56:$E$75)=0,0,'TO HOP NLAN'!E85*'TS-PILE'!$E$60/SUMSQ('TS-PILE'!$E$56:$E$75))+IF(SUMSQ('TS-PILE'!$D$56:$D$75)=0,0,'TO HOP NLAN'!F85*'TS-PILE'!$D$60/SUMSQ('TS-PILE'!$D$56:$D$75))),IF('TS-PILE'!$B$61="",-1E+99,'TO HOP NLAN'!D85/ncoc+IF(SUMSQ('TS-PILE'!$E$56:$E$75)=0,0,'TO HOP NLAN'!E85*'TS-PILE'!$E$61/SUMSQ('TS-PILE'!$E$56:$E$75))+IF(SUMSQ('TS-PILE'!$D$56:$D$75)=0,0,'TO HOP NLAN'!F85*'TS-PILE'!$D$61/SUMSQ('TS-PILE'!$D$56:$D$75))),IF('TS-PILE'!$B$62="",-1E+99,'TO HOP NLAN'!D85/ncoc+IF(SUMSQ('TS-PILE'!$E$56:$E$75)=0,0,'TO HOP NLAN'!E85*'TS-PILE'!$E$62/SUMSQ('TS-PILE'!$E$56:$E$75))+IF(SUMSQ('TS-PILE'!$D$56:$D$75)=0,0,'TO HOP NLAN'!F85*'TS-PILE'!$D$62/SUMSQ('TS-PILE'!$D$56:$D$75))),IF('TS-PILE'!$B$63="",-1E+99,'TO HOP NLAN'!D85/ncoc+IF(SUMSQ('TS-PILE'!$E$56:$E$75)=0,0,'TO HOP NLAN'!E85*'TS-PILE'!$E$63/SUMSQ('TS-PILE'!$E$56:$E$75))+IF(SUMSQ('TS-PILE'!$D$56:$D$75)=0,0,'TO HOP NLAN'!F85*'TS-PILE'!$D$63/SUMSQ('TS-PILE'!$D$56:$D$75))),IF('TS-PILE'!$B$64="",-1E+99,'TO HOP NLAN'!D85/ncoc+IF(SUMSQ('TS-PILE'!$E$56:$E$75)=0,0,'TO HOP NLAN'!E85*'TS-PILE'!$E$64/SUMSQ('TS-PILE'!$E$56:$E$75))+IF(SUMSQ('TS-PILE'!$D$56:$D$75)=0,0,'TO HOP NLAN'!F85*'TS-PILE'!$D$64/SUMSQ('TS-PILE'!$D$56:$D$75))),IF('TS-PILE'!$B$65="",-1E+99,'TO HOP NLAN'!D85/ncoc+IF(SUMSQ('TS-PILE'!$E$56:$E$75)=0,0,'TO HOP NLAN'!E85*'TS-PILE'!$E$65/SUMSQ('TS-PILE'!$E$56:$E$75))+IF(SUMSQ('TS-PILE'!$D$56:$D$75)=0,0,'TO HOP NLAN'!F85*'TS-PILE'!$D$65/SUMSQ('TS-PILE'!$D$56:$D$75))),IF('TS-PILE'!$B$66="",-1E+99,'TO HOP NLAN'!D85/ncoc+IF(SUMSQ('TS-PILE'!$E$56:$E$75)=0,0,'TO HOP NLAN'!E85*'TS-PILE'!$E$66/SUMSQ('TS-PILE'!$E$56:$E$75))+IF(SUMSQ('TS-PILE'!$D$56:$D$75)=0,0,'TO HOP NLAN'!F85*'TS-PILE'!$D$66/SUMSQ('TS-PILE'!$D$56:$D$75))),IF('TS-PILE'!$B$67="",-1E+99,'TO HOP NLAN'!D85/ncoc+IF(SUMSQ('TS-PILE'!$E$56:$E$75)=0,0,'TO HOP NLAN'!E85*'TS-PILE'!$E$67/SUMSQ('TS-PILE'!$E$56:$E$75))+IF(SUMSQ('TS-PILE'!$D$56:$D$75)=0,0,'TO HOP NLAN'!F85*'TS-PILE'!$D$67/SUMSQ('TS-PILE'!$D$56:$D$75))),IF('TS-PILE'!$B$68="",-1E+99,'TO HOP NLAN'!D85/ncoc+IF(SUMSQ('TS-PILE'!$E$56:$E$75)=0,0,'TO HOP NLAN'!E85*'TS-PILE'!$E$68/SUMSQ('TS-PILE'!$E$56:$E$75))+IF(SUMSQ('TS-PILE'!$D$56:$D$75)=0,0,'TO HOP NLAN'!F85*'TS-PILE'!$D$68/SUMSQ('TS-PILE'!$D$56:$D$75))),IF('TS-PILE'!$B$69="",-1E+99,'TO HOP NLAN'!D85/ncoc+IF(SUMSQ('TS-PILE'!$E$56:$E$75)=0,0,'TO HOP NLAN'!E85*'TS-PILE'!$E$69/SUMSQ('TS-PILE'!$E$56:$E$75))+IF(SUMSQ('TS-PILE'!$D$56:$D$75)=0,0,'TO HOP NLAN'!F85*'TS-PILE'!$D$69/SUMSQ('TS-PILE'!$D$56:$D$75))),IF('TS-PILE'!$B$70="",-1E+99,'TO HOP NLAN'!D85/ncoc+IF(SUMSQ('TS-PILE'!$E$56:$E$75)=0,0,'TO HOP NLAN'!E85*'TS-PILE'!$E$70/SUMSQ('TS-PILE'!$E$56:$E$75))+IF(SUMSQ('TS-PILE'!$D$56:$D$75)=0,0,'TO HOP NLAN'!F85*'TS-PILE'!$D$70/SUMSQ('TS-PILE'!$D$56:$D$75))),IF('TS-PILE'!$B$71="",-1E+99,'TO HOP NLAN'!D85/ncoc+IF(SUMSQ('TS-PILE'!$E$56:$E$75)=0,0,'TO HOP NLAN'!E85*'TS-PILE'!$E$71/SUMSQ('TS-PILE'!$E$56:$E$75))+IF(SUMSQ('TS-PILE'!$D$56:$D$75)=0,0,'TO HOP NLAN'!F85*'TS-PILE'!$D$71/SUMSQ('TS-PILE'!$D$56:$D$75))),IF('TS-PILE'!$B$72="",-1E+99,'TO HOP NLAN'!D85/ncoc+IF(SUMSQ('TS-PILE'!$E$56:$E$75)=0,0,'TO HOP NLAN'!E85*'TS-PILE'!$E$72/SUMSQ('TS-PILE'!$E$56:$E$75))+IF(SUMSQ('TS-PILE'!$D$56:$D$75)=0,0,'TO HOP NLAN'!F85*'TS-PILE'!$D$72/SUMSQ('TS-PILE'!$D$56:$D$75))),IF('TS-PILE'!$B$73="",-1E+99,'TO HOP NLAN'!D85/ncoc+IF(SUMSQ('TS-PILE'!$E$56:$E$75)=0,0,'TO HOP NLAN'!E85*'TS-PILE'!$E$73/SUMSQ('TS-PILE'!$E$56:$E$75))+IF(SUMSQ('TS-PILE'!$D$56:$D$75)=0,0,'TO HOP NLAN'!F85*'TS-PILE'!$D$73/SUMSQ('TS-PILE'!$D$56:$D$75))),IF('TS-PILE'!$B$74="",-1E+99,'TO HOP NLAN'!D85/ncoc+IF(SUMSQ('TS-PILE'!$E$56:$E$75)=0,0,'TO HOP NLAN'!E85*'TS-PILE'!$E$74/SUMSQ('TS-PILE'!$E$56:$E$75))+IF(SUMSQ('TS-PILE'!$D$56:$D$75)=0,0,'TO HOP NLAN'!F85*'TS-PILE'!$D$74/SUMSQ('TS-PILE'!$D$56:$D$75))),IF('TS-PILE'!$B$75="",-1E+99,'TO HOP NLAN'!D85/ncoc+IF(SUMSQ('TS-PILE'!$E$56:$E$75)=0,0,'TO HOP NLAN'!E85*'TS-PILE'!$E$75/SUMSQ('TS-PILE'!$E$56:$E$75))+IF(SUMSQ('TS-PILE'!$D$56:$D$75)=0,0,'TO HOP NLAN'!F85*'TS-PILE'!$D$75/SUMSQ('TS-PILE'!$D$56:$D$75)))))</f>
        <v>0</v>
      </c>
      <c r="D85" s="46">
        <f>IF(A85="",0,MIN(IF('TS-PILE'!$B$56="",1E+99,'TO HOP NLAN'!D85/ncoc+IF(SUMSQ('TS-PILE'!$E$56:$E$75)=0,0,'TO HOP NLAN'!E85*'TS-PILE'!$E$56/SUMSQ('TS-PILE'!$E$56:$E$75))+IF(SUMSQ('TS-PILE'!$D$56:$D$75)=0,0,'TO HOP NLAN'!F85*'TS-PILE'!$D$56/SUMSQ('TS-PILE'!$D$56:$D$75))),IF('TS-PILE'!$B$57="",1E+99,'TO HOP NLAN'!D85/ncoc+IF(SUMSQ('TS-PILE'!$E$56:$E$75)=0,0,'TO HOP NLAN'!E85*'TS-PILE'!$E$57/SUMSQ('TS-PILE'!$E$56:$E$75))+IF(SUMSQ('TS-PILE'!$D$56:$D$75)=0,0,'TO HOP NLAN'!F85*'TS-PILE'!$D$57/SUMSQ('TS-PILE'!$D$56:$D$75))),IF('TS-PILE'!$B$58="",1E+99,'TO HOP NLAN'!D85/ncoc+IF(SUMSQ('TS-PILE'!$E$56:$E$75)=0,0,'TO HOP NLAN'!E85*'TS-PILE'!$E$58/SUMSQ('TS-PILE'!$E$56:$E$75))+IF(SUMSQ('TS-PILE'!$D$56:$D$75)=0,0,'TO HOP NLAN'!F85*'TS-PILE'!$D$58/SUMSQ('TS-PILE'!$D$56:$D$75))),IF('TS-PILE'!$B$59="",1E+99,'TO HOP NLAN'!D85/ncoc+IF(SUMSQ('TS-PILE'!$E$56:$E$75)=0,0,'TO HOP NLAN'!E85*'TS-PILE'!$E$59/SUMSQ('TS-PILE'!$E$56:$E$75))+IF(SUMSQ('TS-PILE'!$D$56:$D$75)=0,0,'TO HOP NLAN'!F85*'TS-PILE'!$D$59/SUMSQ('TS-PILE'!$D$56:$D$75))),IF('TS-PILE'!$B$60="",1E+99,'TO HOP NLAN'!D85/ncoc+IF(SUMSQ('TS-PILE'!$E$56:$E$75)=0,0,'TO HOP NLAN'!E85*'TS-PILE'!$E$60/SUMSQ('TS-PILE'!$E$56:$E$75))+IF(SUMSQ('TS-PILE'!$D$56:$D$75)=0,0,'TO HOP NLAN'!F85*'TS-PILE'!$D$60/SUMSQ('TS-PILE'!$D$56:$D$75))),IF('TS-PILE'!$B$61="",1E+99,'TO HOP NLAN'!D85/ncoc+IF(SUMSQ('TS-PILE'!$E$56:$E$75)=0,0,'TO HOP NLAN'!E85*'TS-PILE'!$E$61/SUMSQ('TS-PILE'!$E$56:$E$75))+IF(SUMSQ('TS-PILE'!$D$56:$D$75)=0,0,'TO HOP NLAN'!F85*'TS-PILE'!$D$61/SUMSQ('TS-PILE'!$D$56:$D$75))),IF('TS-PILE'!$B$62="",1E+99,'TO HOP NLAN'!D85/ncoc+IF(SUMSQ('TS-PILE'!$E$56:$E$75)=0,0,'TO HOP NLAN'!E85*'TS-PILE'!$E$62/SUMSQ('TS-PILE'!$E$56:$E$75))+IF(SUMSQ('TS-PILE'!$D$56:$D$75)=0,0,'TO HOP NLAN'!F85*'TS-PILE'!$D$62/SUMSQ('TS-PILE'!$D$56:$D$75))),IF('TS-PILE'!$B$63="",1E+99,'TO HOP NLAN'!D85/ncoc+IF(SUMSQ('TS-PILE'!$E$56:$E$75)=0,0,'TO HOP NLAN'!E85*'TS-PILE'!$E$63/SUMSQ('TS-PILE'!$E$56:$E$75))+IF(SUMSQ('TS-PILE'!$D$56:$D$75)=0,0,'TO HOP NLAN'!F85*'TS-PILE'!$D$63/SUMSQ('TS-PILE'!$D$56:$D$75))),IF('TS-PILE'!$B$64="",1E+99,'TO HOP NLAN'!D85/ncoc+IF(SUMSQ('TS-PILE'!$E$56:$E$75)=0,0,'TO HOP NLAN'!E85*'TS-PILE'!$E$64/SUMSQ('TS-PILE'!$E$56:$E$75))+IF(SUMSQ('TS-PILE'!$D$56:$D$75)=0,0,'TO HOP NLAN'!F85*'TS-PILE'!$D$64/SUMSQ('TS-PILE'!$D$56:$D$75))),IF('TS-PILE'!$B$65="",1E+99,'TO HOP NLAN'!D85/ncoc+IF(SUMSQ('TS-PILE'!$E$56:$E$75)=0,0,'TO HOP NLAN'!E85*'TS-PILE'!$E$65/SUMSQ('TS-PILE'!$E$56:$E$75))+IF(SUMSQ('TS-PILE'!$D$56:$D$75)=0,0,'TO HOP NLAN'!F85*'TS-PILE'!$D$65/SUMSQ('TS-PILE'!$D$56:$D$75))),IF('TS-PILE'!$B$66="",1E+99,'TO HOP NLAN'!D85/ncoc+IF(SUMSQ('TS-PILE'!$E$56:$E$75)=0,0,'TO HOP NLAN'!E85*'TS-PILE'!$E$66/SUMSQ('TS-PILE'!$E$56:$E$75))+IF(SUMSQ('TS-PILE'!$D$56:$D$75)=0,0,'TO HOP NLAN'!F85*'TS-PILE'!$D$66/SUMSQ('TS-PILE'!$D$56:$D$75))),IF('TS-PILE'!$B$67="",1E+99,'TO HOP NLAN'!D85/ncoc+IF(SUMSQ('TS-PILE'!$E$56:$E$75)=0,0,'TO HOP NLAN'!E85*'TS-PILE'!$E$67/SUMSQ('TS-PILE'!$E$56:$E$75))+IF(SUMSQ('TS-PILE'!$D$56:$D$75)=0,0,'TO HOP NLAN'!F85*'TS-PILE'!$D$67/SUMSQ('TS-PILE'!$D$56:$D$75))),IF('TS-PILE'!$B$68="",1E+99,'TO HOP NLAN'!D85/ncoc+IF(SUMSQ('TS-PILE'!$E$56:$E$75)=0,0,'TO HOP NLAN'!E85*'TS-PILE'!$E$68/SUMSQ('TS-PILE'!$E$56:$E$75))+IF(SUMSQ('TS-PILE'!$D$56:$D$75)=0,0,'TO HOP NLAN'!F85*'TS-PILE'!$D$68/SUMSQ('TS-PILE'!$D$56:$D$75))),IF('TS-PILE'!$B$69="",1E+99,'TO HOP NLAN'!D85/ncoc+IF(SUMSQ('TS-PILE'!$E$56:$E$75)=0,0,'TO HOP NLAN'!E85*'TS-PILE'!$E$69/SUMSQ('TS-PILE'!$E$56:$E$75))+IF(SUMSQ('TS-PILE'!$D$56:$D$75)=0,0,'TO HOP NLAN'!F85*'TS-PILE'!$D$69/SUMSQ('TS-PILE'!$D$56:$D$75))),IF('TS-PILE'!$B$70="",1E+99,'TO HOP NLAN'!D85/ncoc+IF(SUMSQ('TS-PILE'!$E$56:$E$75)=0,0,'TO HOP NLAN'!E85*'TS-PILE'!$E$70/SUMSQ('TS-PILE'!$E$56:$E$75))+IF(SUMSQ('TS-PILE'!$D$56:$D$75)=0,0,'TO HOP NLAN'!F85*'TS-PILE'!$D$70/SUMSQ('TS-PILE'!$D$56:$D$75))),IF('TS-PILE'!$B$71="",1E+99,'TO HOP NLAN'!D85/ncoc+IF(SUMSQ('TS-PILE'!$E$56:$E$75)=0,0,'TO HOP NLAN'!E85*'TS-PILE'!$E$71/SUMSQ('TS-PILE'!$E$56:$E$75))+IF(SUMSQ('TS-PILE'!$D$56:$D$75)=0,0,'TO HOP NLAN'!F85*'TS-PILE'!$D$71/SUMSQ('TS-PILE'!$D$56:$D$75))),IF('TS-PILE'!$B$72="",1E+99,'TO HOP NLAN'!D85/ncoc+IF(SUMSQ('TS-PILE'!$E$56:$E$75)=0,0,'TO HOP NLAN'!E85*'TS-PILE'!$E$72/SUMSQ('TS-PILE'!$E$56:$E$75))+IF(SUMSQ('TS-PILE'!$D$56:$D$75)=0,0,'TO HOP NLAN'!F85*'TS-PILE'!$D$72/SUMSQ('TS-PILE'!$D$56:$D$75))),IF('TS-PILE'!$B$73="",1E+99,'TO HOP NLAN'!D85/ncoc+IF(SUMSQ('TS-PILE'!$E$56:$E$75)=0,0,'TO HOP NLAN'!E85*'TS-PILE'!$E$73/SUMSQ('TS-PILE'!$E$56:$E$75))+IF(SUMSQ('TS-PILE'!$D$56:$D$75)=0,0,'TO HOP NLAN'!F85*'TS-PILE'!$D$73/SUMSQ('TS-PILE'!$D$56:$D$75))),IF('TS-PILE'!$B$74="",1E+99,'TO HOP NLAN'!D85/ncoc+IF(SUMSQ('TS-PILE'!$E$56:$E$75)=0,0,'TO HOP NLAN'!E85*'TS-PILE'!$E$74/SUMSQ('TS-PILE'!$E$56:$E$75))+IF(SUMSQ('TS-PILE'!$D$56:$D$75)=0,0,'TO HOP NLAN'!F85*'TS-PILE'!$D$74/SUMSQ('TS-PILE'!$D$56:$D$75))),IF('TS-PILE'!$B$75="",1E+99,'TO HOP NLAN'!D85/ncoc+IF(SUMSQ('TS-PILE'!$E$56:$E$75)=0,0,'TO HOP NLAN'!E85*'TS-PILE'!$E$75/SUMSQ('TS-PILE'!$E$56:$E$75))+IF(SUMSQ('TS-PILE'!$D$56:$D$75)=0,0,'TO HOP NLAN'!F85*'TS-PILE'!$D$75/SUMSQ('TS-PILE'!$D$56:$D$75)))))</f>
        <v>0</v>
      </c>
      <c r="E85" s="46">
        <f t="shared" si="4"/>
        <v>-9.9999999999999997E+98</v>
      </c>
      <c r="F85" s="46">
        <f t="shared" si="5"/>
        <v>9.9999999999999997E+98</v>
      </c>
      <c r="G85" s="46">
        <f t="shared" si="6"/>
        <v>-9.9999999999999997E+98</v>
      </c>
      <c r="H85" s="46">
        <f t="shared" si="7"/>
        <v>9.9999999999999997E+98</v>
      </c>
    </row>
    <row r="86" spans="1:8" x14ac:dyDescent="0.3">
      <c r="A86" s="40" t="str">
        <f>'TO HOP NLAN'!A86</f>
        <v/>
      </c>
      <c r="B86" s="40" t="str">
        <f>'TO HOP NLAN'!L86</f>
        <v>STRENGTH</v>
      </c>
      <c r="C86" s="46">
        <f>IF(A86="",0,MAX(IF('TS-PILE'!$B$56="",-1E+99,'TO HOP NLAN'!D86/ncoc+IF(SUMSQ('TS-PILE'!$E$56:$E$75)=0,0,'TO HOP NLAN'!E86*'TS-PILE'!$E$56/SUMSQ('TS-PILE'!$E$56:$E$75))+IF(SUMSQ('TS-PILE'!$D$56:$D$75)=0,0,'TO HOP NLAN'!F86*'TS-PILE'!$D$56/SUMSQ('TS-PILE'!$D$56:$D$75))),IF('TS-PILE'!$B$57="",-1E+99,'TO HOP NLAN'!D86/ncoc+IF(SUMSQ('TS-PILE'!$E$56:$E$75)=0,0,'TO HOP NLAN'!E86*'TS-PILE'!$E$57/SUMSQ('TS-PILE'!$E$56:$E$75))+IF(SUMSQ('TS-PILE'!$D$56:$D$75)=0,0,'TO HOP NLAN'!F86*'TS-PILE'!$D$57/SUMSQ('TS-PILE'!$D$56:$D$75))),IF('TS-PILE'!$B$58="",-1E+99,'TO HOP NLAN'!D86/ncoc+IF(SUMSQ('TS-PILE'!$E$56:$E$75)=0,0,'TO HOP NLAN'!E86*'TS-PILE'!$E$58/SUMSQ('TS-PILE'!$E$56:$E$75))+IF(SUMSQ('TS-PILE'!$D$56:$D$75)=0,0,'TO HOP NLAN'!F86*'TS-PILE'!$D$58/SUMSQ('TS-PILE'!$D$56:$D$75))),IF('TS-PILE'!$B$59="",-1E+99,'TO HOP NLAN'!D86/ncoc+IF(SUMSQ('TS-PILE'!$E$56:$E$75)=0,0,'TO HOP NLAN'!E86*'TS-PILE'!$E$59/SUMSQ('TS-PILE'!$E$56:$E$75))+IF(SUMSQ('TS-PILE'!$D$56:$D$75)=0,0,'TO HOP NLAN'!F86*'TS-PILE'!$D$59/SUMSQ('TS-PILE'!$D$56:$D$75))),IF('TS-PILE'!$B$60="",-1E+99,'TO HOP NLAN'!D86/ncoc+IF(SUMSQ('TS-PILE'!$E$56:$E$75)=0,0,'TO HOP NLAN'!E86*'TS-PILE'!$E$60/SUMSQ('TS-PILE'!$E$56:$E$75))+IF(SUMSQ('TS-PILE'!$D$56:$D$75)=0,0,'TO HOP NLAN'!F86*'TS-PILE'!$D$60/SUMSQ('TS-PILE'!$D$56:$D$75))),IF('TS-PILE'!$B$61="",-1E+99,'TO HOP NLAN'!D86/ncoc+IF(SUMSQ('TS-PILE'!$E$56:$E$75)=0,0,'TO HOP NLAN'!E86*'TS-PILE'!$E$61/SUMSQ('TS-PILE'!$E$56:$E$75))+IF(SUMSQ('TS-PILE'!$D$56:$D$75)=0,0,'TO HOP NLAN'!F86*'TS-PILE'!$D$61/SUMSQ('TS-PILE'!$D$56:$D$75))),IF('TS-PILE'!$B$62="",-1E+99,'TO HOP NLAN'!D86/ncoc+IF(SUMSQ('TS-PILE'!$E$56:$E$75)=0,0,'TO HOP NLAN'!E86*'TS-PILE'!$E$62/SUMSQ('TS-PILE'!$E$56:$E$75))+IF(SUMSQ('TS-PILE'!$D$56:$D$75)=0,0,'TO HOP NLAN'!F86*'TS-PILE'!$D$62/SUMSQ('TS-PILE'!$D$56:$D$75))),IF('TS-PILE'!$B$63="",-1E+99,'TO HOP NLAN'!D86/ncoc+IF(SUMSQ('TS-PILE'!$E$56:$E$75)=0,0,'TO HOP NLAN'!E86*'TS-PILE'!$E$63/SUMSQ('TS-PILE'!$E$56:$E$75))+IF(SUMSQ('TS-PILE'!$D$56:$D$75)=0,0,'TO HOP NLAN'!F86*'TS-PILE'!$D$63/SUMSQ('TS-PILE'!$D$56:$D$75))),IF('TS-PILE'!$B$64="",-1E+99,'TO HOP NLAN'!D86/ncoc+IF(SUMSQ('TS-PILE'!$E$56:$E$75)=0,0,'TO HOP NLAN'!E86*'TS-PILE'!$E$64/SUMSQ('TS-PILE'!$E$56:$E$75))+IF(SUMSQ('TS-PILE'!$D$56:$D$75)=0,0,'TO HOP NLAN'!F86*'TS-PILE'!$D$64/SUMSQ('TS-PILE'!$D$56:$D$75))),IF('TS-PILE'!$B$65="",-1E+99,'TO HOP NLAN'!D86/ncoc+IF(SUMSQ('TS-PILE'!$E$56:$E$75)=0,0,'TO HOP NLAN'!E86*'TS-PILE'!$E$65/SUMSQ('TS-PILE'!$E$56:$E$75))+IF(SUMSQ('TS-PILE'!$D$56:$D$75)=0,0,'TO HOP NLAN'!F86*'TS-PILE'!$D$65/SUMSQ('TS-PILE'!$D$56:$D$75))),IF('TS-PILE'!$B$66="",-1E+99,'TO HOP NLAN'!D86/ncoc+IF(SUMSQ('TS-PILE'!$E$56:$E$75)=0,0,'TO HOP NLAN'!E86*'TS-PILE'!$E$66/SUMSQ('TS-PILE'!$E$56:$E$75))+IF(SUMSQ('TS-PILE'!$D$56:$D$75)=0,0,'TO HOP NLAN'!F86*'TS-PILE'!$D$66/SUMSQ('TS-PILE'!$D$56:$D$75))),IF('TS-PILE'!$B$67="",-1E+99,'TO HOP NLAN'!D86/ncoc+IF(SUMSQ('TS-PILE'!$E$56:$E$75)=0,0,'TO HOP NLAN'!E86*'TS-PILE'!$E$67/SUMSQ('TS-PILE'!$E$56:$E$75))+IF(SUMSQ('TS-PILE'!$D$56:$D$75)=0,0,'TO HOP NLAN'!F86*'TS-PILE'!$D$67/SUMSQ('TS-PILE'!$D$56:$D$75))),IF('TS-PILE'!$B$68="",-1E+99,'TO HOP NLAN'!D86/ncoc+IF(SUMSQ('TS-PILE'!$E$56:$E$75)=0,0,'TO HOP NLAN'!E86*'TS-PILE'!$E$68/SUMSQ('TS-PILE'!$E$56:$E$75))+IF(SUMSQ('TS-PILE'!$D$56:$D$75)=0,0,'TO HOP NLAN'!F86*'TS-PILE'!$D$68/SUMSQ('TS-PILE'!$D$56:$D$75))),IF('TS-PILE'!$B$69="",-1E+99,'TO HOP NLAN'!D86/ncoc+IF(SUMSQ('TS-PILE'!$E$56:$E$75)=0,0,'TO HOP NLAN'!E86*'TS-PILE'!$E$69/SUMSQ('TS-PILE'!$E$56:$E$75))+IF(SUMSQ('TS-PILE'!$D$56:$D$75)=0,0,'TO HOP NLAN'!F86*'TS-PILE'!$D$69/SUMSQ('TS-PILE'!$D$56:$D$75))),IF('TS-PILE'!$B$70="",-1E+99,'TO HOP NLAN'!D86/ncoc+IF(SUMSQ('TS-PILE'!$E$56:$E$75)=0,0,'TO HOP NLAN'!E86*'TS-PILE'!$E$70/SUMSQ('TS-PILE'!$E$56:$E$75))+IF(SUMSQ('TS-PILE'!$D$56:$D$75)=0,0,'TO HOP NLAN'!F86*'TS-PILE'!$D$70/SUMSQ('TS-PILE'!$D$56:$D$75))),IF('TS-PILE'!$B$71="",-1E+99,'TO HOP NLAN'!D86/ncoc+IF(SUMSQ('TS-PILE'!$E$56:$E$75)=0,0,'TO HOP NLAN'!E86*'TS-PILE'!$E$71/SUMSQ('TS-PILE'!$E$56:$E$75))+IF(SUMSQ('TS-PILE'!$D$56:$D$75)=0,0,'TO HOP NLAN'!F86*'TS-PILE'!$D$71/SUMSQ('TS-PILE'!$D$56:$D$75))),IF('TS-PILE'!$B$72="",-1E+99,'TO HOP NLAN'!D86/ncoc+IF(SUMSQ('TS-PILE'!$E$56:$E$75)=0,0,'TO HOP NLAN'!E86*'TS-PILE'!$E$72/SUMSQ('TS-PILE'!$E$56:$E$75))+IF(SUMSQ('TS-PILE'!$D$56:$D$75)=0,0,'TO HOP NLAN'!F86*'TS-PILE'!$D$72/SUMSQ('TS-PILE'!$D$56:$D$75))),IF('TS-PILE'!$B$73="",-1E+99,'TO HOP NLAN'!D86/ncoc+IF(SUMSQ('TS-PILE'!$E$56:$E$75)=0,0,'TO HOP NLAN'!E86*'TS-PILE'!$E$73/SUMSQ('TS-PILE'!$E$56:$E$75))+IF(SUMSQ('TS-PILE'!$D$56:$D$75)=0,0,'TO HOP NLAN'!F86*'TS-PILE'!$D$73/SUMSQ('TS-PILE'!$D$56:$D$75))),IF('TS-PILE'!$B$74="",-1E+99,'TO HOP NLAN'!D86/ncoc+IF(SUMSQ('TS-PILE'!$E$56:$E$75)=0,0,'TO HOP NLAN'!E86*'TS-PILE'!$E$74/SUMSQ('TS-PILE'!$E$56:$E$75))+IF(SUMSQ('TS-PILE'!$D$56:$D$75)=0,0,'TO HOP NLAN'!F86*'TS-PILE'!$D$74/SUMSQ('TS-PILE'!$D$56:$D$75))),IF('TS-PILE'!$B$75="",-1E+99,'TO HOP NLAN'!D86/ncoc+IF(SUMSQ('TS-PILE'!$E$56:$E$75)=0,0,'TO HOP NLAN'!E86*'TS-PILE'!$E$75/SUMSQ('TS-PILE'!$E$56:$E$75))+IF(SUMSQ('TS-PILE'!$D$56:$D$75)=0,0,'TO HOP NLAN'!F86*'TS-PILE'!$D$75/SUMSQ('TS-PILE'!$D$56:$D$75)))))</f>
        <v>0</v>
      </c>
      <c r="D86" s="46">
        <f>IF(A86="",0,MIN(IF('TS-PILE'!$B$56="",1E+99,'TO HOP NLAN'!D86/ncoc+IF(SUMSQ('TS-PILE'!$E$56:$E$75)=0,0,'TO HOP NLAN'!E86*'TS-PILE'!$E$56/SUMSQ('TS-PILE'!$E$56:$E$75))+IF(SUMSQ('TS-PILE'!$D$56:$D$75)=0,0,'TO HOP NLAN'!F86*'TS-PILE'!$D$56/SUMSQ('TS-PILE'!$D$56:$D$75))),IF('TS-PILE'!$B$57="",1E+99,'TO HOP NLAN'!D86/ncoc+IF(SUMSQ('TS-PILE'!$E$56:$E$75)=0,0,'TO HOP NLAN'!E86*'TS-PILE'!$E$57/SUMSQ('TS-PILE'!$E$56:$E$75))+IF(SUMSQ('TS-PILE'!$D$56:$D$75)=0,0,'TO HOP NLAN'!F86*'TS-PILE'!$D$57/SUMSQ('TS-PILE'!$D$56:$D$75))),IF('TS-PILE'!$B$58="",1E+99,'TO HOP NLAN'!D86/ncoc+IF(SUMSQ('TS-PILE'!$E$56:$E$75)=0,0,'TO HOP NLAN'!E86*'TS-PILE'!$E$58/SUMSQ('TS-PILE'!$E$56:$E$75))+IF(SUMSQ('TS-PILE'!$D$56:$D$75)=0,0,'TO HOP NLAN'!F86*'TS-PILE'!$D$58/SUMSQ('TS-PILE'!$D$56:$D$75))),IF('TS-PILE'!$B$59="",1E+99,'TO HOP NLAN'!D86/ncoc+IF(SUMSQ('TS-PILE'!$E$56:$E$75)=0,0,'TO HOP NLAN'!E86*'TS-PILE'!$E$59/SUMSQ('TS-PILE'!$E$56:$E$75))+IF(SUMSQ('TS-PILE'!$D$56:$D$75)=0,0,'TO HOP NLAN'!F86*'TS-PILE'!$D$59/SUMSQ('TS-PILE'!$D$56:$D$75))),IF('TS-PILE'!$B$60="",1E+99,'TO HOP NLAN'!D86/ncoc+IF(SUMSQ('TS-PILE'!$E$56:$E$75)=0,0,'TO HOP NLAN'!E86*'TS-PILE'!$E$60/SUMSQ('TS-PILE'!$E$56:$E$75))+IF(SUMSQ('TS-PILE'!$D$56:$D$75)=0,0,'TO HOP NLAN'!F86*'TS-PILE'!$D$60/SUMSQ('TS-PILE'!$D$56:$D$75))),IF('TS-PILE'!$B$61="",1E+99,'TO HOP NLAN'!D86/ncoc+IF(SUMSQ('TS-PILE'!$E$56:$E$75)=0,0,'TO HOP NLAN'!E86*'TS-PILE'!$E$61/SUMSQ('TS-PILE'!$E$56:$E$75))+IF(SUMSQ('TS-PILE'!$D$56:$D$75)=0,0,'TO HOP NLAN'!F86*'TS-PILE'!$D$61/SUMSQ('TS-PILE'!$D$56:$D$75))),IF('TS-PILE'!$B$62="",1E+99,'TO HOP NLAN'!D86/ncoc+IF(SUMSQ('TS-PILE'!$E$56:$E$75)=0,0,'TO HOP NLAN'!E86*'TS-PILE'!$E$62/SUMSQ('TS-PILE'!$E$56:$E$75))+IF(SUMSQ('TS-PILE'!$D$56:$D$75)=0,0,'TO HOP NLAN'!F86*'TS-PILE'!$D$62/SUMSQ('TS-PILE'!$D$56:$D$75))),IF('TS-PILE'!$B$63="",1E+99,'TO HOP NLAN'!D86/ncoc+IF(SUMSQ('TS-PILE'!$E$56:$E$75)=0,0,'TO HOP NLAN'!E86*'TS-PILE'!$E$63/SUMSQ('TS-PILE'!$E$56:$E$75))+IF(SUMSQ('TS-PILE'!$D$56:$D$75)=0,0,'TO HOP NLAN'!F86*'TS-PILE'!$D$63/SUMSQ('TS-PILE'!$D$56:$D$75))),IF('TS-PILE'!$B$64="",1E+99,'TO HOP NLAN'!D86/ncoc+IF(SUMSQ('TS-PILE'!$E$56:$E$75)=0,0,'TO HOP NLAN'!E86*'TS-PILE'!$E$64/SUMSQ('TS-PILE'!$E$56:$E$75))+IF(SUMSQ('TS-PILE'!$D$56:$D$75)=0,0,'TO HOP NLAN'!F86*'TS-PILE'!$D$64/SUMSQ('TS-PILE'!$D$56:$D$75))),IF('TS-PILE'!$B$65="",1E+99,'TO HOP NLAN'!D86/ncoc+IF(SUMSQ('TS-PILE'!$E$56:$E$75)=0,0,'TO HOP NLAN'!E86*'TS-PILE'!$E$65/SUMSQ('TS-PILE'!$E$56:$E$75))+IF(SUMSQ('TS-PILE'!$D$56:$D$75)=0,0,'TO HOP NLAN'!F86*'TS-PILE'!$D$65/SUMSQ('TS-PILE'!$D$56:$D$75))),IF('TS-PILE'!$B$66="",1E+99,'TO HOP NLAN'!D86/ncoc+IF(SUMSQ('TS-PILE'!$E$56:$E$75)=0,0,'TO HOP NLAN'!E86*'TS-PILE'!$E$66/SUMSQ('TS-PILE'!$E$56:$E$75))+IF(SUMSQ('TS-PILE'!$D$56:$D$75)=0,0,'TO HOP NLAN'!F86*'TS-PILE'!$D$66/SUMSQ('TS-PILE'!$D$56:$D$75))),IF('TS-PILE'!$B$67="",1E+99,'TO HOP NLAN'!D86/ncoc+IF(SUMSQ('TS-PILE'!$E$56:$E$75)=0,0,'TO HOP NLAN'!E86*'TS-PILE'!$E$67/SUMSQ('TS-PILE'!$E$56:$E$75))+IF(SUMSQ('TS-PILE'!$D$56:$D$75)=0,0,'TO HOP NLAN'!F86*'TS-PILE'!$D$67/SUMSQ('TS-PILE'!$D$56:$D$75))),IF('TS-PILE'!$B$68="",1E+99,'TO HOP NLAN'!D86/ncoc+IF(SUMSQ('TS-PILE'!$E$56:$E$75)=0,0,'TO HOP NLAN'!E86*'TS-PILE'!$E$68/SUMSQ('TS-PILE'!$E$56:$E$75))+IF(SUMSQ('TS-PILE'!$D$56:$D$75)=0,0,'TO HOP NLAN'!F86*'TS-PILE'!$D$68/SUMSQ('TS-PILE'!$D$56:$D$75))),IF('TS-PILE'!$B$69="",1E+99,'TO HOP NLAN'!D86/ncoc+IF(SUMSQ('TS-PILE'!$E$56:$E$75)=0,0,'TO HOP NLAN'!E86*'TS-PILE'!$E$69/SUMSQ('TS-PILE'!$E$56:$E$75))+IF(SUMSQ('TS-PILE'!$D$56:$D$75)=0,0,'TO HOP NLAN'!F86*'TS-PILE'!$D$69/SUMSQ('TS-PILE'!$D$56:$D$75))),IF('TS-PILE'!$B$70="",1E+99,'TO HOP NLAN'!D86/ncoc+IF(SUMSQ('TS-PILE'!$E$56:$E$75)=0,0,'TO HOP NLAN'!E86*'TS-PILE'!$E$70/SUMSQ('TS-PILE'!$E$56:$E$75))+IF(SUMSQ('TS-PILE'!$D$56:$D$75)=0,0,'TO HOP NLAN'!F86*'TS-PILE'!$D$70/SUMSQ('TS-PILE'!$D$56:$D$75))),IF('TS-PILE'!$B$71="",1E+99,'TO HOP NLAN'!D86/ncoc+IF(SUMSQ('TS-PILE'!$E$56:$E$75)=0,0,'TO HOP NLAN'!E86*'TS-PILE'!$E$71/SUMSQ('TS-PILE'!$E$56:$E$75))+IF(SUMSQ('TS-PILE'!$D$56:$D$75)=0,0,'TO HOP NLAN'!F86*'TS-PILE'!$D$71/SUMSQ('TS-PILE'!$D$56:$D$75))),IF('TS-PILE'!$B$72="",1E+99,'TO HOP NLAN'!D86/ncoc+IF(SUMSQ('TS-PILE'!$E$56:$E$75)=0,0,'TO HOP NLAN'!E86*'TS-PILE'!$E$72/SUMSQ('TS-PILE'!$E$56:$E$75))+IF(SUMSQ('TS-PILE'!$D$56:$D$75)=0,0,'TO HOP NLAN'!F86*'TS-PILE'!$D$72/SUMSQ('TS-PILE'!$D$56:$D$75))),IF('TS-PILE'!$B$73="",1E+99,'TO HOP NLAN'!D86/ncoc+IF(SUMSQ('TS-PILE'!$E$56:$E$75)=0,0,'TO HOP NLAN'!E86*'TS-PILE'!$E$73/SUMSQ('TS-PILE'!$E$56:$E$75))+IF(SUMSQ('TS-PILE'!$D$56:$D$75)=0,0,'TO HOP NLAN'!F86*'TS-PILE'!$D$73/SUMSQ('TS-PILE'!$D$56:$D$75))),IF('TS-PILE'!$B$74="",1E+99,'TO HOP NLAN'!D86/ncoc+IF(SUMSQ('TS-PILE'!$E$56:$E$75)=0,0,'TO HOP NLAN'!E86*'TS-PILE'!$E$74/SUMSQ('TS-PILE'!$E$56:$E$75))+IF(SUMSQ('TS-PILE'!$D$56:$D$75)=0,0,'TO HOP NLAN'!F86*'TS-PILE'!$D$74/SUMSQ('TS-PILE'!$D$56:$D$75))),IF('TS-PILE'!$B$75="",1E+99,'TO HOP NLAN'!D86/ncoc+IF(SUMSQ('TS-PILE'!$E$56:$E$75)=0,0,'TO HOP NLAN'!E86*'TS-PILE'!$E$75/SUMSQ('TS-PILE'!$E$56:$E$75))+IF(SUMSQ('TS-PILE'!$D$56:$D$75)=0,0,'TO HOP NLAN'!F86*'TS-PILE'!$D$75/SUMSQ('TS-PILE'!$D$56:$D$75)))))</f>
        <v>0</v>
      </c>
      <c r="E86" s="46">
        <f t="shared" si="4"/>
        <v>-9.9999999999999997E+98</v>
      </c>
      <c r="F86" s="46">
        <f t="shared" si="5"/>
        <v>9.9999999999999997E+98</v>
      </c>
      <c r="G86" s="46">
        <f t="shared" si="6"/>
        <v>-9.9999999999999997E+98</v>
      </c>
      <c r="H86" s="46">
        <f t="shared" si="7"/>
        <v>9.9999999999999997E+98</v>
      </c>
    </row>
    <row r="87" spans="1:8" x14ac:dyDescent="0.3">
      <c r="A87" s="40" t="str">
        <f>'TO HOP NLAN'!A87</f>
        <v/>
      </c>
      <c r="B87" s="40" t="str">
        <f>'TO HOP NLAN'!L87</f>
        <v>STRENGTH</v>
      </c>
      <c r="C87" s="46">
        <f>IF(A87="",0,MAX(IF('TS-PILE'!$B$56="",-1E+99,'TO HOP NLAN'!D87/ncoc+IF(SUMSQ('TS-PILE'!$E$56:$E$75)=0,0,'TO HOP NLAN'!E87*'TS-PILE'!$E$56/SUMSQ('TS-PILE'!$E$56:$E$75))+IF(SUMSQ('TS-PILE'!$D$56:$D$75)=0,0,'TO HOP NLAN'!F87*'TS-PILE'!$D$56/SUMSQ('TS-PILE'!$D$56:$D$75))),IF('TS-PILE'!$B$57="",-1E+99,'TO HOP NLAN'!D87/ncoc+IF(SUMSQ('TS-PILE'!$E$56:$E$75)=0,0,'TO HOP NLAN'!E87*'TS-PILE'!$E$57/SUMSQ('TS-PILE'!$E$56:$E$75))+IF(SUMSQ('TS-PILE'!$D$56:$D$75)=0,0,'TO HOP NLAN'!F87*'TS-PILE'!$D$57/SUMSQ('TS-PILE'!$D$56:$D$75))),IF('TS-PILE'!$B$58="",-1E+99,'TO HOP NLAN'!D87/ncoc+IF(SUMSQ('TS-PILE'!$E$56:$E$75)=0,0,'TO HOP NLAN'!E87*'TS-PILE'!$E$58/SUMSQ('TS-PILE'!$E$56:$E$75))+IF(SUMSQ('TS-PILE'!$D$56:$D$75)=0,0,'TO HOP NLAN'!F87*'TS-PILE'!$D$58/SUMSQ('TS-PILE'!$D$56:$D$75))),IF('TS-PILE'!$B$59="",-1E+99,'TO HOP NLAN'!D87/ncoc+IF(SUMSQ('TS-PILE'!$E$56:$E$75)=0,0,'TO HOP NLAN'!E87*'TS-PILE'!$E$59/SUMSQ('TS-PILE'!$E$56:$E$75))+IF(SUMSQ('TS-PILE'!$D$56:$D$75)=0,0,'TO HOP NLAN'!F87*'TS-PILE'!$D$59/SUMSQ('TS-PILE'!$D$56:$D$75))),IF('TS-PILE'!$B$60="",-1E+99,'TO HOP NLAN'!D87/ncoc+IF(SUMSQ('TS-PILE'!$E$56:$E$75)=0,0,'TO HOP NLAN'!E87*'TS-PILE'!$E$60/SUMSQ('TS-PILE'!$E$56:$E$75))+IF(SUMSQ('TS-PILE'!$D$56:$D$75)=0,0,'TO HOP NLAN'!F87*'TS-PILE'!$D$60/SUMSQ('TS-PILE'!$D$56:$D$75))),IF('TS-PILE'!$B$61="",-1E+99,'TO HOP NLAN'!D87/ncoc+IF(SUMSQ('TS-PILE'!$E$56:$E$75)=0,0,'TO HOP NLAN'!E87*'TS-PILE'!$E$61/SUMSQ('TS-PILE'!$E$56:$E$75))+IF(SUMSQ('TS-PILE'!$D$56:$D$75)=0,0,'TO HOP NLAN'!F87*'TS-PILE'!$D$61/SUMSQ('TS-PILE'!$D$56:$D$75))),IF('TS-PILE'!$B$62="",-1E+99,'TO HOP NLAN'!D87/ncoc+IF(SUMSQ('TS-PILE'!$E$56:$E$75)=0,0,'TO HOP NLAN'!E87*'TS-PILE'!$E$62/SUMSQ('TS-PILE'!$E$56:$E$75))+IF(SUMSQ('TS-PILE'!$D$56:$D$75)=0,0,'TO HOP NLAN'!F87*'TS-PILE'!$D$62/SUMSQ('TS-PILE'!$D$56:$D$75))),IF('TS-PILE'!$B$63="",-1E+99,'TO HOP NLAN'!D87/ncoc+IF(SUMSQ('TS-PILE'!$E$56:$E$75)=0,0,'TO HOP NLAN'!E87*'TS-PILE'!$E$63/SUMSQ('TS-PILE'!$E$56:$E$75))+IF(SUMSQ('TS-PILE'!$D$56:$D$75)=0,0,'TO HOP NLAN'!F87*'TS-PILE'!$D$63/SUMSQ('TS-PILE'!$D$56:$D$75))),IF('TS-PILE'!$B$64="",-1E+99,'TO HOP NLAN'!D87/ncoc+IF(SUMSQ('TS-PILE'!$E$56:$E$75)=0,0,'TO HOP NLAN'!E87*'TS-PILE'!$E$64/SUMSQ('TS-PILE'!$E$56:$E$75))+IF(SUMSQ('TS-PILE'!$D$56:$D$75)=0,0,'TO HOP NLAN'!F87*'TS-PILE'!$D$64/SUMSQ('TS-PILE'!$D$56:$D$75))),IF('TS-PILE'!$B$65="",-1E+99,'TO HOP NLAN'!D87/ncoc+IF(SUMSQ('TS-PILE'!$E$56:$E$75)=0,0,'TO HOP NLAN'!E87*'TS-PILE'!$E$65/SUMSQ('TS-PILE'!$E$56:$E$75))+IF(SUMSQ('TS-PILE'!$D$56:$D$75)=0,0,'TO HOP NLAN'!F87*'TS-PILE'!$D$65/SUMSQ('TS-PILE'!$D$56:$D$75))),IF('TS-PILE'!$B$66="",-1E+99,'TO HOP NLAN'!D87/ncoc+IF(SUMSQ('TS-PILE'!$E$56:$E$75)=0,0,'TO HOP NLAN'!E87*'TS-PILE'!$E$66/SUMSQ('TS-PILE'!$E$56:$E$75))+IF(SUMSQ('TS-PILE'!$D$56:$D$75)=0,0,'TO HOP NLAN'!F87*'TS-PILE'!$D$66/SUMSQ('TS-PILE'!$D$56:$D$75))),IF('TS-PILE'!$B$67="",-1E+99,'TO HOP NLAN'!D87/ncoc+IF(SUMSQ('TS-PILE'!$E$56:$E$75)=0,0,'TO HOP NLAN'!E87*'TS-PILE'!$E$67/SUMSQ('TS-PILE'!$E$56:$E$75))+IF(SUMSQ('TS-PILE'!$D$56:$D$75)=0,0,'TO HOP NLAN'!F87*'TS-PILE'!$D$67/SUMSQ('TS-PILE'!$D$56:$D$75))),IF('TS-PILE'!$B$68="",-1E+99,'TO HOP NLAN'!D87/ncoc+IF(SUMSQ('TS-PILE'!$E$56:$E$75)=0,0,'TO HOP NLAN'!E87*'TS-PILE'!$E$68/SUMSQ('TS-PILE'!$E$56:$E$75))+IF(SUMSQ('TS-PILE'!$D$56:$D$75)=0,0,'TO HOP NLAN'!F87*'TS-PILE'!$D$68/SUMSQ('TS-PILE'!$D$56:$D$75))),IF('TS-PILE'!$B$69="",-1E+99,'TO HOP NLAN'!D87/ncoc+IF(SUMSQ('TS-PILE'!$E$56:$E$75)=0,0,'TO HOP NLAN'!E87*'TS-PILE'!$E$69/SUMSQ('TS-PILE'!$E$56:$E$75))+IF(SUMSQ('TS-PILE'!$D$56:$D$75)=0,0,'TO HOP NLAN'!F87*'TS-PILE'!$D$69/SUMSQ('TS-PILE'!$D$56:$D$75))),IF('TS-PILE'!$B$70="",-1E+99,'TO HOP NLAN'!D87/ncoc+IF(SUMSQ('TS-PILE'!$E$56:$E$75)=0,0,'TO HOP NLAN'!E87*'TS-PILE'!$E$70/SUMSQ('TS-PILE'!$E$56:$E$75))+IF(SUMSQ('TS-PILE'!$D$56:$D$75)=0,0,'TO HOP NLAN'!F87*'TS-PILE'!$D$70/SUMSQ('TS-PILE'!$D$56:$D$75))),IF('TS-PILE'!$B$71="",-1E+99,'TO HOP NLAN'!D87/ncoc+IF(SUMSQ('TS-PILE'!$E$56:$E$75)=0,0,'TO HOP NLAN'!E87*'TS-PILE'!$E$71/SUMSQ('TS-PILE'!$E$56:$E$75))+IF(SUMSQ('TS-PILE'!$D$56:$D$75)=0,0,'TO HOP NLAN'!F87*'TS-PILE'!$D$71/SUMSQ('TS-PILE'!$D$56:$D$75))),IF('TS-PILE'!$B$72="",-1E+99,'TO HOP NLAN'!D87/ncoc+IF(SUMSQ('TS-PILE'!$E$56:$E$75)=0,0,'TO HOP NLAN'!E87*'TS-PILE'!$E$72/SUMSQ('TS-PILE'!$E$56:$E$75))+IF(SUMSQ('TS-PILE'!$D$56:$D$75)=0,0,'TO HOP NLAN'!F87*'TS-PILE'!$D$72/SUMSQ('TS-PILE'!$D$56:$D$75))),IF('TS-PILE'!$B$73="",-1E+99,'TO HOP NLAN'!D87/ncoc+IF(SUMSQ('TS-PILE'!$E$56:$E$75)=0,0,'TO HOP NLAN'!E87*'TS-PILE'!$E$73/SUMSQ('TS-PILE'!$E$56:$E$75))+IF(SUMSQ('TS-PILE'!$D$56:$D$75)=0,0,'TO HOP NLAN'!F87*'TS-PILE'!$D$73/SUMSQ('TS-PILE'!$D$56:$D$75))),IF('TS-PILE'!$B$74="",-1E+99,'TO HOP NLAN'!D87/ncoc+IF(SUMSQ('TS-PILE'!$E$56:$E$75)=0,0,'TO HOP NLAN'!E87*'TS-PILE'!$E$74/SUMSQ('TS-PILE'!$E$56:$E$75))+IF(SUMSQ('TS-PILE'!$D$56:$D$75)=0,0,'TO HOP NLAN'!F87*'TS-PILE'!$D$74/SUMSQ('TS-PILE'!$D$56:$D$75))),IF('TS-PILE'!$B$75="",-1E+99,'TO HOP NLAN'!D87/ncoc+IF(SUMSQ('TS-PILE'!$E$56:$E$75)=0,0,'TO HOP NLAN'!E87*'TS-PILE'!$E$75/SUMSQ('TS-PILE'!$E$56:$E$75))+IF(SUMSQ('TS-PILE'!$D$56:$D$75)=0,0,'TO HOP NLAN'!F87*'TS-PILE'!$D$75/SUMSQ('TS-PILE'!$D$56:$D$75)))))</f>
        <v>0</v>
      </c>
      <c r="D87" s="46">
        <f>IF(A87="",0,MIN(IF('TS-PILE'!$B$56="",1E+99,'TO HOP NLAN'!D87/ncoc+IF(SUMSQ('TS-PILE'!$E$56:$E$75)=0,0,'TO HOP NLAN'!E87*'TS-PILE'!$E$56/SUMSQ('TS-PILE'!$E$56:$E$75))+IF(SUMSQ('TS-PILE'!$D$56:$D$75)=0,0,'TO HOP NLAN'!F87*'TS-PILE'!$D$56/SUMSQ('TS-PILE'!$D$56:$D$75))),IF('TS-PILE'!$B$57="",1E+99,'TO HOP NLAN'!D87/ncoc+IF(SUMSQ('TS-PILE'!$E$56:$E$75)=0,0,'TO HOP NLAN'!E87*'TS-PILE'!$E$57/SUMSQ('TS-PILE'!$E$56:$E$75))+IF(SUMSQ('TS-PILE'!$D$56:$D$75)=0,0,'TO HOP NLAN'!F87*'TS-PILE'!$D$57/SUMSQ('TS-PILE'!$D$56:$D$75))),IF('TS-PILE'!$B$58="",1E+99,'TO HOP NLAN'!D87/ncoc+IF(SUMSQ('TS-PILE'!$E$56:$E$75)=0,0,'TO HOP NLAN'!E87*'TS-PILE'!$E$58/SUMSQ('TS-PILE'!$E$56:$E$75))+IF(SUMSQ('TS-PILE'!$D$56:$D$75)=0,0,'TO HOP NLAN'!F87*'TS-PILE'!$D$58/SUMSQ('TS-PILE'!$D$56:$D$75))),IF('TS-PILE'!$B$59="",1E+99,'TO HOP NLAN'!D87/ncoc+IF(SUMSQ('TS-PILE'!$E$56:$E$75)=0,0,'TO HOP NLAN'!E87*'TS-PILE'!$E$59/SUMSQ('TS-PILE'!$E$56:$E$75))+IF(SUMSQ('TS-PILE'!$D$56:$D$75)=0,0,'TO HOP NLAN'!F87*'TS-PILE'!$D$59/SUMSQ('TS-PILE'!$D$56:$D$75))),IF('TS-PILE'!$B$60="",1E+99,'TO HOP NLAN'!D87/ncoc+IF(SUMSQ('TS-PILE'!$E$56:$E$75)=0,0,'TO HOP NLAN'!E87*'TS-PILE'!$E$60/SUMSQ('TS-PILE'!$E$56:$E$75))+IF(SUMSQ('TS-PILE'!$D$56:$D$75)=0,0,'TO HOP NLAN'!F87*'TS-PILE'!$D$60/SUMSQ('TS-PILE'!$D$56:$D$75))),IF('TS-PILE'!$B$61="",1E+99,'TO HOP NLAN'!D87/ncoc+IF(SUMSQ('TS-PILE'!$E$56:$E$75)=0,0,'TO HOP NLAN'!E87*'TS-PILE'!$E$61/SUMSQ('TS-PILE'!$E$56:$E$75))+IF(SUMSQ('TS-PILE'!$D$56:$D$75)=0,0,'TO HOP NLAN'!F87*'TS-PILE'!$D$61/SUMSQ('TS-PILE'!$D$56:$D$75))),IF('TS-PILE'!$B$62="",1E+99,'TO HOP NLAN'!D87/ncoc+IF(SUMSQ('TS-PILE'!$E$56:$E$75)=0,0,'TO HOP NLAN'!E87*'TS-PILE'!$E$62/SUMSQ('TS-PILE'!$E$56:$E$75))+IF(SUMSQ('TS-PILE'!$D$56:$D$75)=0,0,'TO HOP NLAN'!F87*'TS-PILE'!$D$62/SUMSQ('TS-PILE'!$D$56:$D$75))),IF('TS-PILE'!$B$63="",1E+99,'TO HOP NLAN'!D87/ncoc+IF(SUMSQ('TS-PILE'!$E$56:$E$75)=0,0,'TO HOP NLAN'!E87*'TS-PILE'!$E$63/SUMSQ('TS-PILE'!$E$56:$E$75))+IF(SUMSQ('TS-PILE'!$D$56:$D$75)=0,0,'TO HOP NLAN'!F87*'TS-PILE'!$D$63/SUMSQ('TS-PILE'!$D$56:$D$75))),IF('TS-PILE'!$B$64="",1E+99,'TO HOP NLAN'!D87/ncoc+IF(SUMSQ('TS-PILE'!$E$56:$E$75)=0,0,'TO HOP NLAN'!E87*'TS-PILE'!$E$64/SUMSQ('TS-PILE'!$E$56:$E$75))+IF(SUMSQ('TS-PILE'!$D$56:$D$75)=0,0,'TO HOP NLAN'!F87*'TS-PILE'!$D$64/SUMSQ('TS-PILE'!$D$56:$D$75))),IF('TS-PILE'!$B$65="",1E+99,'TO HOP NLAN'!D87/ncoc+IF(SUMSQ('TS-PILE'!$E$56:$E$75)=0,0,'TO HOP NLAN'!E87*'TS-PILE'!$E$65/SUMSQ('TS-PILE'!$E$56:$E$75))+IF(SUMSQ('TS-PILE'!$D$56:$D$75)=0,0,'TO HOP NLAN'!F87*'TS-PILE'!$D$65/SUMSQ('TS-PILE'!$D$56:$D$75))),IF('TS-PILE'!$B$66="",1E+99,'TO HOP NLAN'!D87/ncoc+IF(SUMSQ('TS-PILE'!$E$56:$E$75)=0,0,'TO HOP NLAN'!E87*'TS-PILE'!$E$66/SUMSQ('TS-PILE'!$E$56:$E$75))+IF(SUMSQ('TS-PILE'!$D$56:$D$75)=0,0,'TO HOP NLAN'!F87*'TS-PILE'!$D$66/SUMSQ('TS-PILE'!$D$56:$D$75))),IF('TS-PILE'!$B$67="",1E+99,'TO HOP NLAN'!D87/ncoc+IF(SUMSQ('TS-PILE'!$E$56:$E$75)=0,0,'TO HOP NLAN'!E87*'TS-PILE'!$E$67/SUMSQ('TS-PILE'!$E$56:$E$75))+IF(SUMSQ('TS-PILE'!$D$56:$D$75)=0,0,'TO HOP NLAN'!F87*'TS-PILE'!$D$67/SUMSQ('TS-PILE'!$D$56:$D$75))),IF('TS-PILE'!$B$68="",1E+99,'TO HOP NLAN'!D87/ncoc+IF(SUMSQ('TS-PILE'!$E$56:$E$75)=0,0,'TO HOP NLAN'!E87*'TS-PILE'!$E$68/SUMSQ('TS-PILE'!$E$56:$E$75))+IF(SUMSQ('TS-PILE'!$D$56:$D$75)=0,0,'TO HOP NLAN'!F87*'TS-PILE'!$D$68/SUMSQ('TS-PILE'!$D$56:$D$75))),IF('TS-PILE'!$B$69="",1E+99,'TO HOP NLAN'!D87/ncoc+IF(SUMSQ('TS-PILE'!$E$56:$E$75)=0,0,'TO HOP NLAN'!E87*'TS-PILE'!$E$69/SUMSQ('TS-PILE'!$E$56:$E$75))+IF(SUMSQ('TS-PILE'!$D$56:$D$75)=0,0,'TO HOP NLAN'!F87*'TS-PILE'!$D$69/SUMSQ('TS-PILE'!$D$56:$D$75))),IF('TS-PILE'!$B$70="",1E+99,'TO HOP NLAN'!D87/ncoc+IF(SUMSQ('TS-PILE'!$E$56:$E$75)=0,0,'TO HOP NLAN'!E87*'TS-PILE'!$E$70/SUMSQ('TS-PILE'!$E$56:$E$75))+IF(SUMSQ('TS-PILE'!$D$56:$D$75)=0,0,'TO HOP NLAN'!F87*'TS-PILE'!$D$70/SUMSQ('TS-PILE'!$D$56:$D$75))),IF('TS-PILE'!$B$71="",1E+99,'TO HOP NLAN'!D87/ncoc+IF(SUMSQ('TS-PILE'!$E$56:$E$75)=0,0,'TO HOP NLAN'!E87*'TS-PILE'!$E$71/SUMSQ('TS-PILE'!$E$56:$E$75))+IF(SUMSQ('TS-PILE'!$D$56:$D$75)=0,0,'TO HOP NLAN'!F87*'TS-PILE'!$D$71/SUMSQ('TS-PILE'!$D$56:$D$75))),IF('TS-PILE'!$B$72="",1E+99,'TO HOP NLAN'!D87/ncoc+IF(SUMSQ('TS-PILE'!$E$56:$E$75)=0,0,'TO HOP NLAN'!E87*'TS-PILE'!$E$72/SUMSQ('TS-PILE'!$E$56:$E$75))+IF(SUMSQ('TS-PILE'!$D$56:$D$75)=0,0,'TO HOP NLAN'!F87*'TS-PILE'!$D$72/SUMSQ('TS-PILE'!$D$56:$D$75))),IF('TS-PILE'!$B$73="",1E+99,'TO HOP NLAN'!D87/ncoc+IF(SUMSQ('TS-PILE'!$E$56:$E$75)=0,0,'TO HOP NLAN'!E87*'TS-PILE'!$E$73/SUMSQ('TS-PILE'!$E$56:$E$75))+IF(SUMSQ('TS-PILE'!$D$56:$D$75)=0,0,'TO HOP NLAN'!F87*'TS-PILE'!$D$73/SUMSQ('TS-PILE'!$D$56:$D$75))),IF('TS-PILE'!$B$74="",1E+99,'TO HOP NLAN'!D87/ncoc+IF(SUMSQ('TS-PILE'!$E$56:$E$75)=0,0,'TO HOP NLAN'!E87*'TS-PILE'!$E$74/SUMSQ('TS-PILE'!$E$56:$E$75))+IF(SUMSQ('TS-PILE'!$D$56:$D$75)=0,0,'TO HOP NLAN'!F87*'TS-PILE'!$D$74/SUMSQ('TS-PILE'!$D$56:$D$75))),IF('TS-PILE'!$B$75="",1E+99,'TO HOP NLAN'!D87/ncoc+IF(SUMSQ('TS-PILE'!$E$56:$E$75)=0,0,'TO HOP NLAN'!E87*'TS-PILE'!$E$75/SUMSQ('TS-PILE'!$E$56:$E$75))+IF(SUMSQ('TS-PILE'!$D$56:$D$75)=0,0,'TO HOP NLAN'!F87*'TS-PILE'!$D$75/SUMSQ('TS-PILE'!$D$56:$D$75)))))</f>
        <v>0</v>
      </c>
      <c r="E87" s="46">
        <f t="shared" si="4"/>
        <v>-9.9999999999999997E+98</v>
      </c>
      <c r="F87" s="46">
        <f t="shared" si="5"/>
        <v>9.9999999999999997E+98</v>
      </c>
      <c r="G87" s="46">
        <f t="shared" si="6"/>
        <v>-9.9999999999999997E+98</v>
      </c>
      <c r="H87" s="46">
        <f t="shared" si="7"/>
        <v>9.9999999999999997E+98</v>
      </c>
    </row>
    <row r="88" spans="1:8" x14ac:dyDescent="0.3">
      <c r="A88" s="40" t="str">
        <f>'TO HOP NLAN'!A88</f>
        <v/>
      </c>
      <c r="B88" s="40" t="str">
        <f>'TO HOP NLAN'!L88</f>
        <v>STRENGTH</v>
      </c>
      <c r="C88" s="46">
        <f>IF(A88="",0,MAX(IF('TS-PILE'!$B$56="",-1E+99,'TO HOP NLAN'!D88/ncoc+IF(SUMSQ('TS-PILE'!$E$56:$E$75)=0,0,'TO HOP NLAN'!E88*'TS-PILE'!$E$56/SUMSQ('TS-PILE'!$E$56:$E$75))+IF(SUMSQ('TS-PILE'!$D$56:$D$75)=0,0,'TO HOP NLAN'!F88*'TS-PILE'!$D$56/SUMSQ('TS-PILE'!$D$56:$D$75))),IF('TS-PILE'!$B$57="",-1E+99,'TO HOP NLAN'!D88/ncoc+IF(SUMSQ('TS-PILE'!$E$56:$E$75)=0,0,'TO HOP NLAN'!E88*'TS-PILE'!$E$57/SUMSQ('TS-PILE'!$E$56:$E$75))+IF(SUMSQ('TS-PILE'!$D$56:$D$75)=0,0,'TO HOP NLAN'!F88*'TS-PILE'!$D$57/SUMSQ('TS-PILE'!$D$56:$D$75))),IF('TS-PILE'!$B$58="",-1E+99,'TO HOP NLAN'!D88/ncoc+IF(SUMSQ('TS-PILE'!$E$56:$E$75)=0,0,'TO HOP NLAN'!E88*'TS-PILE'!$E$58/SUMSQ('TS-PILE'!$E$56:$E$75))+IF(SUMSQ('TS-PILE'!$D$56:$D$75)=0,0,'TO HOP NLAN'!F88*'TS-PILE'!$D$58/SUMSQ('TS-PILE'!$D$56:$D$75))),IF('TS-PILE'!$B$59="",-1E+99,'TO HOP NLAN'!D88/ncoc+IF(SUMSQ('TS-PILE'!$E$56:$E$75)=0,0,'TO HOP NLAN'!E88*'TS-PILE'!$E$59/SUMSQ('TS-PILE'!$E$56:$E$75))+IF(SUMSQ('TS-PILE'!$D$56:$D$75)=0,0,'TO HOP NLAN'!F88*'TS-PILE'!$D$59/SUMSQ('TS-PILE'!$D$56:$D$75))),IF('TS-PILE'!$B$60="",-1E+99,'TO HOP NLAN'!D88/ncoc+IF(SUMSQ('TS-PILE'!$E$56:$E$75)=0,0,'TO HOP NLAN'!E88*'TS-PILE'!$E$60/SUMSQ('TS-PILE'!$E$56:$E$75))+IF(SUMSQ('TS-PILE'!$D$56:$D$75)=0,0,'TO HOP NLAN'!F88*'TS-PILE'!$D$60/SUMSQ('TS-PILE'!$D$56:$D$75))),IF('TS-PILE'!$B$61="",-1E+99,'TO HOP NLAN'!D88/ncoc+IF(SUMSQ('TS-PILE'!$E$56:$E$75)=0,0,'TO HOP NLAN'!E88*'TS-PILE'!$E$61/SUMSQ('TS-PILE'!$E$56:$E$75))+IF(SUMSQ('TS-PILE'!$D$56:$D$75)=0,0,'TO HOP NLAN'!F88*'TS-PILE'!$D$61/SUMSQ('TS-PILE'!$D$56:$D$75))),IF('TS-PILE'!$B$62="",-1E+99,'TO HOP NLAN'!D88/ncoc+IF(SUMSQ('TS-PILE'!$E$56:$E$75)=0,0,'TO HOP NLAN'!E88*'TS-PILE'!$E$62/SUMSQ('TS-PILE'!$E$56:$E$75))+IF(SUMSQ('TS-PILE'!$D$56:$D$75)=0,0,'TO HOP NLAN'!F88*'TS-PILE'!$D$62/SUMSQ('TS-PILE'!$D$56:$D$75))),IF('TS-PILE'!$B$63="",-1E+99,'TO HOP NLAN'!D88/ncoc+IF(SUMSQ('TS-PILE'!$E$56:$E$75)=0,0,'TO HOP NLAN'!E88*'TS-PILE'!$E$63/SUMSQ('TS-PILE'!$E$56:$E$75))+IF(SUMSQ('TS-PILE'!$D$56:$D$75)=0,0,'TO HOP NLAN'!F88*'TS-PILE'!$D$63/SUMSQ('TS-PILE'!$D$56:$D$75))),IF('TS-PILE'!$B$64="",-1E+99,'TO HOP NLAN'!D88/ncoc+IF(SUMSQ('TS-PILE'!$E$56:$E$75)=0,0,'TO HOP NLAN'!E88*'TS-PILE'!$E$64/SUMSQ('TS-PILE'!$E$56:$E$75))+IF(SUMSQ('TS-PILE'!$D$56:$D$75)=0,0,'TO HOP NLAN'!F88*'TS-PILE'!$D$64/SUMSQ('TS-PILE'!$D$56:$D$75))),IF('TS-PILE'!$B$65="",-1E+99,'TO HOP NLAN'!D88/ncoc+IF(SUMSQ('TS-PILE'!$E$56:$E$75)=0,0,'TO HOP NLAN'!E88*'TS-PILE'!$E$65/SUMSQ('TS-PILE'!$E$56:$E$75))+IF(SUMSQ('TS-PILE'!$D$56:$D$75)=0,0,'TO HOP NLAN'!F88*'TS-PILE'!$D$65/SUMSQ('TS-PILE'!$D$56:$D$75))),IF('TS-PILE'!$B$66="",-1E+99,'TO HOP NLAN'!D88/ncoc+IF(SUMSQ('TS-PILE'!$E$56:$E$75)=0,0,'TO HOP NLAN'!E88*'TS-PILE'!$E$66/SUMSQ('TS-PILE'!$E$56:$E$75))+IF(SUMSQ('TS-PILE'!$D$56:$D$75)=0,0,'TO HOP NLAN'!F88*'TS-PILE'!$D$66/SUMSQ('TS-PILE'!$D$56:$D$75))),IF('TS-PILE'!$B$67="",-1E+99,'TO HOP NLAN'!D88/ncoc+IF(SUMSQ('TS-PILE'!$E$56:$E$75)=0,0,'TO HOP NLAN'!E88*'TS-PILE'!$E$67/SUMSQ('TS-PILE'!$E$56:$E$75))+IF(SUMSQ('TS-PILE'!$D$56:$D$75)=0,0,'TO HOP NLAN'!F88*'TS-PILE'!$D$67/SUMSQ('TS-PILE'!$D$56:$D$75))),IF('TS-PILE'!$B$68="",-1E+99,'TO HOP NLAN'!D88/ncoc+IF(SUMSQ('TS-PILE'!$E$56:$E$75)=0,0,'TO HOP NLAN'!E88*'TS-PILE'!$E$68/SUMSQ('TS-PILE'!$E$56:$E$75))+IF(SUMSQ('TS-PILE'!$D$56:$D$75)=0,0,'TO HOP NLAN'!F88*'TS-PILE'!$D$68/SUMSQ('TS-PILE'!$D$56:$D$75))),IF('TS-PILE'!$B$69="",-1E+99,'TO HOP NLAN'!D88/ncoc+IF(SUMSQ('TS-PILE'!$E$56:$E$75)=0,0,'TO HOP NLAN'!E88*'TS-PILE'!$E$69/SUMSQ('TS-PILE'!$E$56:$E$75))+IF(SUMSQ('TS-PILE'!$D$56:$D$75)=0,0,'TO HOP NLAN'!F88*'TS-PILE'!$D$69/SUMSQ('TS-PILE'!$D$56:$D$75))),IF('TS-PILE'!$B$70="",-1E+99,'TO HOP NLAN'!D88/ncoc+IF(SUMSQ('TS-PILE'!$E$56:$E$75)=0,0,'TO HOP NLAN'!E88*'TS-PILE'!$E$70/SUMSQ('TS-PILE'!$E$56:$E$75))+IF(SUMSQ('TS-PILE'!$D$56:$D$75)=0,0,'TO HOP NLAN'!F88*'TS-PILE'!$D$70/SUMSQ('TS-PILE'!$D$56:$D$75))),IF('TS-PILE'!$B$71="",-1E+99,'TO HOP NLAN'!D88/ncoc+IF(SUMSQ('TS-PILE'!$E$56:$E$75)=0,0,'TO HOP NLAN'!E88*'TS-PILE'!$E$71/SUMSQ('TS-PILE'!$E$56:$E$75))+IF(SUMSQ('TS-PILE'!$D$56:$D$75)=0,0,'TO HOP NLAN'!F88*'TS-PILE'!$D$71/SUMSQ('TS-PILE'!$D$56:$D$75))),IF('TS-PILE'!$B$72="",-1E+99,'TO HOP NLAN'!D88/ncoc+IF(SUMSQ('TS-PILE'!$E$56:$E$75)=0,0,'TO HOP NLAN'!E88*'TS-PILE'!$E$72/SUMSQ('TS-PILE'!$E$56:$E$75))+IF(SUMSQ('TS-PILE'!$D$56:$D$75)=0,0,'TO HOP NLAN'!F88*'TS-PILE'!$D$72/SUMSQ('TS-PILE'!$D$56:$D$75))),IF('TS-PILE'!$B$73="",-1E+99,'TO HOP NLAN'!D88/ncoc+IF(SUMSQ('TS-PILE'!$E$56:$E$75)=0,0,'TO HOP NLAN'!E88*'TS-PILE'!$E$73/SUMSQ('TS-PILE'!$E$56:$E$75))+IF(SUMSQ('TS-PILE'!$D$56:$D$75)=0,0,'TO HOP NLAN'!F88*'TS-PILE'!$D$73/SUMSQ('TS-PILE'!$D$56:$D$75))),IF('TS-PILE'!$B$74="",-1E+99,'TO HOP NLAN'!D88/ncoc+IF(SUMSQ('TS-PILE'!$E$56:$E$75)=0,0,'TO HOP NLAN'!E88*'TS-PILE'!$E$74/SUMSQ('TS-PILE'!$E$56:$E$75))+IF(SUMSQ('TS-PILE'!$D$56:$D$75)=0,0,'TO HOP NLAN'!F88*'TS-PILE'!$D$74/SUMSQ('TS-PILE'!$D$56:$D$75))),IF('TS-PILE'!$B$75="",-1E+99,'TO HOP NLAN'!D88/ncoc+IF(SUMSQ('TS-PILE'!$E$56:$E$75)=0,0,'TO HOP NLAN'!E88*'TS-PILE'!$E$75/SUMSQ('TS-PILE'!$E$56:$E$75))+IF(SUMSQ('TS-PILE'!$D$56:$D$75)=0,0,'TO HOP NLAN'!F88*'TS-PILE'!$D$75/SUMSQ('TS-PILE'!$D$56:$D$75)))))</f>
        <v>0</v>
      </c>
      <c r="D88" s="46">
        <f>IF(A88="",0,MIN(IF('TS-PILE'!$B$56="",1E+99,'TO HOP NLAN'!D88/ncoc+IF(SUMSQ('TS-PILE'!$E$56:$E$75)=0,0,'TO HOP NLAN'!E88*'TS-PILE'!$E$56/SUMSQ('TS-PILE'!$E$56:$E$75))+IF(SUMSQ('TS-PILE'!$D$56:$D$75)=0,0,'TO HOP NLAN'!F88*'TS-PILE'!$D$56/SUMSQ('TS-PILE'!$D$56:$D$75))),IF('TS-PILE'!$B$57="",1E+99,'TO HOP NLAN'!D88/ncoc+IF(SUMSQ('TS-PILE'!$E$56:$E$75)=0,0,'TO HOP NLAN'!E88*'TS-PILE'!$E$57/SUMSQ('TS-PILE'!$E$56:$E$75))+IF(SUMSQ('TS-PILE'!$D$56:$D$75)=0,0,'TO HOP NLAN'!F88*'TS-PILE'!$D$57/SUMSQ('TS-PILE'!$D$56:$D$75))),IF('TS-PILE'!$B$58="",1E+99,'TO HOP NLAN'!D88/ncoc+IF(SUMSQ('TS-PILE'!$E$56:$E$75)=0,0,'TO HOP NLAN'!E88*'TS-PILE'!$E$58/SUMSQ('TS-PILE'!$E$56:$E$75))+IF(SUMSQ('TS-PILE'!$D$56:$D$75)=0,0,'TO HOP NLAN'!F88*'TS-PILE'!$D$58/SUMSQ('TS-PILE'!$D$56:$D$75))),IF('TS-PILE'!$B$59="",1E+99,'TO HOP NLAN'!D88/ncoc+IF(SUMSQ('TS-PILE'!$E$56:$E$75)=0,0,'TO HOP NLAN'!E88*'TS-PILE'!$E$59/SUMSQ('TS-PILE'!$E$56:$E$75))+IF(SUMSQ('TS-PILE'!$D$56:$D$75)=0,0,'TO HOP NLAN'!F88*'TS-PILE'!$D$59/SUMSQ('TS-PILE'!$D$56:$D$75))),IF('TS-PILE'!$B$60="",1E+99,'TO HOP NLAN'!D88/ncoc+IF(SUMSQ('TS-PILE'!$E$56:$E$75)=0,0,'TO HOP NLAN'!E88*'TS-PILE'!$E$60/SUMSQ('TS-PILE'!$E$56:$E$75))+IF(SUMSQ('TS-PILE'!$D$56:$D$75)=0,0,'TO HOP NLAN'!F88*'TS-PILE'!$D$60/SUMSQ('TS-PILE'!$D$56:$D$75))),IF('TS-PILE'!$B$61="",1E+99,'TO HOP NLAN'!D88/ncoc+IF(SUMSQ('TS-PILE'!$E$56:$E$75)=0,0,'TO HOP NLAN'!E88*'TS-PILE'!$E$61/SUMSQ('TS-PILE'!$E$56:$E$75))+IF(SUMSQ('TS-PILE'!$D$56:$D$75)=0,0,'TO HOP NLAN'!F88*'TS-PILE'!$D$61/SUMSQ('TS-PILE'!$D$56:$D$75))),IF('TS-PILE'!$B$62="",1E+99,'TO HOP NLAN'!D88/ncoc+IF(SUMSQ('TS-PILE'!$E$56:$E$75)=0,0,'TO HOP NLAN'!E88*'TS-PILE'!$E$62/SUMSQ('TS-PILE'!$E$56:$E$75))+IF(SUMSQ('TS-PILE'!$D$56:$D$75)=0,0,'TO HOP NLAN'!F88*'TS-PILE'!$D$62/SUMSQ('TS-PILE'!$D$56:$D$75))),IF('TS-PILE'!$B$63="",1E+99,'TO HOP NLAN'!D88/ncoc+IF(SUMSQ('TS-PILE'!$E$56:$E$75)=0,0,'TO HOP NLAN'!E88*'TS-PILE'!$E$63/SUMSQ('TS-PILE'!$E$56:$E$75))+IF(SUMSQ('TS-PILE'!$D$56:$D$75)=0,0,'TO HOP NLAN'!F88*'TS-PILE'!$D$63/SUMSQ('TS-PILE'!$D$56:$D$75))),IF('TS-PILE'!$B$64="",1E+99,'TO HOP NLAN'!D88/ncoc+IF(SUMSQ('TS-PILE'!$E$56:$E$75)=0,0,'TO HOP NLAN'!E88*'TS-PILE'!$E$64/SUMSQ('TS-PILE'!$E$56:$E$75))+IF(SUMSQ('TS-PILE'!$D$56:$D$75)=0,0,'TO HOP NLAN'!F88*'TS-PILE'!$D$64/SUMSQ('TS-PILE'!$D$56:$D$75))),IF('TS-PILE'!$B$65="",1E+99,'TO HOP NLAN'!D88/ncoc+IF(SUMSQ('TS-PILE'!$E$56:$E$75)=0,0,'TO HOP NLAN'!E88*'TS-PILE'!$E$65/SUMSQ('TS-PILE'!$E$56:$E$75))+IF(SUMSQ('TS-PILE'!$D$56:$D$75)=0,0,'TO HOP NLAN'!F88*'TS-PILE'!$D$65/SUMSQ('TS-PILE'!$D$56:$D$75))),IF('TS-PILE'!$B$66="",1E+99,'TO HOP NLAN'!D88/ncoc+IF(SUMSQ('TS-PILE'!$E$56:$E$75)=0,0,'TO HOP NLAN'!E88*'TS-PILE'!$E$66/SUMSQ('TS-PILE'!$E$56:$E$75))+IF(SUMSQ('TS-PILE'!$D$56:$D$75)=0,0,'TO HOP NLAN'!F88*'TS-PILE'!$D$66/SUMSQ('TS-PILE'!$D$56:$D$75))),IF('TS-PILE'!$B$67="",1E+99,'TO HOP NLAN'!D88/ncoc+IF(SUMSQ('TS-PILE'!$E$56:$E$75)=0,0,'TO HOP NLAN'!E88*'TS-PILE'!$E$67/SUMSQ('TS-PILE'!$E$56:$E$75))+IF(SUMSQ('TS-PILE'!$D$56:$D$75)=0,0,'TO HOP NLAN'!F88*'TS-PILE'!$D$67/SUMSQ('TS-PILE'!$D$56:$D$75))),IF('TS-PILE'!$B$68="",1E+99,'TO HOP NLAN'!D88/ncoc+IF(SUMSQ('TS-PILE'!$E$56:$E$75)=0,0,'TO HOP NLAN'!E88*'TS-PILE'!$E$68/SUMSQ('TS-PILE'!$E$56:$E$75))+IF(SUMSQ('TS-PILE'!$D$56:$D$75)=0,0,'TO HOP NLAN'!F88*'TS-PILE'!$D$68/SUMSQ('TS-PILE'!$D$56:$D$75))),IF('TS-PILE'!$B$69="",1E+99,'TO HOP NLAN'!D88/ncoc+IF(SUMSQ('TS-PILE'!$E$56:$E$75)=0,0,'TO HOP NLAN'!E88*'TS-PILE'!$E$69/SUMSQ('TS-PILE'!$E$56:$E$75))+IF(SUMSQ('TS-PILE'!$D$56:$D$75)=0,0,'TO HOP NLAN'!F88*'TS-PILE'!$D$69/SUMSQ('TS-PILE'!$D$56:$D$75))),IF('TS-PILE'!$B$70="",1E+99,'TO HOP NLAN'!D88/ncoc+IF(SUMSQ('TS-PILE'!$E$56:$E$75)=0,0,'TO HOP NLAN'!E88*'TS-PILE'!$E$70/SUMSQ('TS-PILE'!$E$56:$E$75))+IF(SUMSQ('TS-PILE'!$D$56:$D$75)=0,0,'TO HOP NLAN'!F88*'TS-PILE'!$D$70/SUMSQ('TS-PILE'!$D$56:$D$75))),IF('TS-PILE'!$B$71="",1E+99,'TO HOP NLAN'!D88/ncoc+IF(SUMSQ('TS-PILE'!$E$56:$E$75)=0,0,'TO HOP NLAN'!E88*'TS-PILE'!$E$71/SUMSQ('TS-PILE'!$E$56:$E$75))+IF(SUMSQ('TS-PILE'!$D$56:$D$75)=0,0,'TO HOP NLAN'!F88*'TS-PILE'!$D$71/SUMSQ('TS-PILE'!$D$56:$D$75))),IF('TS-PILE'!$B$72="",1E+99,'TO HOP NLAN'!D88/ncoc+IF(SUMSQ('TS-PILE'!$E$56:$E$75)=0,0,'TO HOP NLAN'!E88*'TS-PILE'!$E$72/SUMSQ('TS-PILE'!$E$56:$E$75))+IF(SUMSQ('TS-PILE'!$D$56:$D$75)=0,0,'TO HOP NLAN'!F88*'TS-PILE'!$D$72/SUMSQ('TS-PILE'!$D$56:$D$75))),IF('TS-PILE'!$B$73="",1E+99,'TO HOP NLAN'!D88/ncoc+IF(SUMSQ('TS-PILE'!$E$56:$E$75)=0,0,'TO HOP NLAN'!E88*'TS-PILE'!$E$73/SUMSQ('TS-PILE'!$E$56:$E$75))+IF(SUMSQ('TS-PILE'!$D$56:$D$75)=0,0,'TO HOP NLAN'!F88*'TS-PILE'!$D$73/SUMSQ('TS-PILE'!$D$56:$D$75))),IF('TS-PILE'!$B$74="",1E+99,'TO HOP NLAN'!D88/ncoc+IF(SUMSQ('TS-PILE'!$E$56:$E$75)=0,0,'TO HOP NLAN'!E88*'TS-PILE'!$E$74/SUMSQ('TS-PILE'!$E$56:$E$75))+IF(SUMSQ('TS-PILE'!$D$56:$D$75)=0,0,'TO HOP NLAN'!F88*'TS-PILE'!$D$74/SUMSQ('TS-PILE'!$D$56:$D$75))),IF('TS-PILE'!$B$75="",1E+99,'TO HOP NLAN'!D88/ncoc+IF(SUMSQ('TS-PILE'!$E$56:$E$75)=0,0,'TO HOP NLAN'!E88*'TS-PILE'!$E$75/SUMSQ('TS-PILE'!$E$56:$E$75))+IF(SUMSQ('TS-PILE'!$D$56:$D$75)=0,0,'TO HOP NLAN'!F88*'TS-PILE'!$D$75/SUMSQ('TS-PILE'!$D$56:$D$75)))))</f>
        <v>0</v>
      </c>
      <c r="E88" s="46">
        <f t="shared" si="4"/>
        <v>-9.9999999999999997E+98</v>
      </c>
      <c r="F88" s="46">
        <f t="shared" si="5"/>
        <v>9.9999999999999997E+98</v>
      </c>
      <c r="G88" s="46">
        <f t="shared" si="6"/>
        <v>-9.9999999999999997E+98</v>
      </c>
      <c r="H88" s="46">
        <f t="shared" si="7"/>
        <v>9.9999999999999997E+98</v>
      </c>
    </row>
    <row r="89" spans="1:8" x14ac:dyDescent="0.3">
      <c r="A89" s="40" t="str">
        <f>'TO HOP NLAN'!A89</f>
        <v/>
      </c>
      <c r="B89" s="40" t="str">
        <f>'TO HOP NLAN'!L89</f>
        <v>STRENGTH</v>
      </c>
      <c r="C89" s="46">
        <f>IF(A89="",0,MAX(IF('TS-PILE'!$B$56="",-1E+99,'TO HOP NLAN'!D89/ncoc+IF(SUMSQ('TS-PILE'!$E$56:$E$75)=0,0,'TO HOP NLAN'!E89*'TS-PILE'!$E$56/SUMSQ('TS-PILE'!$E$56:$E$75))+IF(SUMSQ('TS-PILE'!$D$56:$D$75)=0,0,'TO HOP NLAN'!F89*'TS-PILE'!$D$56/SUMSQ('TS-PILE'!$D$56:$D$75))),IF('TS-PILE'!$B$57="",-1E+99,'TO HOP NLAN'!D89/ncoc+IF(SUMSQ('TS-PILE'!$E$56:$E$75)=0,0,'TO HOP NLAN'!E89*'TS-PILE'!$E$57/SUMSQ('TS-PILE'!$E$56:$E$75))+IF(SUMSQ('TS-PILE'!$D$56:$D$75)=0,0,'TO HOP NLAN'!F89*'TS-PILE'!$D$57/SUMSQ('TS-PILE'!$D$56:$D$75))),IF('TS-PILE'!$B$58="",-1E+99,'TO HOP NLAN'!D89/ncoc+IF(SUMSQ('TS-PILE'!$E$56:$E$75)=0,0,'TO HOP NLAN'!E89*'TS-PILE'!$E$58/SUMSQ('TS-PILE'!$E$56:$E$75))+IF(SUMSQ('TS-PILE'!$D$56:$D$75)=0,0,'TO HOP NLAN'!F89*'TS-PILE'!$D$58/SUMSQ('TS-PILE'!$D$56:$D$75))),IF('TS-PILE'!$B$59="",-1E+99,'TO HOP NLAN'!D89/ncoc+IF(SUMSQ('TS-PILE'!$E$56:$E$75)=0,0,'TO HOP NLAN'!E89*'TS-PILE'!$E$59/SUMSQ('TS-PILE'!$E$56:$E$75))+IF(SUMSQ('TS-PILE'!$D$56:$D$75)=0,0,'TO HOP NLAN'!F89*'TS-PILE'!$D$59/SUMSQ('TS-PILE'!$D$56:$D$75))),IF('TS-PILE'!$B$60="",-1E+99,'TO HOP NLAN'!D89/ncoc+IF(SUMSQ('TS-PILE'!$E$56:$E$75)=0,0,'TO HOP NLAN'!E89*'TS-PILE'!$E$60/SUMSQ('TS-PILE'!$E$56:$E$75))+IF(SUMSQ('TS-PILE'!$D$56:$D$75)=0,0,'TO HOP NLAN'!F89*'TS-PILE'!$D$60/SUMSQ('TS-PILE'!$D$56:$D$75))),IF('TS-PILE'!$B$61="",-1E+99,'TO HOP NLAN'!D89/ncoc+IF(SUMSQ('TS-PILE'!$E$56:$E$75)=0,0,'TO HOP NLAN'!E89*'TS-PILE'!$E$61/SUMSQ('TS-PILE'!$E$56:$E$75))+IF(SUMSQ('TS-PILE'!$D$56:$D$75)=0,0,'TO HOP NLAN'!F89*'TS-PILE'!$D$61/SUMSQ('TS-PILE'!$D$56:$D$75))),IF('TS-PILE'!$B$62="",-1E+99,'TO HOP NLAN'!D89/ncoc+IF(SUMSQ('TS-PILE'!$E$56:$E$75)=0,0,'TO HOP NLAN'!E89*'TS-PILE'!$E$62/SUMSQ('TS-PILE'!$E$56:$E$75))+IF(SUMSQ('TS-PILE'!$D$56:$D$75)=0,0,'TO HOP NLAN'!F89*'TS-PILE'!$D$62/SUMSQ('TS-PILE'!$D$56:$D$75))),IF('TS-PILE'!$B$63="",-1E+99,'TO HOP NLAN'!D89/ncoc+IF(SUMSQ('TS-PILE'!$E$56:$E$75)=0,0,'TO HOP NLAN'!E89*'TS-PILE'!$E$63/SUMSQ('TS-PILE'!$E$56:$E$75))+IF(SUMSQ('TS-PILE'!$D$56:$D$75)=0,0,'TO HOP NLAN'!F89*'TS-PILE'!$D$63/SUMSQ('TS-PILE'!$D$56:$D$75))),IF('TS-PILE'!$B$64="",-1E+99,'TO HOP NLAN'!D89/ncoc+IF(SUMSQ('TS-PILE'!$E$56:$E$75)=0,0,'TO HOP NLAN'!E89*'TS-PILE'!$E$64/SUMSQ('TS-PILE'!$E$56:$E$75))+IF(SUMSQ('TS-PILE'!$D$56:$D$75)=0,0,'TO HOP NLAN'!F89*'TS-PILE'!$D$64/SUMSQ('TS-PILE'!$D$56:$D$75))),IF('TS-PILE'!$B$65="",-1E+99,'TO HOP NLAN'!D89/ncoc+IF(SUMSQ('TS-PILE'!$E$56:$E$75)=0,0,'TO HOP NLAN'!E89*'TS-PILE'!$E$65/SUMSQ('TS-PILE'!$E$56:$E$75))+IF(SUMSQ('TS-PILE'!$D$56:$D$75)=0,0,'TO HOP NLAN'!F89*'TS-PILE'!$D$65/SUMSQ('TS-PILE'!$D$56:$D$75))),IF('TS-PILE'!$B$66="",-1E+99,'TO HOP NLAN'!D89/ncoc+IF(SUMSQ('TS-PILE'!$E$56:$E$75)=0,0,'TO HOP NLAN'!E89*'TS-PILE'!$E$66/SUMSQ('TS-PILE'!$E$56:$E$75))+IF(SUMSQ('TS-PILE'!$D$56:$D$75)=0,0,'TO HOP NLAN'!F89*'TS-PILE'!$D$66/SUMSQ('TS-PILE'!$D$56:$D$75))),IF('TS-PILE'!$B$67="",-1E+99,'TO HOP NLAN'!D89/ncoc+IF(SUMSQ('TS-PILE'!$E$56:$E$75)=0,0,'TO HOP NLAN'!E89*'TS-PILE'!$E$67/SUMSQ('TS-PILE'!$E$56:$E$75))+IF(SUMSQ('TS-PILE'!$D$56:$D$75)=0,0,'TO HOP NLAN'!F89*'TS-PILE'!$D$67/SUMSQ('TS-PILE'!$D$56:$D$75))),IF('TS-PILE'!$B$68="",-1E+99,'TO HOP NLAN'!D89/ncoc+IF(SUMSQ('TS-PILE'!$E$56:$E$75)=0,0,'TO HOP NLAN'!E89*'TS-PILE'!$E$68/SUMSQ('TS-PILE'!$E$56:$E$75))+IF(SUMSQ('TS-PILE'!$D$56:$D$75)=0,0,'TO HOP NLAN'!F89*'TS-PILE'!$D$68/SUMSQ('TS-PILE'!$D$56:$D$75))),IF('TS-PILE'!$B$69="",-1E+99,'TO HOP NLAN'!D89/ncoc+IF(SUMSQ('TS-PILE'!$E$56:$E$75)=0,0,'TO HOP NLAN'!E89*'TS-PILE'!$E$69/SUMSQ('TS-PILE'!$E$56:$E$75))+IF(SUMSQ('TS-PILE'!$D$56:$D$75)=0,0,'TO HOP NLAN'!F89*'TS-PILE'!$D$69/SUMSQ('TS-PILE'!$D$56:$D$75))),IF('TS-PILE'!$B$70="",-1E+99,'TO HOP NLAN'!D89/ncoc+IF(SUMSQ('TS-PILE'!$E$56:$E$75)=0,0,'TO HOP NLAN'!E89*'TS-PILE'!$E$70/SUMSQ('TS-PILE'!$E$56:$E$75))+IF(SUMSQ('TS-PILE'!$D$56:$D$75)=0,0,'TO HOP NLAN'!F89*'TS-PILE'!$D$70/SUMSQ('TS-PILE'!$D$56:$D$75))),IF('TS-PILE'!$B$71="",-1E+99,'TO HOP NLAN'!D89/ncoc+IF(SUMSQ('TS-PILE'!$E$56:$E$75)=0,0,'TO HOP NLAN'!E89*'TS-PILE'!$E$71/SUMSQ('TS-PILE'!$E$56:$E$75))+IF(SUMSQ('TS-PILE'!$D$56:$D$75)=0,0,'TO HOP NLAN'!F89*'TS-PILE'!$D$71/SUMSQ('TS-PILE'!$D$56:$D$75))),IF('TS-PILE'!$B$72="",-1E+99,'TO HOP NLAN'!D89/ncoc+IF(SUMSQ('TS-PILE'!$E$56:$E$75)=0,0,'TO HOP NLAN'!E89*'TS-PILE'!$E$72/SUMSQ('TS-PILE'!$E$56:$E$75))+IF(SUMSQ('TS-PILE'!$D$56:$D$75)=0,0,'TO HOP NLAN'!F89*'TS-PILE'!$D$72/SUMSQ('TS-PILE'!$D$56:$D$75))),IF('TS-PILE'!$B$73="",-1E+99,'TO HOP NLAN'!D89/ncoc+IF(SUMSQ('TS-PILE'!$E$56:$E$75)=0,0,'TO HOP NLAN'!E89*'TS-PILE'!$E$73/SUMSQ('TS-PILE'!$E$56:$E$75))+IF(SUMSQ('TS-PILE'!$D$56:$D$75)=0,0,'TO HOP NLAN'!F89*'TS-PILE'!$D$73/SUMSQ('TS-PILE'!$D$56:$D$75))),IF('TS-PILE'!$B$74="",-1E+99,'TO HOP NLAN'!D89/ncoc+IF(SUMSQ('TS-PILE'!$E$56:$E$75)=0,0,'TO HOP NLAN'!E89*'TS-PILE'!$E$74/SUMSQ('TS-PILE'!$E$56:$E$75))+IF(SUMSQ('TS-PILE'!$D$56:$D$75)=0,0,'TO HOP NLAN'!F89*'TS-PILE'!$D$74/SUMSQ('TS-PILE'!$D$56:$D$75))),IF('TS-PILE'!$B$75="",-1E+99,'TO HOP NLAN'!D89/ncoc+IF(SUMSQ('TS-PILE'!$E$56:$E$75)=0,0,'TO HOP NLAN'!E89*'TS-PILE'!$E$75/SUMSQ('TS-PILE'!$E$56:$E$75))+IF(SUMSQ('TS-PILE'!$D$56:$D$75)=0,0,'TO HOP NLAN'!F89*'TS-PILE'!$D$75/SUMSQ('TS-PILE'!$D$56:$D$75)))))</f>
        <v>0</v>
      </c>
      <c r="D89" s="46">
        <f>IF(A89="",0,MIN(IF('TS-PILE'!$B$56="",1E+99,'TO HOP NLAN'!D89/ncoc+IF(SUMSQ('TS-PILE'!$E$56:$E$75)=0,0,'TO HOP NLAN'!E89*'TS-PILE'!$E$56/SUMSQ('TS-PILE'!$E$56:$E$75))+IF(SUMSQ('TS-PILE'!$D$56:$D$75)=0,0,'TO HOP NLAN'!F89*'TS-PILE'!$D$56/SUMSQ('TS-PILE'!$D$56:$D$75))),IF('TS-PILE'!$B$57="",1E+99,'TO HOP NLAN'!D89/ncoc+IF(SUMSQ('TS-PILE'!$E$56:$E$75)=0,0,'TO HOP NLAN'!E89*'TS-PILE'!$E$57/SUMSQ('TS-PILE'!$E$56:$E$75))+IF(SUMSQ('TS-PILE'!$D$56:$D$75)=0,0,'TO HOP NLAN'!F89*'TS-PILE'!$D$57/SUMSQ('TS-PILE'!$D$56:$D$75))),IF('TS-PILE'!$B$58="",1E+99,'TO HOP NLAN'!D89/ncoc+IF(SUMSQ('TS-PILE'!$E$56:$E$75)=0,0,'TO HOP NLAN'!E89*'TS-PILE'!$E$58/SUMSQ('TS-PILE'!$E$56:$E$75))+IF(SUMSQ('TS-PILE'!$D$56:$D$75)=0,0,'TO HOP NLAN'!F89*'TS-PILE'!$D$58/SUMSQ('TS-PILE'!$D$56:$D$75))),IF('TS-PILE'!$B$59="",1E+99,'TO HOP NLAN'!D89/ncoc+IF(SUMSQ('TS-PILE'!$E$56:$E$75)=0,0,'TO HOP NLAN'!E89*'TS-PILE'!$E$59/SUMSQ('TS-PILE'!$E$56:$E$75))+IF(SUMSQ('TS-PILE'!$D$56:$D$75)=0,0,'TO HOP NLAN'!F89*'TS-PILE'!$D$59/SUMSQ('TS-PILE'!$D$56:$D$75))),IF('TS-PILE'!$B$60="",1E+99,'TO HOP NLAN'!D89/ncoc+IF(SUMSQ('TS-PILE'!$E$56:$E$75)=0,0,'TO HOP NLAN'!E89*'TS-PILE'!$E$60/SUMSQ('TS-PILE'!$E$56:$E$75))+IF(SUMSQ('TS-PILE'!$D$56:$D$75)=0,0,'TO HOP NLAN'!F89*'TS-PILE'!$D$60/SUMSQ('TS-PILE'!$D$56:$D$75))),IF('TS-PILE'!$B$61="",1E+99,'TO HOP NLAN'!D89/ncoc+IF(SUMSQ('TS-PILE'!$E$56:$E$75)=0,0,'TO HOP NLAN'!E89*'TS-PILE'!$E$61/SUMSQ('TS-PILE'!$E$56:$E$75))+IF(SUMSQ('TS-PILE'!$D$56:$D$75)=0,0,'TO HOP NLAN'!F89*'TS-PILE'!$D$61/SUMSQ('TS-PILE'!$D$56:$D$75))),IF('TS-PILE'!$B$62="",1E+99,'TO HOP NLAN'!D89/ncoc+IF(SUMSQ('TS-PILE'!$E$56:$E$75)=0,0,'TO HOP NLAN'!E89*'TS-PILE'!$E$62/SUMSQ('TS-PILE'!$E$56:$E$75))+IF(SUMSQ('TS-PILE'!$D$56:$D$75)=0,0,'TO HOP NLAN'!F89*'TS-PILE'!$D$62/SUMSQ('TS-PILE'!$D$56:$D$75))),IF('TS-PILE'!$B$63="",1E+99,'TO HOP NLAN'!D89/ncoc+IF(SUMSQ('TS-PILE'!$E$56:$E$75)=0,0,'TO HOP NLAN'!E89*'TS-PILE'!$E$63/SUMSQ('TS-PILE'!$E$56:$E$75))+IF(SUMSQ('TS-PILE'!$D$56:$D$75)=0,0,'TO HOP NLAN'!F89*'TS-PILE'!$D$63/SUMSQ('TS-PILE'!$D$56:$D$75))),IF('TS-PILE'!$B$64="",1E+99,'TO HOP NLAN'!D89/ncoc+IF(SUMSQ('TS-PILE'!$E$56:$E$75)=0,0,'TO HOP NLAN'!E89*'TS-PILE'!$E$64/SUMSQ('TS-PILE'!$E$56:$E$75))+IF(SUMSQ('TS-PILE'!$D$56:$D$75)=0,0,'TO HOP NLAN'!F89*'TS-PILE'!$D$64/SUMSQ('TS-PILE'!$D$56:$D$75))),IF('TS-PILE'!$B$65="",1E+99,'TO HOP NLAN'!D89/ncoc+IF(SUMSQ('TS-PILE'!$E$56:$E$75)=0,0,'TO HOP NLAN'!E89*'TS-PILE'!$E$65/SUMSQ('TS-PILE'!$E$56:$E$75))+IF(SUMSQ('TS-PILE'!$D$56:$D$75)=0,0,'TO HOP NLAN'!F89*'TS-PILE'!$D$65/SUMSQ('TS-PILE'!$D$56:$D$75))),IF('TS-PILE'!$B$66="",1E+99,'TO HOP NLAN'!D89/ncoc+IF(SUMSQ('TS-PILE'!$E$56:$E$75)=0,0,'TO HOP NLAN'!E89*'TS-PILE'!$E$66/SUMSQ('TS-PILE'!$E$56:$E$75))+IF(SUMSQ('TS-PILE'!$D$56:$D$75)=0,0,'TO HOP NLAN'!F89*'TS-PILE'!$D$66/SUMSQ('TS-PILE'!$D$56:$D$75))),IF('TS-PILE'!$B$67="",1E+99,'TO HOP NLAN'!D89/ncoc+IF(SUMSQ('TS-PILE'!$E$56:$E$75)=0,0,'TO HOP NLAN'!E89*'TS-PILE'!$E$67/SUMSQ('TS-PILE'!$E$56:$E$75))+IF(SUMSQ('TS-PILE'!$D$56:$D$75)=0,0,'TO HOP NLAN'!F89*'TS-PILE'!$D$67/SUMSQ('TS-PILE'!$D$56:$D$75))),IF('TS-PILE'!$B$68="",1E+99,'TO HOP NLAN'!D89/ncoc+IF(SUMSQ('TS-PILE'!$E$56:$E$75)=0,0,'TO HOP NLAN'!E89*'TS-PILE'!$E$68/SUMSQ('TS-PILE'!$E$56:$E$75))+IF(SUMSQ('TS-PILE'!$D$56:$D$75)=0,0,'TO HOP NLAN'!F89*'TS-PILE'!$D$68/SUMSQ('TS-PILE'!$D$56:$D$75))),IF('TS-PILE'!$B$69="",1E+99,'TO HOP NLAN'!D89/ncoc+IF(SUMSQ('TS-PILE'!$E$56:$E$75)=0,0,'TO HOP NLAN'!E89*'TS-PILE'!$E$69/SUMSQ('TS-PILE'!$E$56:$E$75))+IF(SUMSQ('TS-PILE'!$D$56:$D$75)=0,0,'TO HOP NLAN'!F89*'TS-PILE'!$D$69/SUMSQ('TS-PILE'!$D$56:$D$75))),IF('TS-PILE'!$B$70="",1E+99,'TO HOP NLAN'!D89/ncoc+IF(SUMSQ('TS-PILE'!$E$56:$E$75)=0,0,'TO HOP NLAN'!E89*'TS-PILE'!$E$70/SUMSQ('TS-PILE'!$E$56:$E$75))+IF(SUMSQ('TS-PILE'!$D$56:$D$75)=0,0,'TO HOP NLAN'!F89*'TS-PILE'!$D$70/SUMSQ('TS-PILE'!$D$56:$D$75))),IF('TS-PILE'!$B$71="",1E+99,'TO HOP NLAN'!D89/ncoc+IF(SUMSQ('TS-PILE'!$E$56:$E$75)=0,0,'TO HOP NLAN'!E89*'TS-PILE'!$E$71/SUMSQ('TS-PILE'!$E$56:$E$75))+IF(SUMSQ('TS-PILE'!$D$56:$D$75)=0,0,'TO HOP NLAN'!F89*'TS-PILE'!$D$71/SUMSQ('TS-PILE'!$D$56:$D$75))),IF('TS-PILE'!$B$72="",1E+99,'TO HOP NLAN'!D89/ncoc+IF(SUMSQ('TS-PILE'!$E$56:$E$75)=0,0,'TO HOP NLAN'!E89*'TS-PILE'!$E$72/SUMSQ('TS-PILE'!$E$56:$E$75))+IF(SUMSQ('TS-PILE'!$D$56:$D$75)=0,0,'TO HOP NLAN'!F89*'TS-PILE'!$D$72/SUMSQ('TS-PILE'!$D$56:$D$75))),IF('TS-PILE'!$B$73="",1E+99,'TO HOP NLAN'!D89/ncoc+IF(SUMSQ('TS-PILE'!$E$56:$E$75)=0,0,'TO HOP NLAN'!E89*'TS-PILE'!$E$73/SUMSQ('TS-PILE'!$E$56:$E$75))+IF(SUMSQ('TS-PILE'!$D$56:$D$75)=0,0,'TO HOP NLAN'!F89*'TS-PILE'!$D$73/SUMSQ('TS-PILE'!$D$56:$D$75))),IF('TS-PILE'!$B$74="",1E+99,'TO HOP NLAN'!D89/ncoc+IF(SUMSQ('TS-PILE'!$E$56:$E$75)=0,0,'TO HOP NLAN'!E89*'TS-PILE'!$E$74/SUMSQ('TS-PILE'!$E$56:$E$75))+IF(SUMSQ('TS-PILE'!$D$56:$D$75)=0,0,'TO HOP NLAN'!F89*'TS-PILE'!$D$74/SUMSQ('TS-PILE'!$D$56:$D$75))),IF('TS-PILE'!$B$75="",1E+99,'TO HOP NLAN'!D89/ncoc+IF(SUMSQ('TS-PILE'!$E$56:$E$75)=0,0,'TO HOP NLAN'!E89*'TS-PILE'!$E$75/SUMSQ('TS-PILE'!$E$56:$E$75))+IF(SUMSQ('TS-PILE'!$D$56:$D$75)=0,0,'TO HOP NLAN'!F89*'TS-PILE'!$D$75/SUMSQ('TS-PILE'!$D$56:$D$75)))))</f>
        <v>0</v>
      </c>
      <c r="E89" s="46">
        <f t="shared" si="4"/>
        <v>-9.9999999999999997E+98</v>
      </c>
      <c r="F89" s="46">
        <f t="shared" si="5"/>
        <v>9.9999999999999997E+98</v>
      </c>
      <c r="G89" s="46">
        <f t="shared" si="6"/>
        <v>-9.9999999999999997E+98</v>
      </c>
      <c r="H89" s="46">
        <f t="shared" si="7"/>
        <v>9.9999999999999997E+98</v>
      </c>
    </row>
    <row r="90" spans="1:8" x14ac:dyDescent="0.3">
      <c r="A90" s="40" t="str">
        <f>'TO HOP NLAN'!A90</f>
        <v/>
      </c>
      <c r="B90" s="40" t="str">
        <f>'TO HOP NLAN'!L90</f>
        <v>STRENGTH</v>
      </c>
      <c r="C90" s="46">
        <f>IF(A90="",0,MAX(IF('TS-PILE'!$B$56="",-1E+99,'TO HOP NLAN'!D90/ncoc+IF(SUMSQ('TS-PILE'!$E$56:$E$75)=0,0,'TO HOP NLAN'!E90*'TS-PILE'!$E$56/SUMSQ('TS-PILE'!$E$56:$E$75))+IF(SUMSQ('TS-PILE'!$D$56:$D$75)=0,0,'TO HOP NLAN'!F90*'TS-PILE'!$D$56/SUMSQ('TS-PILE'!$D$56:$D$75))),IF('TS-PILE'!$B$57="",-1E+99,'TO HOP NLAN'!D90/ncoc+IF(SUMSQ('TS-PILE'!$E$56:$E$75)=0,0,'TO HOP NLAN'!E90*'TS-PILE'!$E$57/SUMSQ('TS-PILE'!$E$56:$E$75))+IF(SUMSQ('TS-PILE'!$D$56:$D$75)=0,0,'TO HOP NLAN'!F90*'TS-PILE'!$D$57/SUMSQ('TS-PILE'!$D$56:$D$75))),IF('TS-PILE'!$B$58="",-1E+99,'TO HOP NLAN'!D90/ncoc+IF(SUMSQ('TS-PILE'!$E$56:$E$75)=0,0,'TO HOP NLAN'!E90*'TS-PILE'!$E$58/SUMSQ('TS-PILE'!$E$56:$E$75))+IF(SUMSQ('TS-PILE'!$D$56:$D$75)=0,0,'TO HOP NLAN'!F90*'TS-PILE'!$D$58/SUMSQ('TS-PILE'!$D$56:$D$75))),IF('TS-PILE'!$B$59="",-1E+99,'TO HOP NLAN'!D90/ncoc+IF(SUMSQ('TS-PILE'!$E$56:$E$75)=0,0,'TO HOP NLAN'!E90*'TS-PILE'!$E$59/SUMSQ('TS-PILE'!$E$56:$E$75))+IF(SUMSQ('TS-PILE'!$D$56:$D$75)=0,0,'TO HOP NLAN'!F90*'TS-PILE'!$D$59/SUMSQ('TS-PILE'!$D$56:$D$75))),IF('TS-PILE'!$B$60="",-1E+99,'TO HOP NLAN'!D90/ncoc+IF(SUMSQ('TS-PILE'!$E$56:$E$75)=0,0,'TO HOP NLAN'!E90*'TS-PILE'!$E$60/SUMSQ('TS-PILE'!$E$56:$E$75))+IF(SUMSQ('TS-PILE'!$D$56:$D$75)=0,0,'TO HOP NLAN'!F90*'TS-PILE'!$D$60/SUMSQ('TS-PILE'!$D$56:$D$75))),IF('TS-PILE'!$B$61="",-1E+99,'TO HOP NLAN'!D90/ncoc+IF(SUMSQ('TS-PILE'!$E$56:$E$75)=0,0,'TO HOP NLAN'!E90*'TS-PILE'!$E$61/SUMSQ('TS-PILE'!$E$56:$E$75))+IF(SUMSQ('TS-PILE'!$D$56:$D$75)=0,0,'TO HOP NLAN'!F90*'TS-PILE'!$D$61/SUMSQ('TS-PILE'!$D$56:$D$75))),IF('TS-PILE'!$B$62="",-1E+99,'TO HOP NLAN'!D90/ncoc+IF(SUMSQ('TS-PILE'!$E$56:$E$75)=0,0,'TO HOP NLAN'!E90*'TS-PILE'!$E$62/SUMSQ('TS-PILE'!$E$56:$E$75))+IF(SUMSQ('TS-PILE'!$D$56:$D$75)=0,0,'TO HOP NLAN'!F90*'TS-PILE'!$D$62/SUMSQ('TS-PILE'!$D$56:$D$75))),IF('TS-PILE'!$B$63="",-1E+99,'TO HOP NLAN'!D90/ncoc+IF(SUMSQ('TS-PILE'!$E$56:$E$75)=0,0,'TO HOP NLAN'!E90*'TS-PILE'!$E$63/SUMSQ('TS-PILE'!$E$56:$E$75))+IF(SUMSQ('TS-PILE'!$D$56:$D$75)=0,0,'TO HOP NLAN'!F90*'TS-PILE'!$D$63/SUMSQ('TS-PILE'!$D$56:$D$75))),IF('TS-PILE'!$B$64="",-1E+99,'TO HOP NLAN'!D90/ncoc+IF(SUMSQ('TS-PILE'!$E$56:$E$75)=0,0,'TO HOP NLAN'!E90*'TS-PILE'!$E$64/SUMSQ('TS-PILE'!$E$56:$E$75))+IF(SUMSQ('TS-PILE'!$D$56:$D$75)=0,0,'TO HOP NLAN'!F90*'TS-PILE'!$D$64/SUMSQ('TS-PILE'!$D$56:$D$75))),IF('TS-PILE'!$B$65="",-1E+99,'TO HOP NLAN'!D90/ncoc+IF(SUMSQ('TS-PILE'!$E$56:$E$75)=0,0,'TO HOP NLAN'!E90*'TS-PILE'!$E$65/SUMSQ('TS-PILE'!$E$56:$E$75))+IF(SUMSQ('TS-PILE'!$D$56:$D$75)=0,0,'TO HOP NLAN'!F90*'TS-PILE'!$D$65/SUMSQ('TS-PILE'!$D$56:$D$75))),IF('TS-PILE'!$B$66="",-1E+99,'TO HOP NLAN'!D90/ncoc+IF(SUMSQ('TS-PILE'!$E$56:$E$75)=0,0,'TO HOP NLAN'!E90*'TS-PILE'!$E$66/SUMSQ('TS-PILE'!$E$56:$E$75))+IF(SUMSQ('TS-PILE'!$D$56:$D$75)=0,0,'TO HOP NLAN'!F90*'TS-PILE'!$D$66/SUMSQ('TS-PILE'!$D$56:$D$75))),IF('TS-PILE'!$B$67="",-1E+99,'TO HOP NLAN'!D90/ncoc+IF(SUMSQ('TS-PILE'!$E$56:$E$75)=0,0,'TO HOP NLAN'!E90*'TS-PILE'!$E$67/SUMSQ('TS-PILE'!$E$56:$E$75))+IF(SUMSQ('TS-PILE'!$D$56:$D$75)=0,0,'TO HOP NLAN'!F90*'TS-PILE'!$D$67/SUMSQ('TS-PILE'!$D$56:$D$75))),IF('TS-PILE'!$B$68="",-1E+99,'TO HOP NLAN'!D90/ncoc+IF(SUMSQ('TS-PILE'!$E$56:$E$75)=0,0,'TO HOP NLAN'!E90*'TS-PILE'!$E$68/SUMSQ('TS-PILE'!$E$56:$E$75))+IF(SUMSQ('TS-PILE'!$D$56:$D$75)=0,0,'TO HOP NLAN'!F90*'TS-PILE'!$D$68/SUMSQ('TS-PILE'!$D$56:$D$75))),IF('TS-PILE'!$B$69="",-1E+99,'TO HOP NLAN'!D90/ncoc+IF(SUMSQ('TS-PILE'!$E$56:$E$75)=0,0,'TO HOP NLAN'!E90*'TS-PILE'!$E$69/SUMSQ('TS-PILE'!$E$56:$E$75))+IF(SUMSQ('TS-PILE'!$D$56:$D$75)=0,0,'TO HOP NLAN'!F90*'TS-PILE'!$D$69/SUMSQ('TS-PILE'!$D$56:$D$75))),IF('TS-PILE'!$B$70="",-1E+99,'TO HOP NLAN'!D90/ncoc+IF(SUMSQ('TS-PILE'!$E$56:$E$75)=0,0,'TO HOP NLAN'!E90*'TS-PILE'!$E$70/SUMSQ('TS-PILE'!$E$56:$E$75))+IF(SUMSQ('TS-PILE'!$D$56:$D$75)=0,0,'TO HOP NLAN'!F90*'TS-PILE'!$D$70/SUMSQ('TS-PILE'!$D$56:$D$75))),IF('TS-PILE'!$B$71="",-1E+99,'TO HOP NLAN'!D90/ncoc+IF(SUMSQ('TS-PILE'!$E$56:$E$75)=0,0,'TO HOP NLAN'!E90*'TS-PILE'!$E$71/SUMSQ('TS-PILE'!$E$56:$E$75))+IF(SUMSQ('TS-PILE'!$D$56:$D$75)=0,0,'TO HOP NLAN'!F90*'TS-PILE'!$D$71/SUMSQ('TS-PILE'!$D$56:$D$75))),IF('TS-PILE'!$B$72="",-1E+99,'TO HOP NLAN'!D90/ncoc+IF(SUMSQ('TS-PILE'!$E$56:$E$75)=0,0,'TO HOP NLAN'!E90*'TS-PILE'!$E$72/SUMSQ('TS-PILE'!$E$56:$E$75))+IF(SUMSQ('TS-PILE'!$D$56:$D$75)=0,0,'TO HOP NLAN'!F90*'TS-PILE'!$D$72/SUMSQ('TS-PILE'!$D$56:$D$75))),IF('TS-PILE'!$B$73="",-1E+99,'TO HOP NLAN'!D90/ncoc+IF(SUMSQ('TS-PILE'!$E$56:$E$75)=0,0,'TO HOP NLAN'!E90*'TS-PILE'!$E$73/SUMSQ('TS-PILE'!$E$56:$E$75))+IF(SUMSQ('TS-PILE'!$D$56:$D$75)=0,0,'TO HOP NLAN'!F90*'TS-PILE'!$D$73/SUMSQ('TS-PILE'!$D$56:$D$75))),IF('TS-PILE'!$B$74="",-1E+99,'TO HOP NLAN'!D90/ncoc+IF(SUMSQ('TS-PILE'!$E$56:$E$75)=0,0,'TO HOP NLAN'!E90*'TS-PILE'!$E$74/SUMSQ('TS-PILE'!$E$56:$E$75))+IF(SUMSQ('TS-PILE'!$D$56:$D$75)=0,0,'TO HOP NLAN'!F90*'TS-PILE'!$D$74/SUMSQ('TS-PILE'!$D$56:$D$75))),IF('TS-PILE'!$B$75="",-1E+99,'TO HOP NLAN'!D90/ncoc+IF(SUMSQ('TS-PILE'!$E$56:$E$75)=0,0,'TO HOP NLAN'!E90*'TS-PILE'!$E$75/SUMSQ('TS-PILE'!$E$56:$E$75))+IF(SUMSQ('TS-PILE'!$D$56:$D$75)=0,0,'TO HOP NLAN'!F90*'TS-PILE'!$D$75/SUMSQ('TS-PILE'!$D$56:$D$75)))))</f>
        <v>0</v>
      </c>
      <c r="D90" s="46">
        <f>IF(A90="",0,MIN(IF('TS-PILE'!$B$56="",1E+99,'TO HOP NLAN'!D90/ncoc+IF(SUMSQ('TS-PILE'!$E$56:$E$75)=0,0,'TO HOP NLAN'!E90*'TS-PILE'!$E$56/SUMSQ('TS-PILE'!$E$56:$E$75))+IF(SUMSQ('TS-PILE'!$D$56:$D$75)=0,0,'TO HOP NLAN'!F90*'TS-PILE'!$D$56/SUMSQ('TS-PILE'!$D$56:$D$75))),IF('TS-PILE'!$B$57="",1E+99,'TO HOP NLAN'!D90/ncoc+IF(SUMSQ('TS-PILE'!$E$56:$E$75)=0,0,'TO HOP NLAN'!E90*'TS-PILE'!$E$57/SUMSQ('TS-PILE'!$E$56:$E$75))+IF(SUMSQ('TS-PILE'!$D$56:$D$75)=0,0,'TO HOP NLAN'!F90*'TS-PILE'!$D$57/SUMSQ('TS-PILE'!$D$56:$D$75))),IF('TS-PILE'!$B$58="",1E+99,'TO HOP NLAN'!D90/ncoc+IF(SUMSQ('TS-PILE'!$E$56:$E$75)=0,0,'TO HOP NLAN'!E90*'TS-PILE'!$E$58/SUMSQ('TS-PILE'!$E$56:$E$75))+IF(SUMSQ('TS-PILE'!$D$56:$D$75)=0,0,'TO HOP NLAN'!F90*'TS-PILE'!$D$58/SUMSQ('TS-PILE'!$D$56:$D$75))),IF('TS-PILE'!$B$59="",1E+99,'TO HOP NLAN'!D90/ncoc+IF(SUMSQ('TS-PILE'!$E$56:$E$75)=0,0,'TO HOP NLAN'!E90*'TS-PILE'!$E$59/SUMSQ('TS-PILE'!$E$56:$E$75))+IF(SUMSQ('TS-PILE'!$D$56:$D$75)=0,0,'TO HOP NLAN'!F90*'TS-PILE'!$D$59/SUMSQ('TS-PILE'!$D$56:$D$75))),IF('TS-PILE'!$B$60="",1E+99,'TO HOP NLAN'!D90/ncoc+IF(SUMSQ('TS-PILE'!$E$56:$E$75)=0,0,'TO HOP NLAN'!E90*'TS-PILE'!$E$60/SUMSQ('TS-PILE'!$E$56:$E$75))+IF(SUMSQ('TS-PILE'!$D$56:$D$75)=0,0,'TO HOP NLAN'!F90*'TS-PILE'!$D$60/SUMSQ('TS-PILE'!$D$56:$D$75))),IF('TS-PILE'!$B$61="",1E+99,'TO HOP NLAN'!D90/ncoc+IF(SUMSQ('TS-PILE'!$E$56:$E$75)=0,0,'TO HOP NLAN'!E90*'TS-PILE'!$E$61/SUMSQ('TS-PILE'!$E$56:$E$75))+IF(SUMSQ('TS-PILE'!$D$56:$D$75)=0,0,'TO HOP NLAN'!F90*'TS-PILE'!$D$61/SUMSQ('TS-PILE'!$D$56:$D$75))),IF('TS-PILE'!$B$62="",1E+99,'TO HOP NLAN'!D90/ncoc+IF(SUMSQ('TS-PILE'!$E$56:$E$75)=0,0,'TO HOP NLAN'!E90*'TS-PILE'!$E$62/SUMSQ('TS-PILE'!$E$56:$E$75))+IF(SUMSQ('TS-PILE'!$D$56:$D$75)=0,0,'TO HOP NLAN'!F90*'TS-PILE'!$D$62/SUMSQ('TS-PILE'!$D$56:$D$75))),IF('TS-PILE'!$B$63="",1E+99,'TO HOP NLAN'!D90/ncoc+IF(SUMSQ('TS-PILE'!$E$56:$E$75)=0,0,'TO HOP NLAN'!E90*'TS-PILE'!$E$63/SUMSQ('TS-PILE'!$E$56:$E$75))+IF(SUMSQ('TS-PILE'!$D$56:$D$75)=0,0,'TO HOP NLAN'!F90*'TS-PILE'!$D$63/SUMSQ('TS-PILE'!$D$56:$D$75))),IF('TS-PILE'!$B$64="",1E+99,'TO HOP NLAN'!D90/ncoc+IF(SUMSQ('TS-PILE'!$E$56:$E$75)=0,0,'TO HOP NLAN'!E90*'TS-PILE'!$E$64/SUMSQ('TS-PILE'!$E$56:$E$75))+IF(SUMSQ('TS-PILE'!$D$56:$D$75)=0,0,'TO HOP NLAN'!F90*'TS-PILE'!$D$64/SUMSQ('TS-PILE'!$D$56:$D$75))),IF('TS-PILE'!$B$65="",1E+99,'TO HOP NLAN'!D90/ncoc+IF(SUMSQ('TS-PILE'!$E$56:$E$75)=0,0,'TO HOP NLAN'!E90*'TS-PILE'!$E$65/SUMSQ('TS-PILE'!$E$56:$E$75))+IF(SUMSQ('TS-PILE'!$D$56:$D$75)=0,0,'TO HOP NLAN'!F90*'TS-PILE'!$D$65/SUMSQ('TS-PILE'!$D$56:$D$75))),IF('TS-PILE'!$B$66="",1E+99,'TO HOP NLAN'!D90/ncoc+IF(SUMSQ('TS-PILE'!$E$56:$E$75)=0,0,'TO HOP NLAN'!E90*'TS-PILE'!$E$66/SUMSQ('TS-PILE'!$E$56:$E$75))+IF(SUMSQ('TS-PILE'!$D$56:$D$75)=0,0,'TO HOP NLAN'!F90*'TS-PILE'!$D$66/SUMSQ('TS-PILE'!$D$56:$D$75))),IF('TS-PILE'!$B$67="",1E+99,'TO HOP NLAN'!D90/ncoc+IF(SUMSQ('TS-PILE'!$E$56:$E$75)=0,0,'TO HOP NLAN'!E90*'TS-PILE'!$E$67/SUMSQ('TS-PILE'!$E$56:$E$75))+IF(SUMSQ('TS-PILE'!$D$56:$D$75)=0,0,'TO HOP NLAN'!F90*'TS-PILE'!$D$67/SUMSQ('TS-PILE'!$D$56:$D$75))),IF('TS-PILE'!$B$68="",1E+99,'TO HOP NLAN'!D90/ncoc+IF(SUMSQ('TS-PILE'!$E$56:$E$75)=0,0,'TO HOP NLAN'!E90*'TS-PILE'!$E$68/SUMSQ('TS-PILE'!$E$56:$E$75))+IF(SUMSQ('TS-PILE'!$D$56:$D$75)=0,0,'TO HOP NLAN'!F90*'TS-PILE'!$D$68/SUMSQ('TS-PILE'!$D$56:$D$75))),IF('TS-PILE'!$B$69="",1E+99,'TO HOP NLAN'!D90/ncoc+IF(SUMSQ('TS-PILE'!$E$56:$E$75)=0,0,'TO HOP NLAN'!E90*'TS-PILE'!$E$69/SUMSQ('TS-PILE'!$E$56:$E$75))+IF(SUMSQ('TS-PILE'!$D$56:$D$75)=0,0,'TO HOP NLAN'!F90*'TS-PILE'!$D$69/SUMSQ('TS-PILE'!$D$56:$D$75))),IF('TS-PILE'!$B$70="",1E+99,'TO HOP NLAN'!D90/ncoc+IF(SUMSQ('TS-PILE'!$E$56:$E$75)=0,0,'TO HOP NLAN'!E90*'TS-PILE'!$E$70/SUMSQ('TS-PILE'!$E$56:$E$75))+IF(SUMSQ('TS-PILE'!$D$56:$D$75)=0,0,'TO HOP NLAN'!F90*'TS-PILE'!$D$70/SUMSQ('TS-PILE'!$D$56:$D$75))),IF('TS-PILE'!$B$71="",1E+99,'TO HOP NLAN'!D90/ncoc+IF(SUMSQ('TS-PILE'!$E$56:$E$75)=0,0,'TO HOP NLAN'!E90*'TS-PILE'!$E$71/SUMSQ('TS-PILE'!$E$56:$E$75))+IF(SUMSQ('TS-PILE'!$D$56:$D$75)=0,0,'TO HOP NLAN'!F90*'TS-PILE'!$D$71/SUMSQ('TS-PILE'!$D$56:$D$75))),IF('TS-PILE'!$B$72="",1E+99,'TO HOP NLAN'!D90/ncoc+IF(SUMSQ('TS-PILE'!$E$56:$E$75)=0,0,'TO HOP NLAN'!E90*'TS-PILE'!$E$72/SUMSQ('TS-PILE'!$E$56:$E$75))+IF(SUMSQ('TS-PILE'!$D$56:$D$75)=0,0,'TO HOP NLAN'!F90*'TS-PILE'!$D$72/SUMSQ('TS-PILE'!$D$56:$D$75))),IF('TS-PILE'!$B$73="",1E+99,'TO HOP NLAN'!D90/ncoc+IF(SUMSQ('TS-PILE'!$E$56:$E$75)=0,0,'TO HOP NLAN'!E90*'TS-PILE'!$E$73/SUMSQ('TS-PILE'!$E$56:$E$75))+IF(SUMSQ('TS-PILE'!$D$56:$D$75)=0,0,'TO HOP NLAN'!F90*'TS-PILE'!$D$73/SUMSQ('TS-PILE'!$D$56:$D$75))),IF('TS-PILE'!$B$74="",1E+99,'TO HOP NLAN'!D90/ncoc+IF(SUMSQ('TS-PILE'!$E$56:$E$75)=0,0,'TO HOP NLAN'!E90*'TS-PILE'!$E$74/SUMSQ('TS-PILE'!$E$56:$E$75))+IF(SUMSQ('TS-PILE'!$D$56:$D$75)=0,0,'TO HOP NLAN'!F90*'TS-PILE'!$D$74/SUMSQ('TS-PILE'!$D$56:$D$75))),IF('TS-PILE'!$B$75="",1E+99,'TO HOP NLAN'!D90/ncoc+IF(SUMSQ('TS-PILE'!$E$56:$E$75)=0,0,'TO HOP NLAN'!E90*'TS-PILE'!$E$75/SUMSQ('TS-PILE'!$E$56:$E$75))+IF(SUMSQ('TS-PILE'!$D$56:$D$75)=0,0,'TO HOP NLAN'!F90*'TS-PILE'!$D$75/SUMSQ('TS-PILE'!$D$56:$D$75)))))</f>
        <v>0</v>
      </c>
      <c r="E90" s="46">
        <f t="shared" si="4"/>
        <v>-9.9999999999999997E+98</v>
      </c>
      <c r="F90" s="46">
        <f t="shared" si="5"/>
        <v>9.9999999999999997E+98</v>
      </c>
      <c r="G90" s="46">
        <f t="shared" si="6"/>
        <v>-9.9999999999999997E+98</v>
      </c>
      <c r="H90" s="46">
        <f t="shared" si="7"/>
        <v>9.9999999999999997E+98</v>
      </c>
    </row>
    <row r="91" spans="1:8" x14ac:dyDescent="0.3">
      <c r="A91" s="40" t="str">
        <f>'TO HOP NLAN'!A91</f>
        <v/>
      </c>
      <c r="B91" s="40" t="str">
        <f>'TO HOP NLAN'!L91</f>
        <v>STRENGTH</v>
      </c>
      <c r="C91" s="46">
        <f>IF(A91="",0,MAX(IF('TS-PILE'!$B$56="",-1E+99,'TO HOP NLAN'!D91/ncoc+IF(SUMSQ('TS-PILE'!$E$56:$E$75)=0,0,'TO HOP NLAN'!E91*'TS-PILE'!$E$56/SUMSQ('TS-PILE'!$E$56:$E$75))+IF(SUMSQ('TS-PILE'!$D$56:$D$75)=0,0,'TO HOP NLAN'!F91*'TS-PILE'!$D$56/SUMSQ('TS-PILE'!$D$56:$D$75))),IF('TS-PILE'!$B$57="",-1E+99,'TO HOP NLAN'!D91/ncoc+IF(SUMSQ('TS-PILE'!$E$56:$E$75)=0,0,'TO HOP NLAN'!E91*'TS-PILE'!$E$57/SUMSQ('TS-PILE'!$E$56:$E$75))+IF(SUMSQ('TS-PILE'!$D$56:$D$75)=0,0,'TO HOP NLAN'!F91*'TS-PILE'!$D$57/SUMSQ('TS-PILE'!$D$56:$D$75))),IF('TS-PILE'!$B$58="",-1E+99,'TO HOP NLAN'!D91/ncoc+IF(SUMSQ('TS-PILE'!$E$56:$E$75)=0,0,'TO HOP NLAN'!E91*'TS-PILE'!$E$58/SUMSQ('TS-PILE'!$E$56:$E$75))+IF(SUMSQ('TS-PILE'!$D$56:$D$75)=0,0,'TO HOP NLAN'!F91*'TS-PILE'!$D$58/SUMSQ('TS-PILE'!$D$56:$D$75))),IF('TS-PILE'!$B$59="",-1E+99,'TO HOP NLAN'!D91/ncoc+IF(SUMSQ('TS-PILE'!$E$56:$E$75)=0,0,'TO HOP NLAN'!E91*'TS-PILE'!$E$59/SUMSQ('TS-PILE'!$E$56:$E$75))+IF(SUMSQ('TS-PILE'!$D$56:$D$75)=0,0,'TO HOP NLAN'!F91*'TS-PILE'!$D$59/SUMSQ('TS-PILE'!$D$56:$D$75))),IF('TS-PILE'!$B$60="",-1E+99,'TO HOP NLAN'!D91/ncoc+IF(SUMSQ('TS-PILE'!$E$56:$E$75)=0,0,'TO HOP NLAN'!E91*'TS-PILE'!$E$60/SUMSQ('TS-PILE'!$E$56:$E$75))+IF(SUMSQ('TS-PILE'!$D$56:$D$75)=0,0,'TO HOP NLAN'!F91*'TS-PILE'!$D$60/SUMSQ('TS-PILE'!$D$56:$D$75))),IF('TS-PILE'!$B$61="",-1E+99,'TO HOP NLAN'!D91/ncoc+IF(SUMSQ('TS-PILE'!$E$56:$E$75)=0,0,'TO HOP NLAN'!E91*'TS-PILE'!$E$61/SUMSQ('TS-PILE'!$E$56:$E$75))+IF(SUMSQ('TS-PILE'!$D$56:$D$75)=0,0,'TO HOP NLAN'!F91*'TS-PILE'!$D$61/SUMSQ('TS-PILE'!$D$56:$D$75))),IF('TS-PILE'!$B$62="",-1E+99,'TO HOP NLAN'!D91/ncoc+IF(SUMSQ('TS-PILE'!$E$56:$E$75)=0,0,'TO HOP NLAN'!E91*'TS-PILE'!$E$62/SUMSQ('TS-PILE'!$E$56:$E$75))+IF(SUMSQ('TS-PILE'!$D$56:$D$75)=0,0,'TO HOP NLAN'!F91*'TS-PILE'!$D$62/SUMSQ('TS-PILE'!$D$56:$D$75))),IF('TS-PILE'!$B$63="",-1E+99,'TO HOP NLAN'!D91/ncoc+IF(SUMSQ('TS-PILE'!$E$56:$E$75)=0,0,'TO HOP NLAN'!E91*'TS-PILE'!$E$63/SUMSQ('TS-PILE'!$E$56:$E$75))+IF(SUMSQ('TS-PILE'!$D$56:$D$75)=0,0,'TO HOP NLAN'!F91*'TS-PILE'!$D$63/SUMSQ('TS-PILE'!$D$56:$D$75))),IF('TS-PILE'!$B$64="",-1E+99,'TO HOP NLAN'!D91/ncoc+IF(SUMSQ('TS-PILE'!$E$56:$E$75)=0,0,'TO HOP NLAN'!E91*'TS-PILE'!$E$64/SUMSQ('TS-PILE'!$E$56:$E$75))+IF(SUMSQ('TS-PILE'!$D$56:$D$75)=0,0,'TO HOP NLAN'!F91*'TS-PILE'!$D$64/SUMSQ('TS-PILE'!$D$56:$D$75))),IF('TS-PILE'!$B$65="",-1E+99,'TO HOP NLAN'!D91/ncoc+IF(SUMSQ('TS-PILE'!$E$56:$E$75)=0,0,'TO HOP NLAN'!E91*'TS-PILE'!$E$65/SUMSQ('TS-PILE'!$E$56:$E$75))+IF(SUMSQ('TS-PILE'!$D$56:$D$75)=0,0,'TO HOP NLAN'!F91*'TS-PILE'!$D$65/SUMSQ('TS-PILE'!$D$56:$D$75))),IF('TS-PILE'!$B$66="",-1E+99,'TO HOP NLAN'!D91/ncoc+IF(SUMSQ('TS-PILE'!$E$56:$E$75)=0,0,'TO HOP NLAN'!E91*'TS-PILE'!$E$66/SUMSQ('TS-PILE'!$E$56:$E$75))+IF(SUMSQ('TS-PILE'!$D$56:$D$75)=0,0,'TO HOP NLAN'!F91*'TS-PILE'!$D$66/SUMSQ('TS-PILE'!$D$56:$D$75))),IF('TS-PILE'!$B$67="",-1E+99,'TO HOP NLAN'!D91/ncoc+IF(SUMSQ('TS-PILE'!$E$56:$E$75)=0,0,'TO HOP NLAN'!E91*'TS-PILE'!$E$67/SUMSQ('TS-PILE'!$E$56:$E$75))+IF(SUMSQ('TS-PILE'!$D$56:$D$75)=0,0,'TO HOP NLAN'!F91*'TS-PILE'!$D$67/SUMSQ('TS-PILE'!$D$56:$D$75))),IF('TS-PILE'!$B$68="",-1E+99,'TO HOP NLAN'!D91/ncoc+IF(SUMSQ('TS-PILE'!$E$56:$E$75)=0,0,'TO HOP NLAN'!E91*'TS-PILE'!$E$68/SUMSQ('TS-PILE'!$E$56:$E$75))+IF(SUMSQ('TS-PILE'!$D$56:$D$75)=0,0,'TO HOP NLAN'!F91*'TS-PILE'!$D$68/SUMSQ('TS-PILE'!$D$56:$D$75))),IF('TS-PILE'!$B$69="",-1E+99,'TO HOP NLAN'!D91/ncoc+IF(SUMSQ('TS-PILE'!$E$56:$E$75)=0,0,'TO HOP NLAN'!E91*'TS-PILE'!$E$69/SUMSQ('TS-PILE'!$E$56:$E$75))+IF(SUMSQ('TS-PILE'!$D$56:$D$75)=0,0,'TO HOP NLAN'!F91*'TS-PILE'!$D$69/SUMSQ('TS-PILE'!$D$56:$D$75))),IF('TS-PILE'!$B$70="",-1E+99,'TO HOP NLAN'!D91/ncoc+IF(SUMSQ('TS-PILE'!$E$56:$E$75)=0,0,'TO HOP NLAN'!E91*'TS-PILE'!$E$70/SUMSQ('TS-PILE'!$E$56:$E$75))+IF(SUMSQ('TS-PILE'!$D$56:$D$75)=0,0,'TO HOP NLAN'!F91*'TS-PILE'!$D$70/SUMSQ('TS-PILE'!$D$56:$D$75))),IF('TS-PILE'!$B$71="",-1E+99,'TO HOP NLAN'!D91/ncoc+IF(SUMSQ('TS-PILE'!$E$56:$E$75)=0,0,'TO HOP NLAN'!E91*'TS-PILE'!$E$71/SUMSQ('TS-PILE'!$E$56:$E$75))+IF(SUMSQ('TS-PILE'!$D$56:$D$75)=0,0,'TO HOP NLAN'!F91*'TS-PILE'!$D$71/SUMSQ('TS-PILE'!$D$56:$D$75))),IF('TS-PILE'!$B$72="",-1E+99,'TO HOP NLAN'!D91/ncoc+IF(SUMSQ('TS-PILE'!$E$56:$E$75)=0,0,'TO HOP NLAN'!E91*'TS-PILE'!$E$72/SUMSQ('TS-PILE'!$E$56:$E$75))+IF(SUMSQ('TS-PILE'!$D$56:$D$75)=0,0,'TO HOP NLAN'!F91*'TS-PILE'!$D$72/SUMSQ('TS-PILE'!$D$56:$D$75))),IF('TS-PILE'!$B$73="",-1E+99,'TO HOP NLAN'!D91/ncoc+IF(SUMSQ('TS-PILE'!$E$56:$E$75)=0,0,'TO HOP NLAN'!E91*'TS-PILE'!$E$73/SUMSQ('TS-PILE'!$E$56:$E$75))+IF(SUMSQ('TS-PILE'!$D$56:$D$75)=0,0,'TO HOP NLAN'!F91*'TS-PILE'!$D$73/SUMSQ('TS-PILE'!$D$56:$D$75))),IF('TS-PILE'!$B$74="",-1E+99,'TO HOP NLAN'!D91/ncoc+IF(SUMSQ('TS-PILE'!$E$56:$E$75)=0,0,'TO HOP NLAN'!E91*'TS-PILE'!$E$74/SUMSQ('TS-PILE'!$E$56:$E$75))+IF(SUMSQ('TS-PILE'!$D$56:$D$75)=0,0,'TO HOP NLAN'!F91*'TS-PILE'!$D$74/SUMSQ('TS-PILE'!$D$56:$D$75))),IF('TS-PILE'!$B$75="",-1E+99,'TO HOP NLAN'!D91/ncoc+IF(SUMSQ('TS-PILE'!$E$56:$E$75)=0,0,'TO HOP NLAN'!E91*'TS-PILE'!$E$75/SUMSQ('TS-PILE'!$E$56:$E$75))+IF(SUMSQ('TS-PILE'!$D$56:$D$75)=0,0,'TO HOP NLAN'!F91*'TS-PILE'!$D$75/SUMSQ('TS-PILE'!$D$56:$D$75)))))</f>
        <v>0</v>
      </c>
      <c r="D91" s="46">
        <f>IF(A91="",0,MIN(IF('TS-PILE'!$B$56="",1E+99,'TO HOP NLAN'!D91/ncoc+IF(SUMSQ('TS-PILE'!$E$56:$E$75)=0,0,'TO HOP NLAN'!E91*'TS-PILE'!$E$56/SUMSQ('TS-PILE'!$E$56:$E$75))+IF(SUMSQ('TS-PILE'!$D$56:$D$75)=0,0,'TO HOP NLAN'!F91*'TS-PILE'!$D$56/SUMSQ('TS-PILE'!$D$56:$D$75))),IF('TS-PILE'!$B$57="",1E+99,'TO HOP NLAN'!D91/ncoc+IF(SUMSQ('TS-PILE'!$E$56:$E$75)=0,0,'TO HOP NLAN'!E91*'TS-PILE'!$E$57/SUMSQ('TS-PILE'!$E$56:$E$75))+IF(SUMSQ('TS-PILE'!$D$56:$D$75)=0,0,'TO HOP NLAN'!F91*'TS-PILE'!$D$57/SUMSQ('TS-PILE'!$D$56:$D$75))),IF('TS-PILE'!$B$58="",1E+99,'TO HOP NLAN'!D91/ncoc+IF(SUMSQ('TS-PILE'!$E$56:$E$75)=0,0,'TO HOP NLAN'!E91*'TS-PILE'!$E$58/SUMSQ('TS-PILE'!$E$56:$E$75))+IF(SUMSQ('TS-PILE'!$D$56:$D$75)=0,0,'TO HOP NLAN'!F91*'TS-PILE'!$D$58/SUMSQ('TS-PILE'!$D$56:$D$75))),IF('TS-PILE'!$B$59="",1E+99,'TO HOP NLAN'!D91/ncoc+IF(SUMSQ('TS-PILE'!$E$56:$E$75)=0,0,'TO HOP NLAN'!E91*'TS-PILE'!$E$59/SUMSQ('TS-PILE'!$E$56:$E$75))+IF(SUMSQ('TS-PILE'!$D$56:$D$75)=0,0,'TO HOP NLAN'!F91*'TS-PILE'!$D$59/SUMSQ('TS-PILE'!$D$56:$D$75))),IF('TS-PILE'!$B$60="",1E+99,'TO HOP NLAN'!D91/ncoc+IF(SUMSQ('TS-PILE'!$E$56:$E$75)=0,0,'TO HOP NLAN'!E91*'TS-PILE'!$E$60/SUMSQ('TS-PILE'!$E$56:$E$75))+IF(SUMSQ('TS-PILE'!$D$56:$D$75)=0,0,'TO HOP NLAN'!F91*'TS-PILE'!$D$60/SUMSQ('TS-PILE'!$D$56:$D$75))),IF('TS-PILE'!$B$61="",1E+99,'TO HOP NLAN'!D91/ncoc+IF(SUMSQ('TS-PILE'!$E$56:$E$75)=0,0,'TO HOP NLAN'!E91*'TS-PILE'!$E$61/SUMSQ('TS-PILE'!$E$56:$E$75))+IF(SUMSQ('TS-PILE'!$D$56:$D$75)=0,0,'TO HOP NLAN'!F91*'TS-PILE'!$D$61/SUMSQ('TS-PILE'!$D$56:$D$75))),IF('TS-PILE'!$B$62="",1E+99,'TO HOP NLAN'!D91/ncoc+IF(SUMSQ('TS-PILE'!$E$56:$E$75)=0,0,'TO HOP NLAN'!E91*'TS-PILE'!$E$62/SUMSQ('TS-PILE'!$E$56:$E$75))+IF(SUMSQ('TS-PILE'!$D$56:$D$75)=0,0,'TO HOP NLAN'!F91*'TS-PILE'!$D$62/SUMSQ('TS-PILE'!$D$56:$D$75))),IF('TS-PILE'!$B$63="",1E+99,'TO HOP NLAN'!D91/ncoc+IF(SUMSQ('TS-PILE'!$E$56:$E$75)=0,0,'TO HOP NLAN'!E91*'TS-PILE'!$E$63/SUMSQ('TS-PILE'!$E$56:$E$75))+IF(SUMSQ('TS-PILE'!$D$56:$D$75)=0,0,'TO HOP NLAN'!F91*'TS-PILE'!$D$63/SUMSQ('TS-PILE'!$D$56:$D$75))),IF('TS-PILE'!$B$64="",1E+99,'TO HOP NLAN'!D91/ncoc+IF(SUMSQ('TS-PILE'!$E$56:$E$75)=0,0,'TO HOP NLAN'!E91*'TS-PILE'!$E$64/SUMSQ('TS-PILE'!$E$56:$E$75))+IF(SUMSQ('TS-PILE'!$D$56:$D$75)=0,0,'TO HOP NLAN'!F91*'TS-PILE'!$D$64/SUMSQ('TS-PILE'!$D$56:$D$75))),IF('TS-PILE'!$B$65="",1E+99,'TO HOP NLAN'!D91/ncoc+IF(SUMSQ('TS-PILE'!$E$56:$E$75)=0,0,'TO HOP NLAN'!E91*'TS-PILE'!$E$65/SUMSQ('TS-PILE'!$E$56:$E$75))+IF(SUMSQ('TS-PILE'!$D$56:$D$75)=0,0,'TO HOP NLAN'!F91*'TS-PILE'!$D$65/SUMSQ('TS-PILE'!$D$56:$D$75))),IF('TS-PILE'!$B$66="",1E+99,'TO HOP NLAN'!D91/ncoc+IF(SUMSQ('TS-PILE'!$E$56:$E$75)=0,0,'TO HOP NLAN'!E91*'TS-PILE'!$E$66/SUMSQ('TS-PILE'!$E$56:$E$75))+IF(SUMSQ('TS-PILE'!$D$56:$D$75)=0,0,'TO HOP NLAN'!F91*'TS-PILE'!$D$66/SUMSQ('TS-PILE'!$D$56:$D$75))),IF('TS-PILE'!$B$67="",1E+99,'TO HOP NLAN'!D91/ncoc+IF(SUMSQ('TS-PILE'!$E$56:$E$75)=0,0,'TO HOP NLAN'!E91*'TS-PILE'!$E$67/SUMSQ('TS-PILE'!$E$56:$E$75))+IF(SUMSQ('TS-PILE'!$D$56:$D$75)=0,0,'TO HOP NLAN'!F91*'TS-PILE'!$D$67/SUMSQ('TS-PILE'!$D$56:$D$75))),IF('TS-PILE'!$B$68="",1E+99,'TO HOP NLAN'!D91/ncoc+IF(SUMSQ('TS-PILE'!$E$56:$E$75)=0,0,'TO HOP NLAN'!E91*'TS-PILE'!$E$68/SUMSQ('TS-PILE'!$E$56:$E$75))+IF(SUMSQ('TS-PILE'!$D$56:$D$75)=0,0,'TO HOP NLAN'!F91*'TS-PILE'!$D$68/SUMSQ('TS-PILE'!$D$56:$D$75))),IF('TS-PILE'!$B$69="",1E+99,'TO HOP NLAN'!D91/ncoc+IF(SUMSQ('TS-PILE'!$E$56:$E$75)=0,0,'TO HOP NLAN'!E91*'TS-PILE'!$E$69/SUMSQ('TS-PILE'!$E$56:$E$75))+IF(SUMSQ('TS-PILE'!$D$56:$D$75)=0,0,'TO HOP NLAN'!F91*'TS-PILE'!$D$69/SUMSQ('TS-PILE'!$D$56:$D$75))),IF('TS-PILE'!$B$70="",1E+99,'TO HOP NLAN'!D91/ncoc+IF(SUMSQ('TS-PILE'!$E$56:$E$75)=0,0,'TO HOP NLAN'!E91*'TS-PILE'!$E$70/SUMSQ('TS-PILE'!$E$56:$E$75))+IF(SUMSQ('TS-PILE'!$D$56:$D$75)=0,0,'TO HOP NLAN'!F91*'TS-PILE'!$D$70/SUMSQ('TS-PILE'!$D$56:$D$75))),IF('TS-PILE'!$B$71="",1E+99,'TO HOP NLAN'!D91/ncoc+IF(SUMSQ('TS-PILE'!$E$56:$E$75)=0,0,'TO HOP NLAN'!E91*'TS-PILE'!$E$71/SUMSQ('TS-PILE'!$E$56:$E$75))+IF(SUMSQ('TS-PILE'!$D$56:$D$75)=0,0,'TO HOP NLAN'!F91*'TS-PILE'!$D$71/SUMSQ('TS-PILE'!$D$56:$D$75))),IF('TS-PILE'!$B$72="",1E+99,'TO HOP NLAN'!D91/ncoc+IF(SUMSQ('TS-PILE'!$E$56:$E$75)=0,0,'TO HOP NLAN'!E91*'TS-PILE'!$E$72/SUMSQ('TS-PILE'!$E$56:$E$75))+IF(SUMSQ('TS-PILE'!$D$56:$D$75)=0,0,'TO HOP NLAN'!F91*'TS-PILE'!$D$72/SUMSQ('TS-PILE'!$D$56:$D$75))),IF('TS-PILE'!$B$73="",1E+99,'TO HOP NLAN'!D91/ncoc+IF(SUMSQ('TS-PILE'!$E$56:$E$75)=0,0,'TO HOP NLAN'!E91*'TS-PILE'!$E$73/SUMSQ('TS-PILE'!$E$56:$E$75))+IF(SUMSQ('TS-PILE'!$D$56:$D$75)=0,0,'TO HOP NLAN'!F91*'TS-PILE'!$D$73/SUMSQ('TS-PILE'!$D$56:$D$75))),IF('TS-PILE'!$B$74="",1E+99,'TO HOP NLAN'!D91/ncoc+IF(SUMSQ('TS-PILE'!$E$56:$E$75)=0,0,'TO HOP NLAN'!E91*'TS-PILE'!$E$74/SUMSQ('TS-PILE'!$E$56:$E$75))+IF(SUMSQ('TS-PILE'!$D$56:$D$75)=0,0,'TO HOP NLAN'!F91*'TS-PILE'!$D$74/SUMSQ('TS-PILE'!$D$56:$D$75))),IF('TS-PILE'!$B$75="",1E+99,'TO HOP NLAN'!D91/ncoc+IF(SUMSQ('TS-PILE'!$E$56:$E$75)=0,0,'TO HOP NLAN'!E91*'TS-PILE'!$E$75/SUMSQ('TS-PILE'!$E$56:$E$75))+IF(SUMSQ('TS-PILE'!$D$56:$D$75)=0,0,'TO HOP NLAN'!F91*'TS-PILE'!$D$75/SUMSQ('TS-PILE'!$D$56:$D$75)))))</f>
        <v>0</v>
      </c>
      <c r="E91" s="46">
        <f t="shared" si="4"/>
        <v>-9.9999999999999997E+98</v>
      </c>
      <c r="F91" s="46">
        <f t="shared" si="5"/>
        <v>9.9999999999999997E+98</v>
      </c>
      <c r="G91" s="46">
        <f t="shared" si="6"/>
        <v>-9.9999999999999997E+98</v>
      </c>
      <c r="H91" s="46">
        <f t="shared" si="7"/>
        <v>9.9999999999999997E+98</v>
      </c>
    </row>
    <row r="92" spans="1:8" x14ac:dyDescent="0.3">
      <c r="A92" s="40" t="str">
        <f>'TO HOP NLAN'!A92</f>
        <v/>
      </c>
      <c r="B92" s="40" t="str">
        <f>'TO HOP NLAN'!L92</f>
        <v>STRENGTH</v>
      </c>
      <c r="C92" s="46">
        <f>IF(A92="",0,MAX(IF('TS-PILE'!$B$56="",-1E+99,'TO HOP NLAN'!D92/ncoc+IF(SUMSQ('TS-PILE'!$E$56:$E$75)=0,0,'TO HOP NLAN'!E92*'TS-PILE'!$E$56/SUMSQ('TS-PILE'!$E$56:$E$75))+IF(SUMSQ('TS-PILE'!$D$56:$D$75)=0,0,'TO HOP NLAN'!F92*'TS-PILE'!$D$56/SUMSQ('TS-PILE'!$D$56:$D$75))),IF('TS-PILE'!$B$57="",-1E+99,'TO HOP NLAN'!D92/ncoc+IF(SUMSQ('TS-PILE'!$E$56:$E$75)=0,0,'TO HOP NLAN'!E92*'TS-PILE'!$E$57/SUMSQ('TS-PILE'!$E$56:$E$75))+IF(SUMSQ('TS-PILE'!$D$56:$D$75)=0,0,'TO HOP NLAN'!F92*'TS-PILE'!$D$57/SUMSQ('TS-PILE'!$D$56:$D$75))),IF('TS-PILE'!$B$58="",-1E+99,'TO HOP NLAN'!D92/ncoc+IF(SUMSQ('TS-PILE'!$E$56:$E$75)=0,0,'TO HOP NLAN'!E92*'TS-PILE'!$E$58/SUMSQ('TS-PILE'!$E$56:$E$75))+IF(SUMSQ('TS-PILE'!$D$56:$D$75)=0,0,'TO HOP NLAN'!F92*'TS-PILE'!$D$58/SUMSQ('TS-PILE'!$D$56:$D$75))),IF('TS-PILE'!$B$59="",-1E+99,'TO HOP NLAN'!D92/ncoc+IF(SUMSQ('TS-PILE'!$E$56:$E$75)=0,0,'TO HOP NLAN'!E92*'TS-PILE'!$E$59/SUMSQ('TS-PILE'!$E$56:$E$75))+IF(SUMSQ('TS-PILE'!$D$56:$D$75)=0,0,'TO HOP NLAN'!F92*'TS-PILE'!$D$59/SUMSQ('TS-PILE'!$D$56:$D$75))),IF('TS-PILE'!$B$60="",-1E+99,'TO HOP NLAN'!D92/ncoc+IF(SUMSQ('TS-PILE'!$E$56:$E$75)=0,0,'TO HOP NLAN'!E92*'TS-PILE'!$E$60/SUMSQ('TS-PILE'!$E$56:$E$75))+IF(SUMSQ('TS-PILE'!$D$56:$D$75)=0,0,'TO HOP NLAN'!F92*'TS-PILE'!$D$60/SUMSQ('TS-PILE'!$D$56:$D$75))),IF('TS-PILE'!$B$61="",-1E+99,'TO HOP NLAN'!D92/ncoc+IF(SUMSQ('TS-PILE'!$E$56:$E$75)=0,0,'TO HOP NLAN'!E92*'TS-PILE'!$E$61/SUMSQ('TS-PILE'!$E$56:$E$75))+IF(SUMSQ('TS-PILE'!$D$56:$D$75)=0,0,'TO HOP NLAN'!F92*'TS-PILE'!$D$61/SUMSQ('TS-PILE'!$D$56:$D$75))),IF('TS-PILE'!$B$62="",-1E+99,'TO HOP NLAN'!D92/ncoc+IF(SUMSQ('TS-PILE'!$E$56:$E$75)=0,0,'TO HOP NLAN'!E92*'TS-PILE'!$E$62/SUMSQ('TS-PILE'!$E$56:$E$75))+IF(SUMSQ('TS-PILE'!$D$56:$D$75)=0,0,'TO HOP NLAN'!F92*'TS-PILE'!$D$62/SUMSQ('TS-PILE'!$D$56:$D$75))),IF('TS-PILE'!$B$63="",-1E+99,'TO HOP NLAN'!D92/ncoc+IF(SUMSQ('TS-PILE'!$E$56:$E$75)=0,0,'TO HOP NLAN'!E92*'TS-PILE'!$E$63/SUMSQ('TS-PILE'!$E$56:$E$75))+IF(SUMSQ('TS-PILE'!$D$56:$D$75)=0,0,'TO HOP NLAN'!F92*'TS-PILE'!$D$63/SUMSQ('TS-PILE'!$D$56:$D$75))),IF('TS-PILE'!$B$64="",-1E+99,'TO HOP NLAN'!D92/ncoc+IF(SUMSQ('TS-PILE'!$E$56:$E$75)=0,0,'TO HOP NLAN'!E92*'TS-PILE'!$E$64/SUMSQ('TS-PILE'!$E$56:$E$75))+IF(SUMSQ('TS-PILE'!$D$56:$D$75)=0,0,'TO HOP NLAN'!F92*'TS-PILE'!$D$64/SUMSQ('TS-PILE'!$D$56:$D$75))),IF('TS-PILE'!$B$65="",-1E+99,'TO HOP NLAN'!D92/ncoc+IF(SUMSQ('TS-PILE'!$E$56:$E$75)=0,0,'TO HOP NLAN'!E92*'TS-PILE'!$E$65/SUMSQ('TS-PILE'!$E$56:$E$75))+IF(SUMSQ('TS-PILE'!$D$56:$D$75)=0,0,'TO HOP NLAN'!F92*'TS-PILE'!$D$65/SUMSQ('TS-PILE'!$D$56:$D$75))),IF('TS-PILE'!$B$66="",-1E+99,'TO HOP NLAN'!D92/ncoc+IF(SUMSQ('TS-PILE'!$E$56:$E$75)=0,0,'TO HOP NLAN'!E92*'TS-PILE'!$E$66/SUMSQ('TS-PILE'!$E$56:$E$75))+IF(SUMSQ('TS-PILE'!$D$56:$D$75)=0,0,'TO HOP NLAN'!F92*'TS-PILE'!$D$66/SUMSQ('TS-PILE'!$D$56:$D$75))),IF('TS-PILE'!$B$67="",-1E+99,'TO HOP NLAN'!D92/ncoc+IF(SUMSQ('TS-PILE'!$E$56:$E$75)=0,0,'TO HOP NLAN'!E92*'TS-PILE'!$E$67/SUMSQ('TS-PILE'!$E$56:$E$75))+IF(SUMSQ('TS-PILE'!$D$56:$D$75)=0,0,'TO HOP NLAN'!F92*'TS-PILE'!$D$67/SUMSQ('TS-PILE'!$D$56:$D$75))),IF('TS-PILE'!$B$68="",-1E+99,'TO HOP NLAN'!D92/ncoc+IF(SUMSQ('TS-PILE'!$E$56:$E$75)=0,0,'TO HOP NLAN'!E92*'TS-PILE'!$E$68/SUMSQ('TS-PILE'!$E$56:$E$75))+IF(SUMSQ('TS-PILE'!$D$56:$D$75)=0,0,'TO HOP NLAN'!F92*'TS-PILE'!$D$68/SUMSQ('TS-PILE'!$D$56:$D$75))),IF('TS-PILE'!$B$69="",-1E+99,'TO HOP NLAN'!D92/ncoc+IF(SUMSQ('TS-PILE'!$E$56:$E$75)=0,0,'TO HOP NLAN'!E92*'TS-PILE'!$E$69/SUMSQ('TS-PILE'!$E$56:$E$75))+IF(SUMSQ('TS-PILE'!$D$56:$D$75)=0,0,'TO HOP NLAN'!F92*'TS-PILE'!$D$69/SUMSQ('TS-PILE'!$D$56:$D$75))),IF('TS-PILE'!$B$70="",-1E+99,'TO HOP NLAN'!D92/ncoc+IF(SUMSQ('TS-PILE'!$E$56:$E$75)=0,0,'TO HOP NLAN'!E92*'TS-PILE'!$E$70/SUMSQ('TS-PILE'!$E$56:$E$75))+IF(SUMSQ('TS-PILE'!$D$56:$D$75)=0,0,'TO HOP NLAN'!F92*'TS-PILE'!$D$70/SUMSQ('TS-PILE'!$D$56:$D$75))),IF('TS-PILE'!$B$71="",-1E+99,'TO HOP NLAN'!D92/ncoc+IF(SUMSQ('TS-PILE'!$E$56:$E$75)=0,0,'TO HOP NLAN'!E92*'TS-PILE'!$E$71/SUMSQ('TS-PILE'!$E$56:$E$75))+IF(SUMSQ('TS-PILE'!$D$56:$D$75)=0,0,'TO HOP NLAN'!F92*'TS-PILE'!$D$71/SUMSQ('TS-PILE'!$D$56:$D$75))),IF('TS-PILE'!$B$72="",-1E+99,'TO HOP NLAN'!D92/ncoc+IF(SUMSQ('TS-PILE'!$E$56:$E$75)=0,0,'TO HOP NLAN'!E92*'TS-PILE'!$E$72/SUMSQ('TS-PILE'!$E$56:$E$75))+IF(SUMSQ('TS-PILE'!$D$56:$D$75)=0,0,'TO HOP NLAN'!F92*'TS-PILE'!$D$72/SUMSQ('TS-PILE'!$D$56:$D$75))),IF('TS-PILE'!$B$73="",-1E+99,'TO HOP NLAN'!D92/ncoc+IF(SUMSQ('TS-PILE'!$E$56:$E$75)=0,0,'TO HOP NLAN'!E92*'TS-PILE'!$E$73/SUMSQ('TS-PILE'!$E$56:$E$75))+IF(SUMSQ('TS-PILE'!$D$56:$D$75)=0,0,'TO HOP NLAN'!F92*'TS-PILE'!$D$73/SUMSQ('TS-PILE'!$D$56:$D$75))),IF('TS-PILE'!$B$74="",-1E+99,'TO HOP NLAN'!D92/ncoc+IF(SUMSQ('TS-PILE'!$E$56:$E$75)=0,0,'TO HOP NLAN'!E92*'TS-PILE'!$E$74/SUMSQ('TS-PILE'!$E$56:$E$75))+IF(SUMSQ('TS-PILE'!$D$56:$D$75)=0,0,'TO HOP NLAN'!F92*'TS-PILE'!$D$74/SUMSQ('TS-PILE'!$D$56:$D$75))),IF('TS-PILE'!$B$75="",-1E+99,'TO HOP NLAN'!D92/ncoc+IF(SUMSQ('TS-PILE'!$E$56:$E$75)=0,0,'TO HOP NLAN'!E92*'TS-PILE'!$E$75/SUMSQ('TS-PILE'!$E$56:$E$75))+IF(SUMSQ('TS-PILE'!$D$56:$D$75)=0,0,'TO HOP NLAN'!F92*'TS-PILE'!$D$75/SUMSQ('TS-PILE'!$D$56:$D$75)))))</f>
        <v>0</v>
      </c>
      <c r="D92" s="46">
        <f>IF(A92="",0,MIN(IF('TS-PILE'!$B$56="",1E+99,'TO HOP NLAN'!D92/ncoc+IF(SUMSQ('TS-PILE'!$E$56:$E$75)=0,0,'TO HOP NLAN'!E92*'TS-PILE'!$E$56/SUMSQ('TS-PILE'!$E$56:$E$75))+IF(SUMSQ('TS-PILE'!$D$56:$D$75)=0,0,'TO HOP NLAN'!F92*'TS-PILE'!$D$56/SUMSQ('TS-PILE'!$D$56:$D$75))),IF('TS-PILE'!$B$57="",1E+99,'TO HOP NLAN'!D92/ncoc+IF(SUMSQ('TS-PILE'!$E$56:$E$75)=0,0,'TO HOP NLAN'!E92*'TS-PILE'!$E$57/SUMSQ('TS-PILE'!$E$56:$E$75))+IF(SUMSQ('TS-PILE'!$D$56:$D$75)=0,0,'TO HOP NLAN'!F92*'TS-PILE'!$D$57/SUMSQ('TS-PILE'!$D$56:$D$75))),IF('TS-PILE'!$B$58="",1E+99,'TO HOP NLAN'!D92/ncoc+IF(SUMSQ('TS-PILE'!$E$56:$E$75)=0,0,'TO HOP NLAN'!E92*'TS-PILE'!$E$58/SUMSQ('TS-PILE'!$E$56:$E$75))+IF(SUMSQ('TS-PILE'!$D$56:$D$75)=0,0,'TO HOP NLAN'!F92*'TS-PILE'!$D$58/SUMSQ('TS-PILE'!$D$56:$D$75))),IF('TS-PILE'!$B$59="",1E+99,'TO HOP NLAN'!D92/ncoc+IF(SUMSQ('TS-PILE'!$E$56:$E$75)=0,0,'TO HOP NLAN'!E92*'TS-PILE'!$E$59/SUMSQ('TS-PILE'!$E$56:$E$75))+IF(SUMSQ('TS-PILE'!$D$56:$D$75)=0,0,'TO HOP NLAN'!F92*'TS-PILE'!$D$59/SUMSQ('TS-PILE'!$D$56:$D$75))),IF('TS-PILE'!$B$60="",1E+99,'TO HOP NLAN'!D92/ncoc+IF(SUMSQ('TS-PILE'!$E$56:$E$75)=0,0,'TO HOP NLAN'!E92*'TS-PILE'!$E$60/SUMSQ('TS-PILE'!$E$56:$E$75))+IF(SUMSQ('TS-PILE'!$D$56:$D$75)=0,0,'TO HOP NLAN'!F92*'TS-PILE'!$D$60/SUMSQ('TS-PILE'!$D$56:$D$75))),IF('TS-PILE'!$B$61="",1E+99,'TO HOP NLAN'!D92/ncoc+IF(SUMSQ('TS-PILE'!$E$56:$E$75)=0,0,'TO HOP NLAN'!E92*'TS-PILE'!$E$61/SUMSQ('TS-PILE'!$E$56:$E$75))+IF(SUMSQ('TS-PILE'!$D$56:$D$75)=0,0,'TO HOP NLAN'!F92*'TS-PILE'!$D$61/SUMSQ('TS-PILE'!$D$56:$D$75))),IF('TS-PILE'!$B$62="",1E+99,'TO HOP NLAN'!D92/ncoc+IF(SUMSQ('TS-PILE'!$E$56:$E$75)=0,0,'TO HOP NLAN'!E92*'TS-PILE'!$E$62/SUMSQ('TS-PILE'!$E$56:$E$75))+IF(SUMSQ('TS-PILE'!$D$56:$D$75)=0,0,'TO HOP NLAN'!F92*'TS-PILE'!$D$62/SUMSQ('TS-PILE'!$D$56:$D$75))),IF('TS-PILE'!$B$63="",1E+99,'TO HOP NLAN'!D92/ncoc+IF(SUMSQ('TS-PILE'!$E$56:$E$75)=0,0,'TO HOP NLAN'!E92*'TS-PILE'!$E$63/SUMSQ('TS-PILE'!$E$56:$E$75))+IF(SUMSQ('TS-PILE'!$D$56:$D$75)=0,0,'TO HOP NLAN'!F92*'TS-PILE'!$D$63/SUMSQ('TS-PILE'!$D$56:$D$75))),IF('TS-PILE'!$B$64="",1E+99,'TO HOP NLAN'!D92/ncoc+IF(SUMSQ('TS-PILE'!$E$56:$E$75)=0,0,'TO HOP NLAN'!E92*'TS-PILE'!$E$64/SUMSQ('TS-PILE'!$E$56:$E$75))+IF(SUMSQ('TS-PILE'!$D$56:$D$75)=0,0,'TO HOP NLAN'!F92*'TS-PILE'!$D$64/SUMSQ('TS-PILE'!$D$56:$D$75))),IF('TS-PILE'!$B$65="",1E+99,'TO HOP NLAN'!D92/ncoc+IF(SUMSQ('TS-PILE'!$E$56:$E$75)=0,0,'TO HOP NLAN'!E92*'TS-PILE'!$E$65/SUMSQ('TS-PILE'!$E$56:$E$75))+IF(SUMSQ('TS-PILE'!$D$56:$D$75)=0,0,'TO HOP NLAN'!F92*'TS-PILE'!$D$65/SUMSQ('TS-PILE'!$D$56:$D$75))),IF('TS-PILE'!$B$66="",1E+99,'TO HOP NLAN'!D92/ncoc+IF(SUMSQ('TS-PILE'!$E$56:$E$75)=0,0,'TO HOP NLAN'!E92*'TS-PILE'!$E$66/SUMSQ('TS-PILE'!$E$56:$E$75))+IF(SUMSQ('TS-PILE'!$D$56:$D$75)=0,0,'TO HOP NLAN'!F92*'TS-PILE'!$D$66/SUMSQ('TS-PILE'!$D$56:$D$75))),IF('TS-PILE'!$B$67="",1E+99,'TO HOP NLAN'!D92/ncoc+IF(SUMSQ('TS-PILE'!$E$56:$E$75)=0,0,'TO HOP NLAN'!E92*'TS-PILE'!$E$67/SUMSQ('TS-PILE'!$E$56:$E$75))+IF(SUMSQ('TS-PILE'!$D$56:$D$75)=0,0,'TO HOP NLAN'!F92*'TS-PILE'!$D$67/SUMSQ('TS-PILE'!$D$56:$D$75))),IF('TS-PILE'!$B$68="",1E+99,'TO HOP NLAN'!D92/ncoc+IF(SUMSQ('TS-PILE'!$E$56:$E$75)=0,0,'TO HOP NLAN'!E92*'TS-PILE'!$E$68/SUMSQ('TS-PILE'!$E$56:$E$75))+IF(SUMSQ('TS-PILE'!$D$56:$D$75)=0,0,'TO HOP NLAN'!F92*'TS-PILE'!$D$68/SUMSQ('TS-PILE'!$D$56:$D$75))),IF('TS-PILE'!$B$69="",1E+99,'TO HOP NLAN'!D92/ncoc+IF(SUMSQ('TS-PILE'!$E$56:$E$75)=0,0,'TO HOP NLAN'!E92*'TS-PILE'!$E$69/SUMSQ('TS-PILE'!$E$56:$E$75))+IF(SUMSQ('TS-PILE'!$D$56:$D$75)=0,0,'TO HOP NLAN'!F92*'TS-PILE'!$D$69/SUMSQ('TS-PILE'!$D$56:$D$75))),IF('TS-PILE'!$B$70="",1E+99,'TO HOP NLAN'!D92/ncoc+IF(SUMSQ('TS-PILE'!$E$56:$E$75)=0,0,'TO HOP NLAN'!E92*'TS-PILE'!$E$70/SUMSQ('TS-PILE'!$E$56:$E$75))+IF(SUMSQ('TS-PILE'!$D$56:$D$75)=0,0,'TO HOP NLAN'!F92*'TS-PILE'!$D$70/SUMSQ('TS-PILE'!$D$56:$D$75))),IF('TS-PILE'!$B$71="",1E+99,'TO HOP NLAN'!D92/ncoc+IF(SUMSQ('TS-PILE'!$E$56:$E$75)=0,0,'TO HOP NLAN'!E92*'TS-PILE'!$E$71/SUMSQ('TS-PILE'!$E$56:$E$75))+IF(SUMSQ('TS-PILE'!$D$56:$D$75)=0,0,'TO HOP NLAN'!F92*'TS-PILE'!$D$71/SUMSQ('TS-PILE'!$D$56:$D$75))),IF('TS-PILE'!$B$72="",1E+99,'TO HOP NLAN'!D92/ncoc+IF(SUMSQ('TS-PILE'!$E$56:$E$75)=0,0,'TO HOP NLAN'!E92*'TS-PILE'!$E$72/SUMSQ('TS-PILE'!$E$56:$E$75))+IF(SUMSQ('TS-PILE'!$D$56:$D$75)=0,0,'TO HOP NLAN'!F92*'TS-PILE'!$D$72/SUMSQ('TS-PILE'!$D$56:$D$75))),IF('TS-PILE'!$B$73="",1E+99,'TO HOP NLAN'!D92/ncoc+IF(SUMSQ('TS-PILE'!$E$56:$E$75)=0,0,'TO HOP NLAN'!E92*'TS-PILE'!$E$73/SUMSQ('TS-PILE'!$E$56:$E$75))+IF(SUMSQ('TS-PILE'!$D$56:$D$75)=0,0,'TO HOP NLAN'!F92*'TS-PILE'!$D$73/SUMSQ('TS-PILE'!$D$56:$D$75))),IF('TS-PILE'!$B$74="",1E+99,'TO HOP NLAN'!D92/ncoc+IF(SUMSQ('TS-PILE'!$E$56:$E$75)=0,0,'TO HOP NLAN'!E92*'TS-PILE'!$E$74/SUMSQ('TS-PILE'!$E$56:$E$75))+IF(SUMSQ('TS-PILE'!$D$56:$D$75)=0,0,'TO HOP NLAN'!F92*'TS-PILE'!$D$74/SUMSQ('TS-PILE'!$D$56:$D$75))),IF('TS-PILE'!$B$75="",1E+99,'TO HOP NLAN'!D92/ncoc+IF(SUMSQ('TS-PILE'!$E$56:$E$75)=0,0,'TO HOP NLAN'!E92*'TS-PILE'!$E$75/SUMSQ('TS-PILE'!$E$56:$E$75))+IF(SUMSQ('TS-PILE'!$D$56:$D$75)=0,0,'TO HOP NLAN'!F92*'TS-PILE'!$D$75/SUMSQ('TS-PILE'!$D$56:$D$75)))))</f>
        <v>0</v>
      </c>
      <c r="E92" s="46">
        <f t="shared" si="4"/>
        <v>-9.9999999999999997E+98</v>
      </c>
      <c r="F92" s="46">
        <f t="shared" si="5"/>
        <v>9.9999999999999997E+98</v>
      </c>
      <c r="G92" s="46">
        <f t="shared" si="6"/>
        <v>-9.9999999999999997E+98</v>
      </c>
      <c r="H92" s="46">
        <f t="shared" si="7"/>
        <v>9.9999999999999997E+98</v>
      </c>
    </row>
    <row r="93" spans="1:8" x14ac:dyDescent="0.3">
      <c r="A93" s="40" t="str">
        <f>'TO HOP NLAN'!A93</f>
        <v/>
      </c>
      <c r="B93" s="40" t="str">
        <f>'TO HOP NLAN'!L93</f>
        <v>STRENGTH</v>
      </c>
      <c r="C93" s="46">
        <f>IF(A93="",0,MAX(IF('TS-PILE'!$B$56="",-1E+99,'TO HOP NLAN'!D93/ncoc+IF(SUMSQ('TS-PILE'!$E$56:$E$75)=0,0,'TO HOP NLAN'!E93*'TS-PILE'!$E$56/SUMSQ('TS-PILE'!$E$56:$E$75))+IF(SUMSQ('TS-PILE'!$D$56:$D$75)=0,0,'TO HOP NLAN'!F93*'TS-PILE'!$D$56/SUMSQ('TS-PILE'!$D$56:$D$75))),IF('TS-PILE'!$B$57="",-1E+99,'TO HOP NLAN'!D93/ncoc+IF(SUMSQ('TS-PILE'!$E$56:$E$75)=0,0,'TO HOP NLAN'!E93*'TS-PILE'!$E$57/SUMSQ('TS-PILE'!$E$56:$E$75))+IF(SUMSQ('TS-PILE'!$D$56:$D$75)=0,0,'TO HOP NLAN'!F93*'TS-PILE'!$D$57/SUMSQ('TS-PILE'!$D$56:$D$75))),IF('TS-PILE'!$B$58="",-1E+99,'TO HOP NLAN'!D93/ncoc+IF(SUMSQ('TS-PILE'!$E$56:$E$75)=0,0,'TO HOP NLAN'!E93*'TS-PILE'!$E$58/SUMSQ('TS-PILE'!$E$56:$E$75))+IF(SUMSQ('TS-PILE'!$D$56:$D$75)=0,0,'TO HOP NLAN'!F93*'TS-PILE'!$D$58/SUMSQ('TS-PILE'!$D$56:$D$75))),IF('TS-PILE'!$B$59="",-1E+99,'TO HOP NLAN'!D93/ncoc+IF(SUMSQ('TS-PILE'!$E$56:$E$75)=0,0,'TO HOP NLAN'!E93*'TS-PILE'!$E$59/SUMSQ('TS-PILE'!$E$56:$E$75))+IF(SUMSQ('TS-PILE'!$D$56:$D$75)=0,0,'TO HOP NLAN'!F93*'TS-PILE'!$D$59/SUMSQ('TS-PILE'!$D$56:$D$75))),IF('TS-PILE'!$B$60="",-1E+99,'TO HOP NLAN'!D93/ncoc+IF(SUMSQ('TS-PILE'!$E$56:$E$75)=0,0,'TO HOP NLAN'!E93*'TS-PILE'!$E$60/SUMSQ('TS-PILE'!$E$56:$E$75))+IF(SUMSQ('TS-PILE'!$D$56:$D$75)=0,0,'TO HOP NLAN'!F93*'TS-PILE'!$D$60/SUMSQ('TS-PILE'!$D$56:$D$75))),IF('TS-PILE'!$B$61="",-1E+99,'TO HOP NLAN'!D93/ncoc+IF(SUMSQ('TS-PILE'!$E$56:$E$75)=0,0,'TO HOP NLAN'!E93*'TS-PILE'!$E$61/SUMSQ('TS-PILE'!$E$56:$E$75))+IF(SUMSQ('TS-PILE'!$D$56:$D$75)=0,0,'TO HOP NLAN'!F93*'TS-PILE'!$D$61/SUMSQ('TS-PILE'!$D$56:$D$75))),IF('TS-PILE'!$B$62="",-1E+99,'TO HOP NLAN'!D93/ncoc+IF(SUMSQ('TS-PILE'!$E$56:$E$75)=0,0,'TO HOP NLAN'!E93*'TS-PILE'!$E$62/SUMSQ('TS-PILE'!$E$56:$E$75))+IF(SUMSQ('TS-PILE'!$D$56:$D$75)=0,0,'TO HOP NLAN'!F93*'TS-PILE'!$D$62/SUMSQ('TS-PILE'!$D$56:$D$75))),IF('TS-PILE'!$B$63="",-1E+99,'TO HOP NLAN'!D93/ncoc+IF(SUMSQ('TS-PILE'!$E$56:$E$75)=0,0,'TO HOP NLAN'!E93*'TS-PILE'!$E$63/SUMSQ('TS-PILE'!$E$56:$E$75))+IF(SUMSQ('TS-PILE'!$D$56:$D$75)=0,0,'TO HOP NLAN'!F93*'TS-PILE'!$D$63/SUMSQ('TS-PILE'!$D$56:$D$75))),IF('TS-PILE'!$B$64="",-1E+99,'TO HOP NLAN'!D93/ncoc+IF(SUMSQ('TS-PILE'!$E$56:$E$75)=0,0,'TO HOP NLAN'!E93*'TS-PILE'!$E$64/SUMSQ('TS-PILE'!$E$56:$E$75))+IF(SUMSQ('TS-PILE'!$D$56:$D$75)=0,0,'TO HOP NLAN'!F93*'TS-PILE'!$D$64/SUMSQ('TS-PILE'!$D$56:$D$75))),IF('TS-PILE'!$B$65="",-1E+99,'TO HOP NLAN'!D93/ncoc+IF(SUMSQ('TS-PILE'!$E$56:$E$75)=0,0,'TO HOP NLAN'!E93*'TS-PILE'!$E$65/SUMSQ('TS-PILE'!$E$56:$E$75))+IF(SUMSQ('TS-PILE'!$D$56:$D$75)=0,0,'TO HOP NLAN'!F93*'TS-PILE'!$D$65/SUMSQ('TS-PILE'!$D$56:$D$75))),IF('TS-PILE'!$B$66="",-1E+99,'TO HOP NLAN'!D93/ncoc+IF(SUMSQ('TS-PILE'!$E$56:$E$75)=0,0,'TO HOP NLAN'!E93*'TS-PILE'!$E$66/SUMSQ('TS-PILE'!$E$56:$E$75))+IF(SUMSQ('TS-PILE'!$D$56:$D$75)=0,0,'TO HOP NLAN'!F93*'TS-PILE'!$D$66/SUMSQ('TS-PILE'!$D$56:$D$75))),IF('TS-PILE'!$B$67="",-1E+99,'TO HOP NLAN'!D93/ncoc+IF(SUMSQ('TS-PILE'!$E$56:$E$75)=0,0,'TO HOP NLAN'!E93*'TS-PILE'!$E$67/SUMSQ('TS-PILE'!$E$56:$E$75))+IF(SUMSQ('TS-PILE'!$D$56:$D$75)=0,0,'TO HOP NLAN'!F93*'TS-PILE'!$D$67/SUMSQ('TS-PILE'!$D$56:$D$75))),IF('TS-PILE'!$B$68="",-1E+99,'TO HOP NLAN'!D93/ncoc+IF(SUMSQ('TS-PILE'!$E$56:$E$75)=0,0,'TO HOP NLAN'!E93*'TS-PILE'!$E$68/SUMSQ('TS-PILE'!$E$56:$E$75))+IF(SUMSQ('TS-PILE'!$D$56:$D$75)=0,0,'TO HOP NLAN'!F93*'TS-PILE'!$D$68/SUMSQ('TS-PILE'!$D$56:$D$75))),IF('TS-PILE'!$B$69="",-1E+99,'TO HOP NLAN'!D93/ncoc+IF(SUMSQ('TS-PILE'!$E$56:$E$75)=0,0,'TO HOP NLAN'!E93*'TS-PILE'!$E$69/SUMSQ('TS-PILE'!$E$56:$E$75))+IF(SUMSQ('TS-PILE'!$D$56:$D$75)=0,0,'TO HOP NLAN'!F93*'TS-PILE'!$D$69/SUMSQ('TS-PILE'!$D$56:$D$75))),IF('TS-PILE'!$B$70="",-1E+99,'TO HOP NLAN'!D93/ncoc+IF(SUMSQ('TS-PILE'!$E$56:$E$75)=0,0,'TO HOP NLAN'!E93*'TS-PILE'!$E$70/SUMSQ('TS-PILE'!$E$56:$E$75))+IF(SUMSQ('TS-PILE'!$D$56:$D$75)=0,0,'TO HOP NLAN'!F93*'TS-PILE'!$D$70/SUMSQ('TS-PILE'!$D$56:$D$75))),IF('TS-PILE'!$B$71="",-1E+99,'TO HOP NLAN'!D93/ncoc+IF(SUMSQ('TS-PILE'!$E$56:$E$75)=0,0,'TO HOP NLAN'!E93*'TS-PILE'!$E$71/SUMSQ('TS-PILE'!$E$56:$E$75))+IF(SUMSQ('TS-PILE'!$D$56:$D$75)=0,0,'TO HOP NLAN'!F93*'TS-PILE'!$D$71/SUMSQ('TS-PILE'!$D$56:$D$75))),IF('TS-PILE'!$B$72="",-1E+99,'TO HOP NLAN'!D93/ncoc+IF(SUMSQ('TS-PILE'!$E$56:$E$75)=0,0,'TO HOP NLAN'!E93*'TS-PILE'!$E$72/SUMSQ('TS-PILE'!$E$56:$E$75))+IF(SUMSQ('TS-PILE'!$D$56:$D$75)=0,0,'TO HOP NLAN'!F93*'TS-PILE'!$D$72/SUMSQ('TS-PILE'!$D$56:$D$75))),IF('TS-PILE'!$B$73="",-1E+99,'TO HOP NLAN'!D93/ncoc+IF(SUMSQ('TS-PILE'!$E$56:$E$75)=0,0,'TO HOP NLAN'!E93*'TS-PILE'!$E$73/SUMSQ('TS-PILE'!$E$56:$E$75))+IF(SUMSQ('TS-PILE'!$D$56:$D$75)=0,0,'TO HOP NLAN'!F93*'TS-PILE'!$D$73/SUMSQ('TS-PILE'!$D$56:$D$75))),IF('TS-PILE'!$B$74="",-1E+99,'TO HOP NLAN'!D93/ncoc+IF(SUMSQ('TS-PILE'!$E$56:$E$75)=0,0,'TO HOP NLAN'!E93*'TS-PILE'!$E$74/SUMSQ('TS-PILE'!$E$56:$E$75))+IF(SUMSQ('TS-PILE'!$D$56:$D$75)=0,0,'TO HOP NLAN'!F93*'TS-PILE'!$D$74/SUMSQ('TS-PILE'!$D$56:$D$75))),IF('TS-PILE'!$B$75="",-1E+99,'TO HOP NLAN'!D93/ncoc+IF(SUMSQ('TS-PILE'!$E$56:$E$75)=0,0,'TO HOP NLAN'!E93*'TS-PILE'!$E$75/SUMSQ('TS-PILE'!$E$56:$E$75))+IF(SUMSQ('TS-PILE'!$D$56:$D$75)=0,0,'TO HOP NLAN'!F93*'TS-PILE'!$D$75/SUMSQ('TS-PILE'!$D$56:$D$75)))))</f>
        <v>0</v>
      </c>
      <c r="D93" s="46">
        <f>IF(A93="",0,MIN(IF('TS-PILE'!$B$56="",1E+99,'TO HOP NLAN'!D93/ncoc+IF(SUMSQ('TS-PILE'!$E$56:$E$75)=0,0,'TO HOP NLAN'!E93*'TS-PILE'!$E$56/SUMSQ('TS-PILE'!$E$56:$E$75))+IF(SUMSQ('TS-PILE'!$D$56:$D$75)=0,0,'TO HOP NLAN'!F93*'TS-PILE'!$D$56/SUMSQ('TS-PILE'!$D$56:$D$75))),IF('TS-PILE'!$B$57="",1E+99,'TO HOP NLAN'!D93/ncoc+IF(SUMSQ('TS-PILE'!$E$56:$E$75)=0,0,'TO HOP NLAN'!E93*'TS-PILE'!$E$57/SUMSQ('TS-PILE'!$E$56:$E$75))+IF(SUMSQ('TS-PILE'!$D$56:$D$75)=0,0,'TO HOP NLAN'!F93*'TS-PILE'!$D$57/SUMSQ('TS-PILE'!$D$56:$D$75))),IF('TS-PILE'!$B$58="",1E+99,'TO HOP NLAN'!D93/ncoc+IF(SUMSQ('TS-PILE'!$E$56:$E$75)=0,0,'TO HOP NLAN'!E93*'TS-PILE'!$E$58/SUMSQ('TS-PILE'!$E$56:$E$75))+IF(SUMSQ('TS-PILE'!$D$56:$D$75)=0,0,'TO HOP NLAN'!F93*'TS-PILE'!$D$58/SUMSQ('TS-PILE'!$D$56:$D$75))),IF('TS-PILE'!$B$59="",1E+99,'TO HOP NLAN'!D93/ncoc+IF(SUMSQ('TS-PILE'!$E$56:$E$75)=0,0,'TO HOP NLAN'!E93*'TS-PILE'!$E$59/SUMSQ('TS-PILE'!$E$56:$E$75))+IF(SUMSQ('TS-PILE'!$D$56:$D$75)=0,0,'TO HOP NLAN'!F93*'TS-PILE'!$D$59/SUMSQ('TS-PILE'!$D$56:$D$75))),IF('TS-PILE'!$B$60="",1E+99,'TO HOP NLAN'!D93/ncoc+IF(SUMSQ('TS-PILE'!$E$56:$E$75)=0,0,'TO HOP NLAN'!E93*'TS-PILE'!$E$60/SUMSQ('TS-PILE'!$E$56:$E$75))+IF(SUMSQ('TS-PILE'!$D$56:$D$75)=0,0,'TO HOP NLAN'!F93*'TS-PILE'!$D$60/SUMSQ('TS-PILE'!$D$56:$D$75))),IF('TS-PILE'!$B$61="",1E+99,'TO HOP NLAN'!D93/ncoc+IF(SUMSQ('TS-PILE'!$E$56:$E$75)=0,0,'TO HOP NLAN'!E93*'TS-PILE'!$E$61/SUMSQ('TS-PILE'!$E$56:$E$75))+IF(SUMSQ('TS-PILE'!$D$56:$D$75)=0,0,'TO HOP NLAN'!F93*'TS-PILE'!$D$61/SUMSQ('TS-PILE'!$D$56:$D$75))),IF('TS-PILE'!$B$62="",1E+99,'TO HOP NLAN'!D93/ncoc+IF(SUMSQ('TS-PILE'!$E$56:$E$75)=0,0,'TO HOP NLAN'!E93*'TS-PILE'!$E$62/SUMSQ('TS-PILE'!$E$56:$E$75))+IF(SUMSQ('TS-PILE'!$D$56:$D$75)=0,0,'TO HOP NLAN'!F93*'TS-PILE'!$D$62/SUMSQ('TS-PILE'!$D$56:$D$75))),IF('TS-PILE'!$B$63="",1E+99,'TO HOP NLAN'!D93/ncoc+IF(SUMSQ('TS-PILE'!$E$56:$E$75)=0,0,'TO HOP NLAN'!E93*'TS-PILE'!$E$63/SUMSQ('TS-PILE'!$E$56:$E$75))+IF(SUMSQ('TS-PILE'!$D$56:$D$75)=0,0,'TO HOP NLAN'!F93*'TS-PILE'!$D$63/SUMSQ('TS-PILE'!$D$56:$D$75))),IF('TS-PILE'!$B$64="",1E+99,'TO HOP NLAN'!D93/ncoc+IF(SUMSQ('TS-PILE'!$E$56:$E$75)=0,0,'TO HOP NLAN'!E93*'TS-PILE'!$E$64/SUMSQ('TS-PILE'!$E$56:$E$75))+IF(SUMSQ('TS-PILE'!$D$56:$D$75)=0,0,'TO HOP NLAN'!F93*'TS-PILE'!$D$64/SUMSQ('TS-PILE'!$D$56:$D$75))),IF('TS-PILE'!$B$65="",1E+99,'TO HOP NLAN'!D93/ncoc+IF(SUMSQ('TS-PILE'!$E$56:$E$75)=0,0,'TO HOP NLAN'!E93*'TS-PILE'!$E$65/SUMSQ('TS-PILE'!$E$56:$E$75))+IF(SUMSQ('TS-PILE'!$D$56:$D$75)=0,0,'TO HOP NLAN'!F93*'TS-PILE'!$D$65/SUMSQ('TS-PILE'!$D$56:$D$75))),IF('TS-PILE'!$B$66="",1E+99,'TO HOP NLAN'!D93/ncoc+IF(SUMSQ('TS-PILE'!$E$56:$E$75)=0,0,'TO HOP NLAN'!E93*'TS-PILE'!$E$66/SUMSQ('TS-PILE'!$E$56:$E$75))+IF(SUMSQ('TS-PILE'!$D$56:$D$75)=0,0,'TO HOP NLAN'!F93*'TS-PILE'!$D$66/SUMSQ('TS-PILE'!$D$56:$D$75))),IF('TS-PILE'!$B$67="",1E+99,'TO HOP NLAN'!D93/ncoc+IF(SUMSQ('TS-PILE'!$E$56:$E$75)=0,0,'TO HOP NLAN'!E93*'TS-PILE'!$E$67/SUMSQ('TS-PILE'!$E$56:$E$75))+IF(SUMSQ('TS-PILE'!$D$56:$D$75)=0,0,'TO HOP NLAN'!F93*'TS-PILE'!$D$67/SUMSQ('TS-PILE'!$D$56:$D$75))),IF('TS-PILE'!$B$68="",1E+99,'TO HOP NLAN'!D93/ncoc+IF(SUMSQ('TS-PILE'!$E$56:$E$75)=0,0,'TO HOP NLAN'!E93*'TS-PILE'!$E$68/SUMSQ('TS-PILE'!$E$56:$E$75))+IF(SUMSQ('TS-PILE'!$D$56:$D$75)=0,0,'TO HOP NLAN'!F93*'TS-PILE'!$D$68/SUMSQ('TS-PILE'!$D$56:$D$75))),IF('TS-PILE'!$B$69="",1E+99,'TO HOP NLAN'!D93/ncoc+IF(SUMSQ('TS-PILE'!$E$56:$E$75)=0,0,'TO HOP NLAN'!E93*'TS-PILE'!$E$69/SUMSQ('TS-PILE'!$E$56:$E$75))+IF(SUMSQ('TS-PILE'!$D$56:$D$75)=0,0,'TO HOP NLAN'!F93*'TS-PILE'!$D$69/SUMSQ('TS-PILE'!$D$56:$D$75))),IF('TS-PILE'!$B$70="",1E+99,'TO HOP NLAN'!D93/ncoc+IF(SUMSQ('TS-PILE'!$E$56:$E$75)=0,0,'TO HOP NLAN'!E93*'TS-PILE'!$E$70/SUMSQ('TS-PILE'!$E$56:$E$75))+IF(SUMSQ('TS-PILE'!$D$56:$D$75)=0,0,'TO HOP NLAN'!F93*'TS-PILE'!$D$70/SUMSQ('TS-PILE'!$D$56:$D$75))),IF('TS-PILE'!$B$71="",1E+99,'TO HOP NLAN'!D93/ncoc+IF(SUMSQ('TS-PILE'!$E$56:$E$75)=0,0,'TO HOP NLAN'!E93*'TS-PILE'!$E$71/SUMSQ('TS-PILE'!$E$56:$E$75))+IF(SUMSQ('TS-PILE'!$D$56:$D$75)=0,0,'TO HOP NLAN'!F93*'TS-PILE'!$D$71/SUMSQ('TS-PILE'!$D$56:$D$75))),IF('TS-PILE'!$B$72="",1E+99,'TO HOP NLAN'!D93/ncoc+IF(SUMSQ('TS-PILE'!$E$56:$E$75)=0,0,'TO HOP NLAN'!E93*'TS-PILE'!$E$72/SUMSQ('TS-PILE'!$E$56:$E$75))+IF(SUMSQ('TS-PILE'!$D$56:$D$75)=0,0,'TO HOP NLAN'!F93*'TS-PILE'!$D$72/SUMSQ('TS-PILE'!$D$56:$D$75))),IF('TS-PILE'!$B$73="",1E+99,'TO HOP NLAN'!D93/ncoc+IF(SUMSQ('TS-PILE'!$E$56:$E$75)=0,0,'TO HOP NLAN'!E93*'TS-PILE'!$E$73/SUMSQ('TS-PILE'!$E$56:$E$75))+IF(SUMSQ('TS-PILE'!$D$56:$D$75)=0,0,'TO HOP NLAN'!F93*'TS-PILE'!$D$73/SUMSQ('TS-PILE'!$D$56:$D$75))),IF('TS-PILE'!$B$74="",1E+99,'TO HOP NLAN'!D93/ncoc+IF(SUMSQ('TS-PILE'!$E$56:$E$75)=0,0,'TO HOP NLAN'!E93*'TS-PILE'!$E$74/SUMSQ('TS-PILE'!$E$56:$E$75))+IF(SUMSQ('TS-PILE'!$D$56:$D$75)=0,0,'TO HOP NLAN'!F93*'TS-PILE'!$D$74/SUMSQ('TS-PILE'!$D$56:$D$75))),IF('TS-PILE'!$B$75="",1E+99,'TO HOP NLAN'!D93/ncoc+IF(SUMSQ('TS-PILE'!$E$56:$E$75)=0,0,'TO HOP NLAN'!E93*'TS-PILE'!$E$75/SUMSQ('TS-PILE'!$E$56:$E$75))+IF(SUMSQ('TS-PILE'!$D$56:$D$75)=0,0,'TO HOP NLAN'!F93*'TS-PILE'!$D$75/SUMSQ('TS-PILE'!$D$56:$D$75)))))</f>
        <v>0</v>
      </c>
      <c r="E93" s="46">
        <f t="shared" si="4"/>
        <v>-9.9999999999999997E+98</v>
      </c>
      <c r="F93" s="46">
        <f t="shared" si="5"/>
        <v>9.9999999999999997E+98</v>
      </c>
      <c r="G93" s="46">
        <f t="shared" si="6"/>
        <v>-9.9999999999999997E+98</v>
      </c>
      <c r="H93" s="46">
        <f t="shared" si="7"/>
        <v>9.9999999999999997E+98</v>
      </c>
    </row>
    <row r="94" spans="1:8" x14ac:dyDescent="0.3">
      <c r="A94" s="40" t="str">
        <f>'TO HOP NLAN'!A94</f>
        <v/>
      </c>
      <c r="B94" s="40" t="str">
        <f>'TO HOP NLAN'!L94</f>
        <v>STRENGTH</v>
      </c>
      <c r="C94" s="46">
        <f>IF(A94="",0,MAX(IF('TS-PILE'!$B$56="",-1E+99,'TO HOP NLAN'!D94/ncoc+IF(SUMSQ('TS-PILE'!$E$56:$E$75)=0,0,'TO HOP NLAN'!E94*'TS-PILE'!$E$56/SUMSQ('TS-PILE'!$E$56:$E$75))+IF(SUMSQ('TS-PILE'!$D$56:$D$75)=0,0,'TO HOP NLAN'!F94*'TS-PILE'!$D$56/SUMSQ('TS-PILE'!$D$56:$D$75))),IF('TS-PILE'!$B$57="",-1E+99,'TO HOP NLAN'!D94/ncoc+IF(SUMSQ('TS-PILE'!$E$56:$E$75)=0,0,'TO HOP NLAN'!E94*'TS-PILE'!$E$57/SUMSQ('TS-PILE'!$E$56:$E$75))+IF(SUMSQ('TS-PILE'!$D$56:$D$75)=0,0,'TO HOP NLAN'!F94*'TS-PILE'!$D$57/SUMSQ('TS-PILE'!$D$56:$D$75))),IF('TS-PILE'!$B$58="",-1E+99,'TO HOP NLAN'!D94/ncoc+IF(SUMSQ('TS-PILE'!$E$56:$E$75)=0,0,'TO HOP NLAN'!E94*'TS-PILE'!$E$58/SUMSQ('TS-PILE'!$E$56:$E$75))+IF(SUMSQ('TS-PILE'!$D$56:$D$75)=0,0,'TO HOP NLAN'!F94*'TS-PILE'!$D$58/SUMSQ('TS-PILE'!$D$56:$D$75))),IF('TS-PILE'!$B$59="",-1E+99,'TO HOP NLAN'!D94/ncoc+IF(SUMSQ('TS-PILE'!$E$56:$E$75)=0,0,'TO HOP NLAN'!E94*'TS-PILE'!$E$59/SUMSQ('TS-PILE'!$E$56:$E$75))+IF(SUMSQ('TS-PILE'!$D$56:$D$75)=0,0,'TO HOP NLAN'!F94*'TS-PILE'!$D$59/SUMSQ('TS-PILE'!$D$56:$D$75))),IF('TS-PILE'!$B$60="",-1E+99,'TO HOP NLAN'!D94/ncoc+IF(SUMSQ('TS-PILE'!$E$56:$E$75)=0,0,'TO HOP NLAN'!E94*'TS-PILE'!$E$60/SUMSQ('TS-PILE'!$E$56:$E$75))+IF(SUMSQ('TS-PILE'!$D$56:$D$75)=0,0,'TO HOP NLAN'!F94*'TS-PILE'!$D$60/SUMSQ('TS-PILE'!$D$56:$D$75))),IF('TS-PILE'!$B$61="",-1E+99,'TO HOP NLAN'!D94/ncoc+IF(SUMSQ('TS-PILE'!$E$56:$E$75)=0,0,'TO HOP NLAN'!E94*'TS-PILE'!$E$61/SUMSQ('TS-PILE'!$E$56:$E$75))+IF(SUMSQ('TS-PILE'!$D$56:$D$75)=0,0,'TO HOP NLAN'!F94*'TS-PILE'!$D$61/SUMSQ('TS-PILE'!$D$56:$D$75))),IF('TS-PILE'!$B$62="",-1E+99,'TO HOP NLAN'!D94/ncoc+IF(SUMSQ('TS-PILE'!$E$56:$E$75)=0,0,'TO HOP NLAN'!E94*'TS-PILE'!$E$62/SUMSQ('TS-PILE'!$E$56:$E$75))+IF(SUMSQ('TS-PILE'!$D$56:$D$75)=0,0,'TO HOP NLAN'!F94*'TS-PILE'!$D$62/SUMSQ('TS-PILE'!$D$56:$D$75))),IF('TS-PILE'!$B$63="",-1E+99,'TO HOP NLAN'!D94/ncoc+IF(SUMSQ('TS-PILE'!$E$56:$E$75)=0,0,'TO HOP NLAN'!E94*'TS-PILE'!$E$63/SUMSQ('TS-PILE'!$E$56:$E$75))+IF(SUMSQ('TS-PILE'!$D$56:$D$75)=0,0,'TO HOP NLAN'!F94*'TS-PILE'!$D$63/SUMSQ('TS-PILE'!$D$56:$D$75))),IF('TS-PILE'!$B$64="",-1E+99,'TO HOP NLAN'!D94/ncoc+IF(SUMSQ('TS-PILE'!$E$56:$E$75)=0,0,'TO HOP NLAN'!E94*'TS-PILE'!$E$64/SUMSQ('TS-PILE'!$E$56:$E$75))+IF(SUMSQ('TS-PILE'!$D$56:$D$75)=0,0,'TO HOP NLAN'!F94*'TS-PILE'!$D$64/SUMSQ('TS-PILE'!$D$56:$D$75))),IF('TS-PILE'!$B$65="",-1E+99,'TO HOP NLAN'!D94/ncoc+IF(SUMSQ('TS-PILE'!$E$56:$E$75)=0,0,'TO HOP NLAN'!E94*'TS-PILE'!$E$65/SUMSQ('TS-PILE'!$E$56:$E$75))+IF(SUMSQ('TS-PILE'!$D$56:$D$75)=0,0,'TO HOP NLAN'!F94*'TS-PILE'!$D$65/SUMSQ('TS-PILE'!$D$56:$D$75))),IF('TS-PILE'!$B$66="",-1E+99,'TO HOP NLAN'!D94/ncoc+IF(SUMSQ('TS-PILE'!$E$56:$E$75)=0,0,'TO HOP NLAN'!E94*'TS-PILE'!$E$66/SUMSQ('TS-PILE'!$E$56:$E$75))+IF(SUMSQ('TS-PILE'!$D$56:$D$75)=0,0,'TO HOP NLAN'!F94*'TS-PILE'!$D$66/SUMSQ('TS-PILE'!$D$56:$D$75))),IF('TS-PILE'!$B$67="",-1E+99,'TO HOP NLAN'!D94/ncoc+IF(SUMSQ('TS-PILE'!$E$56:$E$75)=0,0,'TO HOP NLAN'!E94*'TS-PILE'!$E$67/SUMSQ('TS-PILE'!$E$56:$E$75))+IF(SUMSQ('TS-PILE'!$D$56:$D$75)=0,0,'TO HOP NLAN'!F94*'TS-PILE'!$D$67/SUMSQ('TS-PILE'!$D$56:$D$75))),IF('TS-PILE'!$B$68="",-1E+99,'TO HOP NLAN'!D94/ncoc+IF(SUMSQ('TS-PILE'!$E$56:$E$75)=0,0,'TO HOP NLAN'!E94*'TS-PILE'!$E$68/SUMSQ('TS-PILE'!$E$56:$E$75))+IF(SUMSQ('TS-PILE'!$D$56:$D$75)=0,0,'TO HOP NLAN'!F94*'TS-PILE'!$D$68/SUMSQ('TS-PILE'!$D$56:$D$75))),IF('TS-PILE'!$B$69="",-1E+99,'TO HOP NLAN'!D94/ncoc+IF(SUMSQ('TS-PILE'!$E$56:$E$75)=0,0,'TO HOP NLAN'!E94*'TS-PILE'!$E$69/SUMSQ('TS-PILE'!$E$56:$E$75))+IF(SUMSQ('TS-PILE'!$D$56:$D$75)=0,0,'TO HOP NLAN'!F94*'TS-PILE'!$D$69/SUMSQ('TS-PILE'!$D$56:$D$75))),IF('TS-PILE'!$B$70="",-1E+99,'TO HOP NLAN'!D94/ncoc+IF(SUMSQ('TS-PILE'!$E$56:$E$75)=0,0,'TO HOP NLAN'!E94*'TS-PILE'!$E$70/SUMSQ('TS-PILE'!$E$56:$E$75))+IF(SUMSQ('TS-PILE'!$D$56:$D$75)=0,0,'TO HOP NLAN'!F94*'TS-PILE'!$D$70/SUMSQ('TS-PILE'!$D$56:$D$75))),IF('TS-PILE'!$B$71="",-1E+99,'TO HOP NLAN'!D94/ncoc+IF(SUMSQ('TS-PILE'!$E$56:$E$75)=0,0,'TO HOP NLAN'!E94*'TS-PILE'!$E$71/SUMSQ('TS-PILE'!$E$56:$E$75))+IF(SUMSQ('TS-PILE'!$D$56:$D$75)=0,0,'TO HOP NLAN'!F94*'TS-PILE'!$D$71/SUMSQ('TS-PILE'!$D$56:$D$75))),IF('TS-PILE'!$B$72="",-1E+99,'TO HOP NLAN'!D94/ncoc+IF(SUMSQ('TS-PILE'!$E$56:$E$75)=0,0,'TO HOP NLAN'!E94*'TS-PILE'!$E$72/SUMSQ('TS-PILE'!$E$56:$E$75))+IF(SUMSQ('TS-PILE'!$D$56:$D$75)=0,0,'TO HOP NLAN'!F94*'TS-PILE'!$D$72/SUMSQ('TS-PILE'!$D$56:$D$75))),IF('TS-PILE'!$B$73="",-1E+99,'TO HOP NLAN'!D94/ncoc+IF(SUMSQ('TS-PILE'!$E$56:$E$75)=0,0,'TO HOP NLAN'!E94*'TS-PILE'!$E$73/SUMSQ('TS-PILE'!$E$56:$E$75))+IF(SUMSQ('TS-PILE'!$D$56:$D$75)=0,0,'TO HOP NLAN'!F94*'TS-PILE'!$D$73/SUMSQ('TS-PILE'!$D$56:$D$75))),IF('TS-PILE'!$B$74="",-1E+99,'TO HOP NLAN'!D94/ncoc+IF(SUMSQ('TS-PILE'!$E$56:$E$75)=0,0,'TO HOP NLAN'!E94*'TS-PILE'!$E$74/SUMSQ('TS-PILE'!$E$56:$E$75))+IF(SUMSQ('TS-PILE'!$D$56:$D$75)=0,0,'TO HOP NLAN'!F94*'TS-PILE'!$D$74/SUMSQ('TS-PILE'!$D$56:$D$75))),IF('TS-PILE'!$B$75="",-1E+99,'TO HOP NLAN'!D94/ncoc+IF(SUMSQ('TS-PILE'!$E$56:$E$75)=0,0,'TO HOP NLAN'!E94*'TS-PILE'!$E$75/SUMSQ('TS-PILE'!$E$56:$E$75))+IF(SUMSQ('TS-PILE'!$D$56:$D$75)=0,0,'TO HOP NLAN'!F94*'TS-PILE'!$D$75/SUMSQ('TS-PILE'!$D$56:$D$75)))))</f>
        <v>0</v>
      </c>
      <c r="D94" s="46">
        <f>IF(A94="",0,MIN(IF('TS-PILE'!$B$56="",1E+99,'TO HOP NLAN'!D94/ncoc+IF(SUMSQ('TS-PILE'!$E$56:$E$75)=0,0,'TO HOP NLAN'!E94*'TS-PILE'!$E$56/SUMSQ('TS-PILE'!$E$56:$E$75))+IF(SUMSQ('TS-PILE'!$D$56:$D$75)=0,0,'TO HOP NLAN'!F94*'TS-PILE'!$D$56/SUMSQ('TS-PILE'!$D$56:$D$75))),IF('TS-PILE'!$B$57="",1E+99,'TO HOP NLAN'!D94/ncoc+IF(SUMSQ('TS-PILE'!$E$56:$E$75)=0,0,'TO HOP NLAN'!E94*'TS-PILE'!$E$57/SUMSQ('TS-PILE'!$E$56:$E$75))+IF(SUMSQ('TS-PILE'!$D$56:$D$75)=0,0,'TO HOP NLAN'!F94*'TS-PILE'!$D$57/SUMSQ('TS-PILE'!$D$56:$D$75))),IF('TS-PILE'!$B$58="",1E+99,'TO HOP NLAN'!D94/ncoc+IF(SUMSQ('TS-PILE'!$E$56:$E$75)=0,0,'TO HOP NLAN'!E94*'TS-PILE'!$E$58/SUMSQ('TS-PILE'!$E$56:$E$75))+IF(SUMSQ('TS-PILE'!$D$56:$D$75)=0,0,'TO HOP NLAN'!F94*'TS-PILE'!$D$58/SUMSQ('TS-PILE'!$D$56:$D$75))),IF('TS-PILE'!$B$59="",1E+99,'TO HOP NLAN'!D94/ncoc+IF(SUMSQ('TS-PILE'!$E$56:$E$75)=0,0,'TO HOP NLAN'!E94*'TS-PILE'!$E$59/SUMSQ('TS-PILE'!$E$56:$E$75))+IF(SUMSQ('TS-PILE'!$D$56:$D$75)=0,0,'TO HOP NLAN'!F94*'TS-PILE'!$D$59/SUMSQ('TS-PILE'!$D$56:$D$75))),IF('TS-PILE'!$B$60="",1E+99,'TO HOP NLAN'!D94/ncoc+IF(SUMSQ('TS-PILE'!$E$56:$E$75)=0,0,'TO HOP NLAN'!E94*'TS-PILE'!$E$60/SUMSQ('TS-PILE'!$E$56:$E$75))+IF(SUMSQ('TS-PILE'!$D$56:$D$75)=0,0,'TO HOP NLAN'!F94*'TS-PILE'!$D$60/SUMSQ('TS-PILE'!$D$56:$D$75))),IF('TS-PILE'!$B$61="",1E+99,'TO HOP NLAN'!D94/ncoc+IF(SUMSQ('TS-PILE'!$E$56:$E$75)=0,0,'TO HOP NLAN'!E94*'TS-PILE'!$E$61/SUMSQ('TS-PILE'!$E$56:$E$75))+IF(SUMSQ('TS-PILE'!$D$56:$D$75)=0,0,'TO HOP NLAN'!F94*'TS-PILE'!$D$61/SUMSQ('TS-PILE'!$D$56:$D$75))),IF('TS-PILE'!$B$62="",1E+99,'TO HOP NLAN'!D94/ncoc+IF(SUMSQ('TS-PILE'!$E$56:$E$75)=0,0,'TO HOP NLAN'!E94*'TS-PILE'!$E$62/SUMSQ('TS-PILE'!$E$56:$E$75))+IF(SUMSQ('TS-PILE'!$D$56:$D$75)=0,0,'TO HOP NLAN'!F94*'TS-PILE'!$D$62/SUMSQ('TS-PILE'!$D$56:$D$75))),IF('TS-PILE'!$B$63="",1E+99,'TO HOP NLAN'!D94/ncoc+IF(SUMSQ('TS-PILE'!$E$56:$E$75)=0,0,'TO HOP NLAN'!E94*'TS-PILE'!$E$63/SUMSQ('TS-PILE'!$E$56:$E$75))+IF(SUMSQ('TS-PILE'!$D$56:$D$75)=0,0,'TO HOP NLAN'!F94*'TS-PILE'!$D$63/SUMSQ('TS-PILE'!$D$56:$D$75))),IF('TS-PILE'!$B$64="",1E+99,'TO HOP NLAN'!D94/ncoc+IF(SUMSQ('TS-PILE'!$E$56:$E$75)=0,0,'TO HOP NLAN'!E94*'TS-PILE'!$E$64/SUMSQ('TS-PILE'!$E$56:$E$75))+IF(SUMSQ('TS-PILE'!$D$56:$D$75)=0,0,'TO HOP NLAN'!F94*'TS-PILE'!$D$64/SUMSQ('TS-PILE'!$D$56:$D$75))),IF('TS-PILE'!$B$65="",1E+99,'TO HOP NLAN'!D94/ncoc+IF(SUMSQ('TS-PILE'!$E$56:$E$75)=0,0,'TO HOP NLAN'!E94*'TS-PILE'!$E$65/SUMSQ('TS-PILE'!$E$56:$E$75))+IF(SUMSQ('TS-PILE'!$D$56:$D$75)=0,0,'TO HOP NLAN'!F94*'TS-PILE'!$D$65/SUMSQ('TS-PILE'!$D$56:$D$75))),IF('TS-PILE'!$B$66="",1E+99,'TO HOP NLAN'!D94/ncoc+IF(SUMSQ('TS-PILE'!$E$56:$E$75)=0,0,'TO HOP NLAN'!E94*'TS-PILE'!$E$66/SUMSQ('TS-PILE'!$E$56:$E$75))+IF(SUMSQ('TS-PILE'!$D$56:$D$75)=0,0,'TO HOP NLAN'!F94*'TS-PILE'!$D$66/SUMSQ('TS-PILE'!$D$56:$D$75))),IF('TS-PILE'!$B$67="",1E+99,'TO HOP NLAN'!D94/ncoc+IF(SUMSQ('TS-PILE'!$E$56:$E$75)=0,0,'TO HOP NLAN'!E94*'TS-PILE'!$E$67/SUMSQ('TS-PILE'!$E$56:$E$75))+IF(SUMSQ('TS-PILE'!$D$56:$D$75)=0,0,'TO HOP NLAN'!F94*'TS-PILE'!$D$67/SUMSQ('TS-PILE'!$D$56:$D$75))),IF('TS-PILE'!$B$68="",1E+99,'TO HOP NLAN'!D94/ncoc+IF(SUMSQ('TS-PILE'!$E$56:$E$75)=0,0,'TO HOP NLAN'!E94*'TS-PILE'!$E$68/SUMSQ('TS-PILE'!$E$56:$E$75))+IF(SUMSQ('TS-PILE'!$D$56:$D$75)=0,0,'TO HOP NLAN'!F94*'TS-PILE'!$D$68/SUMSQ('TS-PILE'!$D$56:$D$75))),IF('TS-PILE'!$B$69="",1E+99,'TO HOP NLAN'!D94/ncoc+IF(SUMSQ('TS-PILE'!$E$56:$E$75)=0,0,'TO HOP NLAN'!E94*'TS-PILE'!$E$69/SUMSQ('TS-PILE'!$E$56:$E$75))+IF(SUMSQ('TS-PILE'!$D$56:$D$75)=0,0,'TO HOP NLAN'!F94*'TS-PILE'!$D$69/SUMSQ('TS-PILE'!$D$56:$D$75))),IF('TS-PILE'!$B$70="",1E+99,'TO HOP NLAN'!D94/ncoc+IF(SUMSQ('TS-PILE'!$E$56:$E$75)=0,0,'TO HOP NLAN'!E94*'TS-PILE'!$E$70/SUMSQ('TS-PILE'!$E$56:$E$75))+IF(SUMSQ('TS-PILE'!$D$56:$D$75)=0,0,'TO HOP NLAN'!F94*'TS-PILE'!$D$70/SUMSQ('TS-PILE'!$D$56:$D$75))),IF('TS-PILE'!$B$71="",1E+99,'TO HOP NLAN'!D94/ncoc+IF(SUMSQ('TS-PILE'!$E$56:$E$75)=0,0,'TO HOP NLAN'!E94*'TS-PILE'!$E$71/SUMSQ('TS-PILE'!$E$56:$E$75))+IF(SUMSQ('TS-PILE'!$D$56:$D$75)=0,0,'TO HOP NLAN'!F94*'TS-PILE'!$D$71/SUMSQ('TS-PILE'!$D$56:$D$75))),IF('TS-PILE'!$B$72="",1E+99,'TO HOP NLAN'!D94/ncoc+IF(SUMSQ('TS-PILE'!$E$56:$E$75)=0,0,'TO HOP NLAN'!E94*'TS-PILE'!$E$72/SUMSQ('TS-PILE'!$E$56:$E$75))+IF(SUMSQ('TS-PILE'!$D$56:$D$75)=0,0,'TO HOP NLAN'!F94*'TS-PILE'!$D$72/SUMSQ('TS-PILE'!$D$56:$D$75))),IF('TS-PILE'!$B$73="",1E+99,'TO HOP NLAN'!D94/ncoc+IF(SUMSQ('TS-PILE'!$E$56:$E$75)=0,0,'TO HOP NLAN'!E94*'TS-PILE'!$E$73/SUMSQ('TS-PILE'!$E$56:$E$75))+IF(SUMSQ('TS-PILE'!$D$56:$D$75)=0,0,'TO HOP NLAN'!F94*'TS-PILE'!$D$73/SUMSQ('TS-PILE'!$D$56:$D$75))),IF('TS-PILE'!$B$74="",1E+99,'TO HOP NLAN'!D94/ncoc+IF(SUMSQ('TS-PILE'!$E$56:$E$75)=0,0,'TO HOP NLAN'!E94*'TS-PILE'!$E$74/SUMSQ('TS-PILE'!$E$56:$E$75))+IF(SUMSQ('TS-PILE'!$D$56:$D$75)=0,0,'TO HOP NLAN'!F94*'TS-PILE'!$D$74/SUMSQ('TS-PILE'!$D$56:$D$75))),IF('TS-PILE'!$B$75="",1E+99,'TO HOP NLAN'!D94/ncoc+IF(SUMSQ('TS-PILE'!$E$56:$E$75)=0,0,'TO HOP NLAN'!E94*'TS-PILE'!$E$75/SUMSQ('TS-PILE'!$E$56:$E$75))+IF(SUMSQ('TS-PILE'!$D$56:$D$75)=0,0,'TO HOP NLAN'!F94*'TS-PILE'!$D$75/SUMSQ('TS-PILE'!$D$56:$D$75)))))</f>
        <v>0</v>
      </c>
      <c r="E94" s="46">
        <f t="shared" si="4"/>
        <v>-9.9999999999999997E+98</v>
      </c>
      <c r="F94" s="46">
        <f t="shared" si="5"/>
        <v>9.9999999999999997E+98</v>
      </c>
      <c r="G94" s="46">
        <f t="shared" si="6"/>
        <v>-9.9999999999999997E+98</v>
      </c>
      <c r="H94" s="46">
        <f t="shared" si="7"/>
        <v>9.9999999999999997E+98</v>
      </c>
    </row>
    <row r="95" spans="1:8" x14ac:dyDescent="0.3">
      <c r="A95" s="40" t="str">
        <f>'TO HOP NLAN'!A95</f>
        <v/>
      </c>
      <c r="B95" s="40" t="str">
        <f>'TO HOP NLAN'!L95</f>
        <v>STRENGTH</v>
      </c>
      <c r="C95" s="46">
        <f>IF(A95="",0,MAX(IF('TS-PILE'!$B$56="",-1E+99,'TO HOP NLAN'!D95/ncoc+IF(SUMSQ('TS-PILE'!$E$56:$E$75)=0,0,'TO HOP NLAN'!E95*'TS-PILE'!$E$56/SUMSQ('TS-PILE'!$E$56:$E$75))+IF(SUMSQ('TS-PILE'!$D$56:$D$75)=0,0,'TO HOP NLAN'!F95*'TS-PILE'!$D$56/SUMSQ('TS-PILE'!$D$56:$D$75))),IF('TS-PILE'!$B$57="",-1E+99,'TO HOP NLAN'!D95/ncoc+IF(SUMSQ('TS-PILE'!$E$56:$E$75)=0,0,'TO HOP NLAN'!E95*'TS-PILE'!$E$57/SUMSQ('TS-PILE'!$E$56:$E$75))+IF(SUMSQ('TS-PILE'!$D$56:$D$75)=0,0,'TO HOP NLAN'!F95*'TS-PILE'!$D$57/SUMSQ('TS-PILE'!$D$56:$D$75))),IF('TS-PILE'!$B$58="",-1E+99,'TO HOP NLAN'!D95/ncoc+IF(SUMSQ('TS-PILE'!$E$56:$E$75)=0,0,'TO HOP NLAN'!E95*'TS-PILE'!$E$58/SUMSQ('TS-PILE'!$E$56:$E$75))+IF(SUMSQ('TS-PILE'!$D$56:$D$75)=0,0,'TO HOP NLAN'!F95*'TS-PILE'!$D$58/SUMSQ('TS-PILE'!$D$56:$D$75))),IF('TS-PILE'!$B$59="",-1E+99,'TO HOP NLAN'!D95/ncoc+IF(SUMSQ('TS-PILE'!$E$56:$E$75)=0,0,'TO HOP NLAN'!E95*'TS-PILE'!$E$59/SUMSQ('TS-PILE'!$E$56:$E$75))+IF(SUMSQ('TS-PILE'!$D$56:$D$75)=0,0,'TO HOP NLAN'!F95*'TS-PILE'!$D$59/SUMSQ('TS-PILE'!$D$56:$D$75))),IF('TS-PILE'!$B$60="",-1E+99,'TO HOP NLAN'!D95/ncoc+IF(SUMSQ('TS-PILE'!$E$56:$E$75)=0,0,'TO HOP NLAN'!E95*'TS-PILE'!$E$60/SUMSQ('TS-PILE'!$E$56:$E$75))+IF(SUMSQ('TS-PILE'!$D$56:$D$75)=0,0,'TO HOP NLAN'!F95*'TS-PILE'!$D$60/SUMSQ('TS-PILE'!$D$56:$D$75))),IF('TS-PILE'!$B$61="",-1E+99,'TO HOP NLAN'!D95/ncoc+IF(SUMSQ('TS-PILE'!$E$56:$E$75)=0,0,'TO HOP NLAN'!E95*'TS-PILE'!$E$61/SUMSQ('TS-PILE'!$E$56:$E$75))+IF(SUMSQ('TS-PILE'!$D$56:$D$75)=0,0,'TO HOP NLAN'!F95*'TS-PILE'!$D$61/SUMSQ('TS-PILE'!$D$56:$D$75))),IF('TS-PILE'!$B$62="",-1E+99,'TO HOP NLAN'!D95/ncoc+IF(SUMSQ('TS-PILE'!$E$56:$E$75)=0,0,'TO HOP NLAN'!E95*'TS-PILE'!$E$62/SUMSQ('TS-PILE'!$E$56:$E$75))+IF(SUMSQ('TS-PILE'!$D$56:$D$75)=0,0,'TO HOP NLAN'!F95*'TS-PILE'!$D$62/SUMSQ('TS-PILE'!$D$56:$D$75))),IF('TS-PILE'!$B$63="",-1E+99,'TO HOP NLAN'!D95/ncoc+IF(SUMSQ('TS-PILE'!$E$56:$E$75)=0,0,'TO HOP NLAN'!E95*'TS-PILE'!$E$63/SUMSQ('TS-PILE'!$E$56:$E$75))+IF(SUMSQ('TS-PILE'!$D$56:$D$75)=0,0,'TO HOP NLAN'!F95*'TS-PILE'!$D$63/SUMSQ('TS-PILE'!$D$56:$D$75))),IF('TS-PILE'!$B$64="",-1E+99,'TO HOP NLAN'!D95/ncoc+IF(SUMSQ('TS-PILE'!$E$56:$E$75)=0,0,'TO HOP NLAN'!E95*'TS-PILE'!$E$64/SUMSQ('TS-PILE'!$E$56:$E$75))+IF(SUMSQ('TS-PILE'!$D$56:$D$75)=0,0,'TO HOP NLAN'!F95*'TS-PILE'!$D$64/SUMSQ('TS-PILE'!$D$56:$D$75))),IF('TS-PILE'!$B$65="",-1E+99,'TO HOP NLAN'!D95/ncoc+IF(SUMSQ('TS-PILE'!$E$56:$E$75)=0,0,'TO HOP NLAN'!E95*'TS-PILE'!$E$65/SUMSQ('TS-PILE'!$E$56:$E$75))+IF(SUMSQ('TS-PILE'!$D$56:$D$75)=0,0,'TO HOP NLAN'!F95*'TS-PILE'!$D$65/SUMSQ('TS-PILE'!$D$56:$D$75))),IF('TS-PILE'!$B$66="",-1E+99,'TO HOP NLAN'!D95/ncoc+IF(SUMSQ('TS-PILE'!$E$56:$E$75)=0,0,'TO HOP NLAN'!E95*'TS-PILE'!$E$66/SUMSQ('TS-PILE'!$E$56:$E$75))+IF(SUMSQ('TS-PILE'!$D$56:$D$75)=0,0,'TO HOP NLAN'!F95*'TS-PILE'!$D$66/SUMSQ('TS-PILE'!$D$56:$D$75))),IF('TS-PILE'!$B$67="",-1E+99,'TO HOP NLAN'!D95/ncoc+IF(SUMSQ('TS-PILE'!$E$56:$E$75)=0,0,'TO HOP NLAN'!E95*'TS-PILE'!$E$67/SUMSQ('TS-PILE'!$E$56:$E$75))+IF(SUMSQ('TS-PILE'!$D$56:$D$75)=0,0,'TO HOP NLAN'!F95*'TS-PILE'!$D$67/SUMSQ('TS-PILE'!$D$56:$D$75))),IF('TS-PILE'!$B$68="",-1E+99,'TO HOP NLAN'!D95/ncoc+IF(SUMSQ('TS-PILE'!$E$56:$E$75)=0,0,'TO HOP NLAN'!E95*'TS-PILE'!$E$68/SUMSQ('TS-PILE'!$E$56:$E$75))+IF(SUMSQ('TS-PILE'!$D$56:$D$75)=0,0,'TO HOP NLAN'!F95*'TS-PILE'!$D$68/SUMSQ('TS-PILE'!$D$56:$D$75))),IF('TS-PILE'!$B$69="",-1E+99,'TO HOP NLAN'!D95/ncoc+IF(SUMSQ('TS-PILE'!$E$56:$E$75)=0,0,'TO HOP NLAN'!E95*'TS-PILE'!$E$69/SUMSQ('TS-PILE'!$E$56:$E$75))+IF(SUMSQ('TS-PILE'!$D$56:$D$75)=0,0,'TO HOP NLAN'!F95*'TS-PILE'!$D$69/SUMSQ('TS-PILE'!$D$56:$D$75))),IF('TS-PILE'!$B$70="",-1E+99,'TO HOP NLAN'!D95/ncoc+IF(SUMSQ('TS-PILE'!$E$56:$E$75)=0,0,'TO HOP NLAN'!E95*'TS-PILE'!$E$70/SUMSQ('TS-PILE'!$E$56:$E$75))+IF(SUMSQ('TS-PILE'!$D$56:$D$75)=0,0,'TO HOP NLAN'!F95*'TS-PILE'!$D$70/SUMSQ('TS-PILE'!$D$56:$D$75))),IF('TS-PILE'!$B$71="",-1E+99,'TO HOP NLAN'!D95/ncoc+IF(SUMSQ('TS-PILE'!$E$56:$E$75)=0,0,'TO HOP NLAN'!E95*'TS-PILE'!$E$71/SUMSQ('TS-PILE'!$E$56:$E$75))+IF(SUMSQ('TS-PILE'!$D$56:$D$75)=0,0,'TO HOP NLAN'!F95*'TS-PILE'!$D$71/SUMSQ('TS-PILE'!$D$56:$D$75))),IF('TS-PILE'!$B$72="",-1E+99,'TO HOP NLAN'!D95/ncoc+IF(SUMSQ('TS-PILE'!$E$56:$E$75)=0,0,'TO HOP NLAN'!E95*'TS-PILE'!$E$72/SUMSQ('TS-PILE'!$E$56:$E$75))+IF(SUMSQ('TS-PILE'!$D$56:$D$75)=0,0,'TO HOP NLAN'!F95*'TS-PILE'!$D$72/SUMSQ('TS-PILE'!$D$56:$D$75))),IF('TS-PILE'!$B$73="",-1E+99,'TO HOP NLAN'!D95/ncoc+IF(SUMSQ('TS-PILE'!$E$56:$E$75)=0,0,'TO HOP NLAN'!E95*'TS-PILE'!$E$73/SUMSQ('TS-PILE'!$E$56:$E$75))+IF(SUMSQ('TS-PILE'!$D$56:$D$75)=0,0,'TO HOP NLAN'!F95*'TS-PILE'!$D$73/SUMSQ('TS-PILE'!$D$56:$D$75))),IF('TS-PILE'!$B$74="",-1E+99,'TO HOP NLAN'!D95/ncoc+IF(SUMSQ('TS-PILE'!$E$56:$E$75)=0,0,'TO HOP NLAN'!E95*'TS-PILE'!$E$74/SUMSQ('TS-PILE'!$E$56:$E$75))+IF(SUMSQ('TS-PILE'!$D$56:$D$75)=0,0,'TO HOP NLAN'!F95*'TS-PILE'!$D$74/SUMSQ('TS-PILE'!$D$56:$D$75))),IF('TS-PILE'!$B$75="",-1E+99,'TO HOP NLAN'!D95/ncoc+IF(SUMSQ('TS-PILE'!$E$56:$E$75)=0,0,'TO HOP NLAN'!E95*'TS-PILE'!$E$75/SUMSQ('TS-PILE'!$E$56:$E$75))+IF(SUMSQ('TS-PILE'!$D$56:$D$75)=0,0,'TO HOP NLAN'!F95*'TS-PILE'!$D$75/SUMSQ('TS-PILE'!$D$56:$D$75)))))</f>
        <v>0</v>
      </c>
      <c r="D95" s="46">
        <f>IF(A95="",0,MIN(IF('TS-PILE'!$B$56="",1E+99,'TO HOP NLAN'!D95/ncoc+IF(SUMSQ('TS-PILE'!$E$56:$E$75)=0,0,'TO HOP NLAN'!E95*'TS-PILE'!$E$56/SUMSQ('TS-PILE'!$E$56:$E$75))+IF(SUMSQ('TS-PILE'!$D$56:$D$75)=0,0,'TO HOP NLAN'!F95*'TS-PILE'!$D$56/SUMSQ('TS-PILE'!$D$56:$D$75))),IF('TS-PILE'!$B$57="",1E+99,'TO HOP NLAN'!D95/ncoc+IF(SUMSQ('TS-PILE'!$E$56:$E$75)=0,0,'TO HOP NLAN'!E95*'TS-PILE'!$E$57/SUMSQ('TS-PILE'!$E$56:$E$75))+IF(SUMSQ('TS-PILE'!$D$56:$D$75)=0,0,'TO HOP NLAN'!F95*'TS-PILE'!$D$57/SUMSQ('TS-PILE'!$D$56:$D$75))),IF('TS-PILE'!$B$58="",1E+99,'TO HOP NLAN'!D95/ncoc+IF(SUMSQ('TS-PILE'!$E$56:$E$75)=0,0,'TO HOP NLAN'!E95*'TS-PILE'!$E$58/SUMSQ('TS-PILE'!$E$56:$E$75))+IF(SUMSQ('TS-PILE'!$D$56:$D$75)=0,0,'TO HOP NLAN'!F95*'TS-PILE'!$D$58/SUMSQ('TS-PILE'!$D$56:$D$75))),IF('TS-PILE'!$B$59="",1E+99,'TO HOP NLAN'!D95/ncoc+IF(SUMSQ('TS-PILE'!$E$56:$E$75)=0,0,'TO HOP NLAN'!E95*'TS-PILE'!$E$59/SUMSQ('TS-PILE'!$E$56:$E$75))+IF(SUMSQ('TS-PILE'!$D$56:$D$75)=0,0,'TO HOP NLAN'!F95*'TS-PILE'!$D$59/SUMSQ('TS-PILE'!$D$56:$D$75))),IF('TS-PILE'!$B$60="",1E+99,'TO HOP NLAN'!D95/ncoc+IF(SUMSQ('TS-PILE'!$E$56:$E$75)=0,0,'TO HOP NLAN'!E95*'TS-PILE'!$E$60/SUMSQ('TS-PILE'!$E$56:$E$75))+IF(SUMSQ('TS-PILE'!$D$56:$D$75)=0,0,'TO HOP NLAN'!F95*'TS-PILE'!$D$60/SUMSQ('TS-PILE'!$D$56:$D$75))),IF('TS-PILE'!$B$61="",1E+99,'TO HOP NLAN'!D95/ncoc+IF(SUMSQ('TS-PILE'!$E$56:$E$75)=0,0,'TO HOP NLAN'!E95*'TS-PILE'!$E$61/SUMSQ('TS-PILE'!$E$56:$E$75))+IF(SUMSQ('TS-PILE'!$D$56:$D$75)=0,0,'TO HOP NLAN'!F95*'TS-PILE'!$D$61/SUMSQ('TS-PILE'!$D$56:$D$75))),IF('TS-PILE'!$B$62="",1E+99,'TO HOP NLAN'!D95/ncoc+IF(SUMSQ('TS-PILE'!$E$56:$E$75)=0,0,'TO HOP NLAN'!E95*'TS-PILE'!$E$62/SUMSQ('TS-PILE'!$E$56:$E$75))+IF(SUMSQ('TS-PILE'!$D$56:$D$75)=0,0,'TO HOP NLAN'!F95*'TS-PILE'!$D$62/SUMSQ('TS-PILE'!$D$56:$D$75))),IF('TS-PILE'!$B$63="",1E+99,'TO HOP NLAN'!D95/ncoc+IF(SUMSQ('TS-PILE'!$E$56:$E$75)=0,0,'TO HOP NLAN'!E95*'TS-PILE'!$E$63/SUMSQ('TS-PILE'!$E$56:$E$75))+IF(SUMSQ('TS-PILE'!$D$56:$D$75)=0,0,'TO HOP NLAN'!F95*'TS-PILE'!$D$63/SUMSQ('TS-PILE'!$D$56:$D$75))),IF('TS-PILE'!$B$64="",1E+99,'TO HOP NLAN'!D95/ncoc+IF(SUMSQ('TS-PILE'!$E$56:$E$75)=0,0,'TO HOP NLAN'!E95*'TS-PILE'!$E$64/SUMSQ('TS-PILE'!$E$56:$E$75))+IF(SUMSQ('TS-PILE'!$D$56:$D$75)=0,0,'TO HOP NLAN'!F95*'TS-PILE'!$D$64/SUMSQ('TS-PILE'!$D$56:$D$75))),IF('TS-PILE'!$B$65="",1E+99,'TO HOP NLAN'!D95/ncoc+IF(SUMSQ('TS-PILE'!$E$56:$E$75)=0,0,'TO HOP NLAN'!E95*'TS-PILE'!$E$65/SUMSQ('TS-PILE'!$E$56:$E$75))+IF(SUMSQ('TS-PILE'!$D$56:$D$75)=0,0,'TO HOP NLAN'!F95*'TS-PILE'!$D$65/SUMSQ('TS-PILE'!$D$56:$D$75))),IF('TS-PILE'!$B$66="",1E+99,'TO HOP NLAN'!D95/ncoc+IF(SUMSQ('TS-PILE'!$E$56:$E$75)=0,0,'TO HOP NLAN'!E95*'TS-PILE'!$E$66/SUMSQ('TS-PILE'!$E$56:$E$75))+IF(SUMSQ('TS-PILE'!$D$56:$D$75)=0,0,'TO HOP NLAN'!F95*'TS-PILE'!$D$66/SUMSQ('TS-PILE'!$D$56:$D$75))),IF('TS-PILE'!$B$67="",1E+99,'TO HOP NLAN'!D95/ncoc+IF(SUMSQ('TS-PILE'!$E$56:$E$75)=0,0,'TO HOP NLAN'!E95*'TS-PILE'!$E$67/SUMSQ('TS-PILE'!$E$56:$E$75))+IF(SUMSQ('TS-PILE'!$D$56:$D$75)=0,0,'TO HOP NLAN'!F95*'TS-PILE'!$D$67/SUMSQ('TS-PILE'!$D$56:$D$75))),IF('TS-PILE'!$B$68="",1E+99,'TO HOP NLAN'!D95/ncoc+IF(SUMSQ('TS-PILE'!$E$56:$E$75)=0,0,'TO HOP NLAN'!E95*'TS-PILE'!$E$68/SUMSQ('TS-PILE'!$E$56:$E$75))+IF(SUMSQ('TS-PILE'!$D$56:$D$75)=0,0,'TO HOP NLAN'!F95*'TS-PILE'!$D$68/SUMSQ('TS-PILE'!$D$56:$D$75))),IF('TS-PILE'!$B$69="",1E+99,'TO HOP NLAN'!D95/ncoc+IF(SUMSQ('TS-PILE'!$E$56:$E$75)=0,0,'TO HOP NLAN'!E95*'TS-PILE'!$E$69/SUMSQ('TS-PILE'!$E$56:$E$75))+IF(SUMSQ('TS-PILE'!$D$56:$D$75)=0,0,'TO HOP NLAN'!F95*'TS-PILE'!$D$69/SUMSQ('TS-PILE'!$D$56:$D$75))),IF('TS-PILE'!$B$70="",1E+99,'TO HOP NLAN'!D95/ncoc+IF(SUMSQ('TS-PILE'!$E$56:$E$75)=0,0,'TO HOP NLAN'!E95*'TS-PILE'!$E$70/SUMSQ('TS-PILE'!$E$56:$E$75))+IF(SUMSQ('TS-PILE'!$D$56:$D$75)=0,0,'TO HOP NLAN'!F95*'TS-PILE'!$D$70/SUMSQ('TS-PILE'!$D$56:$D$75))),IF('TS-PILE'!$B$71="",1E+99,'TO HOP NLAN'!D95/ncoc+IF(SUMSQ('TS-PILE'!$E$56:$E$75)=0,0,'TO HOP NLAN'!E95*'TS-PILE'!$E$71/SUMSQ('TS-PILE'!$E$56:$E$75))+IF(SUMSQ('TS-PILE'!$D$56:$D$75)=0,0,'TO HOP NLAN'!F95*'TS-PILE'!$D$71/SUMSQ('TS-PILE'!$D$56:$D$75))),IF('TS-PILE'!$B$72="",1E+99,'TO HOP NLAN'!D95/ncoc+IF(SUMSQ('TS-PILE'!$E$56:$E$75)=0,0,'TO HOP NLAN'!E95*'TS-PILE'!$E$72/SUMSQ('TS-PILE'!$E$56:$E$75))+IF(SUMSQ('TS-PILE'!$D$56:$D$75)=0,0,'TO HOP NLAN'!F95*'TS-PILE'!$D$72/SUMSQ('TS-PILE'!$D$56:$D$75))),IF('TS-PILE'!$B$73="",1E+99,'TO HOP NLAN'!D95/ncoc+IF(SUMSQ('TS-PILE'!$E$56:$E$75)=0,0,'TO HOP NLAN'!E95*'TS-PILE'!$E$73/SUMSQ('TS-PILE'!$E$56:$E$75))+IF(SUMSQ('TS-PILE'!$D$56:$D$75)=0,0,'TO HOP NLAN'!F95*'TS-PILE'!$D$73/SUMSQ('TS-PILE'!$D$56:$D$75))),IF('TS-PILE'!$B$74="",1E+99,'TO HOP NLAN'!D95/ncoc+IF(SUMSQ('TS-PILE'!$E$56:$E$75)=0,0,'TO HOP NLAN'!E95*'TS-PILE'!$E$74/SUMSQ('TS-PILE'!$E$56:$E$75))+IF(SUMSQ('TS-PILE'!$D$56:$D$75)=0,0,'TO HOP NLAN'!F95*'TS-PILE'!$D$74/SUMSQ('TS-PILE'!$D$56:$D$75))),IF('TS-PILE'!$B$75="",1E+99,'TO HOP NLAN'!D95/ncoc+IF(SUMSQ('TS-PILE'!$E$56:$E$75)=0,0,'TO HOP NLAN'!E95*'TS-PILE'!$E$75/SUMSQ('TS-PILE'!$E$56:$E$75))+IF(SUMSQ('TS-PILE'!$D$56:$D$75)=0,0,'TO HOP NLAN'!F95*'TS-PILE'!$D$75/SUMSQ('TS-PILE'!$D$56:$D$75)))))</f>
        <v>0</v>
      </c>
      <c r="E95" s="46">
        <f t="shared" si="4"/>
        <v>-9.9999999999999997E+98</v>
      </c>
      <c r="F95" s="46">
        <f t="shared" si="5"/>
        <v>9.9999999999999997E+98</v>
      </c>
      <c r="G95" s="46">
        <f t="shared" si="6"/>
        <v>-9.9999999999999997E+98</v>
      </c>
      <c r="H95" s="46">
        <f t="shared" si="7"/>
        <v>9.9999999999999997E+98</v>
      </c>
    </row>
    <row r="96" spans="1:8" x14ac:dyDescent="0.3">
      <c r="A96" s="40" t="str">
        <f>'TO HOP NLAN'!A96</f>
        <v/>
      </c>
      <c r="B96" s="40" t="str">
        <f>'TO HOP NLAN'!L96</f>
        <v>STRENGTH</v>
      </c>
      <c r="C96" s="46">
        <f>IF(A96="",0,MAX(IF('TS-PILE'!$B$56="",-1E+99,'TO HOP NLAN'!D96/ncoc+IF(SUMSQ('TS-PILE'!$E$56:$E$75)=0,0,'TO HOP NLAN'!E96*'TS-PILE'!$E$56/SUMSQ('TS-PILE'!$E$56:$E$75))+IF(SUMSQ('TS-PILE'!$D$56:$D$75)=0,0,'TO HOP NLAN'!F96*'TS-PILE'!$D$56/SUMSQ('TS-PILE'!$D$56:$D$75))),IF('TS-PILE'!$B$57="",-1E+99,'TO HOP NLAN'!D96/ncoc+IF(SUMSQ('TS-PILE'!$E$56:$E$75)=0,0,'TO HOP NLAN'!E96*'TS-PILE'!$E$57/SUMSQ('TS-PILE'!$E$56:$E$75))+IF(SUMSQ('TS-PILE'!$D$56:$D$75)=0,0,'TO HOP NLAN'!F96*'TS-PILE'!$D$57/SUMSQ('TS-PILE'!$D$56:$D$75))),IF('TS-PILE'!$B$58="",-1E+99,'TO HOP NLAN'!D96/ncoc+IF(SUMSQ('TS-PILE'!$E$56:$E$75)=0,0,'TO HOP NLAN'!E96*'TS-PILE'!$E$58/SUMSQ('TS-PILE'!$E$56:$E$75))+IF(SUMSQ('TS-PILE'!$D$56:$D$75)=0,0,'TO HOP NLAN'!F96*'TS-PILE'!$D$58/SUMSQ('TS-PILE'!$D$56:$D$75))),IF('TS-PILE'!$B$59="",-1E+99,'TO HOP NLAN'!D96/ncoc+IF(SUMSQ('TS-PILE'!$E$56:$E$75)=0,0,'TO HOP NLAN'!E96*'TS-PILE'!$E$59/SUMSQ('TS-PILE'!$E$56:$E$75))+IF(SUMSQ('TS-PILE'!$D$56:$D$75)=0,0,'TO HOP NLAN'!F96*'TS-PILE'!$D$59/SUMSQ('TS-PILE'!$D$56:$D$75))),IF('TS-PILE'!$B$60="",-1E+99,'TO HOP NLAN'!D96/ncoc+IF(SUMSQ('TS-PILE'!$E$56:$E$75)=0,0,'TO HOP NLAN'!E96*'TS-PILE'!$E$60/SUMSQ('TS-PILE'!$E$56:$E$75))+IF(SUMSQ('TS-PILE'!$D$56:$D$75)=0,0,'TO HOP NLAN'!F96*'TS-PILE'!$D$60/SUMSQ('TS-PILE'!$D$56:$D$75))),IF('TS-PILE'!$B$61="",-1E+99,'TO HOP NLAN'!D96/ncoc+IF(SUMSQ('TS-PILE'!$E$56:$E$75)=0,0,'TO HOP NLAN'!E96*'TS-PILE'!$E$61/SUMSQ('TS-PILE'!$E$56:$E$75))+IF(SUMSQ('TS-PILE'!$D$56:$D$75)=0,0,'TO HOP NLAN'!F96*'TS-PILE'!$D$61/SUMSQ('TS-PILE'!$D$56:$D$75))),IF('TS-PILE'!$B$62="",-1E+99,'TO HOP NLAN'!D96/ncoc+IF(SUMSQ('TS-PILE'!$E$56:$E$75)=0,0,'TO HOP NLAN'!E96*'TS-PILE'!$E$62/SUMSQ('TS-PILE'!$E$56:$E$75))+IF(SUMSQ('TS-PILE'!$D$56:$D$75)=0,0,'TO HOP NLAN'!F96*'TS-PILE'!$D$62/SUMSQ('TS-PILE'!$D$56:$D$75))),IF('TS-PILE'!$B$63="",-1E+99,'TO HOP NLAN'!D96/ncoc+IF(SUMSQ('TS-PILE'!$E$56:$E$75)=0,0,'TO HOP NLAN'!E96*'TS-PILE'!$E$63/SUMSQ('TS-PILE'!$E$56:$E$75))+IF(SUMSQ('TS-PILE'!$D$56:$D$75)=0,0,'TO HOP NLAN'!F96*'TS-PILE'!$D$63/SUMSQ('TS-PILE'!$D$56:$D$75))),IF('TS-PILE'!$B$64="",-1E+99,'TO HOP NLAN'!D96/ncoc+IF(SUMSQ('TS-PILE'!$E$56:$E$75)=0,0,'TO HOP NLAN'!E96*'TS-PILE'!$E$64/SUMSQ('TS-PILE'!$E$56:$E$75))+IF(SUMSQ('TS-PILE'!$D$56:$D$75)=0,0,'TO HOP NLAN'!F96*'TS-PILE'!$D$64/SUMSQ('TS-PILE'!$D$56:$D$75))),IF('TS-PILE'!$B$65="",-1E+99,'TO HOP NLAN'!D96/ncoc+IF(SUMSQ('TS-PILE'!$E$56:$E$75)=0,0,'TO HOP NLAN'!E96*'TS-PILE'!$E$65/SUMSQ('TS-PILE'!$E$56:$E$75))+IF(SUMSQ('TS-PILE'!$D$56:$D$75)=0,0,'TO HOP NLAN'!F96*'TS-PILE'!$D$65/SUMSQ('TS-PILE'!$D$56:$D$75))),IF('TS-PILE'!$B$66="",-1E+99,'TO HOP NLAN'!D96/ncoc+IF(SUMSQ('TS-PILE'!$E$56:$E$75)=0,0,'TO HOP NLAN'!E96*'TS-PILE'!$E$66/SUMSQ('TS-PILE'!$E$56:$E$75))+IF(SUMSQ('TS-PILE'!$D$56:$D$75)=0,0,'TO HOP NLAN'!F96*'TS-PILE'!$D$66/SUMSQ('TS-PILE'!$D$56:$D$75))),IF('TS-PILE'!$B$67="",-1E+99,'TO HOP NLAN'!D96/ncoc+IF(SUMSQ('TS-PILE'!$E$56:$E$75)=0,0,'TO HOP NLAN'!E96*'TS-PILE'!$E$67/SUMSQ('TS-PILE'!$E$56:$E$75))+IF(SUMSQ('TS-PILE'!$D$56:$D$75)=0,0,'TO HOP NLAN'!F96*'TS-PILE'!$D$67/SUMSQ('TS-PILE'!$D$56:$D$75))),IF('TS-PILE'!$B$68="",-1E+99,'TO HOP NLAN'!D96/ncoc+IF(SUMSQ('TS-PILE'!$E$56:$E$75)=0,0,'TO HOP NLAN'!E96*'TS-PILE'!$E$68/SUMSQ('TS-PILE'!$E$56:$E$75))+IF(SUMSQ('TS-PILE'!$D$56:$D$75)=0,0,'TO HOP NLAN'!F96*'TS-PILE'!$D$68/SUMSQ('TS-PILE'!$D$56:$D$75))),IF('TS-PILE'!$B$69="",-1E+99,'TO HOP NLAN'!D96/ncoc+IF(SUMSQ('TS-PILE'!$E$56:$E$75)=0,0,'TO HOP NLAN'!E96*'TS-PILE'!$E$69/SUMSQ('TS-PILE'!$E$56:$E$75))+IF(SUMSQ('TS-PILE'!$D$56:$D$75)=0,0,'TO HOP NLAN'!F96*'TS-PILE'!$D$69/SUMSQ('TS-PILE'!$D$56:$D$75))),IF('TS-PILE'!$B$70="",-1E+99,'TO HOP NLAN'!D96/ncoc+IF(SUMSQ('TS-PILE'!$E$56:$E$75)=0,0,'TO HOP NLAN'!E96*'TS-PILE'!$E$70/SUMSQ('TS-PILE'!$E$56:$E$75))+IF(SUMSQ('TS-PILE'!$D$56:$D$75)=0,0,'TO HOP NLAN'!F96*'TS-PILE'!$D$70/SUMSQ('TS-PILE'!$D$56:$D$75))),IF('TS-PILE'!$B$71="",-1E+99,'TO HOP NLAN'!D96/ncoc+IF(SUMSQ('TS-PILE'!$E$56:$E$75)=0,0,'TO HOP NLAN'!E96*'TS-PILE'!$E$71/SUMSQ('TS-PILE'!$E$56:$E$75))+IF(SUMSQ('TS-PILE'!$D$56:$D$75)=0,0,'TO HOP NLAN'!F96*'TS-PILE'!$D$71/SUMSQ('TS-PILE'!$D$56:$D$75))),IF('TS-PILE'!$B$72="",-1E+99,'TO HOP NLAN'!D96/ncoc+IF(SUMSQ('TS-PILE'!$E$56:$E$75)=0,0,'TO HOP NLAN'!E96*'TS-PILE'!$E$72/SUMSQ('TS-PILE'!$E$56:$E$75))+IF(SUMSQ('TS-PILE'!$D$56:$D$75)=0,0,'TO HOP NLAN'!F96*'TS-PILE'!$D$72/SUMSQ('TS-PILE'!$D$56:$D$75))),IF('TS-PILE'!$B$73="",-1E+99,'TO HOP NLAN'!D96/ncoc+IF(SUMSQ('TS-PILE'!$E$56:$E$75)=0,0,'TO HOP NLAN'!E96*'TS-PILE'!$E$73/SUMSQ('TS-PILE'!$E$56:$E$75))+IF(SUMSQ('TS-PILE'!$D$56:$D$75)=0,0,'TO HOP NLAN'!F96*'TS-PILE'!$D$73/SUMSQ('TS-PILE'!$D$56:$D$75))),IF('TS-PILE'!$B$74="",-1E+99,'TO HOP NLAN'!D96/ncoc+IF(SUMSQ('TS-PILE'!$E$56:$E$75)=0,0,'TO HOP NLAN'!E96*'TS-PILE'!$E$74/SUMSQ('TS-PILE'!$E$56:$E$75))+IF(SUMSQ('TS-PILE'!$D$56:$D$75)=0,0,'TO HOP NLAN'!F96*'TS-PILE'!$D$74/SUMSQ('TS-PILE'!$D$56:$D$75))),IF('TS-PILE'!$B$75="",-1E+99,'TO HOP NLAN'!D96/ncoc+IF(SUMSQ('TS-PILE'!$E$56:$E$75)=0,0,'TO HOP NLAN'!E96*'TS-PILE'!$E$75/SUMSQ('TS-PILE'!$E$56:$E$75))+IF(SUMSQ('TS-PILE'!$D$56:$D$75)=0,0,'TO HOP NLAN'!F96*'TS-PILE'!$D$75/SUMSQ('TS-PILE'!$D$56:$D$75)))))</f>
        <v>0</v>
      </c>
      <c r="D96" s="46">
        <f>IF(A96="",0,MIN(IF('TS-PILE'!$B$56="",1E+99,'TO HOP NLAN'!D96/ncoc+IF(SUMSQ('TS-PILE'!$E$56:$E$75)=0,0,'TO HOP NLAN'!E96*'TS-PILE'!$E$56/SUMSQ('TS-PILE'!$E$56:$E$75))+IF(SUMSQ('TS-PILE'!$D$56:$D$75)=0,0,'TO HOP NLAN'!F96*'TS-PILE'!$D$56/SUMSQ('TS-PILE'!$D$56:$D$75))),IF('TS-PILE'!$B$57="",1E+99,'TO HOP NLAN'!D96/ncoc+IF(SUMSQ('TS-PILE'!$E$56:$E$75)=0,0,'TO HOP NLAN'!E96*'TS-PILE'!$E$57/SUMSQ('TS-PILE'!$E$56:$E$75))+IF(SUMSQ('TS-PILE'!$D$56:$D$75)=0,0,'TO HOP NLAN'!F96*'TS-PILE'!$D$57/SUMSQ('TS-PILE'!$D$56:$D$75))),IF('TS-PILE'!$B$58="",1E+99,'TO HOP NLAN'!D96/ncoc+IF(SUMSQ('TS-PILE'!$E$56:$E$75)=0,0,'TO HOP NLAN'!E96*'TS-PILE'!$E$58/SUMSQ('TS-PILE'!$E$56:$E$75))+IF(SUMSQ('TS-PILE'!$D$56:$D$75)=0,0,'TO HOP NLAN'!F96*'TS-PILE'!$D$58/SUMSQ('TS-PILE'!$D$56:$D$75))),IF('TS-PILE'!$B$59="",1E+99,'TO HOP NLAN'!D96/ncoc+IF(SUMSQ('TS-PILE'!$E$56:$E$75)=0,0,'TO HOP NLAN'!E96*'TS-PILE'!$E$59/SUMSQ('TS-PILE'!$E$56:$E$75))+IF(SUMSQ('TS-PILE'!$D$56:$D$75)=0,0,'TO HOP NLAN'!F96*'TS-PILE'!$D$59/SUMSQ('TS-PILE'!$D$56:$D$75))),IF('TS-PILE'!$B$60="",1E+99,'TO HOP NLAN'!D96/ncoc+IF(SUMSQ('TS-PILE'!$E$56:$E$75)=0,0,'TO HOP NLAN'!E96*'TS-PILE'!$E$60/SUMSQ('TS-PILE'!$E$56:$E$75))+IF(SUMSQ('TS-PILE'!$D$56:$D$75)=0,0,'TO HOP NLAN'!F96*'TS-PILE'!$D$60/SUMSQ('TS-PILE'!$D$56:$D$75))),IF('TS-PILE'!$B$61="",1E+99,'TO HOP NLAN'!D96/ncoc+IF(SUMSQ('TS-PILE'!$E$56:$E$75)=0,0,'TO HOP NLAN'!E96*'TS-PILE'!$E$61/SUMSQ('TS-PILE'!$E$56:$E$75))+IF(SUMSQ('TS-PILE'!$D$56:$D$75)=0,0,'TO HOP NLAN'!F96*'TS-PILE'!$D$61/SUMSQ('TS-PILE'!$D$56:$D$75))),IF('TS-PILE'!$B$62="",1E+99,'TO HOP NLAN'!D96/ncoc+IF(SUMSQ('TS-PILE'!$E$56:$E$75)=0,0,'TO HOP NLAN'!E96*'TS-PILE'!$E$62/SUMSQ('TS-PILE'!$E$56:$E$75))+IF(SUMSQ('TS-PILE'!$D$56:$D$75)=0,0,'TO HOP NLAN'!F96*'TS-PILE'!$D$62/SUMSQ('TS-PILE'!$D$56:$D$75))),IF('TS-PILE'!$B$63="",1E+99,'TO HOP NLAN'!D96/ncoc+IF(SUMSQ('TS-PILE'!$E$56:$E$75)=0,0,'TO HOP NLAN'!E96*'TS-PILE'!$E$63/SUMSQ('TS-PILE'!$E$56:$E$75))+IF(SUMSQ('TS-PILE'!$D$56:$D$75)=0,0,'TO HOP NLAN'!F96*'TS-PILE'!$D$63/SUMSQ('TS-PILE'!$D$56:$D$75))),IF('TS-PILE'!$B$64="",1E+99,'TO HOP NLAN'!D96/ncoc+IF(SUMSQ('TS-PILE'!$E$56:$E$75)=0,0,'TO HOP NLAN'!E96*'TS-PILE'!$E$64/SUMSQ('TS-PILE'!$E$56:$E$75))+IF(SUMSQ('TS-PILE'!$D$56:$D$75)=0,0,'TO HOP NLAN'!F96*'TS-PILE'!$D$64/SUMSQ('TS-PILE'!$D$56:$D$75))),IF('TS-PILE'!$B$65="",1E+99,'TO HOP NLAN'!D96/ncoc+IF(SUMSQ('TS-PILE'!$E$56:$E$75)=0,0,'TO HOP NLAN'!E96*'TS-PILE'!$E$65/SUMSQ('TS-PILE'!$E$56:$E$75))+IF(SUMSQ('TS-PILE'!$D$56:$D$75)=0,0,'TO HOP NLAN'!F96*'TS-PILE'!$D$65/SUMSQ('TS-PILE'!$D$56:$D$75))),IF('TS-PILE'!$B$66="",1E+99,'TO HOP NLAN'!D96/ncoc+IF(SUMSQ('TS-PILE'!$E$56:$E$75)=0,0,'TO HOP NLAN'!E96*'TS-PILE'!$E$66/SUMSQ('TS-PILE'!$E$56:$E$75))+IF(SUMSQ('TS-PILE'!$D$56:$D$75)=0,0,'TO HOP NLAN'!F96*'TS-PILE'!$D$66/SUMSQ('TS-PILE'!$D$56:$D$75))),IF('TS-PILE'!$B$67="",1E+99,'TO HOP NLAN'!D96/ncoc+IF(SUMSQ('TS-PILE'!$E$56:$E$75)=0,0,'TO HOP NLAN'!E96*'TS-PILE'!$E$67/SUMSQ('TS-PILE'!$E$56:$E$75))+IF(SUMSQ('TS-PILE'!$D$56:$D$75)=0,0,'TO HOP NLAN'!F96*'TS-PILE'!$D$67/SUMSQ('TS-PILE'!$D$56:$D$75))),IF('TS-PILE'!$B$68="",1E+99,'TO HOP NLAN'!D96/ncoc+IF(SUMSQ('TS-PILE'!$E$56:$E$75)=0,0,'TO HOP NLAN'!E96*'TS-PILE'!$E$68/SUMSQ('TS-PILE'!$E$56:$E$75))+IF(SUMSQ('TS-PILE'!$D$56:$D$75)=0,0,'TO HOP NLAN'!F96*'TS-PILE'!$D$68/SUMSQ('TS-PILE'!$D$56:$D$75))),IF('TS-PILE'!$B$69="",1E+99,'TO HOP NLAN'!D96/ncoc+IF(SUMSQ('TS-PILE'!$E$56:$E$75)=0,0,'TO HOP NLAN'!E96*'TS-PILE'!$E$69/SUMSQ('TS-PILE'!$E$56:$E$75))+IF(SUMSQ('TS-PILE'!$D$56:$D$75)=0,0,'TO HOP NLAN'!F96*'TS-PILE'!$D$69/SUMSQ('TS-PILE'!$D$56:$D$75))),IF('TS-PILE'!$B$70="",1E+99,'TO HOP NLAN'!D96/ncoc+IF(SUMSQ('TS-PILE'!$E$56:$E$75)=0,0,'TO HOP NLAN'!E96*'TS-PILE'!$E$70/SUMSQ('TS-PILE'!$E$56:$E$75))+IF(SUMSQ('TS-PILE'!$D$56:$D$75)=0,0,'TO HOP NLAN'!F96*'TS-PILE'!$D$70/SUMSQ('TS-PILE'!$D$56:$D$75))),IF('TS-PILE'!$B$71="",1E+99,'TO HOP NLAN'!D96/ncoc+IF(SUMSQ('TS-PILE'!$E$56:$E$75)=0,0,'TO HOP NLAN'!E96*'TS-PILE'!$E$71/SUMSQ('TS-PILE'!$E$56:$E$75))+IF(SUMSQ('TS-PILE'!$D$56:$D$75)=0,0,'TO HOP NLAN'!F96*'TS-PILE'!$D$71/SUMSQ('TS-PILE'!$D$56:$D$75))),IF('TS-PILE'!$B$72="",1E+99,'TO HOP NLAN'!D96/ncoc+IF(SUMSQ('TS-PILE'!$E$56:$E$75)=0,0,'TO HOP NLAN'!E96*'TS-PILE'!$E$72/SUMSQ('TS-PILE'!$E$56:$E$75))+IF(SUMSQ('TS-PILE'!$D$56:$D$75)=0,0,'TO HOP NLAN'!F96*'TS-PILE'!$D$72/SUMSQ('TS-PILE'!$D$56:$D$75))),IF('TS-PILE'!$B$73="",1E+99,'TO HOP NLAN'!D96/ncoc+IF(SUMSQ('TS-PILE'!$E$56:$E$75)=0,0,'TO HOP NLAN'!E96*'TS-PILE'!$E$73/SUMSQ('TS-PILE'!$E$56:$E$75))+IF(SUMSQ('TS-PILE'!$D$56:$D$75)=0,0,'TO HOP NLAN'!F96*'TS-PILE'!$D$73/SUMSQ('TS-PILE'!$D$56:$D$75))),IF('TS-PILE'!$B$74="",1E+99,'TO HOP NLAN'!D96/ncoc+IF(SUMSQ('TS-PILE'!$E$56:$E$75)=0,0,'TO HOP NLAN'!E96*'TS-PILE'!$E$74/SUMSQ('TS-PILE'!$E$56:$E$75))+IF(SUMSQ('TS-PILE'!$D$56:$D$75)=0,0,'TO HOP NLAN'!F96*'TS-PILE'!$D$74/SUMSQ('TS-PILE'!$D$56:$D$75))),IF('TS-PILE'!$B$75="",1E+99,'TO HOP NLAN'!D96/ncoc+IF(SUMSQ('TS-PILE'!$E$56:$E$75)=0,0,'TO HOP NLAN'!E96*'TS-PILE'!$E$75/SUMSQ('TS-PILE'!$E$56:$E$75))+IF(SUMSQ('TS-PILE'!$D$56:$D$75)=0,0,'TO HOP NLAN'!F96*'TS-PILE'!$D$75/SUMSQ('TS-PILE'!$D$56:$D$75)))))</f>
        <v>0</v>
      </c>
      <c r="E96" s="46">
        <f t="shared" si="4"/>
        <v>-9.9999999999999997E+98</v>
      </c>
      <c r="F96" s="46">
        <f t="shared" si="5"/>
        <v>9.9999999999999997E+98</v>
      </c>
      <c r="G96" s="46">
        <f t="shared" si="6"/>
        <v>-9.9999999999999997E+98</v>
      </c>
      <c r="H96" s="46">
        <f t="shared" si="7"/>
        <v>9.9999999999999997E+98</v>
      </c>
    </row>
    <row r="97" spans="1:8" x14ac:dyDescent="0.3">
      <c r="A97" s="40" t="str">
        <f>'TO HOP NLAN'!A97</f>
        <v/>
      </c>
      <c r="B97" s="40" t="str">
        <f>'TO HOP NLAN'!L97</f>
        <v>STRENGTH</v>
      </c>
      <c r="C97" s="46">
        <f>IF(A97="",0,MAX(IF('TS-PILE'!$B$56="",-1E+99,'TO HOP NLAN'!D97/ncoc+IF(SUMSQ('TS-PILE'!$E$56:$E$75)=0,0,'TO HOP NLAN'!E97*'TS-PILE'!$E$56/SUMSQ('TS-PILE'!$E$56:$E$75))+IF(SUMSQ('TS-PILE'!$D$56:$D$75)=0,0,'TO HOP NLAN'!F97*'TS-PILE'!$D$56/SUMSQ('TS-PILE'!$D$56:$D$75))),IF('TS-PILE'!$B$57="",-1E+99,'TO HOP NLAN'!D97/ncoc+IF(SUMSQ('TS-PILE'!$E$56:$E$75)=0,0,'TO HOP NLAN'!E97*'TS-PILE'!$E$57/SUMSQ('TS-PILE'!$E$56:$E$75))+IF(SUMSQ('TS-PILE'!$D$56:$D$75)=0,0,'TO HOP NLAN'!F97*'TS-PILE'!$D$57/SUMSQ('TS-PILE'!$D$56:$D$75))),IF('TS-PILE'!$B$58="",-1E+99,'TO HOP NLAN'!D97/ncoc+IF(SUMSQ('TS-PILE'!$E$56:$E$75)=0,0,'TO HOP NLAN'!E97*'TS-PILE'!$E$58/SUMSQ('TS-PILE'!$E$56:$E$75))+IF(SUMSQ('TS-PILE'!$D$56:$D$75)=0,0,'TO HOP NLAN'!F97*'TS-PILE'!$D$58/SUMSQ('TS-PILE'!$D$56:$D$75))),IF('TS-PILE'!$B$59="",-1E+99,'TO HOP NLAN'!D97/ncoc+IF(SUMSQ('TS-PILE'!$E$56:$E$75)=0,0,'TO HOP NLAN'!E97*'TS-PILE'!$E$59/SUMSQ('TS-PILE'!$E$56:$E$75))+IF(SUMSQ('TS-PILE'!$D$56:$D$75)=0,0,'TO HOP NLAN'!F97*'TS-PILE'!$D$59/SUMSQ('TS-PILE'!$D$56:$D$75))),IF('TS-PILE'!$B$60="",-1E+99,'TO HOP NLAN'!D97/ncoc+IF(SUMSQ('TS-PILE'!$E$56:$E$75)=0,0,'TO HOP NLAN'!E97*'TS-PILE'!$E$60/SUMSQ('TS-PILE'!$E$56:$E$75))+IF(SUMSQ('TS-PILE'!$D$56:$D$75)=0,0,'TO HOP NLAN'!F97*'TS-PILE'!$D$60/SUMSQ('TS-PILE'!$D$56:$D$75))),IF('TS-PILE'!$B$61="",-1E+99,'TO HOP NLAN'!D97/ncoc+IF(SUMSQ('TS-PILE'!$E$56:$E$75)=0,0,'TO HOP NLAN'!E97*'TS-PILE'!$E$61/SUMSQ('TS-PILE'!$E$56:$E$75))+IF(SUMSQ('TS-PILE'!$D$56:$D$75)=0,0,'TO HOP NLAN'!F97*'TS-PILE'!$D$61/SUMSQ('TS-PILE'!$D$56:$D$75))),IF('TS-PILE'!$B$62="",-1E+99,'TO HOP NLAN'!D97/ncoc+IF(SUMSQ('TS-PILE'!$E$56:$E$75)=0,0,'TO HOP NLAN'!E97*'TS-PILE'!$E$62/SUMSQ('TS-PILE'!$E$56:$E$75))+IF(SUMSQ('TS-PILE'!$D$56:$D$75)=0,0,'TO HOP NLAN'!F97*'TS-PILE'!$D$62/SUMSQ('TS-PILE'!$D$56:$D$75))),IF('TS-PILE'!$B$63="",-1E+99,'TO HOP NLAN'!D97/ncoc+IF(SUMSQ('TS-PILE'!$E$56:$E$75)=0,0,'TO HOP NLAN'!E97*'TS-PILE'!$E$63/SUMSQ('TS-PILE'!$E$56:$E$75))+IF(SUMSQ('TS-PILE'!$D$56:$D$75)=0,0,'TO HOP NLAN'!F97*'TS-PILE'!$D$63/SUMSQ('TS-PILE'!$D$56:$D$75))),IF('TS-PILE'!$B$64="",-1E+99,'TO HOP NLAN'!D97/ncoc+IF(SUMSQ('TS-PILE'!$E$56:$E$75)=0,0,'TO HOP NLAN'!E97*'TS-PILE'!$E$64/SUMSQ('TS-PILE'!$E$56:$E$75))+IF(SUMSQ('TS-PILE'!$D$56:$D$75)=0,0,'TO HOP NLAN'!F97*'TS-PILE'!$D$64/SUMSQ('TS-PILE'!$D$56:$D$75))),IF('TS-PILE'!$B$65="",-1E+99,'TO HOP NLAN'!D97/ncoc+IF(SUMSQ('TS-PILE'!$E$56:$E$75)=0,0,'TO HOP NLAN'!E97*'TS-PILE'!$E$65/SUMSQ('TS-PILE'!$E$56:$E$75))+IF(SUMSQ('TS-PILE'!$D$56:$D$75)=0,0,'TO HOP NLAN'!F97*'TS-PILE'!$D$65/SUMSQ('TS-PILE'!$D$56:$D$75))),IF('TS-PILE'!$B$66="",-1E+99,'TO HOP NLAN'!D97/ncoc+IF(SUMSQ('TS-PILE'!$E$56:$E$75)=0,0,'TO HOP NLAN'!E97*'TS-PILE'!$E$66/SUMSQ('TS-PILE'!$E$56:$E$75))+IF(SUMSQ('TS-PILE'!$D$56:$D$75)=0,0,'TO HOP NLAN'!F97*'TS-PILE'!$D$66/SUMSQ('TS-PILE'!$D$56:$D$75))),IF('TS-PILE'!$B$67="",-1E+99,'TO HOP NLAN'!D97/ncoc+IF(SUMSQ('TS-PILE'!$E$56:$E$75)=0,0,'TO HOP NLAN'!E97*'TS-PILE'!$E$67/SUMSQ('TS-PILE'!$E$56:$E$75))+IF(SUMSQ('TS-PILE'!$D$56:$D$75)=0,0,'TO HOP NLAN'!F97*'TS-PILE'!$D$67/SUMSQ('TS-PILE'!$D$56:$D$75))),IF('TS-PILE'!$B$68="",-1E+99,'TO HOP NLAN'!D97/ncoc+IF(SUMSQ('TS-PILE'!$E$56:$E$75)=0,0,'TO HOP NLAN'!E97*'TS-PILE'!$E$68/SUMSQ('TS-PILE'!$E$56:$E$75))+IF(SUMSQ('TS-PILE'!$D$56:$D$75)=0,0,'TO HOP NLAN'!F97*'TS-PILE'!$D$68/SUMSQ('TS-PILE'!$D$56:$D$75))),IF('TS-PILE'!$B$69="",-1E+99,'TO HOP NLAN'!D97/ncoc+IF(SUMSQ('TS-PILE'!$E$56:$E$75)=0,0,'TO HOP NLAN'!E97*'TS-PILE'!$E$69/SUMSQ('TS-PILE'!$E$56:$E$75))+IF(SUMSQ('TS-PILE'!$D$56:$D$75)=0,0,'TO HOP NLAN'!F97*'TS-PILE'!$D$69/SUMSQ('TS-PILE'!$D$56:$D$75))),IF('TS-PILE'!$B$70="",-1E+99,'TO HOP NLAN'!D97/ncoc+IF(SUMSQ('TS-PILE'!$E$56:$E$75)=0,0,'TO HOP NLAN'!E97*'TS-PILE'!$E$70/SUMSQ('TS-PILE'!$E$56:$E$75))+IF(SUMSQ('TS-PILE'!$D$56:$D$75)=0,0,'TO HOP NLAN'!F97*'TS-PILE'!$D$70/SUMSQ('TS-PILE'!$D$56:$D$75))),IF('TS-PILE'!$B$71="",-1E+99,'TO HOP NLAN'!D97/ncoc+IF(SUMSQ('TS-PILE'!$E$56:$E$75)=0,0,'TO HOP NLAN'!E97*'TS-PILE'!$E$71/SUMSQ('TS-PILE'!$E$56:$E$75))+IF(SUMSQ('TS-PILE'!$D$56:$D$75)=0,0,'TO HOP NLAN'!F97*'TS-PILE'!$D$71/SUMSQ('TS-PILE'!$D$56:$D$75))),IF('TS-PILE'!$B$72="",-1E+99,'TO HOP NLAN'!D97/ncoc+IF(SUMSQ('TS-PILE'!$E$56:$E$75)=0,0,'TO HOP NLAN'!E97*'TS-PILE'!$E$72/SUMSQ('TS-PILE'!$E$56:$E$75))+IF(SUMSQ('TS-PILE'!$D$56:$D$75)=0,0,'TO HOP NLAN'!F97*'TS-PILE'!$D$72/SUMSQ('TS-PILE'!$D$56:$D$75))),IF('TS-PILE'!$B$73="",-1E+99,'TO HOP NLAN'!D97/ncoc+IF(SUMSQ('TS-PILE'!$E$56:$E$75)=0,0,'TO HOP NLAN'!E97*'TS-PILE'!$E$73/SUMSQ('TS-PILE'!$E$56:$E$75))+IF(SUMSQ('TS-PILE'!$D$56:$D$75)=0,0,'TO HOP NLAN'!F97*'TS-PILE'!$D$73/SUMSQ('TS-PILE'!$D$56:$D$75))),IF('TS-PILE'!$B$74="",-1E+99,'TO HOP NLAN'!D97/ncoc+IF(SUMSQ('TS-PILE'!$E$56:$E$75)=0,0,'TO HOP NLAN'!E97*'TS-PILE'!$E$74/SUMSQ('TS-PILE'!$E$56:$E$75))+IF(SUMSQ('TS-PILE'!$D$56:$D$75)=0,0,'TO HOP NLAN'!F97*'TS-PILE'!$D$74/SUMSQ('TS-PILE'!$D$56:$D$75))),IF('TS-PILE'!$B$75="",-1E+99,'TO HOP NLAN'!D97/ncoc+IF(SUMSQ('TS-PILE'!$E$56:$E$75)=0,0,'TO HOP NLAN'!E97*'TS-PILE'!$E$75/SUMSQ('TS-PILE'!$E$56:$E$75))+IF(SUMSQ('TS-PILE'!$D$56:$D$75)=0,0,'TO HOP NLAN'!F97*'TS-PILE'!$D$75/SUMSQ('TS-PILE'!$D$56:$D$75)))))</f>
        <v>0</v>
      </c>
      <c r="D97" s="46">
        <f>IF(A97="",0,MIN(IF('TS-PILE'!$B$56="",1E+99,'TO HOP NLAN'!D97/ncoc+IF(SUMSQ('TS-PILE'!$E$56:$E$75)=0,0,'TO HOP NLAN'!E97*'TS-PILE'!$E$56/SUMSQ('TS-PILE'!$E$56:$E$75))+IF(SUMSQ('TS-PILE'!$D$56:$D$75)=0,0,'TO HOP NLAN'!F97*'TS-PILE'!$D$56/SUMSQ('TS-PILE'!$D$56:$D$75))),IF('TS-PILE'!$B$57="",1E+99,'TO HOP NLAN'!D97/ncoc+IF(SUMSQ('TS-PILE'!$E$56:$E$75)=0,0,'TO HOP NLAN'!E97*'TS-PILE'!$E$57/SUMSQ('TS-PILE'!$E$56:$E$75))+IF(SUMSQ('TS-PILE'!$D$56:$D$75)=0,0,'TO HOP NLAN'!F97*'TS-PILE'!$D$57/SUMSQ('TS-PILE'!$D$56:$D$75))),IF('TS-PILE'!$B$58="",1E+99,'TO HOP NLAN'!D97/ncoc+IF(SUMSQ('TS-PILE'!$E$56:$E$75)=0,0,'TO HOP NLAN'!E97*'TS-PILE'!$E$58/SUMSQ('TS-PILE'!$E$56:$E$75))+IF(SUMSQ('TS-PILE'!$D$56:$D$75)=0,0,'TO HOP NLAN'!F97*'TS-PILE'!$D$58/SUMSQ('TS-PILE'!$D$56:$D$75))),IF('TS-PILE'!$B$59="",1E+99,'TO HOP NLAN'!D97/ncoc+IF(SUMSQ('TS-PILE'!$E$56:$E$75)=0,0,'TO HOP NLAN'!E97*'TS-PILE'!$E$59/SUMSQ('TS-PILE'!$E$56:$E$75))+IF(SUMSQ('TS-PILE'!$D$56:$D$75)=0,0,'TO HOP NLAN'!F97*'TS-PILE'!$D$59/SUMSQ('TS-PILE'!$D$56:$D$75))),IF('TS-PILE'!$B$60="",1E+99,'TO HOP NLAN'!D97/ncoc+IF(SUMSQ('TS-PILE'!$E$56:$E$75)=0,0,'TO HOP NLAN'!E97*'TS-PILE'!$E$60/SUMSQ('TS-PILE'!$E$56:$E$75))+IF(SUMSQ('TS-PILE'!$D$56:$D$75)=0,0,'TO HOP NLAN'!F97*'TS-PILE'!$D$60/SUMSQ('TS-PILE'!$D$56:$D$75))),IF('TS-PILE'!$B$61="",1E+99,'TO HOP NLAN'!D97/ncoc+IF(SUMSQ('TS-PILE'!$E$56:$E$75)=0,0,'TO HOP NLAN'!E97*'TS-PILE'!$E$61/SUMSQ('TS-PILE'!$E$56:$E$75))+IF(SUMSQ('TS-PILE'!$D$56:$D$75)=0,0,'TO HOP NLAN'!F97*'TS-PILE'!$D$61/SUMSQ('TS-PILE'!$D$56:$D$75))),IF('TS-PILE'!$B$62="",1E+99,'TO HOP NLAN'!D97/ncoc+IF(SUMSQ('TS-PILE'!$E$56:$E$75)=0,0,'TO HOP NLAN'!E97*'TS-PILE'!$E$62/SUMSQ('TS-PILE'!$E$56:$E$75))+IF(SUMSQ('TS-PILE'!$D$56:$D$75)=0,0,'TO HOP NLAN'!F97*'TS-PILE'!$D$62/SUMSQ('TS-PILE'!$D$56:$D$75))),IF('TS-PILE'!$B$63="",1E+99,'TO HOP NLAN'!D97/ncoc+IF(SUMSQ('TS-PILE'!$E$56:$E$75)=0,0,'TO HOP NLAN'!E97*'TS-PILE'!$E$63/SUMSQ('TS-PILE'!$E$56:$E$75))+IF(SUMSQ('TS-PILE'!$D$56:$D$75)=0,0,'TO HOP NLAN'!F97*'TS-PILE'!$D$63/SUMSQ('TS-PILE'!$D$56:$D$75))),IF('TS-PILE'!$B$64="",1E+99,'TO HOP NLAN'!D97/ncoc+IF(SUMSQ('TS-PILE'!$E$56:$E$75)=0,0,'TO HOP NLAN'!E97*'TS-PILE'!$E$64/SUMSQ('TS-PILE'!$E$56:$E$75))+IF(SUMSQ('TS-PILE'!$D$56:$D$75)=0,0,'TO HOP NLAN'!F97*'TS-PILE'!$D$64/SUMSQ('TS-PILE'!$D$56:$D$75))),IF('TS-PILE'!$B$65="",1E+99,'TO HOP NLAN'!D97/ncoc+IF(SUMSQ('TS-PILE'!$E$56:$E$75)=0,0,'TO HOP NLAN'!E97*'TS-PILE'!$E$65/SUMSQ('TS-PILE'!$E$56:$E$75))+IF(SUMSQ('TS-PILE'!$D$56:$D$75)=0,0,'TO HOP NLAN'!F97*'TS-PILE'!$D$65/SUMSQ('TS-PILE'!$D$56:$D$75))),IF('TS-PILE'!$B$66="",1E+99,'TO HOP NLAN'!D97/ncoc+IF(SUMSQ('TS-PILE'!$E$56:$E$75)=0,0,'TO HOP NLAN'!E97*'TS-PILE'!$E$66/SUMSQ('TS-PILE'!$E$56:$E$75))+IF(SUMSQ('TS-PILE'!$D$56:$D$75)=0,0,'TO HOP NLAN'!F97*'TS-PILE'!$D$66/SUMSQ('TS-PILE'!$D$56:$D$75))),IF('TS-PILE'!$B$67="",1E+99,'TO HOP NLAN'!D97/ncoc+IF(SUMSQ('TS-PILE'!$E$56:$E$75)=0,0,'TO HOP NLAN'!E97*'TS-PILE'!$E$67/SUMSQ('TS-PILE'!$E$56:$E$75))+IF(SUMSQ('TS-PILE'!$D$56:$D$75)=0,0,'TO HOP NLAN'!F97*'TS-PILE'!$D$67/SUMSQ('TS-PILE'!$D$56:$D$75))),IF('TS-PILE'!$B$68="",1E+99,'TO HOP NLAN'!D97/ncoc+IF(SUMSQ('TS-PILE'!$E$56:$E$75)=0,0,'TO HOP NLAN'!E97*'TS-PILE'!$E$68/SUMSQ('TS-PILE'!$E$56:$E$75))+IF(SUMSQ('TS-PILE'!$D$56:$D$75)=0,0,'TO HOP NLAN'!F97*'TS-PILE'!$D$68/SUMSQ('TS-PILE'!$D$56:$D$75))),IF('TS-PILE'!$B$69="",1E+99,'TO HOP NLAN'!D97/ncoc+IF(SUMSQ('TS-PILE'!$E$56:$E$75)=0,0,'TO HOP NLAN'!E97*'TS-PILE'!$E$69/SUMSQ('TS-PILE'!$E$56:$E$75))+IF(SUMSQ('TS-PILE'!$D$56:$D$75)=0,0,'TO HOP NLAN'!F97*'TS-PILE'!$D$69/SUMSQ('TS-PILE'!$D$56:$D$75))),IF('TS-PILE'!$B$70="",1E+99,'TO HOP NLAN'!D97/ncoc+IF(SUMSQ('TS-PILE'!$E$56:$E$75)=0,0,'TO HOP NLAN'!E97*'TS-PILE'!$E$70/SUMSQ('TS-PILE'!$E$56:$E$75))+IF(SUMSQ('TS-PILE'!$D$56:$D$75)=0,0,'TO HOP NLAN'!F97*'TS-PILE'!$D$70/SUMSQ('TS-PILE'!$D$56:$D$75))),IF('TS-PILE'!$B$71="",1E+99,'TO HOP NLAN'!D97/ncoc+IF(SUMSQ('TS-PILE'!$E$56:$E$75)=0,0,'TO HOP NLAN'!E97*'TS-PILE'!$E$71/SUMSQ('TS-PILE'!$E$56:$E$75))+IF(SUMSQ('TS-PILE'!$D$56:$D$75)=0,0,'TO HOP NLAN'!F97*'TS-PILE'!$D$71/SUMSQ('TS-PILE'!$D$56:$D$75))),IF('TS-PILE'!$B$72="",1E+99,'TO HOP NLAN'!D97/ncoc+IF(SUMSQ('TS-PILE'!$E$56:$E$75)=0,0,'TO HOP NLAN'!E97*'TS-PILE'!$E$72/SUMSQ('TS-PILE'!$E$56:$E$75))+IF(SUMSQ('TS-PILE'!$D$56:$D$75)=0,0,'TO HOP NLAN'!F97*'TS-PILE'!$D$72/SUMSQ('TS-PILE'!$D$56:$D$75))),IF('TS-PILE'!$B$73="",1E+99,'TO HOP NLAN'!D97/ncoc+IF(SUMSQ('TS-PILE'!$E$56:$E$75)=0,0,'TO HOP NLAN'!E97*'TS-PILE'!$E$73/SUMSQ('TS-PILE'!$E$56:$E$75))+IF(SUMSQ('TS-PILE'!$D$56:$D$75)=0,0,'TO HOP NLAN'!F97*'TS-PILE'!$D$73/SUMSQ('TS-PILE'!$D$56:$D$75))),IF('TS-PILE'!$B$74="",1E+99,'TO HOP NLAN'!D97/ncoc+IF(SUMSQ('TS-PILE'!$E$56:$E$75)=0,0,'TO HOP NLAN'!E97*'TS-PILE'!$E$74/SUMSQ('TS-PILE'!$E$56:$E$75))+IF(SUMSQ('TS-PILE'!$D$56:$D$75)=0,0,'TO HOP NLAN'!F97*'TS-PILE'!$D$74/SUMSQ('TS-PILE'!$D$56:$D$75))),IF('TS-PILE'!$B$75="",1E+99,'TO HOP NLAN'!D97/ncoc+IF(SUMSQ('TS-PILE'!$E$56:$E$75)=0,0,'TO HOP NLAN'!E97*'TS-PILE'!$E$75/SUMSQ('TS-PILE'!$E$56:$E$75))+IF(SUMSQ('TS-PILE'!$D$56:$D$75)=0,0,'TO HOP NLAN'!F97*'TS-PILE'!$D$75/SUMSQ('TS-PILE'!$D$56:$D$75)))))</f>
        <v>0</v>
      </c>
      <c r="E97" s="46">
        <f t="shared" si="4"/>
        <v>-9.9999999999999997E+98</v>
      </c>
      <c r="F97" s="46">
        <f t="shared" si="5"/>
        <v>9.9999999999999997E+98</v>
      </c>
      <c r="G97" s="46">
        <f t="shared" si="6"/>
        <v>-9.9999999999999997E+98</v>
      </c>
      <c r="H97" s="46">
        <f t="shared" si="7"/>
        <v>9.9999999999999997E+98</v>
      </c>
    </row>
    <row r="98" spans="1:8" x14ac:dyDescent="0.3">
      <c r="A98" s="40" t="str">
        <f>'TO HOP NLAN'!A98</f>
        <v/>
      </c>
      <c r="B98" s="40" t="str">
        <f>'TO HOP NLAN'!L98</f>
        <v>STRENGTH</v>
      </c>
      <c r="C98" s="46">
        <f>IF(A98="",0,MAX(IF('TS-PILE'!$B$56="",-1E+99,'TO HOP NLAN'!D98/ncoc+IF(SUMSQ('TS-PILE'!$E$56:$E$75)=0,0,'TO HOP NLAN'!E98*'TS-PILE'!$E$56/SUMSQ('TS-PILE'!$E$56:$E$75))+IF(SUMSQ('TS-PILE'!$D$56:$D$75)=0,0,'TO HOP NLAN'!F98*'TS-PILE'!$D$56/SUMSQ('TS-PILE'!$D$56:$D$75))),IF('TS-PILE'!$B$57="",-1E+99,'TO HOP NLAN'!D98/ncoc+IF(SUMSQ('TS-PILE'!$E$56:$E$75)=0,0,'TO HOP NLAN'!E98*'TS-PILE'!$E$57/SUMSQ('TS-PILE'!$E$56:$E$75))+IF(SUMSQ('TS-PILE'!$D$56:$D$75)=0,0,'TO HOP NLAN'!F98*'TS-PILE'!$D$57/SUMSQ('TS-PILE'!$D$56:$D$75))),IF('TS-PILE'!$B$58="",-1E+99,'TO HOP NLAN'!D98/ncoc+IF(SUMSQ('TS-PILE'!$E$56:$E$75)=0,0,'TO HOP NLAN'!E98*'TS-PILE'!$E$58/SUMSQ('TS-PILE'!$E$56:$E$75))+IF(SUMSQ('TS-PILE'!$D$56:$D$75)=0,0,'TO HOP NLAN'!F98*'TS-PILE'!$D$58/SUMSQ('TS-PILE'!$D$56:$D$75))),IF('TS-PILE'!$B$59="",-1E+99,'TO HOP NLAN'!D98/ncoc+IF(SUMSQ('TS-PILE'!$E$56:$E$75)=0,0,'TO HOP NLAN'!E98*'TS-PILE'!$E$59/SUMSQ('TS-PILE'!$E$56:$E$75))+IF(SUMSQ('TS-PILE'!$D$56:$D$75)=0,0,'TO HOP NLAN'!F98*'TS-PILE'!$D$59/SUMSQ('TS-PILE'!$D$56:$D$75))),IF('TS-PILE'!$B$60="",-1E+99,'TO HOP NLAN'!D98/ncoc+IF(SUMSQ('TS-PILE'!$E$56:$E$75)=0,0,'TO HOP NLAN'!E98*'TS-PILE'!$E$60/SUMSQ('TS-PILE'!$E$56:$E$75))+IF(SUMSQ('TS-PILE'!$D$56:$D$75)=0,0,'TO HOP NLAN'!F98*'TS-PILE'!$D$60/SUMSQ('TS-PILE'!$D$56:$D$75))),IF('TS-PILE'!$B$61="",-1E+99,'TO HOP NLAN'!D98/ncoc+IF(SUMSQ('TS-PILE'!$E$56:$E$75)=0,0,'TO HOP NLAN'!E98*'TS-PILE'!$E$61/SUMSQ('TS-PILE'!$E$56:$E$75))+IF(SUMSQ('TS-PILE'!$D$56:$D$75)=0,0,'TO HOP NLAN'!F98*'TS-PILE'!$D$61/SUMSQ('TS-PILE'!$D$56:$D$75))),IF('TS-PILE'!$B$62="",-1E+99,'TO HOP NLAN'!D98/ncoc+IF(SUMSQ('TS-PILE'!$E$56:$E$75)=0,0,'TO HOP NLAN'!E98*'TS-PILE'!$E$62/SUMSQ('TS-PILE'!$E$56:$E$75))+IF(SUMSQ('TS-PILE'!$D$56:$D$75)=0,0,'TO HOP NLAN'!F98*'TS-PILE'!$D$62/SUMSQ('TS-PILE'!$D$56:$D$75))),IF('TS-PILE'!$B$63="",-1E+99,'TO HOP NLAN'!D98/ncoc+IF(SUMSQ('TS-PILE'!$E$56:$E$75)=0,0,'TO HOP NLAN'!E98*'TS-PILE'!$E$63/SUMSQ('TS-PILE'!$E$56:$E$75))+IF(SUMSQ('TS-PILE'!$D$56:$D$75)=0,0,'TO HOP NLAN'!F98*'TS-PILE'!$D$63/SUMSQ('TS-PILE'!$D$56:$D$75))),IF('TS-PILE'!$B$64="",-1E+99,'TO HOP NLAN'!D98/ncoc+IF(SUMSQ('TS-PILE'!$E$56:$E$75)=0,0,'TO HOP NLAN'!E98*'TS-PILE'!$E$64/SUMSQ('TS-PILE'!$E$56:$E$75))+IF(SUMSQ('TS-PILE'!$D$56:$D$75)=0,0,'TO HOP NLAN'!F98*'TS-PILE'!$D$64/SUMSQ('TS-PILE'!$D$56:$D$75))),IF('TS-PILE'!$B$65="",-1E+99,'TO HOP NLAN'!D98/ncoc+IF(SUMSQ('TS-PILE'!$E$56:$E$75)=0,0,'TO HOP NLAN'!E98*'TS-PILE'!$E$65/SUMSQ('TS-PILE'!$E$56:$E$75))+IF(SUMSQ('TS-PILE'!$D$56:$D$75)=0,0,'TO HOP NLAN'!F98*'TS-PILE'!$D$65/SUMSQ('TS-PILE'!$D$56:$D$75))),IF('TS-PILE'!$B$66="",-1E+99,'TO HOP NLAN'!D98/ncoc+IF(SUMSQ('TS-PILE'!$E$56:$E$75)=0,0,'TO HOP NLAN'!E98*'TS-PILE'!$E$66/SUMSQ('TS-PILE'!$E$56:$E$75))+IF(SUMSQ('TS-PILE'!$D$56:$D$75)=0,0,'TO HOP NLAN'!F98*'TS-PILE'!$D$66/SUMSQ('TS-PILE'!$D$56:$D$75))),IF('TS-PILE'!$B$67="",-1E+99,'TO HOP NLAN'!D98/ncoc+IF(SUMSQ('TS-PILE'!$E$56:$E$75)=0,0,'TO HOP NLAN'!E98*'TS-PILE'!$E$67/SUMSQ('TS-PILE'!$E$56:$E$75))+IF(SUMSQ('TS-PILE'!$D$56:$D$75)=0,0,'TO HOP NLAN'!F98*'TS-PILE'!$D$67/SUMSQ('TS-PILE'!$D$56:$D$75))),IF('TS-PILE'!$B$68="",-1E+99,'TO HOP NLAN'!D98/ncoc+IF(SUMSQ('TS-PILE'!$E$56:$E$75)=0,0,'TO HOP NLAN'!E98*'TS-PILE'!$E$68/SUMSQ('TS-PILE'!$E$56:$E$75))+IF(SUMSQ('TS-PILE'!$D$56:$D$75)=0,0,'TO HOP NLAN'!F98*'TS-PILE'!$D$68/SUMSQ('TS-PILE'!$D$56:$D$75))),IF('TS-PILE'!$B$69="",-1E+99,'TO HOP NLAN'!D98/ncoc+IF(SUMSQ('TS-PILE'!$E$56:$E$75)=0,0,'TO HOP NLAN'!E98*'TS-PILE'!$E$69/SUMSQ('TS-PILE'!$E$56:$E$75))+IF(SUMSQ('TS-PILE'!$D$56:$D$75)=0,0,'TO HOP NLAN'!F98*'TS-PILE'!$D$69/SUMSQ('TS-PILE'!$D$56:$D$75))),IF('TS-PILE'!$B$70="",-1E+99,'TO HOP NLAN'!D98/ncoc+IF(SUMSQ('TS-PILE'!$E$56:$E$75)=0,0,'TO HOP NLAN'!E98*'TS-PILE'!$E$70/SUMSQ('TS-PILE'!$E$56:$E$75))+IF(SUMSQ('TS-PILE'!$D$56:$D$75)=0,0,'TO HOP NLAN'!F98*'TS-PILE'!$D$70/SUMSQ('TS-PILE'!$D$56:$D$75))),IF('TS-PILE'!$B$71="",-1E+99,'TO HOP NLAN'!D98/ncoc+IF(SUMSQ('TS-PILE'!$E$56:$E$75)=0,0,'TO HOP NLAN'!E98*'TS-PILE'!$E$71/SUMSQ('TS-PILE'!$E$56:$E$75))+IF(SUMSQ('TS-PILE'!$D$56:$D$75)=0,0,'TO HOP NLAN'!F98*'TS-PILE'!$D$71/SUMSQ('TS-PILE'!$D$56:$D$75))),IF('TS-PILE'!$B$72="",-1E+99,'TO HOP NLAN'!D98/ncoc+IF(SUMSQ('TS-PILE'!$E$56:$E$75)=0,0,'TO HOP NLAN'!E98*'TS-PILE'!$E$72/SUMSQ('TS-PILE'!$E$56:$E$75))+IF(SUMSQ('TS-PILE'!$D$56:$D$75)=0,0,'TO HOP NLAN'!F98*'TS-PILE'!$D$72/SUMSQ('TS-PILE'!$D$56:$D$75))),IF('TS-PILE'!$B$73="",-1E+99,'TO HOP NLAN'!D98/ncoc+IF(SUMSQ('TS-PILE'!$E$56:$E$75)=0,0,'TO HOP NLAN'!E98*'TS-PILE'!$E$73/SUMSQ('TS-PILE'!$E$56:$E$75))+IF(SUMSQ('TS-PILE'!$D$56:$D$75)=0,0,'TO HOP NLAN'!F98*'TS-PILE'!$D$73/SUMSQ('TS-PILE'!$D$56:$D$75))),IF('TS-PILE'!$B$74="",-1E+99,'TO HOP NLAN'!D98/ncoc+IF(SUMSQ('TS-PILE'!$E$56:$E$75)=0,0,'TO HOP NLAN'!E98*'TS-PILE'!$E$74/SUMSQ('TS-PILE'!$E$56:$E$75))+IF(SUMSQ('TS-PILE'!$D$56:$D$75)=0,0,'TO HOP NLAN'!F98*'TS-PILE'!$D$74/SUMSQ('TS-PILE'!$D$56:$D$75))),IF('TS-PILE'!$B$75="",-1E+99,'TO HOP NLAN'!D98/ncoc+IF(SUMSQ('TS-PILE'!$E$56:$E$75)=0,0,'TO HOP NLAN'!E98*'TS-PILE'!$E$75/SUMSQ('TS-PILE'!$E$56:$E$75))+IF(SUMSQ('TS-PILE'!$D$56:$D$75)=0,0,'TO HOP NLAN'!F98*'TS-PILE'!$D$75/SUMSQ('TS-PILE'!$D$56:$D$75)))))</f>
        <v>0</v>
      </c>
      <c r="D98" s="46">
        <f>IF(A98="",0,MIN(IF('TS-PILE'!$B$56="",1E+99,'TO HOP NLAN'!D98/ncoc+IF(SUMSQ('TS-PILE'!$E$56:$E$75)=0,0,'TO HOP NLAN'!E98*'TS-PILE'!$E$56/SUMSQ('TS-PILE'!$E$56:$E$75))+IF(SUMSQ('TS-PILE'!$D$56:$D$75)=0,0,'TO HOP NLAN'!F98*'TS-PILE'!$D$56/SUMSQ('TS-PILE'!$D$56:$D$75))),IF('TS-PILE'!$B$57="",1E+99,'TO HOP NLAN'!D98/ncoc+IF(SUMSQ('TS-PILE'!$E$56:$E$75)=0,0,'TO HOP NLAN'!E98*'TS-PILE'!$E$57/SUMSQ('TS-PILE'!$E$56:$E$75))+IF(SUMSQ('TS-PILE'!$D$56:$D$75)=0,0,'TO HOP NLAN'!F98*'TS-PILE'!$D$57/SUMSQ('TS-PILE'!$D$56:$D$75))),IF('TS-PILE'!$B$58="",1E+99,'TO HOP NLAN'!D98/ncoc+IF(SUMSQ('TS-PILE'!$E$56:$E$75)=0,0,'TO HOP NLAN'!E98*'TS-PILE'!$E$58/SUMSQ('TS-PILE'!$E$56:$E$75))+IF(SUMSQ('TS-PILE'!$D$56:$D$75)=0,0,'TO HOP NLAN'!F98*'TS-PILE'!$D$58/SUMSQ('TS-PILE'!$D$56:$D$75))),IF('TS-PILE'!$B$59="",1E+99,'TO HOP NLAN'!D98/ncoc+IF(SUMSQ('TS-PILE'!$E$56:$E$75)=0,0,'TO HOP NLAN'!E98*'TS-PILE'!$E$59/SUMSQ('TS-PILE'!$E$56:$E$75))+IF(SUMSQ('TS-PILE'!$D$56:$D$75)=0,0,'TO HOP NLAN'!F98*'TS-PILE'!$D$59/SUMSQ('TS-PILE'!$D$56:$D$75))),IF('TS-PILE'!$B$60="",1E+99,'TO HOP NLAN'!D98/ncoc+IF(SUMSQ('TS-PILE'!$E$56:$E$75)=0,0,'TO HOP NLAN'!E98*'TS-PILE'!$E$60/SUMSQ('TS-PILE'!$E$56:$E$75))+IF(SUMSQ('TS-PILE'!$D$56:$D$75)=0,0,'TO HOP NLAN'!F98*'TS-PILE'!$D$60/SUMSQ('TS-PILE'!$D$56:$D$75))),IF('TS-PILE'!$B$61="",1E+99,'TO HOP NLAN'!D98/ncoc+IF(SUMSQ('TS-PILE'!$E$56:$E$75)=0,0,'TO HOP NLAN'!E98*'TS-PILE'!$E$61/SUMSQ('TS-PILE'!$E$56:$E$75))+IF(SUMSQ('TS-PILE'!$D$56:$D$75)=0,0,'TO HOP NLAN'!F98*'TS-PILE'!$D$61/SUMSQ('TS-PILE'!$D$56:$D$75))),IF('TS-PILE'!$B$62="",1E+99,'TO HOP NLAN'!D98/ncoc+IF(SUMSQ('TS-PILE'!$E$56:$E$75)=0,0,'TO HOP NLAN'!E98*'TS-PILE'!$E$62/SUMSQ('TS-PILE'!$E$56:$E$75))+IF(SUMSQ('TS-PILE'!$D$56:$D$75)=0,0,'TO HOP NLAN'!F98*'TS-PILE'!$D$62/SUMSQ('TS-PILE'!$D$56:$D$75))),IF('TS-PILE'!$B$63="",1E+99,'TO HOP NLAN'!D98/ncoc+IF(SUMSQ('TS-PILE'!$E$56:$E$75)=0,0,'TO HOP NLAN'!E98*'TS-PILE'!$E$63/SUMSQ('TS-PILE'!$E$56:$E$75))+IF(SUMSQ('TS-PILE'!$D$56:$D$75)=0,0,'TO HOP NLAN'!F98*'TS-PILE'!$D$63/SUMSQ('TS-PILE'!$D$56:$D$75))),IF('TS-PILE'!$B$64="",1E+99,'TO HOP NLAN'!D98/ncoc+IF(SUMSQ('TS-PILE'!$E$56:$E$75)=0,0,'TO HOP NLAN'!E98*'TS-PILE'!$E$64/SUMSQ('TS-PILE'!$E$56:$E$75))+IF(SUMSQ('TS-PILE'!$D$56:$D$75)=0,0,'TO HOP NLAN'!F98*'TS-PILE'!$D$64/SUMSQ('TS-PILE'!$D$56:$D$75))),IF('TS-PILE'!$B$65="",1E+99,'TO HOP NLAN'!D98/ncoc+IF(SUMSQ('TS-PILE'!$E$56:$E$75)=0,0,'TO HOP NLAN'!E98*'TS-PILE'!$E$65/SUMSQ('TS-PILE'!$E$56:$E$75))+IF(SUMSQ('TS-PILE'!$D$56:$D$75)=0,0,'TO HOP NLAN'!F98*'TS-PILE'!$D$65/SUMSQ('TS-PILE'!$D$56:$D$75))),IF('TS-PILE'!$B$66="",1E+99,'TO HOP NLAN'!D98/ncoc+IF(SUMSQ('TS-PILE'!$E$56:$E$75)=0,0,'TO HOP NLAN'!E98*'TS-PILE'!$E$66/SUMSQ('TS-PILE'!$E$56:$E$75))+IF(SUMSQ('TS-PILE'!$D$56:$D$75)=0,0,'TO HOP NLAN'!F98*'TS-PILE'!$D$66/SUMSQ('TS-PILE'!$D$56:$D$75))),IF('TS-PILE'!$B$67="",1E+99,'TO HOP NLAN'!D98/ncoc+IF(SUMSQ('TS-PILE'!$E$56:$E$75)=0,0,'TO HOP NLAN'!E98*'TS-PILE'!$E$67/SUMSQ('TS-PILE'!$E$56:$E$75))+IF(SUMSQ('TS-PILE'!$D$56:$D$75)=0,0,'TO HOP NLAN'!F98*'TS-PILE'!$D$67/SUMSQ('TS-PILE'!$D$56:$D$75))),IF('TS-PILE'!$B$68="",1E+99,'TO HOP NLAN'!D98/ncoc+IF(SUMSQ('TS-PILE'!$E$56:$E$75)=0,0,'TO HOP NLAN'!E98*'TS-PILE'!$E$68/SUMSQ('TS-PILE'!$E$56:$E$75))+IF(SUMSQ('TS-PILE'!$D$56:$D$75)=0,0,'TO HOP NLAN'!F98*'TS-PILE'!$D$68/SUMSQ('TS-PILE'!$D$56:$D$75))),IF('TS-PILE'!$B$69="",1E+99,'TO HOP NLAN'!D98/ncoc+IF(SUMSQ('TS-PILE'!$E$56:$E$75)=0,0,'TO HOP NLAN'!E98*'TS-PILE'!$E$69/SUMSQ('TS-PILE'!$E$56:$E$75))+IF(SUMSQ('TS-PILE'!$D$56:$D$75)=0,0,'TO HOP NLAN'!F98*'TS-PILE'!$D$69/SUMSQ('TS-PILE'!$D$56:$D$75))),IF('TS-PILE'!$B$70="",1E+99,'TO HOP NLAN'!D98/ncoc+IF(SUMSQ('TS-PILE'!$E$56:$E$75)=0,0,'TO HOP NLAN'!E98*'TS-PILE'!$E$70/SUMSQ('TS-PILE'!$E$56:$E$75))+IF(SUMSQ('TS-PILE'!$D$56:$D$75)=0,0,'TO HOP NLAN'!F98*'TS-PILE'!$D$70/SUMSQ('TS-PILE'!$D$56:$D$75))),IF('TS-PILE'!$B$71="",1E+99,'TO HOP NLAN'!D98/ncoc+IF(SUMSQ('TS-PILE'!$E$56:$E$75)=0,0,'TO HOP NLAN'!E98*'TS-PILE'!$E$71/SUMSQ('TS-PILE'!$E$56:$E$75))+IF(SUMSQ('TS-PILE'!$D$56:$D$75)=0,0,'TO HOP NLAN'!F98*'TS-PILE'!$D$71/SUMSQ('TS-PILE'!$D$56:$D$75))),IF('TS-PILE'!$B$72="",1E+99,'TO HOP NLAN'!D98/ncoc+IF(SUMSQ('TS-PILE'!$E$56:$E$75)=0,0,'TO HOP NLAN'!E98*'TS-PILE'!$E$72/SUMSQ('TS-PILE'!$E$56:$E$75))+IF(SUMSQ('TS-PILE'!$D$56:$D$75)=0,0,'TO HOP NLAN'!F98*'TS-PILE'!$D$72/SUMSQ('TS-PILE'!$D$56:$D$75))),IF('TS-PILE'!$B$73="",1E+99,'TO HOP NLAN'!D98/ncoc+IF(SUMSQ('TS-PILE'!$E$56:$E$75)=0,0,'TO HOP NLAN'!E98*'TS-PILE'!$E$73/SUMSQ('TS-PILE'!$E$56:$E$75))+IF(SUMSQ('TS-PILE'!$D$56:$D$75)=0,0,'TO HOP NLAN'!F98*'TS-PILE'!$D$73/SUMSQ('TS-PILE'!$D$56:$D$75))),IF('TS-PILE'!$B$74="",1E+99,'TO HOP NLAN'!D98/ncoc+IF(SUMSQ('TS-PILE'!$E$56:$E$75)=0,0,'TO HOP NLAN'!E98*'TS-PILE'!$E$74/SUMSQ('TS-PILE'!$E$56:$E$75))+IF(SUMSQ('TS-PILE'!$D$56:$D$75)=0,0,'TO HOP NLAN'!F98*'TS-PILE'!$D$74/SUMSQ('TS-PILE'!$D$56:$D$75))),IF('TS-PILE'!$B$75="",1E+99,'TO HOP NLAN'!D98/ncoc+IF(SUMSQ('TS-PILE'!$E$56:$E$75)=0,0,'TO HOP NLAN'!E98*'TS-PILE'!$E$75/SUMSQ('TS-PILE'!$E$56:$E$75))+IF(SUMSQ('TS-PILE'!$D$56:$D$75)=0,0,'TO HOP NLAN'!F98*'TS-PILE'!$D$75/SUMSQ('TS-PILE'!$D$56:$D$75)))))</f>
        <v>0</v>
      </c>
      <c r="E98" s="46">
        <f t="shared" si="4"/>
        <v>-9.9999999999999997E+98</v>
      </c>
      <c r="F98" s="46">
        <f t="shared" si="5"/>
        <v>9.9999999999999997E+98</v>
      </c>
      <c r="G98" s="46">
        <f t="shared" si="6"/>
        <v>-9.9999999999999997E+98</v>
      </c>
      <c r="H98" s="46">
        <f t="shared" si="7"/>
        <v>9.9999999999999997E+98</v>
      </c>
    </row>
    <row r="99" spans="1:8" x14ac:dyDescent="0.3">
      <c r="A99" s="40" t="str">
        <f>'TO HOP NLAN'!A99</f>
        <v/>
      </c>
      <c r="B99" s="40" t="str">
        <f>'TO HOP NLAN'!L99</f>
        <v>STRENGTH</v>
      </c>
      <c r="C99" s="46">
        <f>IF(A99="",0,MAX(IF('TS-PILE'!$B$56="",-1E+99,'TO HOP NLAN'!D99/ncoc+IF(SUMSQ('TS-PILE'!$E$56:$E$75)=0,0,'TO HOP NLAN'!E99*'TS-PILE'!$E$56/SUMSQ('TS-PILE'!$E$56:$E$75))+IF(SUMSQ('TS-PILE'!$D$56:$D$75)=0,0,'TO HOP NLAN'!F99*'TS-PILE'!$D$56/SUMSQ('TS-PILE'!$D$56:$D$75))),IF('TS-PILE'!$B$57="",-1E+99,'TO HOP NLAN'!D99/ncoc+IF(SUMSQ('TS-PILE'!$E$56:$E$75)=0,0,'TO HOP NLAN'!E99*'TS-PILE'!$E$57/SUMSQ('TS-PILE'!$E$56:$E$75))+IF(SUMSQ('TS-PILE'!$D$56:$D$75)=0,0,'TO HOP NLAN'!F99*'TS-PILE'!$D$57/SUMSQ('TS-PILE'!$D$56:$D$75))),IF('TS-PILE'!$B$58="",-1E+99,'TO HOP NLAN'!D99/ncoc+IF(SUMSQ('TS-PILE'!$E$56:$E$75)=0,0,'TO HOP NLAN'!E99*'TS-PILE'!$E$58/SUMSQ('TS-PILE'!$E$56:$E$75))+IF(SUMSQ('TS-PILE'!$D$56:$D$75)=0,0,'TO HOP NLAN'!F99*'TS-PILE'!$D$58/SUMSQ('TS-PILE'!$D$56:$D$75))),IF('TS-PILE'!$B$59="",-1E+99,'TO HOP NLAN'!D99/ncoc+IF(SUMSQ('TS-PILE'!$E$56:$E$75)=0,0,'TO HOP NLAN'!E99*'TS-PILE'!$E$59/SUMSQ('TS-PILE'!$E$56:$E$75))+IF(SUMSQ('TS-PILE'!$D$56:$D$75)=0,0,'TO HOP NLAN'!F99*'TS-PILE'!$D$59/SUMSQ('TS-PILE'!$D$56:$D$75))),IF('TS-PILE'!$B$60="",-1E+99,'TO HOP NLAN'!D99/ncoc+IF(SUMSQ('TS-PILE'!$E$56:$E$75)=0,0,'TO HOP NLAN'!E99*'TS-PILE'!$E$60/SUMSQ('TS-PILE'!$E$56:$E$75))+IF(SUMSQ('TS-PILE'!$D$56:$D$75)=0,0,'TO HOP NLAN'!F99*'TS-PILE'!$D$60/SUMSQ('TS-PILE'!$D$56:$D$75))),IF('TS-PILE'!$B$61="",-1E+99,'TO HOP NLAN'!D99/ncoc+IF(SUMSQ('TS-PILE'!$E$56:$E$75)=0,0,'TO HOP NLAN'!E99*'TS-PILE'!$E$61/SUMSQ('TS-PILE'!$E$56:$E$75))+IF(SUMSQ('TS-PILE'!$D$56:$D$75)=0,0,'TO HOP NLAN'!F99*'TS-PILE'!$D$61/SUMSQ('TS-PILE'!$D$56:$D$75))),IF('TS-PILE'!$B$62="",-1E+99,'TO HOP NLAN'!D99/ncoc+IF(SUMSQ('TS-PILE'!$E$56:$E$75)=0,0,'TO HOP NLAN'!E99*'TS-PILE'!$E$62/SUMSQ('TS-PILE'!$E$56:$E$75))+IF(SUMSQ('TS-PILE'!$D$56:$D$75)=0,0,'TO HOP NLAN'!F99*'TS-PILE'!$D$62/SUMSQ('TS-PILE'!$D$56:$D$75))),IF('TS-PILE'!$B$63="",-1E+99,'TO HOP NLAN'!D99/ncoc+IF(SUMSQ('TS-PILE'!$E$56:$E$75)=0,0,'TO HOP NLAN'!E99*'TS-PILE'!$E$63/SUMSQ('TS-PILE'!$E$56:$E$75))+IF(SUMSQ('TS-PILE'!$D$56:$D$75)=0,0,'TO HOP NLAN'!F99*'TS-PILE'!$D$63/SUMSQ('TS-PILE'!$D$56:$D$75))),IF('TS-PILE'!$B$64="",-1E+99,'TO HOP NLAN'!D99/ncoc+IF(SUMSQ('TS-PILE'!$E$56:$E$75)=0,0,'TO HOP NLAN'!E99*'TS-PILE'!$E$64/SUMSQ('TS-PILE'!$E$56:$E$75))+IF(SUMSQ('TS-PILE'!$D$56:$D$75)=0,0,'TO HOP NLAN'!F99*'TS-PILE'!$D$64/SUMSQ('TS-PILE'!$D$56:$D$75))),IF('TS-PILE'!$B$65="",-1E+99,'TO HOP NLAN'!D99/ncoc+IF(SUMSQ('TS-PILE'!$E$56:$E$75)=0,0,'TO HOP NLAN'!E99*'TS-PILE'!$E$65/SUMSQ('TS-PILE'!$E$56:$E$75))+IF(SUMSQ('TS-PILE'!$D$56:$D$75)=0,0,'TO HOP NLAN'!F99*'TS-PILE'!$D$65/SUMSQ('TS-PILE'!$D$56:$D$75))),IF('TS-PILE'!$B$66="",-1E+99,'TO HOP NLAN'!D99/ncoc+IF(SUMSQ('TS-PILE'!$E$56:$E$75)=0,0,'TO HOP NLAN'!E99*'TS-PILE'!$E$66/SUMSQ('TS-PILE'!$E$56:$E$75))+IF(SUMSQ('TS-PILE'!$D$56:$D$75)=0,0,'TO HOP NLAN'!F99*'TS-PILE'!$D$66/SUMSQ('TS-PILE'!$D$56:$D$75))),IF('TS-PILE'!$B$67="",-1E+99,'TO HOP NLAN'!D99/ncoc+IF(SUMSQ('TS-PILE'!$E$56:$E$75)=0,0,'TO HOP NLAN'!E99*'TS-PILE'!$E$67/SUMSQ('TS-PILE'!$E$56:$E$75))+IF(SUMSQ('TS-PILE'!$D$56:$D$75)=0,0,'TO HOP NLAN'!F99*'TS-PILE'!$D$67/SUMSQ('TS-PILE'!$D$56:$D$75))),IF('TS-PILE'!$B$68="",-1E+99,'TO HOP NLAN'!D99/ncoc+IF(SUMSQ('TS-PILE'!$E$56:$E$75)=0,0,'TO HOP NLAN'!E99*'TS-PILE'!$E$68/SUMSQ('TS-PILE'!$E$56:$E$75))+IF(SUMSQ('TS-PILE'!$D$56:$D$75)=0,0,'TO HOP NLAN'!F99*'TS-PILE'!$D$68/SUMSQ('TS-PILE'!$D$56:$D$75))),IF('TS-PILE'!$B$69="",-1E+99,'TO HOP NLAN'!D99/ncoc+IF(SUMSQ('TS-PILE'!$E$56:$E$75)=0,0,'TO HOP NLAN'!E99*'TS-PILE'!$E$69/SUMSQ('TS-PILE'!$E$56:$E$75))+IF(SUMSQ('TS-PILE'!$D$56:$D$75)=0,0,'TO HOP NLAN'!F99*'TS-PILE'!$D$69/SUMSQ('TS-PILE'!$D$56:$D$75))),IF('TS-PILE'!$B$70="",-1E+99,'TO HOP NLAN'!D99/ncoc+IF(SUMSQ('TS-PILE'!$E$56:$E$75)=0,0,'TO HOP NLAN'!E99*'TS-PILE'!$E$70/SUMSQ('TS-PILE'!$E$56:$E$75))+IF(SUMSQ('TS-PILE'!$D$56:$D$75)=0,0,'TO HOP NLAN'!F99*'TS-PILE'!$D$70/SUMSQ('TS-PILE'!$D$56:$D$75))),IF('TS-PILE'!$B$71="",-1E+99,'TO HOP NLAN'!D99/ncoc+IF(SUMSQ('TS-PILE'!$E$56:$E$75)=0,0,'TO HOP NLAN'!E99*'TS-PILE'!$E$71/SUMSQ('TS-PILE'!$E$56:$E$75))+IF(SUMSQ('TS-PILE'!$D$56:$D$75)=0,0,'TO HOP NLAN'!F99*'TS-PILE'!$D$71/SUMSQ('TS-PILE'!$D$56:$D$75))),IF('TS-PILE'!$B$72="",-1E+99,'TO HOP NLAN'!D99/ncoc+IF(SUMSQ('TS-PILE'!$E$56:$E$75)=0,0,'TO HOP NLAN'!E99*'TS-PILE'!$E$72/SUMSQ('TS-PILE'!$E$56:$E$75))+IF(SUMSQ('TS-PILE'!$D$56:$D$75)=0,0,'TO HOP NLAN'!F99*'TS-PILE'!$D$72/SUMSQ('TS-PILE'!$D$56:$D$75))),IF('TS-PILE'!$B$73="",-1E+99,'TO HOP NLAN'!D99/ncoc+IF(SUMSQ('TS-PILE'!$E$56:$E$75)=0,0,'TO HOP NLAN'!E99*'TS-PILE'!$E$73/SUMSQ('TS-PILE'!$E$56:$E$75))+IF(SUMSQ('TS-PILE'!$D$56:$D$75)=0,0,'TO HOP NLAN'!F99*'TS-PILE'!$D$73/SUMSQ('TS-PILE'!$D$56:$D$75))),IF('TS-PILE'!$B$74="",-1E+99,'TO HOP NLAN'!D99/ncoc+IF(SUMSQ('TS-PILE'!$E$56:$E$75)=0,0,'TO HOP NLAN'!E99*'TS-PILE'!$E$74/SUMSQ('TS-PILE'!$E$56:$E$75))+IF(SUMSQ('TS-PILE'!$D$56:$D$75)=0,0,'TO HOP NLAN'!F99*'TS-PILE'!$D$74/SUMSQ('TS-PILE'!$D$56:$D$75))),IF('TS-PILE'!$B$75="",-1E+99,'TO HOP NLAN'!D99/ncoc+IF(SUMSQ('TS-PILE'!$E$56:$E$75)=0,0,'TO HOP NLAN'!E99*'TS-PILE'!$E$75/SUMSQ('TS-PILE'!$E$56:$E$75))+IF(SUMSQ('TS-PILE'!$D$56:$D$75)=0,0,'TO HOP NLAN'!F99*'TS-PILE'!$D$75/SUMSQ('TS-PILE'!$D$56:$D$75)))))</f>
        <v>0</v>
      </c>
      <c r="D99" s="46">
        <f>IF(A99="",0,MIN(IF('TS-PILE'!$B$56="",1E+99,'TO HOP NLAN'!D99/ncoc+IF(SUMSQ('TS-PILE'!$E$56:$E$75)=0,0,'TO HOP NLAN'!E99*'TS-PILE'!$E$56/SUMSQ('TS-PILE'!$E$56:$E$75))+IF(SUMSQ('TS-PILE'!$D$56:$D$75)=0,0,'TO HOP NLAN'!F99*'TS-PILE'!$D$56/SUMSQ('TS-PILE'!$D$56:$D$75))),IF('TS-PILE'!$B$57="",1E+99,'TO HOP NLAN'!D99/ncoc+IF(SUMSQ('TS-PILE'!$E$56:$E$75)=0,0,'TO HOP NLAN'!E99*'TS-PILE'!$E$57/SUMSQ('TS-PILE'!$E$56:$E$75))+IF(SUMSQ('TS-PILE'!$D$56:$D$75)=0,0,'TO HOP NLAN'!F99*'TS-PILE'!$D$57/SUMSQ('TS-PILE'!$D$56:$D$75))),IF('TS-PILE'!$B$58="",1E+99,'TO HOP NLAN'!D99/ncoc+IF(SUMSQ('TS-PILE'!$E$56:$E$75)=0,0,'TO HOP NLAN'!E99*'TS-PILE'!$E$58/SUMSQ('TS-PILE'!$E$56:$E$75))+IF(SUMSQ('TS-PILE'!$D$56:$D$75)=0,0,'TO HOP NLAN'!F99*'TS-PILE'!$D$58/SUMSQ('TS-PILE'!$D$56:$D$75))),IF('TS-PILE'!$B$59="",1E+99,'TO HOP NLAN'!D99/ncoc+IF(SUMSQ('TS-PILE'!$E$56:$E$75)=0,0,'TO HOP NLAN'!E99*'TS-PILE'!$E$59/SUMSQ('TS-PILE'!$E$56:$E$75))+IF(SUMSQ('TS-PILE'!$D$56:$D$75)=0,0,'TO HOP NLAN'!F99*'TS-PILE'!$D$59/SUMSQ('TS-PILE'!$D$56:$D$75))),IF('TS-PILE'!$B$60="",1E+99,'TO HOP NLAN'!D99/ncoc+IF(SUMSQ('TS-PILE'!$E$56:$E$75)=0,0,'TO HOP NLAN'!E99*'TS-PILE'!$E$60/SUMSQ('TS-PILE'!$E$56:$E$75))+IF(SUMSQ('TS-PILE'!$D$56:$D$75)=0,0,'TO HOP NLAN'!F99*'TS-PILE'!$D$60/SUMSQ('TS-PILE'!$D$56:$D$75))),IF('TS-PILE'!$B$61="",1E+99,'TO HOP NLAN'!D99/ncoc+IF(SUMSQ('TS-PILE'!$E$56:$E$75)=0,0,'TO HOP NLAN'!E99*'TS-PILE'!$E$61/SUMSQ('TS-PILE'!$E$56:$E$75))+IF(SUMSQ('TS-PILE'!$D$56:$D$75)=0,0,'TO HOP NLAN'!F99*'TS-PILE'!$D$61/SUMSQ('TS-PILE'!$D$56:$D$75))),IF('TS-PILE'!$B$62="",1E+99,'TO HOP NLAN'!D99/ncoc+IF(SUMSQ('TS-PILE'!$E$56:$E$75)=0,0,'TO HOP NLAN'!E99*'TS-PILE'!$E$62/SUMSQ('TS-PILE'!$E$56:$E$75))+IF(SUMSQ('TS-PILE'!$D$56:$D$75)=0,0,'TO HOP NLAN'!F99*'TS-PILE'!$D$62/SUMSQ('TS-PILE'!$D$56:$D$75))),IF('TS-PILE'!$B$63="",1E+99,'TO HOP NLAN'!D99/ncoc+IF(SUMSQ('TS-PILE'!$E$56:$E$75)=0,0,'TO HOP NLAN'!E99*'TS-PILE'!$E$63/SUMSQ('TS-PILE'!$E$56:$E$75))+IF(SUMSQ('TS-PILE'!$D$56:$D$75)=0,0,'TO HOP NLAN'!F99*'TS-PILE'!$D$63/SUMSQ('TS-PILE'!$D$56:$D$75))),IF('TS-PILE'!$B$64="",1E+99,'TO HOP NLAN'!D99/ncoc+IF(SUMSQ('TS-PILE'!$E$56:$E$75)=0,0,'TO HOP NLAN'!E99*'TS-PILE'!$E$64/SUMSQ('TS-PILE'!$E$56:$E$75))+IF(SUMSQ('TS-PILE'!$D$56:$D$75)=0,0,'TO HOP NLAN'!F99*'TS-PILE'!$D$64/SUMSQ('TS-PILE'!$D$56:$D$75))),IF('TS-PILE'!$B$65="",1E+99,'TO HOP NLAN'!D99/ncoc+IF(SUMSQ('TS-PILE'!$E$56:$E$75)=0,0,'TO HOP NLAN'!E99*'TS-PILE'!$E$65/SUMSQ('TS-PILE'!$E$56:$E$75))+IF(SUMSQ('TS-PILE'!$D$56:$D$75)=0,0,'TO HOP NLAN'!F99*'TS-PILE'!$D$65/SUMSQ('TS-PILE'!$D$56:$D$75))),IF('TS-PILE'!$B$66="",1E+99,'TO HOP NLAN'!D99/ncoc+IF(SUMSQ('TS-PILE'!$E$56:$E$75)=0,0,'TO HOP NLAN'!E99*'TS-PILE'!$E$66/SUMSQ('TS-PILE'!$E$56:$E$75))+IF(SUMSQ('TS-PILE'!$D$56:$D$75)=0,0,'TO HOP NLAN'!F99*'TS-PILE'!$D$66/SUMSQ('TS-PILE'!$D$56:$D$75))),IF('TS-PILE'!$B$67="",1E+99,'TO HOP NLAN'!D99/ncoc+IF(SUMSQ('TS-PILE'!$E$56:$E$75)=0,0,'TO HOP NLAN'!E99*'TS-PILE'!$E$67/SUMSQ('TS-PILE'!$E$56:$E$75))+IF(SUMSQ('TS-PILE'!$D$56:$D$75)=0,0,'TO HOP NLAN'!F99*'TS-PILE'!$D$67/SUMSQ('TS-PILE'!$D$56:$D$75))),IF('TS-PILE'!$B$68="",1E+99,'TO HOP NLAN'!D99/ncoc+IF(SUMSQ('TS-PILE'!$E$56:$E$75)=0,0,'TO HOP NLAN'!E99*'TS-PILE'!$E$68/SUMSQ('TS-PILE'!$E$56:$E$75))+IF(SUMSQ('TS-PILE'!$D$56:$D$75)=0,0,'TO HOP NLAN'!F99*'TS-PILE'!$D$68/SUMSQ('TS-PILE'!$D$56:$D$75))),IF('TS-PILE'!$B$69="",1E+99,'TO HOP NLAN'!D99/ncoc+IF(SUMSQ('TS-PILE'!$E$56:$E$75)=0,0,'TO HOP NLAN'!E99*'TS-PILE'!$E$69/SUMSQ('TS-PILE'!$E$56:$E$75))+IF(SUMSQ('TS-PILE'!$D$56:$D$75)=0,0,'TO HOP NLAN'!F99*'TS-PILE'!$D$69/SUMSQ('TS-PILE'!$D$56:$D$75))),IF('TS-PILE'!$B$70="",1E+99,'TO HOP NLAN'!D99/ncoc+IF(SUMSQ('TS-PILE'!$E$56:$E$75)=0,0,'TO HOP NLAN'!E99*'TS-PILE'!$E$70/SUMSQ('TS-PILE'!$E$56:$E$75))+IF(SUMSQ('TS-PILE'!$D$56:$D$75)=0,0,'TO HOP NLAN'!F99*'TS-PILE'!$D$70/SUMSQ('TS-PILE'!$D$56:$D$75))),IF('TS-PILE'!$B$71="",1E+99,'TO HOP NLAN'!D99/ncoc+IF(SUMSQ('TS-PILE'!$E$56:$E$75)=0,0,'TO HOP NLAN'!E99*'TS-PILE'!$E$71/SUMSQ('TS-PILE'!$E$56:$E$75))+IF(SUMSQ('TS-PILE'!$D$56:$D$75)=0,0,'TO HOP NLAN'!F99*'TS-PILE'!$D$71/SUMSQ('TS-PILE'!$D$56:$D$75))),IF('TS-PILE'!$B$72="",1E+99,'TO HOP NLAN'!D99/ncoc+IF(SUMSQ('TS-PILE'!$E$56:$E$75)=0,0,'TO HOP NLAN'!E99*'TS-PILE'!$E$72/SUMSQ('TS-PILE'!$E$56:$E$75))+IF(SUMSQ('TS-PILE'!$D$56:$D$75)=0,0,'TO HOP NLAN'!F99*'TS-PILE'!$D$72/SUMSQ('TS-PILE'!$D$56:$D$75))),IF('TS-PILE'!$B$73="",1E+99,'TO HOP NLAN'!D99/ncoc+IF(SUMSQ('TS-PILE'!$E$56:$E$75)=0,0,'TO HOP NLAN'!E99*'TS-PILE'!$E$73/SUMSQ('TS-PILE'!$E$56:$E$75))+IF(SUMSQ('TS-PILE'!$D$56:$D$75)=0,0,'TO HOP NLAN'!F99*'TS-PILE'!$D$73/SUMSQ('TS-PILE'!$D$56:$D$75))),IF('TS-PILE'!$B$74="",1E+99,'TO HOP NLAN'!D99/ncoc+IF(SUMSQ('TS-PILE'!$E$56:$E$75)=0,0,'TO HOP NLAN'!E99*'TS-PILE'!$E$74/SUMSQ('TS-PILE'!$E$56:$E$75))+IF(SUMSQ('TS-PILE'!$D$56:$D$75)=0,0,'TO HOP NLAN'!F99*'TS-PILE'!$D$74/SUMSQ('TS-PILE'!$D$56:$D$75))),IF('TS-PILE'!$B$75="",1E+99,'TO HOP NLAN'!D99/ncoc+IF(SUMSQ('TS-PILE'!$E$56:$E$75)=0,0,'TO HOP NLAN'!E99*'TS-PILE'!$E$75/SUMSQ('TS-PILE'!$E$56:$E$75))+IF(SUMSQ('TS-PILE'!$D$56:$D$75)=0,0,'TO HOP NLAN'!F99*'TS-PILE'!$D$75/SUMSQ('TS-PILE'!$D$56:$D$75)))))</f>
        <v>0</v>
      </c>
      <c r="E99" s="46">
        <f t="shared" si="4"/>
        <v>-9.9999999999999997E+98</v>
      </c>
      <c r="F99" s="46">
        <f t="shared" si="5"/>
        <v>9.9999999999999997E+98</v>
      </c>
      <c r="G99" s="46">
        <f t="shared" si="6"/>
        <v>-9.9999999999999997E+98</v>
      </c>
      <c r="H99" s="46">
        <f t="shared" si="7"/>
        <v>9.9999999999999997E+98</v>
      </c>
    </row>
    <row r="100" spans="1:8" x14ac:dyDescent="0.3">
      <c r="A100" s="40" t="str">
        <f>'TO HOP NLAN'!A100</f>
        <v/>
      </c>
      <c r="B100" s="40" t="str">
        <f>'TO HOP NLAN'!L100</f>
        <v>STRENGTH</v>
      </c>
      <c r="C100" s="46">
        <f>IF(A100="",0,MAX(IF('TS-PILE'!$B$56="",-1E+99,'TO HOP NLAN'!D100/ncoc+IF(SUMSQ('TS-PILE'!$E$56:$E$75)=0,0,'TO HOP NLAN'!E100*'TS-PILE'!$E$56/SUMSQ('TS-PILE'!$E$56:$E$75))+IF(SUMSQ('TS-PILE'!$D$56:$D$75)=0,0,'TO HOP NLAN'!F100*'TS-PILE'!$D$56/SUMSQ('TS-PILE'!$D$56:$D$75))),IF('TS-PILE'!$B$57="",-1E+99,'TO HOP NLAN'!D100/ncoc+IF(SUMSQ('TS-PILE'!$E$56:$E$75)=0,0,'TO HOP NLAN'!E100*'TS-PILE'!$E$57/SUMSQ('TS-PILE'!$E$56:$E$75))+IF(SUMSQ('TS-PILE'!$D$56:$D$75)=0,0,'TO HOP NLAN'!F100*'TS-PILE'!$D$57/SUMSQ('TS-PILE'!$D$56:$D$75))),IF('TS-PILE'!$B$58="",-1E+99,'TO HOP NLAN'!D100/ncoc+IF(SUMSQ('TS-PILE'!$E$56:$E$75)=0,0,'TO HOP NLAN'!E100*'TS-PILE'!$E$58/SUMSQ('TS-PILE'!$E$56:$E$75))+IF(SUMSQ('TS-PILE'!$D$56:$D$75)=0,0,'TO HOP NLAN'!F100*'TS-PILE'!$D$58/SUMSQ('TS-PILE'!$D$56:$D$75))),IF('TS-PILE'!$B$59="",-1E+99,'TO HOP NLAN'!D100/ncoc+IF(SUMSQ('TS-PILE'!$E$56:$E$75)=0,0,'TO HOP NLAN'!E100*'TS-PILE'!$E$59/SUMSQ('TS-PILE'!$E$56:$E$75))+IF(SUMSQ('TS-PILE'!$D$56:$D$75)=0,0,'TO HOP NLAN'!F100*'TS-PILE'!$D$59/SUMSQ('TS-PILE'!$D$56:$D$75))),IF('TS-PILE'!$B$60="",-1E+99,'TO HOP NLAN'!D100/ncoc+IF(SUMSQ('TS-PILE'!$E$56:$E$75)=0,0,'TO HOP NLAN'!E100*'TS-PILE'!$E$60/SUMSQ('TS-PILE'!$E$56:$E$75))+IF(SUMSQ('TS-PILE'!$D$56:$D$75)=0,0,'TO HOP NLAN'!F100*'TS-PILE'!$D$60/SUMSQ('TS-PILE'!$D$56:$D$75))),IF('TS-PILE'!$B$61="",-1E+99,'TO HOP NLAN'!D100/ncoc+IF(SUMSQ('TS-PILE'!$E$56:$E$75)=0,0,'TO HOP NLAN'!E100*'TS-PILE'!$E$61/SUMSQ('TS-PILE'!$E$56:$E$75))+IF(SUMSQ('TS-PILE'!$D$56:$D$75)=0,0,'TO HOP NLAN'!F100*'TS-PILE'!$D$61/SUMSQ('TS-PILE'!$D$56:$D$75))),IF('TS-PILE'!$B$62="",-1E+99,'TO HOP NLAN'!D100/ncoc+IF(SUMSQ('TS-PILE'!$E$56:$E$75)=0,0,'TO HOP NLAN'!E100*'TS-PILE'!$E$62/SUMSQ('TS-PILE'!$E$56:$E$75))+IF(SUMSQ('TS-PILE'!$D$56:$D$75)=0,0,'TO HOP NLAN'!F100*'TS-PILE'!$D$62/SUMSQ('TS-PILE'!$D$56:$D$75))),IF('TS-PILE'!$B$63="",-1E+99,'TO HOP NLAN'!D100/ncoc+IF(SUMSQ('TS-PILE'!$E$56:$E$75)=0,0,'TO HOP NLAN'!E100*'TS-PILE'!$E$63/SUMSQ('TS-PILE'!$E$56:$E$75))+IF(SUMSQ('TS-PILE'!$D$56:$D$75)=0,0,'TO HOP NLAN'!F100*'TS-PILE'!$D$63/SUMSQ('TS-PILE'!$D$56:$D$75))),IF('TS-PILE'!$B$64="",-1E+99,'TO HOP NLAN'!D100/ncoc+IF(SUMSQ('TS-PILE'!$E$56:$E$75)=0,0,'TO HOP NLAN'!E100*'TS-PILE'!$E$64/SUMSQ('TS-PILE'!$E$56:$E$75))+IF(SUMSQ('TS-PILE'!$D$56:$D$75)=0,0,'TO HOP NLAN'!F100*'TS-PILE'!$D$64/SUMSQ('TS-PILE'!$D$56:$D$75))),IF('TS-PILE'!$B$65="",-1E+99,'TO HOP NLAN'!D100/ncoc+IF(SUMSQ('TS-PILE'!$E$56:$E$75)=0,0,'TO HOP NLAN'!E100*'TS-PILE'!$E$65/SUMSQ('TS-PILE'!$E$56:$E$75))+IF(SUMSQ('TS-PILE'!$D$56:$D$75)=0,0,'TO HOP NLAN'!F100*'TS-PILE'!$D$65/SUMSQ('TS-PILE'!$D$56:$D$75))),IF('TS-PILE'!$B$66="",-1E+99,'TO HOP NLAN'!D100/ncoc+IF(SUMSQ('TS-PILE'!$E$56:$E$75)=0,0,'TO HOP NLAN'!E100*'TS-PILE'!$E$66/SUMSQ('TS-PILE'!$E$56:$E$75))+IF(SUMSQ('TS-PILE'!$D$56:$D$75)=0,0,'TO HOP NLAN'!F100*'TS-PILE'!$D$66/SUMSQ('TS-PILE'!$D$56:$D$75))),IF('TS-PILE'!$B$67="",-1E+99,'TO HOP NLAN'!D100/ncoc+IF(SUMSQ('TS-PILE'!$E$56:$E$75)=0,0,'TO HOP NLAN'!E100*'TS-PILE'!$E$67/SUMSQ('TS-PILE'!$E$56:$E$75))+IF(SUMSQ('TS-PILE'!$D$56:$D$75)=0,0,'TO HOP NLAN'!F100*'TS-PILE'!$D$67/SUMSQ('TS-PILE'!$D$56:$D$75))),IF('TS-PILE'!$B$68="",-1E+99,'TO HOP NLAN'!D100/ncoc+IF(SUMSQ('TS-PILE'!$E$56:$E$75)=0,0,'TO HOP NLAN'!E100*'TS-PILE'!$E$68/SUMSQ('TS-PILE'!$E$56:$E$75))+IF(SUMSQ('TS-PILE'!$D$56:$D$75)=0,0,'TO HOP NLAN'!F100*'TS-PILE'!$D$68/SUMSQ('TS-PILE'!$D$56:$D$75))),IF('TS-PILE'!$B$69="",-1E+99,'TO HOP NLAN'!D100/ncoc+IF(SUMSQ('TS-PILE'!$E$56:$E$75)=0,0,'TO HOP NLAN'!E100*'TS-PILE'!$E$69/SUMSQ('TS-PILE'!$E$56:$E$75))+IF(SUMSQ('TS-PILE'!$D$56:$D$75)=0,0,'TO HOP NLAN'!F100*'TS-PILE'!$D$69/SUMSQ('TS-PILE'!$D$56:$D$75))),IF('TS-PILE'!$B$70="",-1E+99,'TO HOP NLAN'!D100/ncoc+IF(SUMSQ('TS-PILE'!$E$56:$E$75)=0,0,'TO HOP NLAN'!E100*'TS-PILE'!$E$70/SUMSQ('TS-PILE'!$E$56:$E$75))+IF(SUMSQ('TS-PILE'!$D$56:$D$75)=0,0,'TO HOP NLAN'!F100*'TS-PILE'!$D$70/SUMSQ('TS-PILE'!$D$56:$D$75))),IF('TS-PILE'!$B$71="",-1E+99,'TO HOP NLAN'!D100/ncoc+IF(SUMSQ('TS-PILE'!$E$56:$E$75)=0,0,'TO HOP NLAN'!E100*'TS-PILE'!$E$71/SUMSQ('TS-PILE'!$E$56:$E$75))+IF(SUMSQ('TS-PILE'!$D$56:$D$75)=0,0,'TO HOP NLAN'!F100*'TS-PILE'!$D$71/SUMSQ('TS-PILE'!$D$56:$D$75))),IF('TS-PILE'!$B$72="",-1E+99,'TO HOP NLAN'!D100/ncoc+IF(SUMSQ('TS-PILE'!$E$56:$E$75)=0,0,'TO HOP NLAN'!E100*'TS-PILE'!$E$72/SUMSQ('TS-PILE'!$E$56:$E$75))+IF(SUMSQ('TS-PILE'!$D$56:$D$75)=0,0,'TO HOP NLAN'!F100*'TS-PILE'!$D$72/SUMSQ('TS-PILE'!$D$56:$D$75))),IF('TS-PILE'!$B$73="",-1E+99,'TO HOP NLAN'!D100/ncoc+IF(SUMSQ('TS-PILE'!$E$56:$E$75)=0,0,'TO HOP NLAN'!E100*'TS-PILE'!$E$73/SUMSQ('TS-PILE'!$E$56:$E$75))+IF(SUMSQ('TS-PILE'!$D$56:$D$75)=0,0,'TO HOP NLAN'!F100*'TS-PILE'!$D$73/SUMSQ('TS-PILE'!$D$56:$D$75))),IF('TS-PILE'!$B$74="",-1E+99,'TO HOP NLAN'!D100/ncoc+IF(SUMSQ('TS-PILE'!$E$56:$E$75)=0,0,'TO HOP NLAN'!E100*'TS-PILE'!$E$74/SUMSQ('TS-PILE'!$E$56:$E$75))+IF(SUMSQ('TS-PILE'!$D$56:$D$75)=0,0,'TO HOP NLAN'!F100*'TS-PILE'!$D$74/SUMSQ('TS-PILE'!$D$56:$D$75))),IF('TS-PILE'!$B$75="",-1E+99,'TO HOP NLAN'!D100/ncoc+IF(SUMSQ('TS-PILE'!$E$56:$E$75)=0,0,'TO HOP NLAN'!E100*'TS-PILE'!$E$75/SUMSQ('TS-PILE'!$E$56:$E$75))+IF(SUMSQ('TS-PILE'!$D$56:$D$75)=0,0,'TO HOP NLAN'!F100*'TS-PILE'!$D$75/SUMSQ('TS-PILE'!$D$56:$D$75)))))</f>
        <v>0</v>
      </c>
      <c r="D100" s="46">
        <f>IF(A100="",0,MIN(IF('TS-PILE'!$B$56="",1E+99,'TO HOP NLAN'!D100/ncoc+IF(SUMSQ('TS-PILE'!$E$56:$E$75)=0,0,'TO HOP NLAN'!E100*'TS-PILE'!$E$56/SUMSQ('TS-PILE'!$E$56:$E$75))+IF(SUMSQ('TS-PILE'!$D$56:$D$75)=0,0,'TO HOP NLAN'!F100*'TS-PILE'!$D$56/SUMSQ('TS-PILE'!$D$56:$D$75))),IF('TS-PILE'!$B$57="",1E+99,'TO HOP NLAN'!D100/ncoc+IF(SUMSQ('TS-PILE'!$E$56:$E$75)=0,0,'TO HOP NLAN'!E100*'TS-PILE'!$E$57/SUMSQ('TS-PILE'!$E$56:$E$75))+IF(SUMSQ('TS-PILE'!$D$56:$D$75)=0,0,'TO HOP NLAN'!F100*'TS-PILE'!$D$57/SUMSQ('TS-PILE'!$D$56:$D$75))),IF('TS-PILE'!$B$58="",1E+99,'TO HOP NLAN'!D100/ncoc+IF(SUMSQ('TS-PILE'!$E$56:$E$75)=0,0,'TO HOP NLAN'!E100*'TS-PILE'!$E$58/SUMSQ('TS-PILE'!$E$56:$E$75))+IF(SUMSQ('TS-PILE'!$D$56:$D$75)=0,0,'TO HOP NLAN'!F100*'TS-PILE'!$D$58/SUMSQ('TS-PILE'!$D$56:$D$75))),IF('TS-PILE'!$B$59="",1E+99,'TO HOP NLAN'!D100/ncoc+IF(SUMSQ('TS-PILE'!$E$56:$E$75)=0,0,'TO HOP NLAN'!E100*'TS-PILE'!$E$59/SUMSQ('TS-PILE'!$E$56:$E$75))+IF(SUMSQ('TS-PILE'!$D$56:$D$75)=0,0,'TO HOP NLAN'!F100*'TS-PILE'!$D$59/SUMSQ('TS-PILE'!$D$56:$D$75))),IF('TS-PILE'!$B$60="",1E+99,'TO HOP NLAN'!D100/ncoc+IF(SUMSQ('TS-PILE'!$E$56:$E$75)=0,0,'TO HOP NLAN'!E100*'TS-PILE'!$E$60/SUMSQ('TS-PILE'!$E$56:$E$75))+IF(SUMSQ('TS-PILE'!$D$56:$D$75)=0,0,'TO HOP NLAN'!F100*'TS-PILE'!$D$60/SUMSQ('TS-PILE'!$D$56:$D$75))),IF('TS-PILE'!$B$61="",1E+99,'TO HOP NLAN'!D100/ncoc+IF(SUMSQ('TS-PILE'!$E$56:$E$75)=0,0,'TO HOP NLAN'!E100*'TS-PILE'!$E$61/SUMSQ('TS-PILE'!$E$56:$E$75))+IF(SUMSQ('TS-PILE'!$D$56:$D$75)=0,0,'TO HOP NLAN'!F100*'TS-PILE'!$D$61/SUMSQ('TS-PILE'!$D$56:$D$75))),IF('TS-PILE'!$B$62="",1E+99,'TO HOP NLAN'!D100/ncoc+IF(SUMSQ('TS-PILE'!$E$56:$E$75)=0,0,'TO HOP NLAN'!E100*'TS-PILE'!$E$62/SUMSQ('TS-PILE'!$E$56:$E$75))+IF(SUMSQ('TS-PILE'!$D$56:$D$75)=0,0,'TO HOP NLAN'!F100*'TS-PILE'!$D$62/SUMSQ('TS-PILE'!$D$56:$D$75))),IF('TS-PILE'!$B$63="",1E+99,'TO HOP NLAN'!D100/ncoc+IF(SUMSQ('TS-PILE'!$E$56:$E$75)=0,0,'TO HOP NLAN'!E100*'TS-PILE'!$E$63/SUMSQ('TS-PILE'!$E$56:$E$75))+IF(SUMSQ('TS-PILE'!$D$56:$D$75)=0,0,'TO HOP NLAN'!F100*'TS-PILE'!$D$63/SUMSQ('TS-PILE'!$D$56:$D$75))),IF('TS-PILE'!$B$64="",1E+99,'TO HOP NLAN'!D100/ncoc+IF(SUMSQ('TS-PILE'!$E$56:$E$75)=0,0,'TO HOP NLAN'!E100*'TS-PILE'!$E$64/SUMSQ('TS-PILE'!$E$56:$E$75))+IF(SUMSQ('TS-PILE'!$D$56:$D$75)=0,0,'TO HOP NLAN'!F100*'TS-PILE'!$D$64/SUMSQ('TS-PILE'!$D$56:$D$75))),IF('TS-PILE'!$B$65="",1E+99,'TO HOP NLAN'!D100/ncoc+IF(SUMSQ('TS-PILE'!$E$56:$E$75)=0,0,'TO HOP NLAN'!E100*'TS-PILE'!$E$65/SUMSQ('TS-PILE'!$E$56:$E$75))+IF(SUMSQ('TS-PILE'!$D$56:$D$75)=0,0,'TO HOP NLAN'!F100*'TS-PILE'!$D$65/SUMSQ('TS-PILE'!$D$56:$D$75))),IF('TS-PILE'!$B$66="",1E+99,'TO HOP NLAN'!D100/ncoc+IF(SUMSQ('TS-PILE'!$E$56:$E$75)=0,0,'TO HOP NLAN'!E100*'TS-PILE'!$E$66/SUMSQ('TS-PILE'!$E$56:$E$75))+IF(SUMSQ('TS-PILE'!$D$56:$D$75)=0,0,'TO HOP NLAN'!F100*'TS-PILE'!$D$66/SUMSQ('TS-PILE'!$D$56:$D$75))),IF('TS-PILE'!$B$67="",1E+99,'TO HOP NLAN'!D100/ncoc+IF(SUMSQ('TS-PILE'!$E$56:$E$75)=0,0,'TO HOP NLAN'!E100*'TS-PILE'!$E$67/SUMSQ('TS-PILE'!$E$56:$E$75))+IF(SUMSQ('TS-PILE'!$D$56:$D$75)=0,0,'TO HOP NLAN'!F100*'TS-PILE'!$D$67/SUMSQ('TS-PILE'!$D$56:$D$75))),IF('TS-PILE'!$B$68="",1E+99,'TO HOP NLAN'!D100/ncoc+IF(SUMSQ('TS-PILE'!$E$56:$E$75)=0,0,'TO HOP NLAN'!E100*'TS-PILE'!$E$68/SUMSQ('TS-PILE'!$E$56:$E$75))+IF(SUMSQ('TS-PILE'!$D$56:$D$75)=0,0,'TO HOP NLAN'!F100*'TS-PILE'!$D$68/SUMSQ('TS-PILE'!$D$56:$D$75))),IF('TS-PILE'!$B$69="",1E+99,'TO HOP NLAN'!D100/ncoc+IF(SUMSQ('TS-PILE'!$E$56:$E$75)=0,0,'TO HOP NLAN'!E100*'TS-PILE'!$E$69/SUMSQ('TS-PILE'!$E$56:$E$75))+IF(SUMSQ('TS-PILE'!$D$56:$D$75)=0,0,'TO HOP NLAN'!F100*'TS-PILE'!$D$69/SUMSQ('TS-PILE'!$D$56:$D$75))),IF('TS-PILE'!$B$70="",1E+99,'TO HOP NLAN'!D100/ncoc+IF(SUMSQ('TS-PILE'!$E$56:$E$75)=0,0,'TO HOP NLAN'!E100*'TS-PILE'!$E$70/SUMSQ('TS-PILE'!$E$56:$E$75))+IF(SUMSQ('TS-PILE'!$D$56:$D$75)=0,0,'TO HOP NLAN'!F100*'TS-PILE'!$D$70/SUMSQ('TS-PILE'!$D$56:$D$75))),IF('TS-PILE'!$B$71="",1E+99,'TO HOP NLAN'!D100/ncoc+IF(SUMSQ('TS-PILE'!$E$56:$E$75)=0,0,'TO HOP NLAN'!E100*'TS-PILE'!$E$71/SUMSQ('TS-PILE'!$E$56:$E$75))+IF(SUMSQ('TS-PILE'!$D$56:$D$75)=0,0,'TO HOP NLAN'!F100*'TS-PILE'!$D$71/SUMSQ('TS-PILE'!$D$56:$D$75))),IF('TS-PILE'!$B$72="",1E+99,'TO HOP NLAN'!D100/ncoc+IF(SUMSQ('TS-PILE'!$E$56:$E$75)=0,0,'TO HOP NLAN'!E100*'TS-PILE'!$E$72/SUMSQ('TS-PILE'!$E$56:$E$75))+IF(SUMSQ('TS-PILE'!$D$56:$D$75)=0,0,'TO HOP NLAN'!F100*'TS-PILE'!$D$72/SUMSQ('TS-PILE'!$D$56:$D$75))),IF('TS-PILE'!$B$73="",1E+99,'TO HOP NLAN'!D100/ncoc+IF(SUMSQ('TS-PILE'!$E$56:$E$75)=0,0,'TO HOP NLAN'!E100*'TS-PILE'!$E$73/SUMSQ('TS-PILE'!$E$56:$E$75))+IF(SUMSQ('TS-PILE'!$D$56:$D$75)=0,0,'TO HOP NLAN'!F100*'TS-PILE'!$D$73/SUMSQ('TS-PILE'!$D$56:$D$75))),IF('TS-PILE'!$B$74="",1E+99,'TO HOP NLAN'!D100/ncoc+IF(SUMSQ('TS-PILE'!$E$56:$E$75)=0,0,'TO HOP NLAN'!E100*'TS-PILE'!$E$74/SUMSQ('TS-PILE'!$E$56:$E$75))+IF(SUMSQ('TS-PILE'!$D$56:$D$75)=0,0,'TO HOP NLAN'!F100*'TS-PILE'!$D$74/SUMSQ('TS-PILE'!$D$56:$D$75))),IF('TS-PILE'!$B$75="",1E+99,'TO HOP NLAN'!D100/ncoc+IF(SUMSQ('TS-PILE'!$E$56:$E$75)=0,0,'TO HOP NLAN'!E100*'TS-PILE'!$E$75/SUMSQ('TS-PILE'!$E$56:$E$75))+IF(SUMSQ('TS-PILE'!$D$56:$D$75)=0,0,'TO HOP NLAN'!F100*'TS-PILE'!$D$75/SUMSQ('TS-PILE'!$D$56:$D$75)))))</f>
        <v>0</v>
      </c>
      <c r="E100" s="46">
        <f t="shared" si="4"/>
        <v>-9.9999999999999997E+98</v>
      </c>
      <c r="F100" s="46">
        <f t="shared" si="5"/>
        <v>9.9999999999999997E+98</v>
      </c>
      <c r="G100" s="46">
        <f t="shared" si="6"/>
        <v>-9.9999999999999997E+98</v>
      </c>
      <c r="H100" s="46">
        <f t="shared" si="7"/>
        <v>9.9999999999999997E+98</v>
      </c>
    </row>
    <row r="101" spans="1:8" x14ac:dyDescent="0.3">
      <c r="A101" s="40" t="str">
        <f>'TO HOP NLAN'!A101</f>
        <v/>
      </c>
      <c r="B101" s="40" t="str">
        <f>'TO HOP NLAN'!L101</f>
        <v>STRENGTH</v>
      </c>
      <c r="C101" s="46">
        <f>IF(A101="",0,MAX(IF('TS-PILE'!$B$56="",-1E+99,'TO HOP NLAN'!D101/ncoc+IF(SUMSQ('TS-PILE'!$E$56:$E$75)=0,0,'TO HOP NLAN'!E101*'TS-PILE'!$E$56/SUMSQ('TS-PILE'!$E$56:$E$75))+IF(SUMSQ('TS-PILE'!$D$56:$D$75)=0,0,'TO HOP NLAN'!F101*'TS-PILE'!$D$56/SUMSQ('TS-PILE'!$D$56:$D$75))),IF('TS-PILE'!$B$57="",-1E+99,'TO HOP NLAN'!D101/ncoc+IF(SUMSQ('TS-PILE'!$E$56:$E$75)=0,0,'TO HOP NLAN'!E101*'TS-PILE'!$E$57/SUMSQ('TS-PILE'!$E$56:$E$75))+IF(SUMSQ('TS-PILE'!$D$56:$D$75)=0,0,'TO HOP NLAN'!F101*'TS-PILE'!$D$57/SUMSQ('TS-PILE'!$D$56:$D$75))),IF('TS-PILE'!$B$58="",-1E+99,'TO HOP NLAN'!D101/ncoc+IF(SUMSQ('TS-PILE'!$E$56:$E$75)=0,0,'TO HOP NLAN'!E101*'TS-PILE'!$E$58/SUMSQ('TS-PILE'!$E$56:$E$75))+IF(SUMSQ('TS-PILE'!$D$56:$D$75)=0,0,'TO HOP NLAN'!F101*'TS-PILE'!$D$58/SUMSQ('TS-PILE'!$D$56:$D$75))),IF('TS-PILE'!$B$59="",-1E+99,'TO HOP NLAN'!D101/ncoc+IF(SUMSQ('TS-PILE'!$E$56:$E$75)=0,0,'TO HOP NLAN'!E101*'TS-PILE'!$E$59/SUMSQ('TS-PILE'!$E$56:$E$75))+IF(SUMSQ('TS-PILE'!$D$56:$D$75)=0,0,'TO HOP NLAN'!F101*'TS-PILE'!$D$59/SUMSQ('TS-PILE'!$D$56:$D$75))),IF('TS-PILE'!$B$60="",-1E+99,'TO HOP NLAN'!D101/ncoc+IF(SUMSQ('TS-PILE'!$E$56:$E$75)=0,0,'TO HOP NLAN'!E101*'TS-PILE'!$E$60/SUMSQ('TS-PILE'!$E$56:$E$75))+IF(SUMSQ('TS-PILE'!$D$56:$D$75)=0,0,'TO HOP NLAN'!F101*'TS-PILE'!$D$60/SUMSQ('TS-PILE'!$D$56:$D$75))),IF('TS-PILE'!$B$61="",-1E+99,'TO HOP NLAN'!D101/ncoc+IF(SUMSQ('TS-PILE'!$E$56:$E$75)=0,0,'TO HOP NLAN'!E101*'TS-PILE'!$E$61/SUMSQ('TS-PILE'!$E$56:$E$75))+IF(SUMSQ('TS-PILE'!$D$56:$D$75)=0,0,'TO HOP NLAN'!F101*'TS-PILE'!$D$61/SUMSQ('TS-PILE'!$D$56:$D$75))),IF('TS-PILE'!$B$62="",-1E+99,'TO HOP NLAN'!D101/ncoc+IF(SUMSQ('TS-PILE'!$E$56:$E$75)=0,0,'TO HOP NLAN'!E101*'TS-PILE'!$E$62/SUMSQ('TS-PILE'!$E$56:$E$75))+IF(SUMSQ('TS-PILE'!$D$56:$D$75)=0,0,'TO HOP NLAN'!F101*'TS-PILE'!$D$62/SUMSQ('TS-PILE'!$D$56:$D$75))),IF('TS-PILE'!$B$63="",-1E+99,'TO HOP NLAN'!D101/ncoc+IF(SUMSQ('TS-PILE'!$E$56:$E$75)=0,0,'TO HOP NLAN'!E101*'TS-PILE'!$E$63/SUMSQ('TS-PILE'!$E$56:$E$75))+IF(SUMSQ('TS-PILE'!$D$56:$D$75)=0,0,'TO HOP NLAN'!F101*'TS-PILE'!$D$63/SUMSQ('TS-PILE'!$D$56:$D$75))),IF('TS-PILE'!$B$64="",-1E+99,'TO HOP NLAN'!D101/ncoc+IF(SUMSQ('TS-PILE'!$E$56:$E$75)=0,0,'TO HOP NLAN'!E101*'TS-PILE'!$E$64/SUMSQ('TS-PILE'!$E$56:$E$75))+IF(SUMSQ('TS-PILE'!$D$56:$D$75)=0,0,'TO HOP NLAN'!F101*'TS-PILE'!$D$64/SUMSQ('TS-PILE'!$D$56:$D$75))),IF('TS-PILE'!$B$65="",-1E+99,'TO HOP NLAN'!D101/ncoc+IF(SUMSQ('TS-PILE'!$E$56:$E$75)=0,0,'TO HOP NLAN'!E101*'TS-PILE'!$E$65/SUMSQ('TS-PILE'!$E$56:$E$75))+IF(SUMSQ('TS-PILE'!$D$56:$D$75)=0,0,'TO HOP NLAN'!F101*'TS-PILE'!$D$65/SUMSQ('TS-PILE'!$D$56:$D$75))),IF('TS-PILE'!$B$66="",-1E+99,'TO HOP NLAN'!D101/ncoc+IF(SUMSQ('TS-PILE'!$E$56:$E$75)=0,0,'TO HOP NLAN'!E101*'TS-PILE'!$E$66/SUMSQ('TS-PILE'!$E$56:$E$75))+IF(SUMSQ('TS-PILE'!$D$56:$D$75)=0,0,'TO HOP NLAN'!F101*'TS-PILE'!$D$66/SUMSQ('TS-PILE'!$D$56:$D$75))),IF('TS-PILE'!$B$67="",-1E+99,'TO HOP NLAN'!D101/ncoc+IF(SUMSQ('TS-PILE'!$E$56:$E$75)=0,0,'TO HOP NLAN'!E101*'TS-PILE'!$E$67/SUMSQ('TS-PILE'!$E$56:$E$75))+IF(SUMSQ('TS-PILE'!$D$56:$D$75)=0,0,'TO HOP NLAN'!F101*'TS-PILE'!$D$67/SUMSQ('TS-PILE'!$D$56:$D$75))),IF('TS-PILE'!$B$68="",-1E+99,'TO HOP NLAN'!D101/ncoc+IF(SUMSQ('TS-PILE'!$E$56:$E$75)=0,0,'TO HOP NLAN'!E101*'TS-PILE'!$E$68/SUMSQ('TS-PILE'!$E$56:$E$75))+IF(SUMSQ('TS-PILE'!$D$56:$D$75)=0,0,'TO HOP NLAN'!F101*'TS-PILE'!$D$68/SUMSQ('TS-PILE'!$D$56:$D$75))),IF('TS-PILE'!$B$69="",-1E+99,'TO HOP NLAN'!D101/ncoc+IF(SUMSQ('TS-PILE'!$E$56:$E$75)=0,0,'TO HOP NLAN'!E101*'TS-PILE'!$E$69/SUMSQ('TS-PILE'!$E$56:$E$75))+IF(SUMSQ('TS-PILE'!$D$56:$D$75)=0,0,'TO HOP NLAN'!F101*'TS-PILE'!$D$69/SUMSQ('TS-PILE'!$D$56:$D$75))),IF('TS-PILE'!$B$70="",-1E+99,'TO HOP NLAN'!D101/ncoc+IF(SUMSQ('TS-PILE'!$E$56:$E$75)=0,0,'TO HOP NLAN'!E101*'TS-PILE'!$E$70/SUMSQ('TS-PILE'!$E$56:$E$75))+IF(SUMSQ('TS-PILE'!$D$56:$D$75)=0,0,'TO HOP NLAN'!F101*'TS-PILE'!$D$70/SUMSQ('TS-PILE'!$D$56:$D$75))),IF('TS-PILE'!$B$71="",-1E+99,'TO HOP NLAN'!D101/ncoc+IF(SUMSQ('TS-PILE'!$E$56:$E$75)=0,0,'TO HOP NLAN'!E101*'TS-PILE'!$E$71/SUMSQ('TS-PILE'!$E$56:$E$75))+IF(SUMSQ('TS-PILE'!$D$56:$D$75)=0,0,'TO HOP NLAN'!F101*'TS-PILE'!$D$71/SUMSQ('TS-PILE'!$D$56:$D$75))),IF('TS-PILE'!$B$72="",-1E+99,'TO HOP NLAN'!D101/ncoc+IF(SUMSQ('TS-PILE'!$E$56:$E$75)=0,0,'TO HOP NLAN'!E101*'TS-PILE'!$E$72/SUMSQ('TS-PILE'!$E$56:$E$75))+IF(SUMSQ('TS-PILE'!$D$56:$D$75)=0,0,'TO HOP NLAN'!F101*'TS-PILE'!$D$72/SUMSQ('TS-PILE'!$D$56:$D$75))),IF('TS-PILE'!$B$73="",-1E+99,'TO HOP NLAN'!D101/ncoc+IF(SUMSQ('TS-PILE'!$E$56:$E$75)=0,0,'TO HOP NLAN'!E101*'TS-PILE'!$E$73/SUMSQ('TS-PILE'!$E$56:$E$75))+IF(SUMSQ('TS-PILE'!$D$56:$D$75)=0,0,'TO HOP NLAN'!F101*'TS-PILE'!$D$73/SUMSQ('TS-PILE'!$D$56:$D$75))),IF('TS-PILE'!$B$74="",-1E+99,'TO HOP NLAN'!D101/ncoc+IF(SUMSQ('TS-PILE'!$E$56:$E$75)=0,0,'TO HOP NLAN'!E101*'TS-PILE'!$E$74/SUMSQ('TS-PILE'!$E$56:$E$75))+IF(SUMSQ('TS-PILE'!$D$56:$D$75)=0,0,'TO HOP NLAN'!F101*'TS-PILE'!$D$74/SUMSQ('TS-PILE'!$D$56:$D$75))),IF('TS-PILE'!$B$75="",-1E+99,'TO HOP NLAN'!D101/ncoc+IF(SUMSQ('TS-PILE'!$E$56:$E$75)=0,0,'TO HOP NLAN'!E101*'TS-PILE'!$E$75/SUMSQ('TS-PILE'!$E$56:$E$75))+IF(SUMSQ('TS-PILE'!$D$56:$D$75)=0,0,'TO HOP NLAN'!F101*'TS-PILE'!$D$75/SUMSQ('TS-PILE'!$D$56:$D$75)))))</f>
        <v>0</v>
      </c>
      <c r="D101" s="46">
        <f>IF(A101="",0,MIN(IF('TS-PILE'!$B$56="",1E+99,'TO HOP NLAN'!D101/ncoc+IF(SUMSQ('TS-PILE'!$E$56:$E$75)=0,0,'TO HOP NLAN'!E101*'TS-PILE'!$E$56/SUMSQ('TS-PILE'!$E$56:$E$75))+IF(SUMSQ('TS-PILE'!$D$56:$D$75)=0,0,'TO HOP NLAN'!F101*'TS-PILE'!$D$56/SUMSQ('TS-PILE'!$D$56:$D$75))),IF('TS-PILE'!$B$57="",1E+99,'TO HOP NLAN'!D101/ncoc+IF(SUMSQ('TS-PILE'!$E$56:$E$75)=0,0,'TO HOP NLAN'!E101*'TS-PILE'!$E$57/SUMSQ('TS-PILE'!$E$56:$E$75))+IF(SUMSQ('TS-PILE'!$D$56:$D$75)=0,0,'TO HOP NLAN'!F101*'TS-PILE'!$D$57/SUMSQ('TS-PILE'!$D$56:$D$75))),IF('TS-PILE'!$B$58="",1E+99,'TO HOP NLAN'!D101/ncoc+IF(SUMSQ('TS-PILE'!$E$56:$E$75)=0,0,'TO HOP NLAN'!E101*'TS-PILE'!$E$58/SUMSQ('TS-PILE'!$E$56:$E$75))+IF(SUMSQ('TS-PILE'!$D$56:$D$75)=0,0,'TO HOP NLAN'!F101*'TS-PILE'!$D$58/SUMSQ('TS-PILE'!$D$56:$D$75))),IF('TS-PILE'!$B$59="",1E+99,'TO HOP NLAN'!D101/ncoc+IF(SUMSQ('TS-PILE'!$E$56:$E$75)=0,0,'TO HOP NLAN'!E101*'TS-PILE'!$E$59/SUMSQ('TS-PILE'!$E$56:$E$75))+IF(SUMSQ('TS-PILE'!$D$56:$D$75)=0,0,'TO HOP NLAN'!F101*'TS-PILE'!$D$59/SUMSQ('TS-PILE'!$D$56:$D$75))),IF('TS-PILE'!$B$60="",1E+99,'TO HOP NLAN'!D101/ncoc+IF(SUMSQ('TS-PILE'!$E$56:$E$75)=0,0,'TO HOP NLAN'!E101*'TS-PILE'!$E$60/SUMSQ('TS-PILE'!$E$56:$E$75))+IF(SUMSQ('TS-PILE'!$D$56:$D$75)=0,0,'TO HOP NLAN'!F101*'TS-PILE'!$D$60/SUMSQ('TS-PILE'!$D$56:$D$75))),IF('TS-PILE'!$B$61="",1E+99,'TO HOP NLAN'!D101/ncoc+IF(SUMSQ('TS-PILE'!$E$56:$E$75)=0,0,'TO HOP NLAN'!E101*'TS-PILE'!$E$61/SUMSQ('TS-PILE'!$E$56:$E$75))+IF(SUMSQ('TS-PILE'!$D$56:$D$75)=0,0,'TO HOP NLAN'!F101*'TS-PILE'!$D$61/SUMSQ('TS-PILE'!$D$56:$D$75))),IF('TS-PILE'!$B$62="",1E+99,'TO HOP NLAN'!D101/ncoc+IF(SUMSQ('TS-PILE'!$E$56:$E$75)=0,0,'TO HOP NLAN'!E101*'TS-PILE'!$E$62/SUMSQ('TS-PILE'!$E$56:$E$75))+IF(SUMSQ('TS-PILE'!$D$56:$D$75)=0,0,'TO HOP NLAN'!F101*'TS-PILE'!$D$62/SUMSQ('TS-PILE'!$D$56:$D$75))),IF('TS-PILE'!$B$63="",1E+99,'TO HOP NLAN'!D101/ncoc+IF(SUMSQ('TS-PILE'!$E$56:$E$75)=0,0,'TO HOP NLAN'!E101*'TS-PILE'!$E$63/SUMSQ('TS-PILE'!$E$56:$E$75))+IF(SUMSQ('TS-PILE'!$D$56:$D$75)=0,0,'TO HOP NLAN'!F101*'TS-PILE'!$D$63/SUMSQ('TS-PILE'!$D$56:$D$75))),IF('TS-PILE'!$B$64="",1E+99,'TO HOP NLAN'!D101/ncoc+IF(SUMSQ('TS-PILE'!$E$56:$E$75)=0,0,'TO HOP NLAN'!E101*'TS-PILE'!$E$64/SUMSQ('TS-PILE'!$E$56:$E$75))+IF(SUMSQ('TS-PILE'!$D$56:$D$75)=0,0,'TO HOP NLAN'!F101*'TS-PILE'!$D$64/SUMSQ('TS-PILE'!$D$56:$D$75))),IF('TS-PILE'!$B$65="",1E+99,'TO HOP NLAN'!D101/ncoc+IF(SUMSQ('TS-PILE'!$E$56:$E$75)=0,0,'TO HOP NLAN'!E101*'TS-PILE'!$E$65/SUMSQ('TS-PILE'!$E$56:$E$75))+IF(SUMSQ('TS-PILE'!$D$56:$D$75)=0,0,'TO HOP NLAN'!F101*'TS-PILE'!$D$65/SUMSQ('TS-PILE'!$D$56:$D$75))),IF('TS-PILE'!$B$66="",1E+99,'TO HOP NLAN'!D101/ncoc+IF(SUMSQ('TS-PILE'!$E$56:$E$75)=0,0,'TO HOP NLAN'!E101*'TS-PILE'!$E$66/SUMSQ('TS-PILE'!$E$56:$E$75))+IF(SUMSQ('TS-PILE'!$D$56:$D$75)=0,0,'TO HOP NLAN'!F101*'TS-PILE'!$D$66/SUMSQ('TS-PILE'!$D$56:$D$75))),IF('TS-PILE'!$B$67="",1E+99,'TO HOP NLAN'!D101/ncoc+IF(SUMSQ('TS-PILE'!$E$56:$E$75)=0,0,'TO HOP NLAN'!E101*'TS-PILE'!$E$67/SUMSQ('TS-PILE'!$E$56:$E$75))+IF(SUMSQ('TS-PILE'!$D$56:$D$75)=0,0,'TO HOP NLAN'!F101*'TS-PILE'!$D$67/SUMSQ('TS-PILE'!$D$56:$D$75))),IF('TS-PILE'!$B$68="",1E+99,'TO HOP NLAN'!D101/ncoc+IF(SUMSQ('TS-PILE'!$E$56:$E$75)=0,0,'TO HOP NLAN'!E101*'TS-PILE'!$E$68/SUMSQ('TS-PILE'!$E$56:$E$75))+IF(SUMSQ('TS-PILE'!$D$56:$D$75)=0,0,'TO HOP NLAN'!F101*'TS-PILE'!$D$68/SUMSQ('TS-PILE'!$D$56:$D$75))),IF('TS-PILE'!$B$69="",1E+99,'TO HOP NLAN'!D101/ncoc+IF(SUMSQ('TS-PILE'!$E$56:$E$75)=0,0,'TO HOP NLAN'!E101*'TS-PILE'!$E$69/SUMSQ('TS-PILE'!$E$56:$E$75))+IF(SUMSQ('TS-PILE'!$D$56:$D$75)=0,0,'TO HOP NLAN'!F101*'TS-PILE'!$D$69/SUMSQ('TS-PILE'!$D$56:$D$75))),IF('TS-PILE'!$B$70="",1E+99,'TO HOP NLAN'!D101/ncoc+IF(SUMSQ('TS-PILE'!$E$56:$E$75)=0,0,'TO HOP NLAN'!E101*'TS-PILE'!$E$70/SUMSQ('TS-PILE'!$E$56:$E$75))+IF(SUMSQ('TS-PILE'!$D$56:$D$75)=0,0,'TO HOP NLAN'!F101*'TS-PILE'!$D$70/SUMSQ('TS-PILE'!$D$56:$D$75))),IF('TS-PILE'!$B$71="",1E+99,'TO HOP NLAN'!D101/ncoc+IF(SUMSQ('TS-PILE'!$E$56:$E$75)=0,0,'TO HOP NLAN'!E101*'TS-PILE'!$E$71/SUMSQ('TS-PILE'!$E$56:$E$75))+IF(SUMSQ('TS-PILE'!$D$56:$D$75)=0,0,'TO HOP NLAN'!F101*'TS-PILE'!$D$71/SUMSQ('TS-PILE'!$D$56:$D$75))),IF('TS-PILE'!$B$72="",1E+99,'TO HOP NLAN'!D101/ncoc+IF(SUMSQ('TS-PILE'!$E$56:$E$75)=0,0,'TO HOP NLAN'!E101*'TS-PILE'!$E$72/SUMSQ('TS-PILE'!$E$56:$E$75))+IF(SUMSQ('TS-PILE'!$D$56:$D$75)=0,0,'TO HOP NLAN'!F101*'TS-PILE'!$D$72/SUMSQ('TS-PILE'!$D$56:$D$75))),IF('TS-PILE'!$B$73="",1E+99,'TO HOP NLAN'!D101/ncoc+IF(SUMSQ('TS-PILE'!$E$56:$E$75)=0,0,'TO HOP NLAN'!E101*'TS-PILE'!$E$73/SUMSQ('TS-PILE'!$E$56:$E$75))+IF(SUMSQ('TS-PILE'!$D$56:$D$75)=0,0,'TO HOP NLAN'!F101*'TS-PILE'!$D$73/SUMSQ('TS-PILE'!$D$56:$D$75))),IF('TS-PILE'!$B$74="",1E+99,'TO HOP NLAN'!D101/ncoc+IF(SUMSQ('TS-PILE'!$E$56:$E$75)=0,0,'TO HOP NLAN'!E101*'TS-PILE'!$E$74/SUMSQ('TS-PILE'!$E$56:$E$75))+IF(SUMSQ('TS-PILE'!$D$56:$D$75)=0,0,'TO HOP NLAN'!F101*'TS-PILE'!$D$74/SUMSQ('TS-PILE'!$D$56:$D$75))),IF('TS-PILE'!$B$75="",1E+99,'TO HOP NLAN'!D101/ncoc+IF(SUMSQ('TS-PILE'!$E$56:$E$75)=0,0,'TO HOP NLAN'!E101*'TS-PILE'!$E$75/SUMSQ('TS-PILE'!$E$56:$E$75))+IF(SUMSQ('TS-PILE'!$D$56:$D$75)=0,0,'TO HOP NLAN'!F101*'TS-PILE'!$D$75/SUMSQ('TS-PILE'!$D$56:$D$75)))))</f>
        <v>0</v>
      </c>
      <c r="E101" s="46">
        <f t="shared" si="4"/>
        <v>-9.9999999999999997E+98</v>
      </c>
      <c r="F101" s="46">
        <f t="shared" si="5"/>
        <v>9.9999999999999997E+98</v>
      </c>
      <c r="G101" s="46">
        <f t="shared" si="6"/>
        <v>-9.9999999999999997E+98</v>
      </c>
      <c r="H101" s="46">
        <f t="shared" si="7"/>
        <v>9.9999999999999997E+98</v>
      </c>
    </row>
    <row r="102" spans="1:8" x14ac:dyDescent="0.3">
      <c r="A102" s="40" t="str">
        <f>'TO HOP NLAN'!A102</f>
        <v/>
      </c>
      <c r="B102" s="40" t="str">
        <f>'TO HOP NLAN'!L102</f>
        <v>STRENGTH</v>
      </c>
      <c r="C102" s="46">
        <f>IF(A102="",0,MAX(IF('TS-PILE'!$B$56="",-1E+99,'TO HOP NLAN'!D102/ncoc+IF(SUMSQ('TS-PILE'!$E$56:$E$75)=0,0,'TO HOP NLAN'!E102*'TS-PILE'!$E$56/SUMSQ('TS-PILE'!$E$56:$E$75))+IF(SUMSQ('TS-PILE'!$D$56:$D$75)=0,0,'TO HOP NLAN'!F102*'TS-PILE'!$D$56/SUMSQ('TS-PILE'!$D$56:$D$75))),IF('TS-PILE'!$B$57="",-1E+99,'TO HOP NLAN'!D102/ncoc+IF(SUMSQ('TS-PILE'!$E$56:$E$75)=0,0,'TO HOP NLAN'!E102*'TS-PILE'!$E$57/SUMSQ('TS-PILE'!$E$56:$E$75))+IF(SUMSQ('TS-PILE'!$D$56:$D$75)=0,0,'TO HOP NLAN'!F102*'TS-PILE'!$D$57/SUMSQ('TS-PILE'!$D$56:$D$75))),IF('TS-PILE'!$B$58="",-1E+99,'TO HOP NLAN'!D102/ncoc+IF(SUMSQ('TS-PILE'!$E$56:$E$75)=0,0,'TO HOP NLAN'!E102*'TS-PILE'!$E$58/SUMSQ('TS-PILE'!$E$56:$E$75))+IF(SUMSQ('TS-PILE'!$D$56:$D$75)=0,0,'TO HOP NLAN'!F102*'TS-PILE'!$D$58/SUMSQ('TS-PILE'!$D$56:$D$75))),IF('TS-PILE'!$B$59="",-1E+99,'TO HOP NLAN'!D102/ncoc+IF(SUMSQ('TS-PILE'!$E$56:$E$75)=0,0,'TO HOP NLAN'!E102*'TS-PILE'!$E$59/SUMSQ('TS-PILE'!$E$56:$E$75))+IF(SUMSQ('TS-PILE'!$D$56:$D$75)=0,0,'TO HOP NLAN'!F102*'TS-PILE'!$D$59/SUMSQ('TS-PILE'!$D$56:$D$75))),IF('TS-PILE'!$B$60="",-1E+99,'TO HOP NLAN'!D102/ncoc+IF(SUMSQ('TS-PILE'!$E$56:$E$75)=0,0,'TO HOP NLAN'!E102*'TS-PILE'!$E$60/SUMSQ('TS-PILE'!$E$56:$E$75))+IF(SUMSQ('TS-PILE'!$D$56:$D$75)=0,0,'TO HOP NLAN'!F102*'TS-PILE'!$D$60/SUMSQ('TS-PILE'!$D$56:$D$75))),IF('TS-PILE'!$B$61="",-1E+99,'TO HOP NLAN'!D102/ncoc+IF(SUMSQ('TS-PILE'!$E$56:$E$75)=0,0,'TO HOP NLAN'!E102*'TS-PILE'!$E$61/SUMSQ('TS-PILE'!$E$56:$E$75))+IF(SUMSQ('TS-PILE'!$D$56:$D$75)=0,0,'TO HOP NLAN'!F102*'TS-PILE'!$D$61/SUMSQ('TS-PILE'!$D$56:$D$75))),IF('TS-PILE'!$B$62="",-1E+99,'TO HOP NLAN'!D102/ncoc+IF(SUMSQ('TS-PILE'!$E$56:$E$75)=0,0,'TO HOP NLAN'!E102*'TS-PILE'!$E$62/SUMSQ('TS-PILE'!$E$56:$E$75))+IF(SUMSQ('TS-PILE'!$D$56:$D$75)=0,0,'TO HOP NLAN'!F102*'TS-PILE'!$D$62/SUMSQ('TS-PILE'!$D$56:$D$75))),IF('TS-PILE'!$B$63="",-1E+99,'TO HOP NLAN'!D102/ncoc+IF(SUMSQ('TS-PILE'!$E$56:$E$75)=0,0,'TO HOP NLAN'!E102*'TS-PILE'!$E$63/SUMSQ('TS-PILE'!$E$56:$E$75))+IF(SUMSQ('TS-PILE'!$D$56:$D$75)=0,0,'TO HOP NLAN'!F102*'TS-PILE'!$D$63/SUMSQ('TS-PILE'!$D$56:$D$75))),IF('TS-PILE'!$B$64="",-1E+99,'TO HOP NLAN'!D102/ncoc+IF(SUMSQ('TS-PILE'!$E$56:$E$75)=0,0,'TO HOP NLAN'!E102*'TS-PILE'!$E$64/SUMSQ('TS-PILE'!$E$56:$E$75))+IF(SUMSQ('TS-PILE'!$D$56:$D$75)=0,0,'TO HOP NLAN'!F102*'TS-PILE'!$D$64/SUMSQ('TS-PILE'!$D$56:$D$75))),IF('TS-PILE'!$B$65="",-1E+99,'TO HOP NLAN'!D102/ncoc+IF(SUMSQ('TS-PILE'!$E$56:$E$75)=0,0,'TO HOP NLAN'!E102*'TS-PILE'!$E$65/SUMSQ('TS-PILE'!$E$56:$E$75))+IF(SUMSQ('TS-PILE'!$D$56:$D$75)=0,0,'TO HOP NLAN'!F102*'TS-PILE'!$D$65/SUMSQ('TS-PILE'!$D$56:$D$75))),IF('TS-PILE'!$B$66="",-1E+99,'TO HOP NLAN'!D102/ncoc+IF(SUMSQ('TS-PILE'!$E$56:$E$75)=0,0,'TO HOP NLAN'!E102*'TS-PILE'!$E$66/SUMSQ('TS-PILE'!$E$56:$E$75))+IF(SUMSQ('TS-PILE'!$D$56:$D$75)=0,0,'TO HOP NLAN'!F102*'TS-PILE'!$D$66/SUMSQ('TS-PILE'!$D$56:$D$75))),IF('TS-PILE'!$B$67="",-1E+99,'TO HOP NLAN'!D102/ncoc+IF(SUMSQ('TS-PILE'!$E$56:$E$75)=0,0,'TO HOP NLAN'!E102*'TS-PILE'!$E$67/SUMSQ('TS-PILE'!$E$56:$E$75))+IF(SUMSQ('TS-PILE'!$D$56:$D$75)=0,0,'TO HOP NLAN'!F102*'TS-PILE'!$D$67/SUMSQ('TS-PILE'!$D$56:$D$75))),IF('TS-PILE'!$B$68="",-1E+99,'TO HOP NLAN'!D102/ncoc+IF(SUMSQ('TS-PILE'!$E$56:$E$75)=0,0,'TO HOP NLAN'!E102*'TS-PILE'!$E$68/SUMSQ('TS-PILE'!$E$56:$E$75))+IF(SUMSQ('TS-PILE'!$D$56:$D$75)=0,0,'TO HOP NLAN'!F102*'TS-PILE'!$D$68/SUMSQ('TS-PILE'!$D$56:$D$75))),IF('TS-PILE'!$B$69="",-1E+99,'TO HOP NLAN'!D102/ncoc+IF(SUMSQ('TS-PILE'!$E$56:$E$75)=0,0,'TO HOP NLAN'!E102*'TS-PILE'!$E$69/SUMSQ('TS-PILE'!$E$56:$E$75))+IF(SUMSQ('TS-PILE'!$D$56:$D$75)=0,0,'TO HOP NLAN'!F102*'TS-PILE'!$D$69/SUMSQ('TS-PILE'!$D$56:$D$75))),IF('TS-PILE'!$B$70="",-1E+99,'TO HOP NLAN'!D102/ncoc+IF(SUMSQ('TS-PILE'!$E$56:$E$75)=0,0,'TO HOP NLAN'!E102*'TS-PILE'!$E$70/SUMSQ('TS-PILE'!$E$56:$E$75))+IF(SUMSQ('TS-PILE'!$D$56:$D$75)=0,0,'TO HOP NLAN'!F102*'TS-PILE'!$D$70/SUMSQ('TS-PILE'!$D$56:$D$75))),IF('TS-PILE'!$B$71="",-1E+99,'TO HOP NLAN'!D102/ncoc+IF(SUMSQ('TS-PILE'!$E$56:$E$75)=0,0,'TO HOP NLAN'!E102*'TS-PILE'!$E$71/SUMSQ('TS-PILE'!$E$56:$E$75))+IF(SUMSQ('TS-PILE'!$D$56:$D$75)=0,0,'TO HOP NLAN'!F102*'TS-PILE'!$D$71/SUMSQ('TS-PILE'!$D$56:$D$75))),IF('TS-PILE'!$B$72="",-1E+99,'TO HOP NLAN'!D102/ncoc+IF(SUMSQ('TS-PILE'!$E$56:$E$75)=0,0,'TO HOP NLAN'!E102*'TS-PILE'!$E$72/SUMSQ('TS-PILE'!$E$56:$E$75))+IF(SUMSQ('TS-PILE'!$D$56:$D$75)=0,0,'TO HOP NLAN'!F102*'TS-PILE'!$D$72/SUMSQ('TS-PILE'!$D$56:$D$75))),IF('TS-PILE'!$B$73="",-1E+99,'TO HOP NLAN'!D102/ncoc+IF(SUMSQ('TS-PILE'!$E$56:$E$75)=0,0,'TO HOP NLAN'!E102*'TS-PILE'!$E$73/SUMSQ('TS-PILE'!$E$56:$E$75))+IF(SUMSQ('TS-PILE'!$D$56:$D$75)=0,0,'TO HOP NLAN'!F102*'TS-PILE'!$D$73/SUMSQ('TS-PILE'!$D$56:$D$75))),IF('TS-PILE'!$B$74="",-1E+99,'TO HOP NLAN'!D102/ncoc+IF(SUMSQ('TS-PILE'!$E$56:$E$75)=0,0,'TO HOP NLAN'!E102*'TS-PILE'!$E$74/SUMSQ('TS-PILE'!$E$56:$E$75))+IF(SUMSQ('TS-PILE'!$D$56:$D$75)=0,0,'TO HOP NLAN'!F102*'TS-PILE'!$D$74/SUMSQ('TS-PILE'!$D$56:$D$75))),IF('TS-PILE'!$B$75="",-1E+99,'TO HOP NLAN'!D102/ncoc+IF(SUMSQ('TS-PILE'!$E$56:$E$75)=0,0,'TO HOP NLAN'!E102*'TS-PILE'!$E$75/SUMSQ('TS-PILE'!$E$56:$E$75))+IF(SUMSQ('TS-PILE'!$D$56:$D$75)=0,0,'TO HOP NLAN'!F102*'TS-PILE'!$D$75/SUMSQ('TS-PILE'!$D$56:$D$75)))))</f>
        <v>0</v>
      </c>
      <c r="D102" s="46">
        <f>IF(A102="",0,MIN(IF('TS-PILE'!$B$56="",1E+99,'TO HOP NLAN'!D102/ncoc+IF(SUMSQ('TS-PILE'!$E$56:$E$75)=0,0,'TO HOP NLAN'!E102*'TS-PILE'!$E$56/SUMSQ('TS-PILE'!$E$56:$E$75))+IF(SUMSQ('TS-PILE'!$D$56:$D$75)=0,0,'TO HOP NLAN'!F102*'TS-PILE'!$D$56/SUMSQ('TS-PILE'!$D$56:$D$75))),IF('TS-PILE'!$B$57="",1E+99,'TO HOP NLAN'!D102/ncoc+IF(SUMSQ('TS-PILE'!$E$56:$E$75)=0,0,'TO HOP NLAN'!E102*'TS-PILE'!$E$57/SUMSQ('TS-PILE'!$E$56:$E$75))+IF(SUMSQ('TS-PILE'!$D$56:$D$75)=0,0,'TO HOP NLAN'!F102*'TS-PILE'!$D$57/SUMSQ('TS-PILE'!$D$56:$D$75))),IF('TS-PILE'!$B$58="",1E+99,'TO HOP NLAN'!D102/ncoc+IF(SUMSQ('TS-PILE'!$E$56:$E$75)=0,0,'TO HOP NLAN'!E102*'TS-PILE'!$E$58/SUMSQ('TS-PILE'!$E$56:$E$75))+IF(SUMSQ('TS-PILE'!$D$56:$D$75)=0,0,'TO HOP NLAN'!F102*'TS-PILE'!$D$58/SUMSQ('TS-PILE'!$D$56:$D$75))),IF('TS-PILE'!$B$59="",1E+99,'TO HOP NLAN'!D102/ncoc+IF(SUMSQ('TS-PILE'!$E$56:$E$75)=0,0,'TO HOP NLAN'!E102*'TS-PILE'!$E$59/SUMSQ('TS-PILE'!$E$56:$E$75))+IF(SUMSQ('TS-PILE'!$D$56:$D$75)=0,0,'TO HOP NLAN'!F102*'TS-PILE'!$D$59/SUMSQ('TS-PILE'!$D$56:$D$75))),IF('TS-PILE'!$B$60="",1E+99,'TO HOP NLAN'!D102/ncoc+IF(SUMSQ('TS-PILE'!$E$56:$E$75)=0,0,'TO HOP NLAN'!E102*'TS-PILE'!$E$60/SUMSQ('TS-PILE'!$E$56:$E$75))+IF(SUMSQ('TS-PILE'!$D$56:$D$75)=0,0,'TO HOP NLAN'!F102*'TS-PILE'!$D$60/SUMSQ('TS-PILE'!$D$56:$D$75))),IF('TS-PILE'!$B$61="",1E+99,'TO HOP NLAN'!D102/ncoc+IF(SUMSQ('TS-PILE'!$E$56:$E$75)=0,0,'TO HOP NLAN'!E102*'TS-PILE'!$E$61/SUMSQ('TS-PILE'!$E$56:$E$75))+IF(SUMSQ('TS-PILE'!$D$56:$D$75)=0,0,'TO HOP NLAN'!F102*'TS-PILE'!$D$61/SUMSQ('TS-PILE'!$D$56:$D$75))),IF('TS-PILE'!$B$62="",1E+99,'TO HOP NLAN'!D102/ncoc+IF(SUMSQ('TS-PILE'!$E$56:$E$75)=0,0,'TO HOP NLAN'!E102*'TS-PILE'!$E$62/SUMSQ('TS-PILE'!$E$56:$E$75))+IF(SUMSQ('TS-PILE'!$D$56:$D$75)=0,0,'TO HOP NLAN'!F102*'TS-PILE'!$D$62/SUMSQ('TS-PILE'!$D$56:$D$75))),IF('TS-PILE'!$B$63="",1E+99,'TO HOP NLAN'!D102/ncoc+IF(SUMSQ('TS-PILE'!$E$56:$E$75)=0,0,'TO HOP NLAN'!E102*'TS-PILE'!$E$63/SUMSQ('TS-PILE'!$E$56:$E$75))+IF(SUMSQ('TS-PILE'!$D$56:$D$75)=0,0,'TO HOP NLAN'!F102*'TS-PILE'!$D$63/SUMSQ('TS-PILE'!$D$56:$D$75))),IF('TS-PILE'!$B$64="",1E+99,'TO HOP NLAN'!D102/ncoc+IF(SUMSQ('TS-PILE'!$E$56:$E$75)=0,0,'TO HOP NLAN'!E102*'TS-PILE'!$E$64/SUMSQ('TS-PILE'!$E$56:$E$75))+IF(SUMSQ('TS-PILE'!$D$56:$D$75)=0,0,'TO HOP NLAN'!F102*'TS-PILE'!$D$64/SUMSQ('TS-PILE'!$D$56:$D$75))),IF('TS-PILE'!$B$65="",1E+99,'TO HOP NLAN'!D102/ncoc+IF(SUMSQ('TS-PILE'!$E$56:$E$75)=0,0,'TO HOP NLAN'!E102*'TS-PILE'!$E$65/SUMSQ('TS-PILE'!$E$56:$E$75))+IF(SUMSQ('TS-PILE'!$D$56:$D$75)=0,0,'TO HOP NLAN'!F102*'TS-PILE'!$D$65/SUMSQ('TS-PILE'!$D$56:$D$75))),IF('TS-PILE'!$B$66="",1E+99,'TO HOP NLAN'!D102/ncoc+IF(SUMSQ('TS-PILE'!$E$56:$E$75)=0,0,'TO HOP NLAN'!E102*'TS-PILE'!$E$66/SUMSQ('TS-PILE'!$E$56:$E$75))+IF(SUMSQ('TS-PILE'!$D$56:$D$75)=0,0,'TO HOP NLAN'!F102*'TS-PILE'!$D$66/SUMSQ('TS-PILE'!$D$56:$D$75))),IF('TS-PILE'!$B$67="",1E+99,'TO HOP NLAN'!D102/ncoc+IF(SUMSQ('TS-PILE'!$E$56:$E$75)=0,0,'TO HOP NLAN'!E102*'TS-PILE'!$E$67/SUMSQ('TS-PILE'!$E$56:$E$75))+IF(SUMSQ('TS-PILE'!$D$56:$D$75)=0,0,'TO HOP NLAN'!F102*'TS-PILE'!$D$67/SUMSQ('TS-PILE'!$D$56:$D$75))),IF('TS-PILE'!$B$68="",1E+99,'TO HOP NLAN'!D102/ncoc+IF(SUMSQ('TS-PILE'!$E$56:$E$75)=0,0,'TO HOP NLAN'!E102*'TS-PILE'!$E$68/SUMSQ('TS-PILE'!$E$56:$E$75))+IF(SUMSQ('TS-PILE'!$D$56:$D$75)=0,0,'TO HOP NLAN'!F102*'TS-PILE'!$D$68/SUMSQ('TS-PILE'!$D$56:$D$75))),IF('TS-PILE'!$B$69="",1E+99,'TO HOP NLAN'!D102/ncoc+IF(SUMSQ('TS-PILE'!$E$56:$E$75)=0,0,'TO HOP NLAN'!E102*'TS-PILE'!$E$69/SUMSQ('TS-PILE'!$E$56:$E$75))+IF(SUMSQ('TS-PILE'!$D$56:$D$75)=0,0,'TO HOP NLAN'!F102*'TS-PILE'!$D$69/SUMSQ('TS-PILE'!$D$56:$D$75))),IF('TS-PILE'!$B$70="",1E+99,'TO HOP NLAN'!D102/ncoc+IF(SUMSQ('TS-PILE'!$E$56:$E$75)=0,0,'TO HOP NLAN'!E102*'TS-PILE'!$E$70/SUMSQ('TS-PILE'!$E$56:$E$75))+IF(SUMSQ('TS-PILE'!$D$56:$D$75)=0,0,'TO HOP NLAN'!F102*'TS-PILE'!$D$70/SUMSQ('TS-PILE'!$D$56:$D$75))),IF('TS-PILE'!$B$71="",1E+99,'TO HOP NLAN'!D102/ncoc+IF(SUMSQ('TS-PILE'!$E$56:$E$75)=0,0,'TO HOP NLAN'!E102*'TS-PILE'!$E$71/SUMSQ('TS-PILE'!$E$56:$E$75))+IF(SUMSQ('TS-PILE'!$D$56:$D$75)=0,0,'TO HOP NLAN'!F102*'TS-PILE'!$D$71/SUMSQ('TS-PILE'!$D$56:$D$75))),IF('TS-PILE'!$B$72="",1E+99,'TO HOP NLAN'!D102/ncoc+IF(SUMSQ('TS-PILE'!$E$56:$E$75)=0,0,'TO HOP NLAN'!E102*'TS-PILE'!$E$72/SUMSQ('TS-PILE'!$E$56:$E$75))+IF(SUMSQ('TS-PILE'!$D$56:$D$75)=0,0,'TO HOP NLAN'!F102*'TS-PILE'!$D$72/SUMSQ('TS-PILE'!$D$56:$D$75))),IF('TS-PILE'!$B$73="",1E+99,'TO HOP NLAN'!D102/ncoc+IF(SUMSQ('TS-PILE'!$E$56:$E$75)=0,0,'TO HOP NLAN'!E102*'TS-PILE'!$E$73/SUMSQ('TS-PILE'!$E$56:$E$75))+IF(SUMSQ('TS-PILE'!$D$56:$D$75)=0,0,'TO HOP NLAN'!F102*'TS-PILE'!$D$73/SUMSQ('TS-PILE'!$D$56:$D$75))),IF('TS-PILE'!$B$74="",1E+99,'TO HOP NLAN'!D102/ncoc+IF(SUMSQ('TS-PILE'!$E$56:$E$75)=0,0,'TO HOP NLAN'!E102*'TS-PILE'!$E$74/SUMSQ('TS-PILE'!$E$56:$E$75))+IF(SUMSQ('TS-PILE'!$D$56:$D$75)=0,0,'TO HOP NLAN'!F102*'TS-PILE'!$D$74/SUMSQ('TS-PILE'!$D$56:$D$75))),IF('TS-PILE'!$B$75="",1E+99,'TO HOP NLAN'!D102/ncoc+IF(SUMSQ('TS-PILE'!$E$56:$E$75)=0,0,'TO HOP NLAN'!E102*'TS-PILE'!$E$75/SUMSQ('TS-PILE'!$E$56:$E$75))+IF(SUMSQ('TS-PILE'!$D$56:$D$75)=0,0,'TO HOP NLAN'!F102*'TS-PILE'!$D$75/SUMSQ('TS-PILE'!$D$56:$D$75)))))</f>
        <v>0</v>
      </c>
      <c r="E102" s="46">
        <f t="shared" si="4"/>
        <v>-9.9999999999999997E+98</v>
      </c>
      <c r="F102" s="46">
        <f t="shared" si="5"/>
        <v>9.9999999999999997E+98</v>
      </c>
      <c r="G102" s="46">
        <f t="shared" si="6"/>
        <v>-9.9999999999999997E+98</v>
      </c>
      <c r="H102" s="46">
        <f t="shared" si="7"/>
        <v>9.9999999999999997E+98</v>
      </c>
    </row>
    <row r="103" spans="1:8" x14ac:dyDescent="0.3">
      <c r="A103" s="40" t="str">
        <f>'TO HOP NLAN'!A103</f>
        <v/>
      </c>
      <c r="B103" s="40" t="str">
        <f>'TO HOP NLAN'!L103</f>
        <v>STRENGTH</v>
      </c>
      <c r="C103" s="46">
        <f>IF(A103="",0,MAX(IF('TS-PILE'!$B$56="",-1E+99,'TO HOP NLAN'!D103/ncoc+IF(SUMSQ('TS-PILE'!$E$56:$E$75)=0,0,'TO HOP NLAN'!E103*'TS-PILE'!$E$56/SUMSQ('TS-PILE'!$E$56:$E$75))+IF(SUMSQ('TS-PILE'!$D$56:$D$75)=0,0,'TO HOP NLAN'!F103*'TS-PILE'!$D$56/SUMSQ('TS-PILE'!$D$56:$D$75))),IF('TS-PILE'!$B$57="",-1E+99,'TO HOP NLAN'!D103/ncoc+IF(SUMSQ('TS-PILE'!$E$56:$E$75)=0,0,'TO HOP NLAN'!E103*'TS-PILE'!$E$57/SUMSQ('TS-PILE'!$E$56:$E$75))+IF(SUMSQ('TS-PILE'!$D$56:$D$75)=0,0,'TO HOP NLAN'!F103*'TS-PILE'!$D$57/SUMSQ('TS-PILE'!$D$56:$D$75))),IF('TS-PILE'!$B$58="",-1E+99,'TO HOP NLAN'!D103/ncoc+IF(SUMSQ('TS-PILE'!$E$56:$E$75)=0,0,'TO HOP NLAN'!E103*'TS-PILE'!$E$58/SUMSQ('TS-PILE'!$E$56:$E$75))+IF(SUMSQ('TS-PILE'!$D$56:$D$75)=0,0,'TO HOP NLAN'!F103*'TS-PILE'!$D$58/SUMSQ('TS-PILE'!$D$56:$D$75))),IF('TS-PILE'!$B$59="",-1E+99,'TO HOP NLAN'!D103/ncoc+IF(SUMSQ('TS-PILE'!$E$56:$E$75)=0,0,'TO HOP NLAN'!E103*'TS-PILE'!$E$59/SUMSQ('TS-PILE'!$E$56:$E$75))+IF(SUMSQ('TS-PILE'!$D$56:$D$75)=0,0,'TO HOP NLAN'!F103*'TS-PILE'!$D$59/SUMSQ('TS-PILE'!$D$56:$D$75))),IF('TS-PILE'!$B$60="",-1E+99,'TO HOP NLAN'!D103/ncoc+IF(SUMSQ('TS-PILE'!$E$56:$E$75)=0,0,'TO HOP NLAN'!E103*'TS-PILE'!$E$60/SUMSQ('TS-PILE'!$E$56:$E$75))+IF(SUMSQ('TS-PILE'!$D$56:$D$75)=0,0,'TO HOP NLAN'!F103*'TS-PILE'!$D$60/SUMSQ('TS-PILE'!$D$56:$D$75))),IF('TS-PILE'!$B$61="",-1E+99,'TO HOP NLAN'!D103/ncoc+IF(SUMSQ('TS-PILE'!$E$56:$E$75)=0,0,'TO HOP NLAN'!E103*'TS-PILE'!$E$61/SUMSQ('TS-PILE'!$E$56:$E$75))+IF(SUMSQ('TS-PILE'!$D$56:$D$75)=0,0,'TO HOP NLAN'!F103*'TS-PILE'!$D$61/SUMSQ('TS-PILE'!$D$56:$D$75))),IF('TS-PILE'!$B$62="",-1E+99,'TO HOP NLAN'!D103/ncoc+IF(SUMSQ('TS-PILE'!$E$56:$E$75)=0,0,'TO HOP NLAN'!E103*'TS-PILE'!$E$62/SUMSQ('TS-PILE'!$E$56:$E$75))+IF(SUMSQ('TS-PILE'!$D$56:$D$75)=0,0,'TO HOP NLAN'!F103*'TS-PILE'!$D$62/SUMSQ('TS-PILE'!$D$56:$D$75))),IF('TS-PILE'!$B$63="",-1E+99,'TO HOP NLAN'!D103/ncoc+IF(SUMSQ('TS-PILE'!$E$56:$E$75)=0,0,'TO HOP NLAN'!E103*'TS-PILE'!$E$63/SUMSQ('TS-PILE'!$E$56:$E$75))+IF(SUMSQ('TS-PILE'!$D$56:$D$75)=0,0,'TO HOP NLAN'!F103*'TS-PILE'!$D$63/SUMSQ('TS-PILE'!$D$56:$D$75))),IF('TS-PILE'!$B$64="",-1E+99,'TO HOP NLAN'!D103/ncoc+IF(SUMSQ('TS-PILE'!$E$56:$E$75)=0,0,'TO HOP NLAN'!E103*'TS-PILE'!$E$64/SUMSQ('TS-PILE'!$E$56:$E$75))+IF(SUMSQ('TS-PILE'!$D$56:$D$75)=0,0,'TO HOP NLAN'!F103*'TS-PILE'!$D$64/SUMSQ('TS-PILE'!$D$56:$D$75))),IF('TS-PILE'!$B$65="",-1E+99,'TO HOP NLAN'!D103/ncoc+IF(SUMSQ('TS-PILE'!$E$56:$E$75)=0,0,'TO HOP NLAN'!E103*'TS-PILE'!$E$65/SUMSQ('TS-PILE'!$E$56:$E$75))+IF(SUMSQ('TS-PILE'!$D$56:$D$75)=0,0,'TO HOP NLAN'!F103*'TS-PILE'!$D$65/SUMSQ('TS-PILE'!$D$56:$D$75))),IF('TS-PILE'!$B$66="",-1E+99,'TO HOP NLAN'!D103/ncoc+IF(SUMSQ('TS-PILE'!$E$56:$E$75)=0,0,'TO HOP NLAN'!E103*'TS-PILE'!$E$66/SUMSQ('TS-PILE'!$E$56:$E$75))+IF(SUMSQ('TS-PILE'!$D$56:$D$75)=0,0,'TO HOP NLAN'!F103*'TS-PILE'!$D$66/SUMSQ('TS-PILE'!$D$56:$D$75))),IF('TS-PILE'!$B$67="",-1E+99,'TO HOP NLAN'!D103/ncoc+IF(SUMSQ('TS-PILE'!$E$56:$E$75)=0,0,'TO HOP NLAN'!E103*'TS-PILE'!$E$67/SUMSQ('TS-PILE'!$E$56:$E$75))+IF(SUMSQ('TS-PILE'!$D$56:$D$75)=0,0,'TO HOP NLAN'!F103*'TS-PILE'!$D$67/SUMSQ('TS-PILE'!$D$56:$D$75))),IF('TS-PILE'!$B$68="",-1E+99,'TO HOP NLAN'!D103/ncoc+IF(SUMSQ('TS-PILE'!$E$56:$E$75)=0,0,'TO HOP NLAN'!E103*'TS-PILE'!$E$68/SUMSQ('TS-PILE'!$E$56:$E$75))+IF(SUMSQ('TS-PILE'!$D$56:$D$75)=0,0,'TO HOP NLAN'!F103*'TS-PILE'!$D$68/SUMSQ('TS-PILE'!$D$56:$D$75))),IF('TS-PILE'!$B$69="",-1E+99,'TO HOP NLAN'!D103/ncoc+IF(SUMSQ('TS-PILE'!$E$56:$E$75)=0,0,'TO HOP NLAN'!E103*'TS-PILE'!$E$69/SUMSQ('TS-PILE'!$E$56:$E$75))+IF(SUMSQ('TS-PILE'!$D$56:$D$75)=0,0,'TO HOP NLAN'!F103*'TS-PILE'!$D$69/SUMSQ('TS-PILE'!$D$56:$D$75))),IF('TS-PILE'!$B$70="",-1E+99,'TO HOP NLAN'!D103/ncoc+IF(SUMSQ('TS-PILE'!$E$56:$E$75)=0,0,'TO HOP NLAN'!E103*'TS-PILE'!$E$70/SUMSQ('TS-PILE'!$E$56:$E$75))+IF(SUMSQ('TS-PILE'!$D$56:$D$75)=0,0,'TO HOP NLAN'!F103*'TS-PILE'!$D$70/SUMSQ('TS-PILE'!$D$56:$D$75))),IF('TS-PILE'!$B$71="",-1E+99,'TO HOP NLAN'!D103/ncoc+IF(SUMSQ('TS-PILE'!$E$56:$E$75)=0,0,'TO HOP NLAN'!E103*'TS-PILE'!$E$71/SUMSQ('TS-PILE'!$E$56:$E$75))+IF(SUMSQ('TS-PILE'!$D$56:$D$75)=0,0,'TO HOP NLAN'!F103*'TS-PILE'!$D$71/SUMSQ('TS-PILE'!$D$56:$D$75))),IF('TS-PILE'!$B$72="",-1E+99,'TO HOP NLAN'!D103/ncoc+IF(SUMSQ('TS-PILE'!$E$56:$E$75)=0,0,'TO HOP NLAN'!E103*'TS-PILE'!$E$72/SUMSQ('TS-PILE'!$E$56:$E$75))+IF(SUMSQ('TS-PILE'!$D$56:$D$75)=0,0,'TO HOP NLAN'!F103*'TS-PILE'!$D$72/SUMSQ('TS-PILE'!$D$56:$D$75))),IF('TS-PILE'!$B$73="",-1E+99,'TO HOP NLAN'!D103/ncoc+IF(SUMSQ('TS-PILE'!$E$56:$E$75)=0,0,'TO HOP NLAN'!E103*'TS-PILE'!$E$73/SUMSQ('TS-PILE'!$E$56:$E$75))+IF(SUMSQ('TS-PILE'!$D$56:$D$75)=0,0,'TO HOP NLAN'!F103*'TS-PILE'!$D$73/SUMSQ('TS-PILE'!$D$56:$D$75))),IF('TS-PILE'!$B$74="",-1E+99,'TO HOP NLAN'!D103/ncoc+IF(SUMSQ('TS-PILE'!$E$56:$E$75)=0,0,'TO HOP NLAN'!E103*'TS-PILE'!$E$74/SUMSQ('TS-PILE'!$E$56:$E$75))+IF(SUMSQ('TS-PILE'!$D$56:$D$75)=0,0,'TO HOP NLAN'!F103*'TS-PILE'!$D$74/SUMSQ('TS-PILE'!$D$56:$D$75))),IF('TS-PILE'!$B$75="",-1E+99,'TO HOP NLAN'!D103/ncoc+IF(SUMSQ('TS-PILE'!$E$56:$E$75)=0,0,'TO HOP NLAN'!E103*'TS-PILE'!$E$75/SUMSQ('TS-PILE'!$E$56:$E$75))+IF(SUMSQ('TS-PILE'!$D$56:$D$75)=0,0,'TO HOP NLAN'!F103*'TS-PILE'!$D$75/SUMSQ('TS-PILE'!$D$56:$D$75)))))</f>
        <v>0</v>
      </c>
      <c r="D103" s="46">
        <f>IF(A103="",0,MIN(IF('TS-PILE'!$B$56="",1E+99,'TO HOP NLAN'!D103/ncoc+IF(SUMSQ('TS-PILE'!$E$56:$E$75)=0,0,'TO HOP NLAN'!E103*'TS-PILE'!$E$56/SUMSQ('TS-PILE'!$E$56:$E$75))+IF(SUMSQ('TS-PILE'!$D$56:$D$75)=0,0,'TO HOP NLAN'!F103*'TS-PILE'!$D$56/SUMSQ('TS-PILE'!$D$56:$D$75))),IF('TS-PILE'!$B$57="",1E+99,'TO HOP NLAN'!D103/ncoc+IF(SUMSQ('TS-PILE'!$E$56:$E$75)=0,0,'TO HOP NLAN'!E103*'TS-PILE'!$E$57/SUMSQ('TS-PILE'!$E$56:$E$75))+IF(SUMSQ('TS-PILE'!$D$56:$D$75)=0,0,'TO HOP NLAN'!F103*'TS-PILE'!$D$57/SUMSQ('TS-PILE'!$D$56:$D$75))),IF('TS-PILE'!$B$58="",1E+99,'TO HOP NLAN'!D103/ncoc+IF(SUMSQ('TS-PILE'!$E$56:$E$75)=0,0,'TO HOP NLAN'!E103*'TS-PILE'!$E$58/SUMSQ('TS-PILE'!$E$56:$E$75))+IF(SUMSQ('TS-PILE'!$D$56:$D$75)=0,0,'TO HOP NLAN'!F103*'TS-PILE'!$D$58/SUMSQ('TS-PILE'!$D$56:$D$75))),IF('TS-PILE'!$B$59="",1E+99,'TO HOP NLAN'!D103/ncoc+IF(SUMSQ('TS-PILE'!$E$56:$E$75)=0,0,'TO HOP NLAN'!E103*'TS-PILE'!$E$59/SUMSQ('TS-PILE'!$E$56:$E$75))+IF(SUMSQ('TS-PILE'!$D$56:$D$75)=0,0,'TO HOP NLAN'!F103*'TS-PILE'!$D$59/SUMSQ('TS-PILE'!$D$56:$D$75))),IF('TS-PILE'!$B$60="",1E+99,'TO HOP NLAN'!D103/ncoc+IF(SUMSQ('TS-PILE'!$E$56:$E$75)=0,0,'TO HOP NLAN'!E103*'TS-PILE'!$E$60/SUMSQ('TS-PILE'!$E$56:$E$75))+IF(SUMSQ('TS-PILE'!$D$56:$D$75)=0,0,'TO HOP NLAN'!F103*'TS-PILE'!$D$60/SUMSQ('TS-PILE'!$D$56:$D$75))),IF('TS-PILE'!$B$61="",1E+99,'TO HOP NLAN'!D103/ncoc+IF(SUMSQ('TS-PILE'!$E$56:$E$75)=0,0,'TO HOP NLAN'!E103*'TS-PILE'!$E$61/SUMSQ('TS-PILE'!$E$56:$E$75))+IF(SUMSQ('TS-PILE'!$D$56:$D$75)=0,0,'TO HOP NLAN'!F103*'TS-PILE'!$D$61/SUMSQ('TS-PILE'!$D$56:$D$75))),IF('TS-PILE'!$B$62="",1E+99,'TO HOP NLAN'!D103/ncoc+IF(SUMSQ('TS-PILE'!$E$56:$E$75)=0,0,'TO HOP NLAN'!E103*'TS-PILE'!$E$62/SUMSQ('TS-PILE'!$E$56:$E$75))+IF(SUMSQ('TS-PILE'!$D$56:$D$75)=0,0,'TO HOP NLAN'!F103*'TS-PILE'!$D$62/SUMSQ('TS-PILE'!$D$56:$D$75))),IF('TS-PILE'!$B$63="",1E+99,'TO HOP NLAN'!D103/ncoc+IF(SUMSQ('TS-PILE'!$E$56:$E$75)=0,0,'TO HOP NLAN'!E103*'TS-PILE'!$E$63/SUMSQ('TS-PILE'!$E$56:$E$75))+IF(SUMSQ('TS-PILE'!$D$56:$D$75)=0,0,'TO HOP NLAN'!F103*'TS-PILE'!$D$63/SUMSQ('TS-PILE'!$D$56:$D$75))),IF('TS-PILE'!$B$64="",1E+99,'TO HOP NLAN'!D103/ncoc+IF(SUMSQ('TS-PILE'!$E$56:$E$75)=0,0,'TO HOP NLAN'!E103*'TS-PILE'!$E$64/SUMSQ('TS-PILE'!$E$56:$E$75))+IF(SUMSQ('TS-PILE'!$D$56:$D$75)=0,0,'TO HOP NLAN'!F103*'TS-PILE'!$D$64/SUMSQ('TS-PILE'!$D$56:$D$75))),IF('TS-PILE'!$B$65="",1E+99,'TO HOP NLAN'!D103/ncoc+IF(SUMSQ('TS-PILE'!$E$56:$E$75)=0,0,'TO HOP NLAN'!E103*'TS-PILE'!$E$65/SUMSQ('TS-PILE'!$E$56:$E$75))+IF(SUMSQ('TS-PILE'!$D$56:$D$75)=0,0,'TO HOP NLAN'!F103*'TS-PILE'!$D$65/SUMSQ('TS-PILE'!$D$56:$D$75))),IF('TS-PILE'!$B$66="",1E+99,'TO HOP NLAN'!D103/ncoc+IF(SUMSQ('TS-PILE'!$E$56:$E$75)=0,0,'TO HOP NLAN'!E103*'TS-PILE'!$E$66/SUMSQ('TS-PILE'!$E$56:$E$75))+IF(SUMSQ('TS-PILE'!$D$56:$D$75)=0,0,'TO HOP NLAN'!F103*'TS-PILE'!$D$66/SUMSQ('TS-PILE'!$D$56:$D$75))),IF('TS-PILE'!$B$67="",1E+99,'TO HOP NLAN'!D103/ncoc+IF(SUMSQ('TS-PILE'!$E$56:$E$75)=0,0,'TO HOP NLAN'!E103*'TS-PILE'!$E$67/SUMSQ('TS-PILE'!$E$56:$E$75))+IF(SUMSQ('TS-PILE'!$D$56:$D$75)=0,0,'TO HOP NLAN'!F103*'TS-PILE'!$D$67/SUMSQ('TS-PILE'!$D$56:$D$75))),IF('TS-PILE'!$B$68="",1E+99,'TO HOP NLAN'!D103/ncoc+IF(SUMSQ('TS-PILE'!$E$56:$E$75)=0,0,'TO HOP NLAN'!E103*'TS-PILE'!$E$68/SUMSQ('TS-PILE'!$E$56:$E$75))+IF(SUMSQ('TS-PILE'!$D$56:$D$75)=0,0,'TO HOP NLAN'!F103*'TS-PILE'!$D$68/SUMSQ('TS-PILE'!$D$56:$D$75))),IF('TS-PILE'!$B$69="",1E+99,'TO HOP NLAN'!D103/ncoc+IF(SUMSQ('TS-PILE'!$E$56:$E$75)=0,0,'TO HOP NLAN'!E103*'TS-PILE'!$E$69/SUMSQ('TS-PILE'!$E$56:$E$75))+IF(SUMSQ('TS-PILE'!$D$56:$D$75)=0,0,'TO HOP NLAN'!F103*'TS-PILE'!$D$69/SUMSQ('TS-PILE'!$D$56:$D$75))),IF('TS-PILE'!$B$70="",1E+99,'TO HOP NLAN'!D103/ncoc+IF(SUMSQ('TS-PILE'!$E$56:$E$75)=0,0,'TO HOP NLAN'!E103*'TS-PILE'!$E$70/SUMSQ('TS-PILE'!$E$56:$E$75))+IF(SUMSQ('TS-PILE'!$D$56:$D$75)=0,0,'TO HOP NLAN'!F103*'TS-PILE'!$D$70/SUMSQ('TS-PILE'!$D$56:$D$75))),IF('TS-PILE'!$B$71="",1E+99,'TO HOP NLAN'!D103/ncoc+IF(SUMSQ('TS-PILE'!$E$56:$E$75)=0,0,'TO HOP NLAN'!E103*'TS-PILE'!$E$71/SUMSQ('TS-PILE'!$E$56:$E$75))+IF(SUMSQ('TS-PILE'!$D$56:$D$75)=0,0,'TO HOP NLAN'!F103*'TS-PILE'!$D$71/SUMSQ('TS-PILE'!$D$56:$D$75))),IF('TS-PILE'!$B$72="",1E+99,'TO HOP NLAN'!D103/ncoc+IF(SUMSQ('TS-PILE'!$E$56:$E$75)=0,0,'TO HOP NLAN'!E103*'TS-PILE'!$E$72/SUMSQ('TS-PILE'!$E$56:$E$75))+IF(SUMSQ('TS-PILE'!$D$56:$D$75)=0,0,'TO HOP NLAN'!F103*'TS-PILE'!$D$72/SUMSQ('TS-PILE'!$D$56:$D$75))),IF('TS-PILE'!$B$73="",1E+99,'TO HOP NLAN'!D103/ncoc+IF(SUMSQ('TS-PILE'!$E$56:$E$75)=0,0,'TO HOP NLAN'!E103*'TS-PILE'!$E$73/SUMSQ('TS-PILE'!$E$56:$E$75))+IF(SUMSQ('TS-PILE'!$D$56:$D$75)=0,0,'TO HOP NLAN'!F103*'TS-PILE'!$D$73/SUMSQ('TS-PILE'!$D$56:$D$75))),IF('TS-PILE'!$B$74="",1E+99,'TO HOP NLAN'!D103/ncoc+IF(SUMSQ('TS-PILE'!$E$56:$E$75)=0,0,'TO HOP NLAN'!E103*'TS-PILE'!$E$74/SUMSQ('TS-PILE'!$E$56:$E$75))+IF(SUMSQ('TS-PILE'!$D$56:$D$75)=0,0,'TO HOP NLAN'!F103*'TS-PILE'!$D$74/SUMSQ('TS-PILE'!$D$56:$D$75))),IF('TS-PILE'!$B$75="",1E+99,'TO HOP NLAN'!D103/ncoc+IF(SUMSQ('TS-PILE'!$E$56:$E$75)=0,0,'TO HOP NLAN'!E103*'TS-PILE'!$E$75/SUMSQ('TS-PILE'!$E$56:$E$75))+IF(SUMSQ('TS-PILE'!$D$56:$D$75)=0,0,'TO HOP NLAN'!F103*'TS-PILE'!$D$75/SUMSQ('TS-PILE'!$D$56:$D$75)))))</f>
        <v>0</v>
      </c>
      <c r="E103" s="46">
        <f t="shared" si="4"/>
        <v>-9.9999999999999997E+98</v>
      </c>
      <c r="F103" s="46">
        <f t="shared" si="5"/>
        <v>9.9999999999999997E+98</v>
      </c>
      <c r="G103" s="46">
        <f t="shared" si="6"/>
        <v>-9.9999999999999997E+98</v>
      </c>
      <c r="H103" s="46">
        <f t="shared" si="7"/>
        <v>9.9999999999999997E+98</v>
      </c>
    </row>
    <row r="104" spans="1:8" x14ac:dyDescent="0.3">
      <c r="A104" s="40" t="str">
        <f>'TO HOP NLAN'!A104</f>
        <v/>
      </c>
      <c r="B104" s="40" t="str">
        <f>'TO HOP NLAN'!L104</f>
        <v>STRENGTH</v>
      </c>
      <c r="C104" s="46">
        <f>IF(A104="",0,MAX(IF('TS-PILE'!$B$56="",-1E+99,'TO HOP NLAN'!D104/ncoc+IF(SUMSQ('TS-PILE'!$E$56:$E$75)=0,0,'TO HOP NLAN'!E104*'TS-PILE'!$E$56/SUMSQ('TS-PILE'!$E$56:$E$75))+IF(SUMSQ('TS-PILE'!$D$56:$D$75)=0,0,'TO HOP NLAN'!F104*'TS-PILE'!$D$56/SUMSQ('TS-PILE'!$D$56:$D$75))),IF('TS-PILE'!$B$57="",-1E+99,'TO HOP NLAN'!D104/ncoc+IF(SUMSQ('TS-PILE'!$E$56:$E$75)=0,0,'TO HOP NLAN'!E104*'TS-PILE'!$E$57/SUMSQ('TS-PILE'!$E$56:$E$75))+IF(SUMSQ('TS-PILE'!$D$56:$D$75)=0,0,'TO HOP NLAN'!F104*'TS-PILE'!$D$57/SUMSQ('TS-PILE'!$D$56:$D$75))),IF('TS-PILE'!$B$58="",-1E+99,'TO HOP NLAN'!D104/ncoc+IF(SUMSQ('TS-PILE'!$E$56:$E$75)=0,0,'TO HOP NLAN'!E104*'TS-PILE'!$E$58/SUMSQ('TS-PILE'!$E$56:$E$75))+IF(SUMSQ('TS-PILE'!$D$56:$D$75)=0,0,'TO HOP NLAN'!F104*'TS-PILE'!$D$58/SUMSQ('TS-PILE'!$D$56:$D$75))),IF('TS-PILE'!$B$59="",-1E+99,'TO HOP NLAN'!D104/ncoc+IF(SUMSQ('TS-PILE'!$E$56:$E$75)=0,0,'TO HOP NLAN'!E104*'TS-PILE'!$E$59/SUMSQ('TS-PILE'!$E$56:$E$75))+IF(SUMSQ('TS-PILE'!$D$56:$D$75)=0,0,'TO HOP NLAN'!F104*'TS-PILE'!$D$59/SUMSQ('TS-PILE'!$D$56:$D$75))),IF('TS-PILE'!$B$60="",-1E+99,'TO HOP NLAN'!D104/ncoc+IF(SUMSQ('TS-PILE'!$E$56:$E$75)=0,0,'TO HOP NLAN'!E104*'TS-PILE'!$E$60/SUMSQ('TS-PILE'!$E$56:$E$75))+IF(SUMSQ('TS-PILE'!$D$56:$D$75)=0,0,'TO HOP NLAN'!F104*'TS-PILE'!$D$60/SUMSQ('TS-PILE'!$D$56:$D$75))),IF('TS-PILE'!$B$61="",-1E+99,'TO HOP NLAN'!D104/ncoc+IF(SUMSQ('TS-PILE'!$E$56:$E$75)=0,0,'TO HOP NLAN'!E104*'TS-PILE'!$E$61/SUMSQ('TS-PILE'!$E$56:$E$75))+IF(SUMSQ('TS-PILE'!$D$56:$D$75)=0,0,'TO HOP NLAN'!F104*'TS-PILE'!$D$61/SUMSQ('TS-PILE'!$D$56:$D$75))),IF('TS-PILE'!$B$62="",-1E+99,'TO HOP NLAN'!D104/ncoc+IF(SUMSQ('TS-PILE'!$E$56:$E$75)=0,0,'TO HOP NLAN'!E104*'TS-PILE'!$E$62/SUMSQ('TS-PILE'!$E$56:$E$75))+IF(SUMSQ('TS-PILE'!$D$56:$D$75)=0,0,'TO HOP NLAN'!F104*'TS-PILE'!$D$62/SUMSQ('TS-PILE'!$D$56:$D$75))),IF('TS-PILE'!$B$63="",-1E+99,'TO HOP NLAN'!D104/ncoc+IF(SUMSQ('TS-PILE'!$E$56:$E$75)=0,0,'TO HOP NLAN'!E104*'TS-PILE'!$E$63/SUMSQ('TS-PILE'!$E$56:$E$75))+IF(SUMSQ('TS-PILE'!$D$56:$D$75)=0,0,'TO HOP NLAN'!F104*'TS-PILE'!$D$63/SUMSQ('TS-PILE'!$D$56:$D$75))),IF('TS-PILE'!$B$64="",-1E+99,'TO HOP NLAN'!D104/ncoc+IF(SUMSQ('TS-PILE'!$E$56:$E$75)=0,0,'TO HOP NLAN'!E104*'TS-PILE'!$E$64/SUMSQ('TS-PILE'!$E$56:$E$75))+IF(SUMSQ('TS-PILE'!$D$56:$D$75)=0,0,'TO HOP NLAN'!F104*'TS-PILE'!$D$64/SUMSQ('TS-PILE'!$D$56:$D$75))),IF('TS-PILE'!$B$65="",-1E+99,'TO HOP NLAN'!D104/ncoc+IF(SUMSQ('TS-PILE'!$E$56:$E$75)=0,0,'TO HOP NLAN'!E104*'TS-PILE'!$E$65/SUMSQ('TS-PILE'!$E$56:$E$75))+IF(SUMSQ('TS-PILE'!$D$56:$D$75)=0,0,'TO HOP NLAN'!F104*'TS-PILE'!$D$65/SUMSQ('TS-PILE'!$D$56:$D$75))),IF('TS-PILE'!$B$66="",-1E+99,'TO HOP NLAN'!D104/ncoc+IF(SUMSQ('TS-PILE'!$E$56:$E$75)=0,0,'TO HOP NLAN'!E104*'TS-PILE'!$E$66/SUMSQ('TS-PILE'!$E$56:$E$75))+IF(SUMSQ('TS-PILE'!$D$56:$D$75)=0,0,'TO HOP NLAN'!F104*'TS-PILE'!$D$66/SUMSQ('TS-PILE'!$D$56:$D$75))),IF('TS-PILE'!$B$67="",-1E+99,'TO HOP NLAN'!D104/ncoc+IF(SUMSQ('TS-PILE'!$E$56:$E$75)=0,0,'TO HOP NLAN'!E104*'TS-PILE'!$E$67/SUMSQ('TS-PILE'!$E$56:$E$75))+IF(SUMSQ('TS-PILE'!$D$56:$D$75)=0,0,'TO HOP NLAN'!F104*'TS-PILE'!$D$67/SUMSQ('TS-PILE'!$D$56:$D$75))),IF('TS-PILE'!$B$68="",-1E+99,'TO HOP NLAN'!D104/ncoc+IF(SUMSQ('TS-PILE'!$E$56:$E$75)=0,0,'TO HOP NLAN'!E104*'TS-PILE'!$E$68/SUMSQ('TS-PILE'!$E$56:$E$75))+IF(SUMSQ('TS-PILE'!$D$56:$D$75)=0,0,'TO HOP NLAN'!F104*'TS-PILE'!$D$68/SUMSQ('TS-PILE'!$D$56:$D$75))),IF('TS-PILE'!$B$69="",-1E+99,'TO HOP NLAN'!D104/ncoc+IF(SUMSQ('TS-PILE'!$E$56:$E$75)=0,0,'TO HOP NLAN'!E104*'TS-PILE'!$E$69/SUMSQ('TS-PILE'!$E$56:$E$75))+IF(SUMSQ('TS-PILE'!$D$56:$D$75)=0,0,'TO HOP NLAN'!F104*'TS-PILE'!$D$69/SUMSQ('TS-PILE'!$D$56:$D$75))),IF('TS-PILE'!$B$70="",-1E+99,'TO HOP NLAN'!D104/ncoc+IF(SUMSQ('TS-PILE'!$E$56:$E$75)=0,0,'TO HOP NLAN'!E104*'TS-PILE'!$E$70/SUMSQ('TS-PILE'!$E$56:$E$75))+IF(SUMSQ('TS-PILE'!$D$56:$D$75)=0,0,'TO HOP NLAN'!F104*'TS-PILE'!$D$70/SUMSQ('TS-PILE'!$D$56:$D$75))),IF('TS-PILE'!$B$71="",-1E+99,'TO HOP NLAN'!D104/ncoc+IF(SUMSQ('TS-PILE'!$E$56:$E$75)=0,0,'TO HOP NLAN'!E104*'TS-PILE'!$E$71/SUMSQ('TS-PILE'!$E$56:$E$75))+IF(SUMSQ('TS-PILE'!$D$56:$D$75)=0,0,'TO HOP NLAN'!F104*'TS-PILE'!$D$71/SUMSQ('TS-PILE'!$D$56:$D$75))),IF('TS-PILE'!$B$72="",-1E+99,'TO HOP NLAN'!D104/ncoc+IF(SUMSQ('TS-PILE'!$E$56:$E$75)=0,0,'TO HOP NLAN'!E104*'TS-PILE'!$E$72/SUMSQ('TS-PILE'!$E$56:$E$75))+IF(SUMSQ('TS-PILE'!$D$56:$D$75)=0,0,'TO HOP NLAN'!F104*'TS-PILE'!$D$72/SUMSQ('TS-PILE'!$D$56:$D$75))),IF('TS-PILE'!$B$73="",-1E+99,'TO HOP NLAN'!D104/ncoc+IF(SUMSQ('TS-PILE'!$E$56:$E$75)=0,0,'TO HOP NLAN'!E104*'TS-PILE'!$E$73/SUMSQ('TS-PILE'!$E$56:$E$75))+IF(SUMSQ('TS-PILE'!$D$56:$D$75)=0,0,'TO HOP NLAN'!F104*'TS-PILE'!$D$73/SUMSQ('TS-PILE'!$D$56:$D$75))),IF('TS-PILE'!$B$74="",-1E+99,'TO HOP NLAN'!D104/ncoc+IF(SUMSQ('TS-PILE'!$E$56:$E$75)=0,0,'TO HOP NLAN'!E104*'TS-PILE'!$E$74/SUMSQ('TS-PILE'!$E$56:$E$75))+IF(SUMSQ('TS-PILE'!$D$56:$D$75)=0,0,'TO HOP NLAN'!F104*'TS-PILE'!$D$74/SUMSQ('TS-PILE'!$D$56:$D$75))),IF('TS-PILE'!$B$75="",-1E+99,'TO HOP NLAN'!D104/ncoc+IF(SUMSQ('TS-PILE'!$E$56:$E$75)=0,0,'TO HOP NLAN'!E104*'TS-PILE'!$E$75/SUMSQ('TS-PILE'!$E$56:$E$75))+IF(SUMSQ('TS-PILE'!$D$56:$D$75)=0,0,'TO HOP NLAN'!F104*'TS-PILE'!$D$75/SUMSQ('TS-PILE'!$D$56:$D$75)))))</f>
        <v>0</v>
      </c>
      <c r="D104" s="46">
        <f>IF(A104="",0,MIN(IF('TS-PILE'!$B$56="",1E+99,'TO HOP NLAN'!D104/ncoc+IF(SUMSQ('TS-PILE'!$E$56:$E$75)=0,0,'TO HOP NLAN'!E104*'TS-PILE'!$E$56/SUMSQ('TS-PILE'!$E$56:$E$75))+IF(SUMSQ('TS-PILE'!$D$56:$D$75)=0,0,'TO HOP NLAN'!F104*'TS-PILE'!$D$56/SUMSQ('TS-PILE'!$D$56:$D$75))),IF('TS-PILE'!$B$57="",1E+99,'TO HOP NLAN'!D104/ncoc+IF(SUMSQ('TS-PILE'!$E$56:$E$75)=0,0,'TO HOP NLAN'!E104*'TS-PILE'!$E$57/SUMSQ('TS-PILE'!$E$56:$E$75))+IF(SUMSQ('TS-PILE'!$D$56:$D$75)=0,0,'TO HOP NLAN'!F104*'TS-PILE'!$D$57/SUMSQ('TS-PILE'!$D$56:$D$75))),IF('TS-PILE'!$B$58="",1E+99,'TO HOP NLAN'!D104/ncoc+IF(SUMSQ('TS-PILE'!$E$56:$E$75)=0,0,'TO HOP NLAN'!E104*'TS-PILE'!$E$58/SUMSQ('TS-PILE'!$E$56:$E$75))+IF(SUMSQ('TS-PILE'!$D$56:$D$75)=0,0,'TO HOP NLAN'!F104*'TS-PILE'!$D$58/SUMSQ('TS-PILE'!$D$56:$D$75))),IF('TS-PILE'!$B$59="",1E+99,'TO HOP NLAN'!D104/ncoc+IF(SUMSQ('TS-PILE'!$E$56:$E$75)=0,0,'TO HOP NLAN'!E104*'TS-PILE'!$E$59/SUMSQ('TS-PILE'!$E$56:$E$75))+IF(SUMSQ('TS-PILE'!$D$56:$D$75)=0,0,'TO HOP NLAN'!F104*'TS-PILE'!$D$59/SUMSQ('TS-PILE'!$D$56:$D$75))),IF('TS-PILE'!$B$60="",1E+99,'TO HOP NLAN'!D104/ncoc+IF(SUMSQ('TS-PILE'!$E$56:$E$75)=0,0,'TO HOP NLAN'!E104*'TS-PILE'!$E$60/SUMSQ('TS-PILE'!$E$56:$E$75))+IF(SUMSQ('TS-PILE'!$D$56:$D$75)=0,0,'TO HOP NLAN'!F104*'TS-PILE'!$D$60/SUMSQ('TS-PILE'!$D$56:$D$75))),IF('TS-PILE'!$B$61="",1E+99,'TO HOP NLAN'!D104/ncoc+IF(SUMSQ('TS-PILE'!$E$56:$E$75)=0,0,'TO HOP NLAN'!E104*'TS-PILE'!$E$61/SUMSQ('TS-PILE'!$E$56:$E$75))+IF(SUMSQ('TS-PILE'!$D$56:$D$75)=0,0,'TO HOP NLAN'!F104*'TS-PILE'!$D$61/SUMSQ('TS-PILE'!$D$56:$D$75))),IF('TS-PILE'!$B$62="",1E+99,'TO HOP NLAN'!D104/ncoc+IF(SUMSQ('TS-PILE'!$E$56:$E$75)=0,0,'TO HOP NLAN'!E104*'TS-PILE'!$E$62/SUMSQ('TS-PILE'!$E$56:$E$75))+IF(SUMSQ('TS-PILE'!$D$56:$D$75)=0,0,'TO HOP NLAN'!F104*'TS-PILE'!$D$62/SUMSQ('TS-PILE'!$D$56:$D$75))),IF('TS-PILE'!$B$63="",1E+99,'TO HOP NLAN'!D104/ncoc+IF(SUMSQ('TS-PILE'!$E$56:$E$75)=0,0,'TO HOP NLAN'!E104*'TS-PILE'!$E$63/SUMSQ('TS-PILE'!$E$56:$E$75))+IF(SUMSQ('TS-PILE'!$D$56:$D$75)=0,0,'TO HOP NLAN'!F104*'TS-PILE'!$D$63/SUMSQ('TS-PILE'!$D$56:$D$75))),IF('TS-PILE'!$B$64="",1E+99,'TO HOP NLAN'!D104/ncoc+IF(SUMSQ('TS-PILE'!$E$56:$E$75)=0,0,'TO HOP NLAN'!E104*'TS-PILE'!$E$64/SUMSQ('TS-PILE'!$E$56:$E$75))+IF(SUMSQ('TS-PILE'!$D$56:$D$75)=0,0,'TO HOP NLAN'!F104*'TS-PILE'!$D$64/SUMSQ('TS-PILE'!$D$56:$D$75))),IF('TS-PILE'!$B$65="",1E+99,'TO HOP NLAN'!D104/ncoc+IF(SUMSQ('TS-PILE'!$E$56:$E$75)=0,0,'TO HOP NLAN'!E104*'TS-PILE'!$E$65/SUMSQ('TS-PILE'!$E$56:$E$75))+IF(SUMSQ('TS-PILE'!$D$56:$D$75)=0,0,'TO HOP NLAN'!F104*'TS-PILE'!$D$65/SUMSQ('TS-PILE'!$D$56:$D$75))),IF('TS-PILE'!$B$66="",1E+99,'TO HOP NLAN'!D104/ncoc+IF(SUMSQ('TS-PILE'!$E$56:$E$75)=0,0,'TO HOP NLAN'!E104*'TS-PILE'!$E$66/SUMSQ('TS-PILE'!$E$56:$E$75))+IF(SUMSQ('TS-PILE'!$D$56:$D$75)=0,0,'TO HOP NLAN'!F104*'TS-PILE'!$D$66/SUMSQ('TS-PILE'!$D$56:$D$75))),IF('TS-PILE'!$B$67="",1E+99,'TO HOP NLAN'!D104/ncoc+IF(SUMSQ('TS-PILE'!$E$56:$E$75)=0,0,'TO HOP NLAN'!E104*'TS-PILE'!$E$67/SUMSQ('TS-PILE'!$E$56:$E$75))+IF(SUMSQ('TS-PILE'!$D$56:$D$75)=0,0,'TO HOP NLAN'!F104*'TS-PILE'!$D$67/SUMSQ('TS-PILE'!$D$56:$D$75))),IF('TS-PILE'!$B$68="",1E+99,'TO HOP NLAN'!D104/ncoc+IF(SUMSQ('TS-PILE'!$E$56:$E$75)=0,0,'TO HOP NLAN'!E104*'TS-PILE'!$E$68/SUMSQ('TS-PILE'!$E$56:$E$75))+IF(SUMSQ('TS-PILE'!$D$56:$D$75)=0,0,'TO HOP NLAN'!F104*'TS-PILE'!$D$68/SUMSQ('TS-PILE'!$D$56:$D$75))),IF('TS-PILE'!$B$69="",1E+99,'TO HOP NLAN'!D104/ncoc+IF(SUMSQ('TS-PILE'!$E$56:$E$75)=0,0,'TO HOP NLAN'!E104*'TS-PILE'!$E$69/SUMSQ('TS-PILE'!$E$56:$E$75))+IF(SUMSQ('TS-PILE'!$D$56:$D$75)=0,0,'TO HOP NLAN'!F104*'TS-PILE'!$D$69/SUMSQ('TS-PILE'!$D$56:$D$75))),IF('TS-PILE'!$B$70="",1E+99,'TO HOP NLAN'!D104/ncoc+IF(SUMSQ('TS-PILE'!$E$56:$E$75)=0,0,'TO HOP NLAN'!E104*'TS-PILE'!$E$70/SUMSQ('TS-PILE'!$E$56:$E$75))+IF(SUMSQ('TS-PILE'!$D$56:$D$75)=0,0,'TO HOP NLAN'!F104*'TS-PILE'!$D$70/SUMSQ('TS-PILE'!$D$56:$D$75))),IF('TS-PILE'!$B$71="",1E+99,'TO HOP NLAN'!D104/ncoc+IF(SUMSQ('TS-PILE'!$E$56:$E$75)=0,0,'TO HOP NLAN'!E104*'TS-PILE'!$E$71/SUMSQ('TS-PILE'!$E$56:$E$75))+IF(SUMSQ('TS-PILE'!$D$56:$D$75)=0,0,'TO HOP NLAN'!F104*'TS-PILE'!$D$71/SUMSQ('TS-PILE'!$D$56:$D$75))),IF('TS-PILE'!$B$72="",1E+99,'TO HOP NLAN'!D104/ncoc+IF(SUMSQ('TS-PILE'!$E$56:$E$75)=0,0,'TO HOP NLAN'!E104*'TS-PILE'!$E$72/SUMSQ('TS-PILE'!$E$56:$E$75))+IF(SUMSQ('TS-PILE'!$D$56:$D$75)=0,0,'TO HOP NLAN'!F104*'TS-PILE'!$D$72/SUMSQ('TS-PILE'!$D$56:$D$75))),IF('TS-PILE'!$B$73="",1E+99,'TO HOP NLAN'!D104/ncoc+IF(SUMSQ('TS-PILE'!$E$56:$E$75)=0,0,'TO HOP NLAN'!E104*'TS-PILE'!$E$73/SUMSQ('TS-PILE'!$E$56:$E$75))+IF(SUMSQ('TS-PILE'!$D$56:$D$75)=0,0,'TO HOP NLAN'!F104*'TS-PILE'!$D$73/SUMSQ('TS-PILE'!$D$56:$D$75))),IF('TS-PILE'!$B$74="",1E+99,'TO HOP NLAN'!D104/ncoc+IF(SUMSQ('TS-PILE'!$E$56:$E$75)=0,0,'TO HOP NLAN'!E104*'TS-PILE'!$E$74/SUMSQ('TS-PILE'!$E$56:$E$75))+IF(SUMSQ('TS-PILE'!$D$56:$D$75)=0,0,'TO HOP NLAN'!F104*'TS-PILE'!$D$74/SUMSQ('TS-PILE'!$D$56:$D$75))),IF('TS-PILE'!$B$75="",1E+99,'TO HOP NLAN'!D104/ncoc+IF(SUMSQ('TS-PILE'!$E$56:$E$75)=0,0,'TO HOP NLAN'!E104*'TS-PILE'!$E$75/SUMSQ('TS-PILE'!$E$56:$E$75))+IF(SUMSQ('TS-PILE'!$D$56:$D$75)=0,0,'TO HOP NLAN'!F104*'TS-PILE'!$D$75/SUMSQ('TS-PILE'!$D$56:$D$75)))))</f>
        <v>0</v>
      </c>
      <c r="E104" s="46">
        <f t="shared" si="4"/>
        <v>-9.9999999999999997E+98</v>
      </c>
      <c r="F104" s="46">
        <f t="shared" si="5"/>
        <v>9.9999999999999997E+98</v>
      </c>
      <c r="G104" s="46">
        <f t="shared" si="6"/>
        <v>-9.9999999999999997E+98</v>
      </c>
      <c r="H104" s="46">
        <f t="shared" si="7"/>
        <v>9.9999999999999997E+98</v>
      </c>
    </row>
    <row r="105" spans="1:8" x14ac:dyDescent="0.3">
      <c r="A105" s="40" t="str">
        <f>'TO HOP NLAN'!A105</f>
        <v/>
      </c>
      <c r="B105" s="40" t="str">
        <f>'TO HOP NLAN'!L105</f>
        <v>STRENGTH</v>
      </c>
      <c r="C105" s="46">
        <f>IF(A105="",0,MAX(IF('TS-PILE'!$B$56="",-1E+99,'TO HOP NLAN'!D105/ncoc+IF(SUMSQ('TS-PILE'!$E$56:$E$75)=0,0,'TO HOP NLAN'!E105*'TS-PILE'!$E$56/SUMSQ('TS-PILE'!$E$56:$E$75))+IF(SUMSQ('TS-PILE'!$D$56:$D$75)=0,0,'TO HOP NLAN'!F105*'TS-PILE'!$D$56/SUMSQ('TS-PILE'!$D$56:$D$75))),IF('TS-PILE'!$B$57="",-1E+99,'TO HOP NLAN'!D105/ncoc+IF(SUMSQ('TS-PILE'!$E$56:$E$75)=0,0,'TO HOP NLAN'!E105*'TS-PILE'!$E$57/SUMSQ('TS-PILE'!$E$56:$E$75))+IF(SUMSQ('TS-PILE'!$D$56:$D$75)=0,0,'TO HOP NLAN'!F105*'TS-PILE'!$D$57/SUMSQ('TS-PILE'!$D$56:$D$75))),IF('TS-PILE'!$B$58="",-1E+99,'TO HOP NLAN'!D105/ncoc+IF(SUMSQ('TS-PILE'!$E$56:$E$75)=0,0,'TO HOP NLAN'!E105*'TS-PILE'!$E$58/SUMSQ('TS-PILE'!$E$56:$E$75))+IF(SUMSQ('TS-PILE'!$D$56:$D$75)=0,0,'TO HOP NLAN'!F105*'TS-PILE'!$D$58/SUMSQ('TS-PILE'!$D$56:$D$75))),IF('TS-PILE'!$B$59="",-1E+99,'TO HOP NLAN'!D105/ncoc+IF(SUMSQ('TS-PILE'!$E$56:$E$75)=0,0,'TO HOP NLAN'!E105*'TS-PILE'!$E$59/SUMSQ('TS-PILE'!$E$56:$E$75))+IF(SUMSQ('TS-PILE'!$D$56:$D$75)=0,0,'TO HOP NLAN'!F105*'TS-PILE'!$D$59/SUMSQ('TS-PILE'!$D$56:$D$75))),IF('TS-PILE'!$B$60="",-1E+99,'TO HOP NLAN'!D105/ncoc+IF(SUMSQ('TS-PILE'!$E$56:$E$75)=0,0,'TO HOP NLAN'!E105*'TS-PILE'!$E$60/SUMSQ('TS-PILE'!$E$56:$E$75))+IF(SUMSQ('TS-PILE'!$D$56:$D$75)=0,0,'TO HOP NLAN'!F105*'TS-PILE'!$D$60/SUMSQ('TS-PILE'!$D$56:$D$75))),IF('TS-PILE'!$B$61="",-1E+99,'TO HOP NLAN'!D105/ncoc+IF(SUMSQ('TS-PILE'!$E$56:$E$75)=0,0,'TO HOP NLAN'!E105*'TS-PILE'!$E$61/SUMSQ('TS-PILE'!$E$56:$E$75))+IF(SUMSQ('TS-PILE'!$D$56:$D$75)=0,0,'TO HOP NLAN'!F105*'TS-PILE'!$D$61/SUMSQ('TS-PILE'!$D$56:$D$75))),IF('TS-PILE'!$B$62="",-1E+99,'TO HOP NLAN'!D105/ncoc+IF(SUMSQ('TS-PILE'!$E$56:$E$75)=0,0,'TO HOP NLAN'!E105*'TS-PILE'!$E$62/SUMSQ('TS-PILE'!$E$56:$E$75))+IF(SUMSQ('TS-PILE'!$D$56:$D$75)=0,0,'TO HOP NLAN'!F105*'TS-PILE'!$D$62/SUMSQ('TS-PILE'!$D$56:$D$75))),IF('TS-PILE'!$B$63="",-1E+99,'TO HOP NLAN'!D105/ncoc+IF(SUMSQ('TS-PILE'!$E$56:$E$75)=0,0,'TO HOP NLAN'!E105*'TS-PILE'!$E$63/SUMSQ('TS-PILE'!$E$56:$E$75))+IF(SUMSQ('TS-PILE'!$D$56:$D$75)=0,0,'TO HOP NLAN'!F105*'TS-PILE'!$D$63/SUMSQ('TS-PILE'!$D$56:$D$75))),IF('TS-PILE'!$B$64="",-1E+99,'TO HOP NLAN'!D105/ncoc+IF(SUMSQ('TS-PILE'!$E$56:$E$75)=0,0,'TO HOP NLAN'!E105*'TS-PILE'!$E$64/SUMSQ('TS-PILE'!$E$56:$E$75))+IF(SUMSQ('TS-PILE'!$D$56:$D$75)=0,0,'TO HOP NLAN'!F105*'TS-PILE'!$D$64/SUMSQ('TS-PILE'!$D$56:$D$75))),IF('TS-PILE'!$B$65="",-1E+99,'TO HOP NLAN'!D105/ncoc+IF(SUMSQ('TS-PILE'!$E$56:$E$75)=0,0,'TO HOP NLAN'!E105*'TS-PILE'!$E$65/SUMSQ('TS-PILE'!$E$56:$E$75))+IF(SUMSQ('TS-PILE'!$D$56:$D$75)=0,0,'TO HOP NLAN'!F105*'TS-PILE'!$D$65/SUMSQ('TS-PILE'!$D$56:$D$75))),IF('TS-PILE'!$B$66="",-1E+99,'TO HOP NLAN'!D105/ncoc+IF(SUMSQ('TS-PILE'!$E$56:$E$75)=0,0,'TO HOP NLAN'!E105*'TS-PILE'!$E$66/SUMSQ('TS-PILE'!$E$56:$E$75))+IF(SUMSQ('TS-PILE'!$D$56:$D$75)=0,0,'TO HOP NLAN'!F105*'TS-PILE'!$D$66/SUMSQ('TS-PILE'!$D$56:$D$75))),IF('TS-PILE'!$B$67="",-1E+99,'TO HOP NLAN'!D105/ncoc+IF(SUMSQ('TS-PILE'!$E$56:$E$75)=0,0,'TO HOP NLAN'!E105*'TS-PILE'!$E$67/SUMSQ('TS-PILE'!$E$56:$E$75))+IF(SUMSQ('TS-PILE'!$D$56:$D$75)=0,0,'TO HOP NLAN'!F105*'TS-PILE'!$D$67/SUMSQ('TS-PILE'!$D$56:$D$75))),IF('TS-PILE'!$B$68="",-1E+99,'TO HOP NLAN'!D105/ncoc+IF(SUMSQ('TS-PILE'!$E$56:$E$75)=0,0,'TO HOP NLAN'!E105*'TS-PILE'!$E$68/SUMSQ('TS-PILE'!$E$56:$E$75))+IF(SUMSQ('TS-PILE'!$D$56:$D$75)=0,0,'TO HOP NLAN'!F105*'TS-PILE'!$D$68/SUMSQ('TS-PILE'!$D$56:$D$75))),IF('TS-PILE'!$B$69="",-1E+99,'TO HOP NLAN'!D105/ncoc+IF(SUMSQ('TS-PILE'!$E$56:$E$75)=0,0,'TO HOP NLAN'!E105*'TS-PILE'!$E$69/SUMSQ('TS-PILE'!$E$56:$E$75))+IF(SUMSQ('TS-PILE'!$D$56:$D$75)=0,0,'TO HOP NLAN'!F105*'TS-PILE'!$D$69/SUMSQ('TS-PILE'!$D$56:$D$75))),IF('TS-PILE'!$B$70="",-1E+99,'TO HOP NLAN'!D105/ncoc+IF(SUMSQ('TS-PILE'!$E$56:$E$75)=0,0,'TO HOP NLAN'!E105*'TS-PILE'!$E$70/SUMSQ('TS-PILE'!$E$56:$E$75))+IF(SUMSQ('TS-PILE'!$D$56:$D$75)=0,0,'TO HOP NLAN'!F105*'TS-PILE'!$D$70/SUMSQ('TS-PILE'!$D$56:$D$75))),IF('TS-PILE'!$B$71="",-1E+99,'TO HOP NLAN'!D105/ncoc+IF(SUMSQ('TS-PILE'!$E$56:$E$75)=0,0,'TO HOP NLAN'!E105*'TS-PILE'!$E$71/SUMSQ('TS-PILE'!$E$56:$E$75))+IF(SUMSQ('TS-PILE'!$D$56:$D$75)=0,0,'TO HOP NLAN'!F105*'TS-PILE'!$D$71/SUMSQ('TS-PILE'!$D$56:$D$75))),IF('TS-PILE'!$B$72="",-1E+99,'TO HOP NLAN'!D105/ncoc+IF(SUMSQ('TS-PILE'!$E$56:$E$75)=0,0,'TO HOP NLAN'!E105*'TS-PILE'!$E$72/SUMSQ('TS-PILE'!$E$56:$E$75))+IF(SUMSQ('TS-PILE'!$D$56:$D$75)=0,0,'TO HOP NLAN'!F105*'TS-PILE'!$D$72/SUMSQ('TS-PILE'!$D$56:$D$75))),IF('TS-PILE'!$B$73="",-1E+99,'TO HOP NLAN'!D105/ncoc+IF(SUMSQ('TS-PILE'!$E$56:$E$75)=0,0,'TO HOP NLAN'!E105*'TS-PILE'!$E$73/SUMSQ('TS-PILE'!$E$56:$E$75))+IF(SUMSQ('TS-PILE'!$D$56:$D$75)=0,0,'TO HOP NLAN'!F105*'TS-PILE'!$D$73/SUMSQ('TS-PILE'!$D$56:$D$75))),IF('TS-PILE'!$B$74="",-1E+99,'TO HOP NLAN'!D105/ncoc+IF(SUMSQ('TS-PILE'!$E$56:$E$75)=0,0,'TO HOP NLAN'!E105*'TS-PILE'!$E$74/SUMSQ('TS-PILE'!$E$56:$E$75))+IF(SUMSQ('TS-PILE'!$D$56:$D$75)=0,0,'TO HOP NLAN'!F105*'TS-PILE'!$D$74/SUMSQ('TS-PILE'!$D$56:$D$75))),IF('TS-PILE'!$B$75="",-1E+99,'TO HOP NLAN'!D105/ncoc+IF(SUMSQ('TS-PILE'!$E$56:$E$75)=0,0,'TO HOP NLAN'!E105*'TS-PILE'!$E$75/SUMSQ('TS-PILE'!$E$56:$E$75))+IF(SUMSQ('TS-PILE'!$D$56:$D$75)=0,0,'TO HOP NLAN'!F105*'TS-PILE'!$D$75/SUMSQ('TS-PILE'!$D$56:$D$75)))))</f>
        <v>0</v>
      </c>
      <c r="D105" s="46">
        <f>IF(A105="",0,MIN(IF('TS-PILE'!$B$56="",1E+99,'TO HOP NLAN'!D105/ncoc+IF(SUMSQ('TS-PILE'!$E$56:$E$75)=0,0,'TO HOP NLAN'!E105*'TS-PILE'!$E$56/SUMSQ('TS-PILE'!$E$56:$E$75))+IF(SUMSQ('TS-PILE'!$D$56:$D$75)=0,0,'TO HOP NLAN'!F105*'TS-PILE'!$D$56/SUMSQ('TS-PILE'!$D$56:$D$75))),IF('TS-PILE'!$B$57="",1E+99,'TO HOP NLAN'!D105/ncoc+IF(SUMSQ('TS-PILE'!$E$56:$E$75)=0,0,'TO HOP NLAN'!E105*'TS-PILE'!$E$57/SUMSQ('TS-PILE'!$E$56:$E$75))+IF(SUMSQ('TS-PILE'!$D$56:$D$75)=0,0,'TO HOP NLAN'!F105*'TS-PILE'!$D$57/SUMSQ('TS-PILE'!$D$56:$D$75))),IF('TS-PILE'!$B$58="",1E+99,'TO HOP NLAN'!D105/ncoc+IF(SUMSQ('TS-PILE'!$E$56:$E$75)=0,0,'TO HOP NLAN'!E105*'TS-PILE'!$E$58/SUMSQ('TS-PILE'!$E$56:$E$75))+IF(SUMSQ('TS-PILE'!$D$56:$D$75)=0,0,'TO HOP NLAN'!F105*'TS-PILE'!$D$58/SUMSQ('TS-PILE'!$D$56:$D$75))),IF('TS-PILE'!$B$59="",1E+99,'TO HOP NLAN'!D105/ncoc+IF(SUMSQ('TS-PILE'!$E$56:$E$75)=0,0,'TO HOP NLAN'!E105*'TS-PILE'!$E$59/SUMSQ('TS-PILE'!$E$56:$E$75))+IF(SUMSQ('TS-PILE'!$D$56:$D$75)=0,0,'TO HOP NLAN'!F105*'TS-PILE'!$D$59/SUMSQ('TS-PILE'!$D$56:$D$75))),IF('TS-PILE'!$B$60="",1E+99,'TO HOP NLAN'!D105/ncoc+IF(SUMSQ('TS-PILE'!$E$56:$E$75)=0,0,'TO HOP NLAN'!E105*'TS-PILE'!$E$60/SUMSQ('TS-PILE'!$E$56:$E$75))+IF(SUMSQ('TS-PILE'!$D$56:$D$75)=0,0,'TO HOP NLAN'!F105*'TS-PILE'!$D$60/SUMSQ('TS-PILE'!$D$56:$D$75))),IF('TS-PILE'!$B$61="",1E+99,'TO HOP NLAN'!D105/ncoc+IF(SUMSQ('TS-PILE'!$E$56:$E$75)=0,0,'TO HOP NLAN'!E105*'TS-PILE'!$E$61/SUMSQ('TS-PILE'!$E$56:$E$75))+IF(SUMSQ('TS-PILE'!$D$56:$D$75)=0,0,'TO HOP NLAN'!F105*'TS-PILE'!$D$61/SUMSQ('TS-PILE'!$D$56:$D$75))),IF('TS-PILE'!$B$62="",1E+99,'TO HOP NLAN'!D105/ncoc+IF(SUMSQ('TS-PILE'!$E$56:$E$75)=0,0,'TO HOP NLAN'!E105*'TS-PILE'!$E$62/SUMSQ('TS-PILE'!$E$56:$E$75))+IF(SUMSQ('TS-PILE'!$D$56:$D$75)=0,0,'TO HOP NLAN'!F105*'TS-PILE'!$D$62/SUMSQ('TS-PILE'!$D$56:$D$75))),IF('TS-PILE'!$B$63="",1E+99,'TO HOP NLAN'!D105/ncoc+IF(SUMSQ('TS-PILE'!$E$56:$E$75)=0,0,'TO HOP NLAN'!E105*'TS-PILE'!$E$63/SUMSQ('TS-PILE'!$E$56:$E$75))+IF(SUMSQ('TS-PILE'!$D$56:$D$75)=0,0,'TO HOP NLAN'!F105*'TS-PILE'!$D$63/SUMSQ('TS-PILE'!$D$56:$D$75))),IF('TS-PILE'!$B$64="",1E+99,'TO HOP NLAN'!D105/ncoc+IF(SUMSQ('TS-PILE'!$E$56:$E$75)=0,0,'TO HOP NLAN'!E105*'TS-PILE'!$E$64/SUMSQ('TS-PILE'!$E$56:$E$75))+IF(SUMSQ('TS-PILE'!$D$56:$D$75)=0,0,'TO HOP NLAN'!F105*'TS-PILE'!$D$64/SUMSQ('TS-PILE'!$D$56:$D$75))),IF('TS-PILE'!$B$65="",1E+99,'TO HOP NLAN'!D105/ncoc+IF(SUMSQ('TS-PILE'!$E$56:$E$75)=0,0,'TO HOP NLAN'!E105*'TS-PILE'!$E$65/SUMSQ('TS-PILE'!$E$56:$E$75))+IF(SUMSQ('TS-PILE'!$D$56:$D$75)=0,0,'TO HOP NLAN'!F105*'TS-PILE'!$D$65/SUMSQ('TS-PILE'!$D$56:$D$75))),IF('TS-PILE'!$B$66="",1E+99,'TO HOP NLAN'!D105/ncoc+IF(SUMSQ('TS-PILE'!$E$56:$E$75)=0,0,'TO HOP NLAN'!E105*'TS-PILE'!$E$66/SUMSQ('TS-PILE'!$E$56:$E$75))+IF(SUMSQ('TS-PILE'!$D$56:$D$75)=0,0,'TO HOP NLAN'!F105*'TS-PILE'!$D$66/SUMSQ('TS-PILE'!$D$56:$D$75))),IF('TS-PILE'!$B$67="",1E+99,'TO HOP NLAN'!D105/ncoc+IF(SUMSQ('TS-PILE'!$E$56:$E$75)=0,0,'TO HOP NLAN'!E105*'TS-PILE'!$E$67/SUMSQ('TS-PILE'!$E$56:$E$75))+IF(SUMSQ('TS-PILE'!$D$56:$D$75)=0,0,'TO HOP NLAN'!F105*'TS-PILE'!$D$67/SUMSQ('TS-PILE'!$D$56:$D$75))),IF('TS-PILE'!$B$68="",1E+99,'TO HOP NLAN'!D105/ncoc+IF(SUMSQ('TS-PILE'!$E$56:$E$75)=0,0,'TO HOP NLAN'!E105*'TS-PILE'!$E$68/SUMSQ('TS-PILE'!$E$56:$E$75))+IF(SUMSQ('TS-PILE'!$D$56:$D$75)=0,0,'TO HOP NLAN'!F105*'TS-PILE'!$D$68/SUMSQ('TS-PILE'!$D$56:$D$75))),IF('TS-PILE'!$B$69="",1E+99,'TO HOP NLAN'!D105/ncoc+IF(SUMSQ('TS-PILE'!$E$56:$E$75)=0,0,'TO HOP NLAN'!E105*'TS-PILE'!$E$69/SUMSQ('TS-PILE'!$E$56:$E$75))+IF(SUMSQ('TS-PILE'!$D$56:$D$75)=0,0,'TO HOP NLAN'!F105*'TS-PILE'!$D$69/SUMSQ('TS-PILE'!$D$56:$D$75))),IF('TS-PILE'!$B$70="",1E+99,'TO HOP NLAN'!D105/ncoc+IF(SUMSQ('TS-PILE'!$E$56:$E$75)=0,0,'TO HOP NLAN'!E105*'TS-PILE'!$E$70/SUMSQ('TS-PILE'!$E$56:$E$75))+IF(SUMSQ('TS-PILE'!$D$56:$D$75)=0,0,'TO HOP NLAN'!F105*'TS-PILE'!$D$70/SUMSQ('TS-PILE'!$D$56:$D$75))),IF('TS-PILE'!$B$71="",1E+99,'TO HOP NLAN'!D105/ncoc+IF(SUMSQ('TS-PILE'!$E$56:$E$75)=0,0,'TO HOP NLAN'!E105*'TS-PILE'!$E$71/SUMSQ('TS-PILE'!$E$56:$E$75))+IF(SUMSQ('TS-PILE'!$D$56:$D$75)=0,0,'TO HOP NLAN'!F105*'TS-PILE'!$D$71/SUMSQ('TS-PILE'!$D$56:$D$75))),IF('TS-PILE'!$B$72="",1E+99,'TO HOP NLAN'!D105/ncoc+IF(SUMSQ('TS-PILE'!$E$56:$E$75)=0,0,'TO HOP NLAN'!E105*'TS-PILE'!$E$72/SUMSQ('TS-PILE'!$E$56:$E$75))+IF(SUMSQ('TS-PILE'!$D$56:$D$75)=0,0,'TO HOP NLAN'!F105*'TS-PILE'!$D$72/SUMSQ('TS-PILE'!$D$56:$D$75))),IF('TS-PILE'!$B$73="",1E+99,'TO HOP NLAN'!D105/ncoc+IF(SUMSQ('TS-PILE'!$E$56:$E$75)=0,0,'TO HOP NLAN'!E105*'TS-PILE'!$E$73/SUMSQ('TS-PILE'!$E$56:$E$75))+IF(SUMSQ('TS-PILE'!$D$56:$D$75)=0,0,'TO HOP NLAN'!F105*'TS-PILE'!$D$73/SUMSQ('TS-PILE'!$D$56:$D$75))),IF('TS-PILE'!$B$74="",1E+99,'TO HOP NLAN'!D105/ncoc+IF(SUMSQ('TS-PILE'!$E$56:$E$75)=0,0,'TO HOP NLAN'!E105*'TS-PILE'!$E$74/SUMSQ('TS-PILE'!$E$56:$E$75))+IF(SUMSQ('TS-PILE'!$D$56:$D$75)=0,0,'TO HOP NLAN'!F105*'TS-PILE'!$D$74/SUMSQ('TS-PILE'!$D$56:$D$75))),IF('TS-PILE'!$B$75="",1E+99,'TO HOP NLAN'!D105/ncoc+IF(SUMSQ('TS-PILE'!$E$56:$E$75)=0,0,'TO HOP NLAN'!E105*'TS-PILE'!$E$75/SUMSQ('TS-PILE'!$E$56:$E$75))+IF(SUMSQ('TS-PILE'!$D$56:$D$75)=0,0,'TO HOP NLAN'!F105*'TS-PILE'!$D$75/SUMSQ('TS-PILE'!$D$56:$D$75)))))</f>
        <v>0</v>
      </c>
      <c r="E105" s="46">
        <f t="shared" si="4"/>
        <v>-9.9999999999999997E+98</v>
      </c>
      <c r="F105" s="46">
        <f t="shared" si="5"/>
        <v>9.9999999999999997E+98</v>
      </c>
      <c r="G105" s="46">
        <f t="shared" si="6"/>
        <v>-9.9999999999999997E+98</v>
      </c>
      <c r="H105" s="46">
        <f t="shared" si="7"/>
        <v>9.9999999999999997E+98</v>
      </c>
    </row>
    <row r="106" spans="1:8" x14ac:dyDescent="0.3">
      <c r="A106" s="40" t="str">
        <f>'TO HOP NLAN'!A106</f>
        <v/>
      </c>
      <c r="B106" s="40" t="str">
        <f>'TO HOP NLAN'!L106</f>
        <v>STRENGTH</v>
      </c>
      <c r="C106" s="46">
        <f>IF(A106="",0,MAX(IF('TS-PILE'!$B$56="",-1E+99,'TO HOP NLAN'!D106/ncoc+IF(SUMSQ('TS-PILE'!$E$56:$E$75)=0,0,'TO HOP NLAN'!E106*'TS-PILE'!$E$56/SUMSQ('TS-PILE'!$E$56:$E$75))+IF(SUMSQ('TS-PILE'!$D$56:$D$75)=0,0,'TO HOP NLAN'!F106*'TS-PILE'!$D$56/SUMSQ('TS-PILE'!$D$56:$D$75))),IF('TS-PILE'!$B$57="",-1E+99,'TO HOP NLAN'!D106/ncoc+IF(SUMSQ('TS-PILE'!$E$56:$E$75)=0,0,'TO HOP NLAN'!E106*'TS-PILE'!$E$57/SUMSQ('TS-PILE'!$E$56:$E$75))+IF(SUMSQ('TS-PILE'!$D$56:$D$75)=0,0,'TO HOP NLAN'!F106*'TS-PILE'!$D$57/SUMSQ('TS-PILE'!$D$56:$D$75))),IF('TS-PILE'!$B$58="",-1E+99,'TO HOP NLAN'!D106/ncoc+IF(SUMSQ('TS-PILE'!$E$56:$E$75)=0,0,'TO HOP NLAN'!E106*'TS-PILE'!$E$58/SUMSQ('TS-PILE'!$E$56:$E$75))+IF(SUMSQ('TS-PILE'!$D$56:$D$75)=0,0,'TO HOP NLAN'!F106*'TS-PILE'!$D$58/SUMSQ('TS-PILE'!$D$56:$D$75))),IF('TS-PILE'!$B$59="",-1E+99,'TO HOP NLAN'!D106/ncoc+IF(SUMSQ('TS-PILE'!$E$56:$E$75)=0,0,'TO HOP NLAN'!E106*'TS-PILE'!$E$59/SUMSQ('TS-PILE'!$E$56:$E$75))+IF(SUMSQ('TS-PILE'!$D$56:$D$75)=0,0,'TO HOP NLAN'!F106*'TS-PILE'!$D$59/SUMSQ('TS-PILE'!$D$56:$D$75))),IF('TS-PILE'!$B$60="",-1E+99,'TO HOP NLAN'!D106/ncoc+IF(SUMSQ('TS-PILE'!$E$56:$E$75)=0,0,'TO HOP NLAN'!E106*'TS-PILE'!$E$60/SUMSQ('TS-PILE'!$E$56:$E$75))+IF(SUMSQ('TS-PILE'!$D$56:$D$75)=0,0,'TO HOP NLAN'!F106*'TS-PILE'!$D$60/SUMSQ('TS-PILE'!$D$56:$D$75))),IF('TS-PILE'!$B$61="",-1E+99,'TO HOP NLAN'!D106/ncoc+IF(SUMSQ('TS-PILE'!$E$56:$E$75)=0,0,'TO HOP NLAN'!E106*'TS-PILE'!$E$61/SUMSQ('TS-PILE'!$E$56:$E$75))+IF(SUMSQ('TS-PILE'!$D$56:$D$75)=0,0,'TO HOP NLAN'!F106*'TS-PILE'!$D$61/SUMSQ('TS-PILE'!$D$56:$D$75))),IF('TS-PILE'!$B$62="",-1E+99,'TO HOP NLAN'!D106/ncoc+IF(SUMSQ('TS-PILE'!$E$56:$E$75)=0,0,'TO HOP NLAN'!E106*'TS-PILE'!$E$62/SUMSQ('TS-PILE'!$E$56:$E$75))+IF(SUMSQ('TS-PILE'!$D$56:$D$75)=0,0,'TO HOP NLAN'!F106*'TS-PILE'!$D$62/SUMSQ('TS-PILE'!$D$56:$D$75))),IF('TS-PILE'!$B$63="",-1E+99,'TO HOP NLAN'!D106/ncoc+IF(SUMSQ('TS-PILE'!$E$56:$E$75)=0,0,'TO HOP NLAN'!E106*'TS-PILE'!$E$63/SUMSQ('TS-PILE'!$E$56:$E$75))+IF(SUMSQ('TS-PILE'!$D$56:$D$75)=0,0,'TO HOP NLAN'!F106*'TS-PILE'!$D$63/SUMSQ('TS-PILE'!$D$56:$D$75))),IF('TS-PILE'!$B$64="",-1E+99,'TO HOP NLAN'!D106/ncoc+IF(SUMSQ('TS-PILE'!$E$56:$E$75)=0,0,'TO HOP NLAN'!E106*'TS-PILE'!$E$64/SUMSQ('TS-PILE'!$E$56:$E$75))+IF(SUMSQ('TS-PILE'!$D$56:$D$75)=0,0,'TO HOP NLAN'!F106*'TS-PILE'!$D$64/SUMSQ('TS-PILE'!$D$56:$D$75))),IF('TS-PILE'!$B$65="",-1E+99,'TO HOP NLAN'!D106/ncoc+IF(SUMSQ('TS-PILE'!$E$56:$E$75)=0,0,'TO HOP NLAN'!E106*'TS-PILE'!$E$65/SUMSQ('TS-PILE'!$E$56:$E$75))+IF(SUMSQ('TS-PILE'!$D$56:$D$75)=0,0,'TO HOP NLAN'!F106*'TS-PILE'!$D$65/SUMSQ('TS-PILE'!$D$56:$D$75))),IF('TS-PILE'!$B$66="",-1E+99,'TO HOP NLAN'!D106/ncoc+IF(SUMSQ('TS-PILE'!$E$56:$E$75)=0,0,'TO HOP NLAN'!E106*'TS-PILE'!$E$66/SUMSQ('TS-PILE'!$E$56:$E$75))+IF(SUMSQ('TS-PILE'!$D$56:$D$75)=0,0,'TO HOP NLAN'!F106*'TS-PILE'!$D$66/SUMSQ('TS-PILE'!$D$56:$D$75))),IF('TS-PILE'!$B$67="",-1E+99,'TO HOP NLAN'!D106/ncoc+IF(SUMSQ('TS-PILE'!$E$56:$E$75)=0,0,'TO HOP NLAN'!E106*'TS-PILE'!$E$67/SUMSQ('TS-PILE'!$E$56:$E$75))+IF(SUMSQ('TS-PILE'!$D$56:$D$75)=0,0,'TO HOP NLAN'!F106*'TS-PILE'!$D$67/SUMSQ('TS-PILE'!$D$56:$D$75))),IF('TS-PILE'!$B$68="",-1E+99,'TO HOP NLAN'!D106/ncoc+IF(SUMSQ('TS-PILE'!$E$56:$E$75)=0,0,'TO HOP NLAN'!E106*'TS-PILE'!$E$68/SUMSQ('TS-PILE'!$E$56:$E$75))+IF(SUMSQ('TS-PILE'!$D$56:$D$75)=0,0,'TO HOP NLAN'!F106*'TS-PILE'!$D$68/SUMSQ('TS-PILE'!$D$56:$D$75))),IF('TS-PILE'!$B$69="",-1E+99,'TO HOP NLAN'!D106/ncoc+IF(SUMSQ('TS-PILE'!$E$56:$E$75)=0,0,'TO HOP NLAN'!E106*'TS-PILE'!$E$69/SUMSQ('TS-PILE'!$E$56:$E$75))+IF(SUMSQ('TS-PILE'!$D$56:$D$75)=0,0,'TO HOP NLAN'!F106*'TS-PILE'!$D$69/SUMSQ('TS-PILE'!$D$56:$D$75))),IF('TS-PILE'!$B$70="",-1E+99,'TO HOP NLAN'!D106/ncoc+IF(SUMSQ('TS-PILE'!$E$56:$E$75)=0,0,'TO HOP NLAN'!E106*'TS-PILE'!$E$70/SUMSQ('TS-PILE'!$E$56:$E$75))+IF(SUMSQ('TS-PILE'!$D$56:$D$75)=0,0,'TO HOP NLAN'!F106*'TS-PILE'!$D$70/SUMSQ('TS-PILE'!$D$56:$D$75))),IF('TS-PILE'!$B$71="",-1E+99,'TO HOP NLAN'!D106/ncoc+IF(SUMSQ('TS-PILE'!$E$56:$E$75)=0,0,'TO HOP NLAN'!E106*'TS-PILE'!$E$71/SUMSQ('TS-PILE'!$E$56:$E$75))+IF(SUMSQ('TS-PILE'!$D$56:$D$75)=0,0,'TO HOP NLAN'!F106*'TS-PILE'!$D$71/SUMSQ('TS-PILE'!$D$56:$D$75))),IF('TS-PILE'!$B$72="",-1E+99,'TO HOP NLAN'!D106/ncoc+IF(SUMSQ('TS-PILE'!$E$56:$E$75)=0,0,'TO HOP NLAN'!E106*'TS-PILE'!$E$72/SUMSQ('TS-PILE'!$E$56:$E$75))+IF(SUMSQ('TS-PILE'!$D$56:$D$75)=0,0,'TO HOP NLAN'!F106*'TS-PILE'!$D$72/SUMSQ('TS-PILE'!$D$56:$D$75))),IF('TS-PILE'!$B$73="",-1E+99,'TO HOP NLAN'!D106/ncoc+IF(SUMSQ('TS-PILE'!$E$56:$E$75)=0,0,'TO HOP NLAN'!E106*'TS-PILE'!$E$73/SUMSQ('TS-PILE'!$E$56:$E$75))+IF(SUMSQ('TS-PILE'!$D$56:$D$75)=0,0,'TO HOP NLAN'!F106*'TS-PILE'!$D$73/SUMSQ('TS-PILE'!$D$56:$D$75))),IF('TS-PILE'!$B$74="",-1E+99,'TO HOP NLAN'!D106/ncoc+IF(SUMSQ('TS-PILE'!$E$56:$E$75)=0,0,'TO HOP NLAN'!E106*'TS-PILE'!$E$74/SUMSQ('TS-PILE'!$E$56:$E$75))+IF(SUMSQ('TS-PILE'!$D$56:$D$75)=0,0,'TO HOP NLAN'!F106*'TS-PILE'!$D$74/SUMSQ('TS-PILE'!$D$56:$D$75))),IF('TS-PILE'!$B$75="",-1E+99,'TO HOP NLAN'!D106/ncoc+IF(SUMSQ('TS-PILE'!$E$56:$E$75)=0,0,'TO HOP NLAN'!E106*'TS-PILE'!$E$75/SUMSQ('TS-PILE'!$E$56:$E$75))+IF(SUMSQ('TS-PILE'!$D$56:$D$75)=0,0,'TO HOP NLAN'!F106*'TS-PILE'!$D$75/SUMSQ('TS-PILE'!$D$56:$D$75)))))</f>
        <v>0</v>
      </c>
      <c r="D106" s="46">
        <f>IF(A106="",0,MIN(IF('TS-PILE'!$B$56="",1E+99,'TO HOP NLAN'!D106/ncoc+IF(SUMSQ('TS-PILE'!$E$56:$E$75)=0,0,'TO HOP NLAN'!E106*'TS-PILE'!$E$56/SUMSQ('TS-PILE'!$E$56:$E$75))+IF(SUMSQ('TS-PILE'!$D$56:$D$75)=0,0,'TO HOP NLAN'!F106*'TS-PILE'!$D$56/SUMSQ('TS-PILE'!$D$56:$D$75))),IF('TS-PILE'!$B$57="",1E+99,'TO HOP NLAN'!D106/ncoc+IF(SUMSQ('TS-PILE'!$E$56:$E$75)=0,0,'TO HOP NLAN'!E106*'TS-PILE'!$E$57/SUMSQ('TS-PILE'!$E$56:$E$75))+IF(SUMSQ('TS-PILE'!$D$56:$D$75)=0,0,'TO HOP NLAN'!F106*'TS-PILE'!$D$57/SUMSQ('TS-PILE'!$D$56:$D$75))),IF('TS-PILE'!$B$58="",1E+99,'TO HOP NLAN'!D106/ncoc+IF(SUMSQ('TS-PILE'!$E$56:$E$75)=0,0,'TO HOP NLAN'!E106*'TS-PILE'!$E$58/SUMSQ('TS-PILE'!$E$56:$E$75))+IF(SUMSQ('TS-PILE'!$D$56:$D$75)=0,0,'TO HOP NLAN'!F106*'TS-PILE'!$D$58/SUMSQ('TS-PILE'!$D$56:$D$75))),IF('TS-PILE'!$B$59="",1E+99,'TO HOP NLAN'!D106/ncoc+IF(SUMSQ('TS-PILE'!$E$56:$E$75)=0,0,'TO HOP NLAN'!E106*'TS-PILE'!$E$59/SUMSQ('TS-PILE'!$E$56:$E$75))+IF(SUMSQ('TS-PILE'!$D$56:$D$75)=0,0,'TO HOP NLAN'!F106*'TS-PILE'!$D$59/SUMSQ('TS-PILE'!$D$56:$D$75))),IF('TS-PILE'!$B$60="",1E+99,'TO HOP NLAN'!D106/ncoc+IF(SUMSQ('TS-PILE'!$E$56:$E$75)=0,0,'TO HOP NLAN'!E106*'TS-PILE'!$E$60/SUMSQ('TS-PILE'!$E$56:$E$75))+IF(SUMSQ('TS-PILE'!$D$56:$D$75)=0,0,'TO HOP NLAN'!F106*'TS-PILE'!$D$60/SUMSQ('TS-PILE'!$D$56:$D$75))),IF('TS-PILE'!$B$61="",1E+99,'TO HOP NLAN'!D106/ncoc+IF(SUMSQ('TS-PILE'!$E$56:$E$75)=0,0,'TO HOP NLAN'!E106*'TS-PILE'!$E$61/SUMSQ('TS-PILE'!$E$56:$E$75))+IF(SUMSQ('TS-PILE'!$D$56:$D$75)=0,0,'TO HOP NLAN'!F106*'TS-PILE'!$D$61/SUMSQ('TS-PILE'!$D$56:$D$75))),IF('TS-PILE'!$B$62="",1E+99,'TO HOP NLAN'!D106/ncoc+IF(SUMSQ('TS-PILE'!$E$56:$E$75)=0,0,'TO HOP NLAN'!E106*'TS-PILE'!$E$62/SUMSQ('TS-PILE'!$E$56:$E$75))+IF(SUMSQ('TS-PILE'!$D$56:$D$75)=0,0,'TO HOP NLAN'!F106*'TS-PILE'!$D$62/SUMSQ('TS-PILE'!$D$56:$D$75))),IF('TS-PILE'!$B$63="",1E+99,'TO HOP NLAN'!D106/ncoc+IF(SUMSQ('TS-PILE'!$E$56:$E$75)=0,0,'TO HOP NLAN'!E106*'TS-PILE'!$E$63/SUMSQ('TS-PILE'!$E$56:$E$75))+IF(SUMSQ('TS-PILE'!$D$56:$D$75)=0,0,'TO HOP NLAN'!F106*'TS-PILE'!$D$63/SUMSQ('TS-PILE'!$D$56:$D$75))),IF('TS-PILE'!$B$64="",1E+99,'TO HOP NLAN'!D106/ncoc+IF(SUMSQ('TS-PILE'!$E$56:$E$75)=0,0,'TO HOP NLAN'!E106*'TS-PILE'!$E$64/SUMSQ('TS-PILE'!$E$56:$E$75))+IF(SUMSQ('TS-PILE'!$D$56:$D$75)=0,0,'TO HOP NLAN'!F106*'TS-PILE'!$D$64/SUMSQ('TS-PILE'!$D$56:$D$75))),IF('TS-PILE'!$B$65="",1E+99,'TO HOP NLAN'!D106/ncoc+IF(SUMSQ('TS-PILE'!$E$56:$E$75)=0,0,'TO HOP NLAN'!E106*'TS-PILE'!$E$65/SUMSQ('TS-PILE'!$E$56:$E$75))+IF(SUMSQ('TS-PILE'!$D$56:$D$75)=0,0,'TO HOP NLAN'!F106*'TS-PILE'!$D$65/SUMSQ('TS-PILE'!$D$56:$D$75))),IF('TS-PILE'!$B$66="",1E+99,'TO HOP NLAN'!D106/ncoc+IF(SUMSQ('TS-PILE'!$E$56:$E$75)=0,0,'TO HOP NLAN'!E106*'TS-PILE'!$E$66/SUMSQ('TS-PILE'!$E$56:$E$75))+IF(SUMSQ('TS-PILE'!$D$56:$D$75)=0,0,'TO HOP NLAN'!F106*'TS-PILE'!$D$66/SUMSQ('TS-PILE'!$D$56:$D$75))),IF('TS-PILE'!$B$67="",1E+99,'TO HOP NLAN'!D106/ncoc+IF(SUMSQ('TS-PILE'!$E$56:$E$75)=0,0,'TO HOP NLAN'!E106*'TS-PILE'!$E$67/SUMSQ('TS-PILE'!$E$56:$E$75))+IF(SUMSQ('TS-PILE'!$D$56:$D$75)=0,0,'TO HOP NLAN'!F106*'TS-PILE'!$D$67/SUMSQ('TS-PILE'!$D$56:$D$75))),IF('TS-PILE'!$B$68="",1E+99,'TO HOP NLAN'!D106/ncoc+IF(SUMSQ('TS-PILE'!$E$56:$E$75)=0,0,'TO HOP NLAN'!E106*'TS-PILE'!$E$68/SUMSQ('TS-PILE'!$E$56:$E$75))+IF(SUMSQ('TS-PILE'!$D$56:$D$75)=0,0,'TO HOP NLAN'!F106*'TS-PILE'!$D$68/SUMSQ('TS-PILE'!$D$56:$D$75))),IF('TS-PILE'!$B$69="",1E+99,'TO HOP NLAN'!D106/ncoc+IF(SUMSQ('TS-PILE'!$E$56:$E$75)=0,0,'TO HOP NLAN'!E106*'TS-PILE'!$E$69/SUMSQ('TS-PILE'!$E$56:$E$75))+IF(SUMSQ('TS-PILE'!$D$56:$D$75)=0,0,'TO HOP NLAN'!F106*'TS-PILE'!$D$69/SUMSQ('TS-PILE'!$D$56:$D$75))),IF('TS-PILE'!$B$70="",1E+99,'TO HOP NLAN'!D106/ncoc+IF(SUMSQ('TS-PILE'!$E$56:$E$75)=0,0,'TO HOP NLAN'!E106*'TS-PILE'!$E$70/SUMSQ('TS-PILE'!$E$56:$E$75))+IF(SUMSQ('TS-PILE'!$D$56:$D$75)=0,0,'TO HOP NLAN'!F106*'TS-PILE'!$D$70/SUMSQ('TS-PILE'!$D$56:$D$75))),IF('TS-PILE'!$B$71="",1E+99,'TO HOP NLAN'!D106/ncoc+IF(SUMSQ('TS-PILE'!$E$56:$E$75)=0,0,'TO HOP NLAN'!E106*'TS-PILE'!$E$71/SUMSQ('TS-PILE'!$E$56:$E$75))+IF(SUMSQ('TS-PILE'!$D$56:$D$75)=0,0,'TO HOP NLAN'!F106*'TS-PILE'!$D$71/SUMSQ('TS-PILE'!$D$56:$D$75))),IF('TS-PILE'!$B$72="",1E+99,'TO HOP NLAN'!D106/ncoc+IF(SUMSQ('TS-PILE'!$E$56:$E$75)=0,0,'TO HOP NLAN'!E106*'TS-PILE'!$E$72/SUMSQ('TS-PILE'!$E$56:$E$75))+IF(SUMSQ('TS-PILE'!$D$56:$D$75)=0,0,'TO HOP NLAN'!F106*'TS-PILE'!$D$72/SUMSQ('TS-PILE'!$D$56:$D$75))),IF('TS-PILE'!$B$73="",1E+99,'TO HOP NLAN'!D106/ncoc+IF(SUMSQ('TS-PILE'!$E$56:$E$75)=0,0,'TO HOP NLAN'!E106*'TS-PILE'!$E$73/SUMSQ('TS-PILE'!$E$56:$E$75))+IF(SUMSQ('TS-PILE'!$D$56:$D$75)=0,0,'TO HOP NLAN'!F106*'TS-PILE'!$D$73/SUMSQ('TS-PILE'!$D$56:$D$75))),IF('TS-PILE'!$B$74="",1E+99,'TO HOP NLAN'!D106/ncoc+IF(SUMSQ('TS-PILE'!$E$56:$E$75)=0,0,'TO HOP NLAN'!E106*'TS-PILE'!$E$74/SUMSQ('TS-PILE'!$E$56:$E$75))+IF(SUMSQ('TS-PILE'!$D$56:$D$75)=0,0,'TO HOP NLAN'!F106*'TS-PILE'!$D$74/SUMSQ('TS-PILE'!$D$56:$D$75))),IF('TS-PILE'!$B$75="",1E+99,'TO HOP NLAN'!D106/ncoc+IF(SUMSQ('TS-PILE'!$E$56:$E$75)=0,0,'TO HOP NLAN'!E106*'TS-PILE'!$E$75/SUMSQ('TS-PILE'!$E$56:$E$75))+IF(SUMSQ('TS-PILE'!$D$56:$D$75)=0,0,'TO HOP NLAN'!F106*'TS-PILE'!$D$75/SUMSQ('TS-PILE'!$D$56:$D$75)))))</f>
        <v>0</v>
      </c>
      <c r="E106" s="46">
        <f t="shared" si="4"/>
        <v>-9.9999999999999997E+98</v>
      </c>
      <c r="F106" s="46">
        <f t="shared" si="5"/>
        <v>9.9999999999999997E+98</v>
      </c>
      <c r="G106" s="46">
        <f t="shared" si="6"/>
        <v>-9.9999999999999997E+98</v>
      </c>
      <c r="H106" s="46">
        <f t="shared" si="7"/>
        <v>9.9999999999999997E+98</v>
      </c>
    </row>
    <row r="107" spans="1:8" x14ac:dyDescent="0.3">
      <c r="A107" s="40" t="str">
        <f>'TO HOP NLAN'!A107</f>
        <v/>
      </c>
      <c r="B107" s="40" t="str">
        <f>'TO HOP NLAN'!L107</f>
        <v>STRENGTH</v>
      </c>
      <c r="C107" s="46">
        <f>IF(A107="",0,MAX(IF('TS-PILE'!$B$56="",-1E+99,'TO HOP NLAN'!D107/ncoc+IF(SUMSQ('TS-PILE'!$E$56:$E$75)=0,0,'TO HOP NLAN'!E107*'TS-PILE'!$E$56/SUMSQ('TS-PILE'!$E$56:$E$75))+IF(SUMSQ('TS-PILE'!$D$56:$D$75)=0,0,'TO HOP NLAN'!F107*'TS-PILE'!$D$56/SUMSQ('TS-PILE'!$D$56:$D$75))),IF('TS-PILE'!$B$57="",-1E+99,'TO HOP NLAN'!D107/ncoc+IF(SUMSQ('TS-PILE'!$E$56:$E$75)=0,0,'TO HOP NLAN'!E107*'TS-PILE'!$E$57/SUMSQ('TS-PILE'!$E$56:$E$75))+IF(SUMSQ('TS-PILE'!$D$56:$D$75)=0,0,'TO HOP NLAN'!F107*'TS-PILE'!$D$57/SUMSQ('TS-PILE'!$D$56:$D$75))),IF('TS-PILE'!$B$58="",-1E+99,'TO HOP NLAN'!D107/ncoc+IF(SUMSQ('TS-PILE'!$E$56:$E$75)=0,0,'TO HOP NLAN'!E107*'TS-PILE'!$E$58/SUMSQ('TS-PILE'!$E$56:$E$75))+IF(SUMSQ('TS-PILE'!$D$56:$D$75)=0,0,'TO HOP NLAN'!F107*'TS-PILE'!$D$58/SUMSQ('TS-PILE'!$D$56:$D$75))),IF('TS-PILE'!$B$59="",-1E+99,'TO HOP NLAN'!D107/ncoc+IF(SUMSQ('TS-PILE'!$E$56:$E$75)=0,0,'TO HOP NLAN'!E107*'TS-PILE'!$E$59/SUMSQ('TS-PILE'!$E$56:$E$75))+IF(SUMSQ('TS-PILE'!$D$56:$D$75)=0,0,'TO HOP NLAN'!F107*'TS-PILE'!$D$59/SUMSQ('TS-PILE'!$D$56:$D$75))),IF('TS-PILE'!$B$60="",-1E+99,'TO HOP NLAN'!D107/ncoc+IF(SUMSQ('TS-PILE'!$E$56:$E$75)=0,0,'TO HOP NLAN'!E107*'TS-PILE'!$E$60/SUMSQ('TS-PILE'!$E$56:$E$75))+IF(SUMSQ('TS-PILE'!$D$56:$D$75)=0,0,'TO HOP NLAN'!F107*'TS-PILE'!$D$60/SUMSQ('TS-PILE'!$D$56:$D$75))),IF('TS-PILE'!$B$61="",-1E+99,'TO HOP NLAN'!D107/ncoc+IF(SUMSQ('TS-PILE'!$E$56:$E$75)=0,0,'TO HOP NLAN'!E107*'TS-PILE'!$E$61/SUMSQ('TS-PILE'!$E$56:$E$75))+IF(SUMSQ('TS-PILE'!$D$56:$D$75)=0,0,'TO HOP NLAN'!F107*'TS-PILE'!$D$61/SUMSQ('TS-PILE'!$D$56:$D$75))),IF('TS-PILE'!$B$62="",-1E+99,'TO HOP NLAN'!D107/ncoc+IF(SUMSQ('TS-PILE'!$E$56:$E$75)=0,0,'TO HOP NLAN'!E107*'TS-PILE'!$E$62/SUMSQ('TS-PILE'!$E$56:$E$75))+IF(SUMSQ('TS-PILE'!$D$56:$D$75)=0,0,'TO HOP NLAN'!F107*'TS-PILE'!$D$62/SUMSQ('TS-PILE'!$D$56:$D$75))),IF('TS-PILE'!$B$63="",-1E+99,'TO HOP NLAN'!D107/ncoc+IF(SUMSQ('TS-PILE'!$E$56:$E$75)=0,0,'TO HOP NLAN'!E107*'TS-PILE'!$E$63/SUMSQ('TS-PILE'!$E$56:$E$75))+IF(SUMSQ('TS-PILE'!$D$56:$D$75)=0,0,'TO HOP NLAN'!F107*'TS-PILE'!$D$63/SUMSQ('TS-PILE'!$D$56:$D$75))),IF('TS-PILE'!$B$64="",-1E+99,'TO HOP NLAN'!D107/ncoc+IF(SUMSQ('TS-PILE'!$E$56:$E$75)=0,0,'TO HOP NLAN'!E107*'TS-PILE'!$E$64/SUMSQ('TS-PILE'!$E$56:$E$75))+IF(SUMSQ('TS-PILE'!$D$56:$D$75)=0,0,'TO HOP NLAN'!F107*'TS-PILE'!$D$64/SUMSQ('TS-PILE'!$D$56:$D$75))),IF('TS-PILE'!$B$65="",-1E+99,'TO HOP NLAN'!D107/ncoc+IF(SUMSQ('TS-PILE'!$E$56:$E$75)=0,0,'TO HOP NLAN'!E107*'TS-PILE'!$E$65/SUMSQ('TS-PILE'!$E$56:$E$75))+IF(SUMSQ('TS-PILE'!$D$56:$D$75)=0,0,'TO HOP NLAN'!F107*'TS-PILE'!$D$65/SUMSQ('TS-PILE'!$D$56:$D$75))),IF('TS-PILE'!$B$66="",-1E+99,'TO HOP NLAN'!D107/ncoc+IF(SUMSQ('TS-PILE'!$E$56:$E$75)=0,0,'TO HOP NLAN'!E107*'TS-PILE'!$E$66/SUMSQ('TS-PILE'!$E$56:$E$75))+IF(SUMSQ('TS-PILE'!$D$56:$D$75)=0,0,'TO HOP NLAN'!F107*'TS-PILE'!$D$66/SUMSQ('TS-PILE'!$D$56:$D$75))),IF('TS-PILE'!$B$67="",-1E+99,'TO HOP NLAN'!D107/ncoc+IF(SUMSQ('TS-PILE'!$E$56:$E$75)=0,0,'TO HOP NLAN'!E107*'TS-PILE'!$E$67/SUMSQ('TS-PILE'!$E$56:$E$75))+IF(SUMSQ('TS-PILE'!$D$56:$D$75)=0,0,'TO HOP NLAN'!F107*'TS-PILE'!$D$67/SUMSQ('TS-PILE'!$D$56:$D$75))),IF('TS-PILE'!$B$68="",-1E+99,'TO HOP NLAN'!D107/ncoc+IF(SUMSQ('TS-PILE'!$E$56:$E$75)=0,0,'TO HOP NLAN'!E107*'TS-PILE'!$E$68/SUMSQ('TS-PILE'!$E$56:$E$75))+IF(SUMSQ('TS-PILE'!$D$56:$D$75)=0,0,'TO HOP NLAN'!F107*'TS-PILE'!$D$68/SUMSQ('TS-PILE'!$D$56:$D$75))),IF('TS-PILE'!$B$69="",-1E+99,'TO HOP NLAN'!D107/ncoc+IF(SUMSQ('TS-PILE'!$E$56:$E$75)=0,0,'TO HOP NLAN'!E107*'TS-PILE'!$E$69/SUMSQ('TS-PILE'!$E$56:$E$75))+IF(SUMSQ('TS-PILE'!$D$56:$D$75)=0,0,'TO HOP NLAN'!F107*'TS-PILE'!$D$69/SUMSQ('TS-PILE'!$D$56:$D$75))),IF('TS-PILE'!$B$70="",-1E+99,'TO HOP NLAN'!D107/ncoc+IF(SUMSQ('TS-PILE'!$E$56:$E$75)=0,0,'TO HOP NLAN'!E107*'TS-PILE'!$E$70/SUMSQ('TS-PILE'!$E$56:$E$75))+IF(SUMSQ('TS-PILE'!$D$56:$D$75)=0,0,'TO HOP NLAN'!F107*'TS-PILE'!$D$70/SUMSQ('TS-PILE'!$D$56:$D$75))),IF('TS-PILE'!$B$71="",-1E+99,'TO HOP NLAN'!D107/ncoc+IF(SUMSQ('TS-PILE'!$E$56:$E$75)=0,0,'TO HOP NLAN'!E107*'TS-PILE'!$E$71/SUMSQ('TS-PILE'!$E$56:$E$75))+IF(SUMSQ('TS-PILE'!$D$56:$D$75)=0,0,'TO HOP NLAN'!F107*'TS-PILE'!$D$71/SUMSQ('TS-PILE'!$D$56:$D$75))),IF('TS-PILE'!$B$72="",-1E+99,'TO HOP NLAN'!D107/ncoc+IF(SUMSQ('TS-PILE'!$E$56:$E$75)=0,0,'TO HOP NLAN'!E107*'TS-PILE'!$E$72/SUMSQ('TS-PILE'!$E$56:$E$75))+IF(SUMSQ('TS-PILE'!$D$56:$D$75)=0,0,'TO HOP NLAN'!F107*'TS-PILE'!$D$72/SUMSQ('TS-PILE'!$D$56:$D$75))),IF('TS-PILE'!$B$73="",-1E+99,'TO HOP NLAN'!D107/ncoc+IF(SUMSQ('TS-PILE'!$E$56:$E$75)=0,0,'TO HOP NLAN'!E107*'TS-PILE'!$E$73/SUMSQ('TS-PILE'!$E$56:$E$75))+IF(SUMSQ('TS-PILE'!$D$56:$D$75)=0,0,'TO HOP NLAN'!F107*'TS-PILE'!$D$73/SUMSQ('TS-PILE'!$D$56:$D$75))),IF('TS-PILE'!$B$74="",-1E+99,'TO HOP NLAN'!D107/ncoc+IF(SUMSQ('TS-PILE'!$E$56:$E$75)=0,0,'TO HOP NLAN'!E107*'TS-PILE'!$E$74/SUMSQ('TS-PILE'!$E$56:$E$75))+IF(SUMSQ('TS-PILE'!$D$56:$D$75)=0,0,'TO HOP NLAN'!F107*'TS-PILE'!$D$74/SUMSQ('TS-PILE'!$D$56:$D$75))),IF('TS-PILE'!$B$75="",-1E+99,'TO HOP NLAN'!D107/ncoc+IF(SUMSQ('TS-PILE'!$E$56:$E$75)=0,0,'TO HOP NLAN'!E107*'TS-PILE'!$E$75/SUMSQ('TS-PILE'!$E$56:$E$75))+IF(SUMSQ('TS-PILE'!$D$56:$D$75)=0,0,'TO HOP NLAN'!F107*'TS-PILE'!$D$75/SUMSQ('TS-PILE'!$D$56:$D$75)))))</f>
        <v>0</v>
      </c>
      <c r="D107" s="46">
        <f>IF(A107="",0,MIN(IF('TS-PILE'!$B$56="",1E+99,'TO HOP NLAN'!D107/ncoc+IF(SUMSQ('TS-PILE'!$E$56:$E$75)=0,0,'TO HOP NLAN'!E107*'TS-PILE'!$E$56/SUMSQ('TS-PILE'!$E$56:$E$75))+IF(SUMSQ('TS-PILE'!$D$56:$D$75)=0,0,'TO HOP NLAN'!F107*'TS-PILE'!$D$56/SUMSQ('TS-PILE'!$D$56:$D$75))),IF('TS-PILE'!$B$57="",1E+99,'TO HOP NLAN'!D107/ncoc+IF(SUMSQ('TS-PILE'!$E$56:$E$75)=0,0,'TO HOP NLAN'!E107*'TS-PILE'!$E$57/SUMSQ('TS-PILE'!$E$56:$E$75))+IF(SUMSQ('TS-PILE'!$D$56:$D$75)=0,0,'TO HOP NLAN'!F107*'TS-PILE'!$D$57/SUMSQ('TS-PILE'!$D$56:$D$75))),IF('TS-PILE'!$B$58="",1E+99,'TO HOP NLAN'!D107/ncoc+IF(SUMSQ('TS-PILE'!$E$56:$E$75)=0,0,'TO HOP NLAN'!E107*'TS-PILE'!$E$58/SUMSQ('TS-PILE'!$E$56:$E$75))+IF(SUMSQ('TS-PILE'!$D$56:$D$75)=0,0,'TO HOP NLAN'!F107*'TS-PILE'!$D$58/SUMSQ('TS-PILE'!$D$56:$D$75))),IF('TS-PILE'!$B$59="",1E+99,'TO HOP NLAN'!D107/ncoc+IF(SUMSQ('TS-PILE'!$E$56:$E$75)=0,0,'TO HOP NLAN'!E107*'TS-PILE'!$E$59/SUMSQ('TS-PILE'!$E$56:$E$75))+IF(SUMSQ('TS-PILE'!$D$56:$D$75)=0,0,'TO HOP NLAN'!F107*'TS-PILE'!$D$59/SUMSQ('TS-PILE'!$D$56:$D$75))),IF('TS-PILE'!$B$60="",1E+99,'TO HOP NLAN'!D107/ncoc+IF(SUMSQ('TS-PILE'!$E$56:$E$75)=0,0,'TO HOP NLAN'!E107*'TS-PILE'!$E$60/SUMSQ('TS-PILE'!$E$56:$E$75))+IF(SUMSQ('TS-PILE'!$D$56:$D$75)=0,0,'TO HOP NLAN'!F107*'TS-PILE'!$D$60/SUMSQ('TS-PILE'!$D$56:$D$75))),IF('TS-PILE'!$B$61="",1E+99,'TO HOP NLAN'!D107/ncoc+IF(SUMSQ('TS-PILE'!$E$56:$E$75)=0,0,'TO HOP NLAN'!E107*'TS-PILE'!$E$61/SUMSQ('TS-PILE'!$E$56:$E$75))+IF(SUMSQ('TS-PILE'!$D$56:$D$75)=0,0,'TO HOP NLAN'!F107*'TS-PILE'!$D$61/SUMSQ('TS-PILE'!$D$56:$D$75))),IF('TS-PILE'!$B$62="",1E+99,'TO HOP NLAN'!D107/ncoc+IF(SUMSQ('TS-PILE'!$E$56:$E$75)=0,0,'TO HOP NLAN'!E107*'TS-PILE'!$E$62/SUMSQ('TS-PILE'!$E$56:$E$75))+IF(SUMSQ('TS-PILE'!$D$56:$D$75)=0,0,'TO HOP NLAN'!F107*'TS-PILE'!$D$62/SUMSQ('TS-PILE'!$D$56:$D$75))),IF('TS-PILE'!$B$63="",1E+99,'TO HOP NLAN'!D107/ncoc+IF(SUMSQ('TS-PILE'!$E$56:$E$75)=0,0,'TO HOP NLAN'!E107*'TS-PILE'!$E$63/SUMSQ('TS-PILE'!$E$56:$E$75))+IF(SUMSQ('TS-PILE'!$D$56:$D$75)=0,0,'TO HOP NLAN'!F107*'TS-PILE'!$D$63/SUMSQ('TS-PILE'!$D$56:$D$75))),IF('TS-PILE'!$B$64="",1E+99,'TO HOP NLAN'!D107/ncoc+IF(SUMSQ('TS-PILE'!$E$56:$E$75)=0,0,'TO HOP NLAN'!E107*'TS-PILE'!$E$64/SUMSQ('TS-PILE'!$E$56:$E$75))+IF(SUMSQ('TS-PILE'!$D$56:$D$75)=0,0,'TO HOP NLAN'!F107*'TS-PILE'!$D$64/SUMSQ('TS-PILE'!$D$56:$D$75))),IF('TS-PILE'!$B$65="",1E+99,'TO HOP NLAN'!D107/ncoc+IF(SUMSQ('TS-PILE'!$E$56:$E$75)=0,0,'TO HOP NLAN'!E107*'TS-PILE'!$E$65/SUMSQ('TS-PILE'!$E$56:$E$75))+IF(SUMSQ('TS-PILE'!$D$56:$D$75)=0,0,'TO HOP NLAN'!F107*'TS-PILE'!$D$65/SUMSQ('TS-PILE'!$D$56:$D$75))),IF('TS-PILE'!$B$66="",1E+99,'TO HOP NLAN'!D107/ncoc+IF(SUMSQ('TS-PILE'!$E$56:$E$75)=0,0,'TO HOP NLAN'!E107*'TS-PILE'!$E$66/SUMSQ('TS-PILE'!$E$56:$E$75))+IF(SUMSQ('TS-PILE'!$D$56:$D$75)=0,0,'TO HOP NLAN'!F107*'TS-PILE'!$D$66/SUMSQ('TS-PILE'!$D$56:$D$75))),IF('TS-PILE'!$B$67="",1E+99,'TO HOP NLAN'!D107/ncoc+IF(SUMSQ('TS-PILE'!$E$56:$E$75)=0,0,'TO HOP NLAN'!E107*'TS-PILE'!$E$67/SUMSQ('TS-PILE'!$E$56:$E$75))+IF(SUMSQ('TS-PILE'!$D$56:$D$75)=0,0,'TO HOP NLAN'!F107*'TS-PILE'!$D$67/SUMSQ('TS-PILE'!$D$56:$D$75))),IF('TS-PILE'!$B$68="",1E+99,'TO HOP NLAN'!D107/ncoc+IF(SUMSQ('TS-PILE'!$E$56:$E$75)=0,0,'TO HOP NLAN'!E107*'TS-PILE'!$E$68/SUMSQ('TS-PILE'!$E$56:$E$75))+IF(SUMSQ('TS-PILE'!$D$56:$D$75)=0,0,'TO HOP NLAN'!F107*'TS-PILE'!$D$68/SUMSQ('TS-PILE'!$D$56:$D$75))),IF('TS-PILE'!$B$69="",1E+99,'TO HOP NLAN'!D107/ncoc+IF(SUMSQ('TS-PILE'!$E$56:$E$75)=0,0,'TO HOP NLAN'!E107*'TS-PILE'!$E$69/SUMSQ('TS-PILE'!$E$56:$E$75))+IF(SUMSQ('TS-PILE'!$D$56:$D$75)=0,0,'TO HOP NLAN'!F107*'TS-PILE'!$D$69/SUMSQ('TS-PILE'!$D$56:$D$75))),IF('TS-PILE'!$B$70="",1E+99,'TO HOP NLAN'!D107/ncoc+IF(SUMSQ('TS-PILE'!$E$56:$E$75)=0,0,'TO HOP NLAN'!E107*'TS-PILE'!$E$70/SUMSQ('TS-PILE'!$E$56:$E$75))+IF(SUMSQ('TS-PILE'!$D$56:$D$75)=0,0,'TO HOP NLAN'!F107*'TS-PILE'!$D$70/SUMSQ('TS-PILE'!$D$56:$D$75))),IF('TS-PILE'!$B$71="",1E+99,'TO HOP NLAN'!D107/ncoc+IF(SUMSQ('TS-PILE'!$E$56:$E$75)=0,0,'TO HOP NLAN'!E107*'TS-PILE'!$E$71/SUMSQ('TS-PILE'!$E$56:$E$75))+IF(SUMSQ('TS-PILE'!$D$56:$D$75)=0,0,'TO HOP NLAN'!F107*'TS-PILE'!$D$71/SUMSQ('TS-PILE'!$D$56:$D$75))),IF('TS-PILE'!$B$72="",1E+99,'TO HOP NLAN'!D107/ncoc+IF(SUMSQ('TS-PILE'!$E$56:$E$75)=0,0,'TO HOP NLAN'!E107*'TS-PILE'!$E$72/SUMSQ('TS-PILE'!$E$56:$E$75))+IF(SUMSQ('TS-PILE'!$D$56:$D$75)=0,0,'TO HOP NLAN'!F107*'TS-PILE'!$D$72/SUMSQ('TS-PILE'!$D$56:$D$75))),IF('TS-PILE'!$B$73="",1E+99,'TO HOP NLAN'!D107/ncoc+IF(SUMSQ('TS-PILE'!$E$56:$E$75)=0,0,'TO HOP NLAN'!E107*'TS-PILE'!$E$73/SUMSQ('TS-PILE'!$E$56:$E$75))+IF(SUMSQ('TS-PILE'!$D$56:$D$75)=0,0,'TO HOP NLAN'!F107*'TS-PILE'!$D$73/SUMSQ('TS-PILE'!$D$56:$D$75))),IF('TS-PILE'!$B$74="",1E+99,'TO HOP NLAN'!D107/ncoc+IF(SUMSQ('TS-PILE'!$E$56:$E$75)=0,0,'TO HOP NLAN'!E107*'TS-PILE'!$E$74/SUMSQ('TS-PILE'!$E$56:$E$75))+IF(SUMSQ('TS-PILE'!$D$56:$D$75)=0,0,'TO HOP NLAN'!F107*'TS-PILE'!$D$74/SUMSQ('TS-PILE'!$D$56:$D$75))),IF('TS-PILE'!$B$75="",1E+99,'TO HOP NLAN'!D107/ncoc+IF(SUMSQ('TS-PILE'!$E$56:$E$75)=0,0,'TO HOP NLAN'!E107*'TS-PILE'!$E$75/SUMSQ('TS-PILE'!$E$56:$E$75))+IF(SUMSQ('TS-PILE'!$D$56:$D$75)=0,0,'TO HOP NLAN'!F107*'TS-PILE'!$D$75/SUMSQ('TS-PILE'!$D$56:$D$75)))))</f>
        <v>0</v>
      </c>
      <c r="E107" s="46">
        <f t="shared" si="4"/>
        <v>-9.9999999999999997E+98</v>
      </c>
      <c r="F107" s="46">
        <f t="shared" si="5"/>
        <v>9.9999999999999997E+98</v>
      </c>
      <c r="G107" s="46">
        <f t="shared" si="6"/>
        <v>-9.9999999999999997E+98</v>
      </c>
      <c r="H107" s="46">
        <f t="shared" si="7"/>
        <v>9.9999999999999997E+98</v>
      </c>
    </row>
    <row r="108" spans="1:8" x14ac:dyDescent="0.3">
      <c r="A108" s="40" t="str">
        <f>'TO HOP NLAN'!A108</f>
        <v/>
      </c>
      <c r="B108" s="40" t="str">
        <f>'TO HOP NLAN'!L108</f>
        <v>STRENGTH</v>
      </c>
      <c r="C108" s="46">
        <f>IF(A108="",0,MAX(IF('TS-PILE'!$B$56="",-1E+99,'TO HOP NLAN'!D108/ncoc+IF(SUMSQ('TS-PILE'!$E$56:$E$75)=0,0,'TO HOP NLAN'!E108*'TS-PILE'!$E$56/SUMSQ('TS-PILE'!$E$56:$E$75))+IF(SUMSQ('TS-PILE'!$D$56:$D$75)=0,0,'TO HOP NLAN'!F108*'TS-PILE'!$D$56/SUMSQ('TS-PILE'!$D$56:$D$75))),IF('TS-PILE'!$B$57="",-1E+99,'TO HOP NLAN'!D108/ncoc+IF(SUMSQ('TS-PILE'!$E$56:$E$75)=0,0,'TO HOP NLAN'!E108*'TS-PILE'!$E$57/SUMSQ('TS-PILE'!$E$56:$E$75))+IF(SUMSQ('TS-PILE'!$D$56:$D$75)=0,0,'TO HOP NLAN'!F108*'TS-PILE'!$D$57/SUMSQ('TS-PILE'!$D$56:$D$75))),IF('TS-PILE'!$B$58="",-1E+99,'TO HOP NLAN'!D108/ncoc+IF(SUMSQ('TS-PILE'!$E$56:$E$75)=0,0,'TO HOP NLAN'!E108*'TS-PILE'!$E$58/SUMSQ('TS-PILE'!$E$56:$E$75))+IF(SUMSQ('TS-PILE'!$D$56:$D$75)=0,0,'TO HOP NLAN'!F108*'TS-PILE'!$D$58/SUMSQ('TS-PILE'!$D$56:$D$75))),IF('TS-PILE'!$B$59="",-1E+99,'TO HOP NLAN'!D108/ncoc+IF(SUMSQ('TS-PILE'!$E$56:$E$75)=0,0,'TO HOP NLAN'!E108*'TS-PILE'!$E$59/SUMSQ('TS-PILE'!$E$56:$E$75))+IF(SUMSQ('TS-PILE'!$D$56:$D$75)=0,0,'TO HOP NLAN'!F108*'TS-PILE'!$D$59/SUMSQ('TS-PILE'!$D$56:$D$75))),IF('TS-PILE'!$B$60="",-1E+99,'TO HOP NLAN'!D108/ncoc+IF(SUMSQ('TS-PILE'!$E$56:$E$75)=0,0,'TO HOP NLAN'!E108*'TS-PILE'!$E$60/SUMSQ('TS-PILE'!$E$56:$E$75))+IF(SUMSQ('TS-PILE'!$D$56:$D$75)=0,0,'TO HOP NLAN'!F108*'TS-PILE'!$D$60/SUMSQ('TS-PILE'!$D$56:$D$75))),IF('TS-PILE'!$B$61="",-1E+99,'TO HOP NLAN'!D108/ncoc+IF(SUMSQ('TS-PILE'!$E$56:$E$75)=0,0,'TO HOP NLAN'!E108*'TS-PILE'!$E$61/SUMSQ('TS-PILE'!$E$56:$E$75))+IF(SUMSQ('TS-PILE'!$D$56:$D$75)=0,0,'TO HOP NLAN'!F108*'TS-PILE'!$D$61/SUMSQ('TS-PILE'!$D$56:$D$75))),IF('TS-PILE'!$B$62="",-1E+99,'TO HOP NLAN'!D108/ncoc+IF(SUMSQ('TS-PILE'!$E$56:$E$75)=0,0,'TO HOP NLAN'!E108*'TS-PILE'!$E$62/SUMSQ('TS-PILE'!$E$56:$E$75))+IF(SUMSQ('TS-PILE'!$D$56:$D$75)=0,0,'TO HOP NLAN'!F108*'TS-PILE'!$D$62/SUMSQ('TS-PILE'!$D$56:$D$75))),IF('TS-PILE'!$B$63="",-1E+99,'TO HOP NLAN'!D108/ncoc+IF(SUMSQ('TS-PILE'!$E$56:$E$75)=0,0,'TO HOP NLAN'!E108*'TS-PILE'!$E$63/SUMSQ('TS-PILE'!$E$56:$E$75))+IF(SUMSQ('TS-PILE'!$D$56:$D$75)=0,0,'TO HOP NLAN'!F108*'TS-PILE'!$D$63/SUMSQ('TS-PILE'!$D$56:$D$75))),IF('TS-PILE'!$B$64="",-1E+99,'TO HOP NLAN'!D108/ncoc+IF(SUMSQ('TS-PILE'!$E$56:$E$75)=0,0,'TO HOP NLAN'!E108*'TS-PILE'!$E$64/SUMSQ('TS-PILE'!$E$56:$E$75))+IF(SUMSQ('TS-PILE'!$D$56:$D$75)=0,0,'TO HOP NLAN'!F108*'TS-PILE'!$D$64/SUMSQ('TS-PILE'!$D$56:$D$75))),IF('TS-PILE'!$B$65="",-1E+99,'TO HOP NLAN'!D108/ncoc+IF(SUMSQ('TS-PILE'!$E$56:$E$75)=0,0,'TO HOP NLAN'!E108*'TS-PILE'!$E$65/SUMSQ('TS-PILE'!$E$56:$E$75))+IF(SUMSQ('TS-PILE'!$D$56:$D$75)=0,0,'TO HOP NLAN'!F108*'TS-PILE'!$D$65/SUMSQ('TS-PILE'!$D$56:$D$75))),IF('TS-PILE'!$B$66="",-1E+99,'TO HOP NLAN'!D108/ncoc+IF(SUMSQ('TS-PILE'!$E$56:$E$75)=0,0,'TO HOP NLAN'!E108*'TS-PILE'!$E$66/SUMSQ('TS-PILE'!$E$56:$E$75))+IF(SUMSQ('TS-PILE'!$D$56:$D$75)=0,0,'TO HOP NLAN'!F108*'TS-PILE'!$D$66/SUMSQ('TS-PILE'!$D$56:$D$75))),IF('TS-PILE'!$B$67="",-1E+99,'TO HOP NLAN'!D108/ncoc+IF(SUMSQ('TS-PILE'!$E$56:$E$75)=0,0,'TO HOP NLAN'!E108*'TS-PILE'!$E$67/SUMSQ('TS-PILE'!$E$56:$E$75))+IF(SUMSQ('TS-PILE'!$D$56:$D$75)=0,0,'TO HOP NLAN'!F108*'TS-PILE'!$D$67/SUMSQ('TS-PILE'!$D$56:$D$75))),IF('TS-PILE'!$B$68="",-1E+99,'TO HOP NLAN'!D108/ncoc+IF(SUMSQ('TS-PILE'!$E$56:$E$75)=0,0,'TO HOP NLAN'!E108*'TS-PILE'!$E$68/SUMSQ('TS-PILE'!$E$56:$E$75))+IF(SUMSQ('TS-PILE'!$D$56:$D$75)=0,0,'TO HOP NLAN'!F108*'TS-PILE'!$D$68/SUMSQ('TS-PILE'!$D$56:$D$75))),IF('TS-PILE'!$B$69="",-1E+99,'TO HOP NLAN'!D108/ncoc+IF(SUMSQ('TS-PILE'!$E$56:$E$75)=0,0,'TO HOP NLAN'!E108*'TS-PILE'!$E$69/SUMSQ('TS-PILE'!$E$56:$E$75))+IF(SUMSQ('TS-PILE'!$D$56:$D$75)=0,0,'TO HOP NLAN'!F108*'TS-PILE'!$D$69/SUMSQ('TS-PILE'!$D$56:$D$75))),IF('TS-PILE'!$B$70="",-1E+99,'TO HOP NLAN'!D108/ncoc+IF(SUMSQ('TS-PILE'!$E$56:$E$75)=0,0,'TO HOP NLAN'!E108*'TS-PILE'!$E$70/SUMSQ('TS-PILE'!$E$56:$E$75))+IF(SUMSQ('TS-PILE'!$D$56:$D$75)=0,0,'TO HOP NLAN'!F108*'TS-PILE'!$D$70/SUMSQ('TS-PILE'!$D$56:$D$75))),IF('TS-PILE'!$B$71="",-1E+99,'TO HOP NLAN'!D108/ncoc+IF(SUMSQ('TS-PILE'!$E$56:$E$75)=0,0,'TO HOP NLAN'!E108*'TS-PILE'!$E$71/SUMSQ('TS-PILE'!$E$56:$E$75))+IF(SUMSQ('TS-PILE'!$D$56:$D$75)=0,0,'TO HOP NLAN'!F108*'TS-PILE'!$D$71/SUMSQ('TS-PILE'!$D$56:$D$75))),IF('TS-PILE'!$B$72="",-1E+99,'TO HOP NLAN'!D108/ncoc+IF(SUMSQ('TS-PILE'!$E$56:$E$75)=0,0,'TO HOP NLAN'!E108*'TS-PILE'!$E$72/SUMSQ('TS-PILE'!$E$56:$E$75))+IF(SUMSQ('TS-PILE'!$D$56:$D$75)=0,0,'TO HOP NLAN'!F108*'TS-PILE'!$D$72/SUMSQ('TS-PILE'!$D$56:$D$75))),IF('TS-PILE'!$B$73="",-1E+99,'TO HOP NLAN'!D108/ncoc+IF(SUMSQ('TS-PILE'!$E$56:$E$75)=0,0,'TO HOP NLAN'!E108*'TS-PILE'!$E$73/SUMSQ('TS-PILE'!$E$56:$E$75))+IF(SUMSQ('TS-PILE'!$D$56:$D$75)=0,0,'TO HOP NLAN'!F108*'TS-PILE'!$D$73/SUMSQ('TS-PILE'!$D$56:$D$75))),IF('TS-PILE'!$B$74="",-1E+99,'TO HOP NLAN'!D108/ncoc+IF(SUMSQ('TS-PILE'!$E$56:$E$75)=0,0,'TO HOP NLAN'!E108*'TS-PILE'!$E$74/SUMSQ('TS-PILE'!$E$56:$E$75))+IF(SUMSQ('TS-PILE'!$D$56:$D$75)=0,0,'TO HOP NLAN'!F108*'TS-PILE'!$D$74/SUMSQ('TS-PILE'!$D$56:$D$75))),IF('TS-PILE'!$B$75="",-1E+99,'TO HOP NLAN'!D108/ncoc+IF(SUMSQ('TS-PILE'!$E$56:$E$75)=0,0,'TO HOP NLAN'!E108*'TS-PILE'!$E$75/SUMSQ('TS-PILE'!$E$56:$E$75))+IF(SUMSQ('TS-PILE'!$D$56:$D$75)=0,0,'TO HOP NLAN'!F108*'TS-PILE'!$D$75/SUMSQ('TS-PILE'!$D$56:$D$75)))))</f>
        <v>0</v>
      </c>
      <c r="D108" s="46">
        <f>IF(A108="",0,MIN(IF('TS-PILE'!$B$56="",1E+99,'TO HOP NLAN'!D108/ncoc+IF(SUMSQ('TS-PILE'!$E$56:$E$75)=0,0,'TO HOP NLAN'!E108*'TS-PILE'!$E$56/SUMSQ('TS-PILE'!$E$56:$E$75))+IF(SUMSQ('TS-PILE'!$D$56:$D$75)=0,0,'TO HOP NLAN'!F108*'TS-PILE'!$D$56/SUMSQ('TS-PILE'!$D$56:$D$75))),IF('TS-PILE'!$B$57="",1E+99,'TO HOP NLAN'!D108/ncoc+IF(SUMSQ('TS-PILE'!$E$56:$E$75)=0,0,'TO HOP NLAN'!E108*'TS-PILE'!$E$57/SUMSQ('TS-PILE'!$E$56:$E$75))+IF(SUMSQ('TS-PILE'!$D$56:$D$75)=0,0,'TO HOP NLAN'!F108*'TS-PILE'!$D$57/SUMSQ('TS-PILE'!$D$56:$D$75))),IF('TS-PILE'!$B$58="",1E+99,'TO HOP NLAN'!D108/ncoc+IF(SUMSQ('TS-PILE'!$E$56:$E$75)=0,0,'TO HOP NLAN'!E108*'TS-PILE'!$E$58/SUMSQ('TS-PILE'!$E$56:$E$75))+IF(SUMSQ('TS-PILE'!$D$56:$D$75)=0,0,'TO HOP NLAN'!F108*'TS-PILE'!$D$58/SUMSQ('TS-PILE'!$D$56:$D$75))),IF('TS-PILE'!$B$59="",1E+99,'TO HOP NLAN'!D108/ncoc+IF(SUMSQ('TS-PILE'!$E$56:$E$75)=0,0,'TO HOP NLAN'!E108*'TS-PILE'!$E$59/SUMSQ('TS-PILE'!$E$56:$E$75))+IF(SUMSQ('TS-PILE'!$D$56:$D$75)=0,0,'TO HOP NLAN'!F108*'TS-PILE'!$D$59/SUMSQ('TS-PILE'!$D$56:$D$75))),IF('TS-PILE'!$B$60="",1E+99,'TO HOP NLAN'!D108/ncoc+IF(SUMSQ('TS-PILE'!$E$56:$E$75)=0,0,'TO HOP NLAN'!E108*'TS-PILE'!$E$60/SUMSQ('TS-PILE'!$E$56:$E$75))+IF(SUMSQ('TS-PILE'!$D$56:$D$75)=0,0,'TO HOP NLAN'!F108*'TS-PILE'!$D$60/SUMSQ('TS-PILE'!$D$56:$D$75))),IF('TS-PILE'!$B$61="",1E+99,'TO HOP NLAN'!D108/ncoc+IF(SUMSQ('TS-PILE'!$E$56:$E$75)=0,0,'TO HOP NLAN'!E108*'TS-PILE'!$E$61/SUMSQ('TS-PILE'!$E$56:$E$75))+IF(SUMSQ('TS-PILE'!$D$56:$D$75)=0,0,'TO HOP NLAN'!F108*'TS-PILE'!$D$61/SUMSQ('TS-PILE'!$D$56:$D$75))),IF('TS-PILE'!$B$62="",1E+99,'TO HOP NLAN'!D108/ncoc+IF(SUMSQ('TS-PILE'!$E$56:$E$75)=0,0,'TO HOP NLAN'!E108*'TS-PILE'!$E$62/SUMSQ('TS-PILE'!$E$56:$E$75))+IF(SUMSQ('TS-PILE'!$D$56:$D$75)=0,0,'TO HOP NLAN'!F108*'TS-PILE'!$D$62/SUMSQ('TS-PILE'!$D$56:$D$75))),IF('TS-PILE'!$B$63="",1E+99,'TO HOP NLAN'!D108/ncoc+IF(SUMSQ('TS-PILE'!$E$56:$E$75)=0,0,'TO HOP NLAN'!E108*'TS-PILE'!$E$63/SUMSQ('TS-PILE'!$E$56:$E$75))+IF(SUMSQ('TS-PILE'!$D$56:$D$75)=0,0,'TO HOP NLAN'!F108*'TS-PILE'!$D$63/SUMSQ('TS-PILE'!$D$56:$D$75))),IF('TS-PILE'!$B$64="",1E+99,'TO HOP NLAN'!D108/ncoc+IF(SUMSQ('TS-PILE'!$E$56:$E$75)=0,0,'TO HOP NLAN'!E108*'TS-PILE'!$E$64/SUMSQ('TS-PILE'!$E$56:$E$75))+IF(SUMSQ('TS-PILE'!$D$56:$D$75)=0,0,'TO HOP NLAN'!F108*'TS-PILE'!$D$64/SUMSQ('TS-PILE'!$D$56:$D$75))),IF('TS-PILE'!$B$65="",1E+99,'TO HOP NLAN'!D108/ncoc+IF(SUMSQ('TS-PILE'!$E$56:$E$75)=0,0,'TO HOP NLAN'!E108*'TS-PILE'!$E$65/SUMSQ('TS-PILE'!$E$56:$E$75))+IF(SUMSQ('TS-PILE'!$D$56:$D$75)=0,0,'TO HOP NLAN'!F108*'TS-PILE'!$D$65/SUMSQ('TS-PILE'!$D$56:$D$75))),IF('TS-PILE'!$B$66="",1E+99,'TO HOP NLAN'!D108/ncoc+IF(SUMSQ('TS-PILE'!$E$56:$E$75)=0,0,'TO HOP NLAN'!E108*'TS-PILE'!$E$66/SUMSQ('TS-PILE'!$E$56:$E$75))+IF(SUMSQ('TS-PILE'!$D$56:$D$75)=0,0,'TO HOP NLAN'!F108*'TS-PILE'!$D$66/SUMSQ('TS-PILE'!$D$56:$D$75))),IF('TS-PILE'!$B$67="",1E+99,'TO HOP NLAN'!D108/ncoc+IF(SUMSQ('TS-PILE'!$E$56:$E$75)=0,0,'TO HOP NLAN'!E108*'TS-PILE'!$E$67/SUMSQ('TS-PILE'!$E$56:$E$75))+IF(SUMSQ('TS-PILE'!$D$56:$D$75)=0,0,'TO HOP NLAN'!F108*'TS-PILE'!$D$67/SUMSQ('TS-PILE'!$D$56:$D$75))),IF('TS-PILE'!$B$68="",1E+99,'TO HOP NLAN'!D108/ncoc+IF(SUMSQ('TS-PILE'!$E$56:$E$75)=0,0,'TO HOP NLAN'!E108*'TS-PILE'!$E$68/SUMSQ('TS-PILE'!$E$56:$E$75))+IF(SUMSQ('TS-PILE'!$D$56:$D$75)=0,0,'TO HOP NLAN'!F108*'TS-PILE'!$D$68/SUMSQ('TS-PILE'!$D$56:$D$75))),IF('TS-PILE'!$B$69="",1E+99,'TO HOP NLAN'!D108/ncoc+IF(SUMSQ('TS-PILE'!$E$56:$E$75)=0,0,'TO HOP NLAN'!E108*'TS-PILE'!$E$69/SUMSQ('TS-PILE'!$E$56:$E$75))+IF(SUMSQ('TS-PILE'!$D$56:$D$75)=0,0,'TO HOP NLAN'!F108*'TS-PILE'!$D$69/SUMSQ('TS-PILE'!$D$56:$D$75))),IF('TS-PILE'!$B$70="",1E+99,'TO HOP NLAN'!D108/ncoc+IF(SUMSQ('TS-PILE'!$E$56:$E$75)=0,0,'TO HOP NLAN'!E108*'TS-PILE'!$E$70/SUMSQ('TS-PILE'!$E$56:$E$75))+IF(SUMSQ('TS-PILE'!$D$56:$D$75)=0,0,'TO HOP NLAN'!F108*'TS-PILE'!$D$70/SUMSQ('TS-PILE'!$D$56:$D$75))),IF('TS-PILE'!$B$71="",1E+99,'TO HOP NLAN'!D108/ncoc+IF(SUMSQ('TS-PILE'!$E$56:$E$75)=0,0,'TO HOP NLAN'!E108*'TS-PILE'!$E$71/SUMSQ('TS-PILE'!$E$56:$E$75))+IF(SUMSQ('TS-PILE'!$D$56:$D$75)=0,0,'TO HOP NLAN'!F108*'TS-PILE'!$D$71/SUMSQ('TS-PILE'!$D$56:$D$75))),IF('TS-PILE'!$B$72="",1E+99,'TO HOP NLAN'!D108/ncoc+IF(SUMSQ('TS-PILE'!$E$56:$E$75)=0,0,'TO HOP NLAN'!E108*'TS-PILE'!$E$72/SUMSQ('TS-PILE'!$E$56:$E$75))+IF(SUMSQ('TS-PILE'!$D$56:$D$75)=0,0,'TO HOP NLAN'!F108*'TS-PILE'!$D$72/SUMSQ('TS-PILE'!$D$56:$D$75))),IF('TS-PILE'!$B$73="",1E+99,'TO HOP NLAN'!D108/ncoc+IF(SUMSQ('TS-PILE'!$E$56:$E$75)=0,0,'TO HOP NLAN'!E108*'TS-PILE'!$E$73/SUMSQ('TS-PILE'!$E$56:$E$75))+IF(SUMSQ('TS-PILE'!$D$56:$D$75)=0,0,'TO HOP NLAN'!F108*'TS-PILE'!$D$73/SUMSQ('TS-PILE'!$D$56:$D$75))),IF('TS-PILE'!$B$74="",1E+99,'TO HOP NLAN'!D108/ncoc+IF(SUMSQ('TS-PILE'!$E$56:$E$75)=0,0,'TO HOP NLAN'!E108*'TS-PILE'!$E$74/SUMSQ('TS-PILE'!$E$56:$E$75))+IF(SUMSQ('TS-PILE'!$D$56:$D$75)=0,0,'TO HOP NLAN'!F108*'TS-PILE'!$D$74/SUMSQ('TS-PILE'!$D$56:$D$75))),IF('TS-PILE'!$B$75="",1E+99,'TO HOP NLAN'!D108/ncoc+IF(SUMSQ('TS-PILE'!$E$56:$E$75)=0,0,'TO HOP NLAN'!E108*'TS-PILE'!$E$75/SUMSQ('TS-PILE'!$E$56:$E$75))+IF(SUMSQ('TS-PILE'!$D$56:$D$75)=0,0,'TO HOP NLAN'!F108*'TS-PILE'!$D$75/SUMSQ('TS-PILE'!$D$56:$D$75)))))</f>
        <v>0</v>
      </c>
      <c r="E108" s="46">
        <f t="shared" si="4"/>
        <v>-9.9999999999999997E+98</v>
      </c>
      <c r="F108" s="46">
        <f t="shared" si="5"/>
        <v>9.9999999999999997E+98</v>
      </c>
      <c r="G108" s="46">
        <f t="shared" si="6"/>
        <v>-9.9999999999999997E+98</v>
      </c>
      <c r="H108" s="46">
        <f t="shared" si="7"/>
        <v>9.9999999999999997E+98</v>
      </c>
    </row>
    <row r="109" spans="1:8" x14ac:dyDescent="0.3">
      <c r="A109" s="40" t="str">
        <f>'TO HOP NLAN'!A109</f>
        <v/>
      </c>
      <c r="B109" s="40" t="str">
        <f>'TO HOP NLAN'!L109</f>
        <v>STRENGTH</v>
      </c>
      <c r="C109" s="46">
        <f>IF(A109="",0,MAX(IF('TS-PILE'!$B$56="",-1E+99,'TO HOP NLAN'!D109/ncoc+IF(SUMSQ('TS-PILE'!$E$56:$E$75)=0,0,'TO HOP NLAN'!E109*'TS-PILE'!$E$56/SUMSQ('TS-PILE'!$E$56:$E$75))+IF(SUMSQ('TS-PILE'!$D$56:$D$75)=0,0,'TO HOP NLAN'!F109*'TS-PILE'!$D$56/SUMSQ('TS-PILE'!$D$56:$D$75))),IF('TS-PILE'!$B$57="",-1E+99,'TO HOP NLAN'!D109/ncoc+IF(SUMSQ('TS-PILE'!$E$56:$E$75)=0,0,'TO HOP NLAN'!E109*'TS-PILE'!$E$57/SUMSQ('TS-PILE'!$E$56:$E$75))+IF(SUMSQ('TS-PILE'!$D$56:$D$75)=0,0,'TO HOP NLAN'!F109*'TS-PILE'!$D$57/SUMSQ('TS-PILE'!$D$56:$D$75))),IF('TS-PILE'!$B$58="",-1E+99,'TO HOP NLAN'!D109/ncoc+IF(SUMSQ('TS-PILE'!$E$56:$E$75)=0,0,'TO HOP NLAN'!E109*'TS-PILE'!$E$58/SUMSQ('TS-PILE'!$E$56:$E$75))+IF(SUMSQ('TS-PILE'!$D$56:$D$75)=0,0,'TO HOP NLAN'!F109*'TS-PILE'!$D$58/SUMSQ('TS-PILE'!$D$56:$D$75))),IF('TS-PILE'!$B$59="",-1E+99,'TO HOP NLAN'!D109/ncoc+IF(SUMSQ('TS-PILE'!$E$56:$E$75)=0,0,'TO HOP NLAN'!E109*'TS-PILE'!$E$59/SUMSQ('TS-PILE'!$E$56:$E$75))+IF(SUMSQ('TS-PILE'!$D$56:$D$75)=0,0,'TO HOP NLAN'!F109*'TS-PILE'!$D$59/SUMSQ('TS-PILE'!$D$56:$D$75))),IF('TS-PILE'!$B$60="",-1E+99,'TO HOP NLAN'!D109/ncoc+IF(SUMSQ('TS-PILE'!$E$56:$E$75)=0,0,'TO HOP NLAN'!E109*'TS-PILE'!$E$60/SUMSQ('TS-PILE'!$E$56:$E$75))+IF(SUMSQ('TS-PILE'!$D$56:$D$75)=0,0,'TO HOP NLAN'!F109*'TS-PILE'!$D$60/SUMSQ('TS-PILE'!$D$56:$D$75))),IF('TS-PILE'!$B$61="",-1E+99,'TO HOP NLAN'!D109/ncoc+IF(SUMSQ('TS-PILE'!$E$56:$E$75)=0,0,'TO HOP NLAN'!E109*'TS-PILE'!$E$61/SUMSQ('TS-PILE'!$E$56:$E$75))+IF(SUMSQ('TS-PILE'!$D$56:$D$75)=0,0,'TO HOP NLAN'!F109*'TS-PILE'!$D$61/SUMSQ('TS-PILE'!$D$56:$D$75))),IF('TS-PILE'!$B$62="",-1E+99,'TO HOP NLAN'!D109/ncoc+IF(SUMSQ('TS-PILE'!$E$56:$E$75)=0,0,'TO HOP NLAN'!E109*'TS-PILE'!$E$62/SUMSQ('TS-PILE'!$E$56:$E$75))+IF(SUMSQ('TS-PILE'!$D$56:$D$75)=0,0,'TO HOP NLAN'!F109*'TS-PILE'!$D$62/SUMSQ('TS-PILE'!$D$56:$D$75))),IF('TS-PILE'!$B$63="",-1E+99,'TO HOP NLAN'!D109/ncoc+IF(SUMSQ('TS-PILE'!$E$56:$E$75)=0,0,'TO HOP NLAN'!E109*'TS-PILE'!$E$63/SUMSQ('TS-PILE'!$E$56:$E$75))+IF(SUMSQ('TS-PILE'!$D$56:$D$75)=0,0,'TO HOP NLAN'!F109*'TS-PILE'!$D$63/SUMSQ('TS-PILE'!$D$56:$D$75))),IF('TS-PILE'!$B$64="",-1E+99,'TO HOP NLAN'!D109/ncoc+IF(SUMSQ('TS-PILE'!$E$56:$E$75)=0,0,'TO HOP NLAN'!E109*'TS-PILE'!$E$64/SUMSQ('TS-PILE'!$E$56:$E$75))+IF(SUMSQ('TS-PILE'!$D$56:$D$75)=0,0,'TO HOP NLAN'!F109*'TS-PILE'!$D$64/SUMSQ('TS-PILE'!$D$56:$D$75))),IF('TS-PILE'!$B$65="",-1E+99,'TO HOP NLAN'!D109/ncoc+IF(SUMSQ('TS-PILE'!$E$56:$E$75)=0,0,'TO HOP NLAN'!E109*'TS-PILE'!$E$65/SUMSQ('TS-PILE'!$E$56:$E$75))+IF(SUMSQ('TS-PILE'!$D$56:$D$75)=0,0,'TO HOP NLAN'!F109*'TS-PILE'!$D$65/SUMSQ('TS-PILE'!$D$56:$D$75))),IF('TS-PILE'!$B$66="",-1E+99,'TO HOP NLAN'!D109/ncoc+IF(SUMSQ('TS-PILE'!$E$56:$E$75)=0,0,'TO HOP NLAN'!E109*'TS-PILE'!$E$66/SUMSQ('TS-PILE'!$E$56:$E$75))+IF(SUMSQ('TS-PILE'!$D$56:$D$75)=0,0,'TO HOP NLAN'!F109*'TS-PILE'!$D$66/SUMSQ('TS-PILE'!$D$56:$D$75))),IF('TS-PILE'!$B$67="",-1E+99,'TO HOP NLAN'!D109/ncoc+IF(SUMSQ('TS-PILE'!$E$56:$E$75)=0,0,'TO HOP NLAN'!E109*'TS-PILE'!$E$67/SUMSQ('TS-PILE'!$E$56:$E$75))+IF(SUMSQ('TS-PILE'!$D$56:$D$75)=0,0,'TO HOP NLAN'!F109*'TS-PILE'!$D$67/SUMSQ('TS-PILE'!$D$56:$D$75))),IF('TS-PILE'!$B$68="",-1E+99,'TO HOP NLAN'!D109/ncoc+IF(SUMSQ('TS-PILE'!$E$56:$E$75)=0,0,'TO HOP NLAN'!E109*'TS-PILE'!$E$68/SUMSQ('TS-PILE'!$E$56:$E$75))+IF(SUMSQ('TS-PILE'!$D$56:$D$75)=0,0,'TO HOP NLAN'!F109*'TS-PILE'!$D$68/SUMSQ('TS-PILE'!$D$56:$D$75))),IF('TS-PILE'!$B$69="",-1E+99,'TO HOP NLAN'!D109/ncoc+IF(SUMSQ('TS-PILE'!$E$56:$E$75)=0,0,'TO HOP NLAN'!E109*'TS-PILE'!$E$69/SUMSQ('TS-PILE'!$E$56:$E$75))+IF(SUMSQ('TS-PILE'!$D$56:$D$75)=0,0,'TO HOP NLAN'!F109*'TS-PILE'!$D$69/SUMSQ('TS-PILE'!$D$56:$D$75))),IF('TS-PILE'!$B$70="",-1E+99,'TO HOP NLAN'!D109/ncoc+IF(SUMSQ('TS-PILE'!$E$56:$E$75)=0,0,'TO HOP NLAN'!E109*'TS-PILE'!$E$70/SUMSQ('TS-PILE'!$E$56:$E$75))+IF(SUMSQ('TS-PILE'!$D$56:$D$75)=0,0,'TO HOP NLAN'!F109*'TS-PILE'!$D$70/SUMSQ('TS-PILE'!$D$56:$D$75))),IF('TS-PILE'!$B$71="",-1E+99,'TO HOP NLAN'!D109/ncoc+IF(SUMSQ('TS-PILE'!$E$56:$E$75)=0,0,'TO HOP NLAN'!E109*'TS-PILE'!$E$71/SUMSQ('TS-PILE'!$E$56:$E$75))+IF(SUMSQ('TS-PILE'!$D$56:$D$75)=0,0,'TO HOP NLAN'!F109*'TS-PILE'!$D$71/SUMSQ('TS-PILE'!$D$56:$D$75))),IF('TS-PILE'!$B$72="",-1E+99,'TO HOP NLAN'!D109/ncoc+IF(SUMSQ('TS-PILE'!$E$56:$E$75)=0,0,'TO HOP NLAN'!E109*'TS-PILE'!$E$72/SUMSQ('TS-PILE'!$E$56:$E$75))+IF(SUMSQ('TS-PILE'!$D$56:$D$75)=0,0,'TO HOP NLAN'!F109*'TS-PILE'!$D$72/SUMSQ('TS-PILE'!$D$56:$D$75))),IF('TS-PILE'!$B$73="",-1E+99,'TO HOP NLAN'!D109/ncoc+IF(SUMSQ('TS-PILE'!$E$56:$E$75)=0,0,'TO HOP NLAN'!E109*'TS-PILE'!$E$73/SUMSQ('TS-PILE'!$E$56:$E$75))+IF(SUMSQ('TS-PILE'!$D$56:$D$75)=0,0,'TO HOP NLAN'!F109*'TS-PILE'!$D$73/SUMSQ('TS-PILE'!$D$56:$D$75))),IF('TS-PILE'!$B$74="",-1E+99,'TO HOP NLAN'!D109/ncoc+IF(SUMSQ('TS-PILE'!$E$56:$E$75)=0,0,'TO HOP NLAN'!E109*'TS-PILE'!$E$74/SUMSQ('TS-PILE'!$E$56:$E$75))+IF(SUMSQ('TS-PILE'!$D$56:$D$75)=0,0,'TO HOP NLAN'!F109*'TS-PILE'!$D$74/SUMSQ('TS-PILE'!$D$56:$D$75))),IF('TS-PILE'!$B$75="",-1E+99,'TO HOP NLAN'!D109/ncoc+IF(SUMSQ('TS-PILE'!$E$56:$E$75)=0,0,'TO HOP NLAN'!E109*'TS-PILE'!$E$75/SUMSQ('TS-PILE'!$E$56:$E$75))+IF(SUMSQ('TS-PILE'!$D$56:$D$75)=0,0,'TO HOP NLAN'!F109*'TS-PILE'!$D$75/SUMSQ('TS-PILE'!$D$56:$D$75)))))</f>
        <v>0</v>
      </c>
      <c r="D109" s="46">
        <f>IF(A109="",0,MIN(IF('TS-PILE'!$B$56="",1E+99,'TO HOP NLAN'!D109/ncoc+IF(SUMSQ('TS-PILE'!$E$56:$E$75)=0,0,'TO HOP NLAN'!E109*'TS-PILE'!$E$56/SUMSQ('TS-PILE'!$E$56:$E$75))+IF(SUMSQ('TS-PILE'!$D$56:$D$75)=0,0,'TO HOP NLAN'!F109*'TS-PILE'!$D$56/SUMSQ('TS-PILE'!$D$56:$D$75))),IF('TS-PILE'!$B$57="",1E+99,'TO HOP NLAN'!D109/ncoc+IF(SUMSQ('TS-PILE'!$E$56:$E$75)=0,0,'TO HOP NLAN'!E109*'TS-PILE'!$E$57/SUMSQ('TS-PILE'!$E$56:$E$75))+IF(SUMSQ('TS-PILE'!$D$56:$D$75)=0,0,'TO HOP NLAN'!F109*'TS-PILE'!$D$57/SUMSQ('TS-PILE'!$D$56:$D$75))),IF('TS-PILE'!$B$58="",1E+99,'TO HOP NLAN'!D109/ncoc+IF(SUMSQ('TS-PILE'!$E$56:$E$75)=0,0,'TO HOP NLAN'!E109*'TS-PILE'!$E$58/SUMSQ('TS-PILE'!$E$56:$E$75))+IF(SUMSQ('TS-PILE'!$D$56:$D$75)=0,0,'TO HOP NLAN'!F109*'TS-PILE'!$D$58/SUMSQ('TS-PILE'!$D$56:$D$75))),IF('TS-PILE'!$B$59="",1E+99,'TO HOP NLAN'!D109/ncoc+IF(SUMSQ('TS-PILE'!$E$56:$E$75)=0,0,'TO HOP NLAN'!E109*'TS-PILE'!$E$59/SUMSQ('TS-PILE'!$E$56:$E$75))+IF(SUMSQ('TS-PILE'!$D$56:$D$75)=0,0,'TO HOP NLAN'!F109*'TS-PILE'!$D$59/SUMSQ('TS-PILE'!$D$56:$D$75))),IF('TS-PILE'!$B$60="",1E+99,'TO HOP NLAN'!D109/ncoc+IF(SUMSQ('TS-PILE'!$E$56:$E$75)=0,0,'TO HOP NLAN'!E109*'TS-PILE'!$E$60/SUMSQ('TS-PILE'!$E$56:$E$75))+IF(SUMSQ('TS-PILE'!$D$56:$D$75)=0,0,'TO HOP NLAN'!F109*'TS-PILE'!$D$60/SUMSQ('TS-PILE'!$D$56:$D$75))),IF('TS-PILE'!$B$61="",1E+99,'TO HOP NLAN'!D109/ncoc+IF(SUMSQ('TS-PILE'!$E$56:$E$75)=0,0,'TO HOP NLAN'!E109*'TS-PILE'!$E$61/SUMSQ('TS-PILE'!$E$56:$E$75))+IF(SUMSQ('TS-PILE'!$D$56:$D$75)=0,0,'TO HOP NLAN'!F109*'TS-PILE'!$D$61/SUMSQ('TS-PILE'!$D$56:$D$75))),IF('TS-PILE'!$B$62="",1E+99,'TO HOP NLAN'!D109/ncoc+IF(SUMSQ('TS-PILE'!$E$56:$E$75)=0,0,'TO HOP NLAN'!E109*'TS-PILE'!$E$62/SUMSQ('TS-PILE'!$E$56:$E$75))+IF(SUMSQ('TS-PILE'!$D$56:$D$75)=0,0,'TO HOP NLAN'!F109*'TS-PILE'!$D$62/SUMSQ('TS-PILE'!$D$56:$D$75))),IF('TS-PILE'!$B$63="",1E+99,'TO HOP NLAN'!D109/ncoc+IF(SUMSQ('TS-PILE'!$E$56:$E$75)=0,0,'TO HOP NLAN'!E109*'TS-PILE'!$E$63/SUMSQ('TS-PILE'!$E$56:$E$75))+IF(SUMSQ('TS-PILE'!$D$56:$D$75)=0,0,'TO HOP NLAN'!F109*'TS-PILE'!$D$63/SUMSQ('TS-PILE'!$D$56:$D$75))),IF('TS-PILE'!$B$64="",1E+99,'TO HOP NLAN'!D109/ncoc+IF(SUMSQ('TS-PILE'!$E$56:$E$75)=0,0,'TO HOP NLAN'!E109*'TS-PILE'!$E$64/SUMSQ('TS-PILE'!$E$56:$E$75))+IF(SUMSQ('TS-PILE'!$D$56:$D$75)=0,0,'TO HOP NLAN'!F109*'TS-PILE'!$D$64/SUMSQ('TS-PILE'!$D$56:$D$75))),IF('TS-PILE'!$B$65="",1E+99,'TO HOP NLAN'!D109/ncoc+IF(SUMSQ('TS-PILE'!$E$56:$E$75)=0,0,'TO HOP NLAN'!E109*'TS-PILE'!$E$65/SUMSQ('TS-PILE'!$E$56:$E$75))+IF(SUMSQ('TS-PILE'!$D$56:$D$75)=0,0,'TO HOP NLAN'!F109*'TS-PILE'!$D$65/SUMSQ('TS-PILE'!$D$56:$D$75))),IF('TS-PILE'!$B$66="",1E+99,'TO HOP NLAN'!D109/ncoc+IF(SUMSQ('TS-PILE'!$E$56:$E$75)=0,0,'TO HOP NLAN'!E109*'TS-PILE'!$E$66/SUMSQ('TS-PILE'!$E$56:$E$75))+IF(SUMSQ('TS-PILE'!$D$56:$D$75)=0,0,'TO HOP NLAN'!F109*'TS-PILE'!$D$66/SUMSQ('TS-PILE'!$D$56:$D$75))),IF('TS-PILE'!$B$67="",1E+99,'TO HOP NLAN'!D109/ncoc+IF(SUMSQ('TS-PILE'!$E$56:$E$75)=0,0,'TO HOP NLAN'!E109*'TS-PILE'!$E$67/SUMSQ('TS-PILE'!$E$56:$E$75))+IF(SUMSQ('TS-PILE'!$D$56:$D$75)=0,0,'TO HOP NLAN'!F109*'TS-PILE'!$D$67/SUMSQ('TS-PILE'!$D$56:$D$75))),IF('TS-PILE'!$B$68="",1E+99,'TO HOP NLAN'!D109/ncoc+IF(SUMSQ('TS-PILE'!$E$56:$E$75)=0,0,'TO HOP NLAN'!E109*'TS-PILE'!$E$68/SUMSQ('TS-PILE'!$E$56:$E$75))+IF(SUMSQ('TS-PILE'!$D$56:$D$75)=0,0,'TO HOP NLAN'!F109*'TS-PILE'!$D$68/SUMSQ('TS-PILE'!$D$56:$D$75))),IF('TS-PILE'!$B$69="",1E+99,'TO HOP NLAN'!D109/ncoc+IF(SUMSQ('TS-PILE'!$E$56:$E$75)=0,0,'TO HOP NLAN'!E109*'TS-PILE'!$E$69/SUMSQ('TS-PILE'!$E$56:$E$75))+IF(SUMSQ('TS-PILE'!$D$56:$D$75)=0,0,'TO HOP NLAN'!F109*'TS-PILE'!$D$69/SUMSQ('TS-PILE'!$D$56:$D$75))),IF('TS-PILE'!$B$70="",1E+99,'TO HOP NLAN'!D109/ncoc+IF(SUMSQ('TS-PILE'!$E$56:$E$75)=0,0,'TO HOP NLAN'!E109*'TS-PILE'!$E$70/SUMSQ('TS-PILE'!$E$56:$E$75))+IF(SUMSQ('TS-PILE'!$D$56:$D$75)=0,0,'TO HOP NLAN'!F109*'TS-PILE'!$D$70/SUMSQ('TS-PILE'!$D$56:$D$75))),IF('TS-PILE'!$B$71="",1E+99,'TO HOP NLAN'!D109/ncoc+IF(SUMSQ('TS-PILE'!$E$56:$E$75)=0,0,'TO HOP NLAN'!E109*'TS-PILE'!$E$71/SUMSQ('TS-PILE'!$E$56:$E$75))+IF(SUMSQ('TS-PILE'!$D$56:$D$75)=0,0,'TO HOP NLAN'!F109*'TS-PILE'!$D$71/SUMSQ('TS-PILE'!$D$56:$D$75))),IF('TS-PILE'!$B$72="",1E+99,'TO HOP NLAN'!D109/ncoc+IF(SUMSQ('TS-PILE'!$E$56:$E$75)=0,0,'TO HOP NLAN'!E109*'TS-PILE'!$E$72/SUMSQ('TS-PILE'!$E$56:$E$75))+IF(SUMSQ('TS-PILE'!$D$56:$D$75)=0,0,'TO HOP NLAN'!F109*'TS-PILE'!$D$72/SUMSQ('TS-PILE'!$D$56:$D$75))),IF('TS-PILE'!$B$73="",1E+99,'TO HOP NLAN'!D109/ncoc+IF(SUMSQ('TS-PILE'!$E$56:$E$75)=0,0,'TO HOP NLAN'!E109*'TS-PILE'!$E$73/SUMSQ('TS-PILE'!$E$56:$E$75))+IF(SUMSQ('TS-PILE'!$D$56:$D$75)=0,0,'TO HOP NLAN'!F109*'TS-PILE'!$D$73/SUMSQ('TS-PILE'!$D$56:$D$75))),IF('TS-PILE'!$B$74="",1E+99,'TO HOP NLAN'!D109/ncoc+IF(SUMSQ('TS-PILE'!$E$56:$E$75)=0,0,'TO HOP NLAN'!E109*'TS-PILE'!$E$74/SUMSQ('TS-PILE'!$E$56:$E$75))+IF(SUMSQ('TS-PILE'!$D$56:$D$75)=0,0,'TO HOP NLAN'!F109*'TS-PILE'!$D$74/SUMSQ('TS-PILE'!$D$56:$D$75))),IF('TS-PILE'!$B$75="",1E+99,'TO HOP NLAN'!D109/ncoc+IF(SUMSQ('TS-PILE'!$E$56:$E$75)=0,0,'TO HOP NLAN'!E109*'TS-PILE'!$E$75/SUMSQ('TS-PILE'!$E$56:$E$75))+IF(SUMSQ('TS-PILE'!$D$56:$D$75)=0,0,'TO HOP NLAN'!F109*'TS-PILE'!$D$75/SUMSQ('TS-PILE'!$D$56:$D$75)))))</f>
        <v>0</v>
      </c>
      <c r="E109" s="46">
        <f t="shared" si="4"/>
        <v>-9.9999999999999997E+98</v>
      </c>
      <c r="F109" s="46">
        <f t="shared" si="5"/>
        <v>9.9999999999999997E+98</v>
      </c>
      <c r="G109" s="46">
        <f t="shared" si="6"/>
        <v>-9.9999999999999997E+98</v>
      </c>
      <c r="H109" s="46">
        <f t="shared" si="7"/>
        <v>9.9999999999999997E+98</v>
      </c>
    </row>
    <row r="110" spans="1:8" x14ac:dyDescent="0.3">
      <c r="A110" s="40" t="str">
        <f>'TO HOP NLAN'!A110</f>
        <v/>
      </c>
      <c r="B110" s="40" t="str">
        <f>'TO HOP NLAN'!L110</f>
        <v>STRENGTH</v>
      </c>
      <c r="C110" s="46">
        <f>IF(A110="",0,MAX(IF('TS-PILE'!$B$56="",-1E+99,'TO HOP NLAN'!D110/ncoc+IF(SUMSQ('TS-PILE'!$E$56:$E$75)=0,0,'TO HOP NLAN'!E110*'TS-PILE'!$E$56/SUMSQ('TS-PILE'!$E$56:$E$75))+IF(SUMSQ('TS-PILE'!$D$56:$D$75)=0,0,'TO HOP NLAN'!F110*'TS-PILE'!$D$56/SUMSQ('TS-PILE'!$D$56:$D$75))),IF('TS-PILE'!$B$57="",-1E+99,'TO HOP NLAN'!D110/ncoc+IF(SUMSQ('TS-PILE'!$E$56:$E$75)=0,0,'TO HOP NLAN'!E110*'TS-PILE'!$E$57/SUMSQ('TS-PILE'!$E$56:$E$75))+IF(SUMSQ('TS-PILE'!$D$56:$D$75)=0,0,'TO HOP NLAN'!F110*'TS-PILE'!$D$57/SUMSQ('TS-PILE'!$D$56:$D$75))),IF('TS-PILE'!$B$58="",-1E+99,'TO HOP NLAN'!D110/ncoc+IF(SUMSQ('TS-PILE'!$E$56:$E$75)=0,0,'TO HOP NLAN'!E110*'TS-PILE'!$E$58/SUMSQ('TS-PILE'!$E$56:$E$75))+IF(SUMSQ('TS-PILE'!$D$56:$D$75)=0,0,'TO HOP NLAN'!F110*'TS-PILE'!$D$58/SUMSQ('TS-PILE'!$D$56:$D$75))),IF('TS-PILE'!$B$59="",-1E+99,'TO HOP NLAN'!D110/ncoc+IF(SUMSQ('TS-PILE'!$E$56:$E$75)=0,0,'TO HOP NLAN'!E110*'TS-PILE'!$E$59/SUMSQ('TS-PILE'!$E$56:$E$75))+IF(SUMSQ('TS-PILE'!$D$56:$D$75)=0,0,'TO HOP NLAN'!F110*'TS-PILE'!$D$59/SUMSQ('TS-PILE'!$D$56:$D$75))),IF('TS-PILE'!$B$60="",-1E+99,'TO HOP NLAN'!D110/ncoc+IF(SUMSQ('TS-PILE'!$E$56:$E$75)=0,0,'TO HOP NLAN'!E110*'TS-PILE'!$E$60/SUMSQ('TS-PILE'!$E$56:$E$75))+IF(SUMSQ('TS-PILE'!$D$56:$D$75)=0,0,'TO HOP NLAN'!F110*'TS-PILE'!$D$60/SUMSQ('TS-PILE'!$D$56:$D$75))),IF('TS-PILE'!$B$61="",-1E+99,'TO HOP NLAN'!D110/ncoc+IF(SUMSQ('TS-PILE'!$E$56:$E$75)=0,0,'TO HOP NLAN'!E110*'TS-PILE'!$E$61/SUMSQ('TS-PILE'!$E$56:$E$75))+IF(SUMSQ('TS-PILE'!$D$56:$D$75)=0,0,'TO HOP NLAN'!F110*'TS-PILE'!$D$61/SUMSQ('TS-PILE'!$D$56:$D$75))),IF('TS-PILE'!$B$62="",-1E+99,'TO HOP NLAN'!D110/ncoc+IF(SUMSQ('TS-PILE'!$E$56:$E$75)=0,0,'TO HOP NLAN'!E110*'TS-PILE'!$E$62/SUMSQ('TS-PILE'!$E$56:$E$75))+IF(SUMSQ('TS-PILE'!$D$56:$D$75)=0,0,'TO HOP NLAN'!F110*'TS-PILE'!$D$62/SUMSQ('TS-PILE'!$D$56:$D$75))),IF('TS-PILE'!$B$63="",-1E+99,'TO HOP NLAN'!D110/ncoc+IF(SUMSQ('TS-PILE'!$E$56:$E$75)=0,0,'TO HOP NLAN'!E110*'TS-PILE'!$E$63/SUMSQ('TS-PILE'!$E$56:$E$75))+IF(SUMSQ('TS-PILE'!$D$56:$D$75)=0,0,'TO HOP NLAN'!F110*'TS-PILE'!$D$63/SUMSQ('TS-PILE'!$D$56:$D$75))),IF('TS-PILE'!$B$64="",-1E+99,'TO HOP NLAN'!D110/ncoc+IF(SUMSQ('TS-PILE'!$E$56:$E$75)=0,0,'TO HOP NLAN'!E110*'TS-PILE'!$E$64/SUMSQ('TS-PILE'!$E$56:$E$75))+IF(SUMSQ('TS-PILE'!$D$56:$D$75)=0,0,'TO HOP NLAN'!F110*'TS-PILE'!$D$64/SUMSQ('TS-PILE'!$D$56:$D$75))),IF('TS-PILE'!$B$65="",-1E+99,'TO HOP NLAN'!D110/ncoc+IF(SUMSQ('TS-PILE'!$E$56:$E$75)=0,0,'TO HOP NLAN'!E110*'TS-PILE'!$E$65/SUMSQ('TS-PILE'!$E$56:$E$75))+IF(SUMSQ('TS-PILE'!$D$56:$D$75)=0,0,'TO HOP NLAN'!F110*'TS-PILE'!$D$65/SUMSQ('TS-PILE'!$D$56:$D$75))),IF('TS-PILE'!$B$66="",-1E+99,'TO HOP NLAN'!D110/ncoc+IF(SUMSQ('TS-PILE'!$E$56:$E$75)=0,0,'TO HOP NLAN'!E110*'TS-PILE'!$E$66/SUMSQ('TS-PILE'!$E$56:$E$75))+IF(SUMSQ('TS-PILE'!$D$56:$D$75)=0,0,'TO HOP NLAN'!F110*'TS-PILE'!$D$66/SUMSQ('TS-PILE'!$D$56:$D$75))),IF('TS-PILE'!$B$67="",-1E+99,'TO HOP NLAN'!D110/ncoc+IF(SUMSQ('TS-PILE'!$E$56:$E$75)=0,0,'TO HOP NLAN'!E110*'TS-PILE'!$E$67/SUMSQ('TS-PILE'!$E$56:$E$75))+IF(SUMSQ('TS-PILE'!$D$56:$D$75)=0,0,'TO HOP NLAN'!F110*'TS-PILE'!$D$67/SUMSQ('TS-PILE'!$D$56:$D$75))),IF('TS-PILE'!$B$68="",-1E+99,'TO HOP NLAN'!D110/ncoc+IF(SUMSQ('TS-PILE'!$E$56:$E$75)=0,0,'TO HOP NLAN'!E110*'TS-PILE'!$E$68/SUMSQ('TS-PILE'!$E$56:$E$75))+IF(SUMSQ('TS-PILE'!$D$56:$D$75)=0,0,'TO HOP NLAN'!F110*'TS-PILE'!$D$68/SUMSQ('TS-PILE'!$D$56:$D$75))),IF('TS-PILE'!$B$69="",-1E+99,'TO HOP NLAN'!D110/ncoc+IF(SUMSQ('TS-PILE'!$E$56:$E$75)=0,0,'TO HOP NLAN'!E110*'TS-PILE'!$E$69/SUMSQ('TS-PILE'!$E$56:$E$75))+IF(SUMSQ('TS-PILE'!$D$56:$D$75)=0,0,'TO HOP NLAN'!F110*'TS-PILE'!$D$69/SUMSQ('TS-PILE'!$D$56:$D$75))),IF('TS-PILE'!$B$70="",-1E+99,'TO HOP NLAN'!D110/ncoc+IF(SUMSQ('TS-PILE'!$E$56:$E$75)=0,0,'TO HOP NLAN'!E110*'TS-PILE'!$E$70/SUMSQ('TS-PILE'!$E$56:$E$75))+IF(SUMSQ('TS-PILE'!$D$56:$D$75)=0,0,'TO HOP NLAN'!F110*'TS-PILE'!$D$70/SUMSQ('TS-PILE'!$D$56:$D$75))),IF('TS-PILE'!$B$71="",-1E+99,'TO HOP NLAN'!D110/ncoc+IF(SUMSQ('TS-PILE'!$E$56:$E$75)=0,0,'TO HOP NLAN'!E110*'TS-PILE'!$E$71/SUMSQ('TS-PILE'!$E$56:$E$75))+IF(SUMSQ('TS-PILE'!$D$56:$D$75)=0,0,'TO HOP NLAN'!F110*'TS-PILE'!$D$71/SUMSQ('TS-PILE'!$D$56:$D$75))),IF('TS-PILE'!$B$72="",-1E+99,'TO HOP NLAN'!D110/ncoc+IF(SUMSQ('TS-PILE'!$E$56:$E$75)=0,0,'TO HOP NLAN'!E110*'TS-PILE'!$E$72/SUMSQ('TS-PILE'!$E$56:$E$75))+IF(SUMSQ('TS-PILE'!$D$56:$D$75)=0,0,'TO HOP NLAN'!F110*'TS-PILE'!$D$72/SUMSQ('TS-PILE'!$D$56:$D$75))),IF('TS-PILE'!$B$73="",-1E+99,'TO HOP NLAN'!D110/ncoc+IF(SUMSQ('TS-PILE'!$E$56:$E$75)=0,0,'TO HOP NLAN'!E110*'TS-PILE'!$E$73/SUMSQ('TS-PILE'!$E$56:$E$75))+IF(SUMSQ('TS-PILE'!$D$56:$D$75)=0,0,'TO HOP NLAN'!F110*'TS-PILE'!$D$73/SUMSQ('TS-PILE'!$D$56:$D$75))),IF('TS-PILE'!$B$74="",-1E+99,'TO HOP NLAN'!D110/ncoc+IF(SUMSQ('TS-PILE'!$E$56:$E$75)=0,0,'TO HOP NLAN'!E110*'TS-PILE'!$E$74/SUMSQ('TS-PILE'!$E$56:$E$75))+IF(SUMSQ('TS-PILE'!$D$56:$D$75)=0,0,'TO HOP NLAN'!F110*'TS-PILE'!$D$74/SUMSQ('TS-PILE'!$D$56:$D$75))),IF('TS-PILE'!$B$75="",-1E+99,'TO HOP NLAN'!D110/ncoc+IF(SUMSQ('TS-PILE'!$E$56:$E$75)=0,0,'TO HOP NLAN'!E110*'TS-PILE'!$E$75/SUMSQ('TS-PILE'!$E$56:$E$75))+IF(SUMSQ('TS-PILE'!$D$56:$D$75)=0,0,'TO HOP NLAN'!F110*'TS-PILE'!$D$75/SUMSQ('TS-PILE'!$D$56:$D$75)))))</f>
        <v>0</v>
      </c>
      <c r="D110" s="46">
        <f>IF(A110="",0,MIN(IF('TS-PILE'!$B$56="",1E+99,'TO HOP NLAN'!D110/ncoc+IF(SUMSQ('TS-PILE'!$E$56:$E$75)=0,0,'TO HOP NLAN'!E110*'TS-PILE'!$E$56/SUMSQ('TS-PILE'!$E$56:$E$75))+IF(SUMSQ('TS-PILE'!$D$56:$D$75)=0,0,'TO HOP NLAN'!F110*'TS-PILE'!$D$56/SUMSQ('TS-PILE'!$D$56:$D$75))),IF('TS-PILE'!$B$57="",1E+99,'TO HOP NLAN'!D110/ncoc+IF(SUMSQ('TS-PILE'!$E$56:$E$75)=0,0,'TO HOP NLAN'!E110*'TS-PILE'!$E$57/SUMSQ('TS-PILE'!$E$56:$E$75))+IF(SUMSQ('TS-PILE'!$D$56:$D$75)=0,0,'TO HOP NLAN'!F110*'TS-PILE'!$D$57/SUMSQ('TS-PILE'!$D$56:$D$75))),IF('TS-PILE'!$B$58="",1E+99,'TO HOP NLAN'!D110/ncoc+IF(SUMSQ('TS-PILE'!$E$56:$E$75)=0,0,'TO HOP NLAN'!E110*'TS-PILE'!$E$58/SUMSQ('TS-PILE'!$E$56:$E$75))+IF(SUMSQ('TS-PILE'!$D$56:$D$75)=0,0,'TO HOP NLAN'!F110*'TS-PILE'!$D$58/SUMSQ('TS-PILE'!$D$56:$D$75))),IF('TS-PILE'!$B$59="",1E+99,'TO HOP NLAN'!D110/ncoc+IF(SUMSQ('TS-PILE'!$E$56:$E$75)=0,0,'TO HOP NLAN'!E110*'TS-PILE'!$E$59/SUMSQ('TS-PILE'!$E$56:$E$75))+IF(SUMSQ('TS-PILE'!$D$56:$D$75)=0,0,'TO HOP NLAN'!F110*'TS-PILE'!$D$59/SUMSQ('TS-PILE'!$D$56:$D$75))),IF('TS-PILE'!$B$60="",1E+99,'TO HOP NLAN'!D110/ncoc+IF(SUMSQ('TS-PILE'!$E$56:$E$75)=0,0,'TO HOP NLAN'!E110*'TS-PILE'!$E$60/SUMSQ('TS-PILE'!$E$56:$E$75))+IF(SUMSQ('TS-PILE'!$D$56:$D$75)=0,0,'TO HOP NLAN'!F110*'TS-PILE'!$D$60/SUMSQ('TS-PILE'!$D$56:$D$75))),IF('TS-PILE'!$B$61="",1E+99,'TO HOP NLAN'!D110/ncoc+IF(SUMSQ('TS-PILE'!$E$56:$E$75)=0,0,'TO HOP NLAN'!E110*'TS-PILE'!$E$61/SUMSQ('TS-PILE'!$E$56:$E$75))+IF(SUMSQ('TS-PILE'!$D$56:$D$75)=0,0,'TO HOP NLAN'!F110*'TS-PILE'!$D$61/SUMSQ('TS-PILE'!$D$56:$D$75))),IF('TS-PILE'!$B$62="",1E+99,'TO HOP NLAN'!D110/ncoc+IF(SUMSQ('TS-PILE'!$E$56:$E$75)=0,0,'TO HOP NLAN'!E110*'TS-PILE'!$E$62/SUMSQ('TS-PILE'!$E$56:$E$75))+IF(SUMSQ('TS-PILE'!$D$56:$D$75)=0,0,'TO HOP NLAN'!F110*'TS-PILE'!$D$62/SUMSQ('TS-PILE'!$D$56:$D$75))),IF('TS-PILE'!$B$63="",1E+99,'TO HOP NLAN'!D110/ncoc+IF(SUMSQ('TS-PILE'!$E$56:$E$75)=0,0,'TO HOP NLAN'!E110*'TS-PILE'!$E$63/SUMSQ('TS-PILE'!$E$56:$E$75))+IF(SUMSQ('TS-PILE'!$D$56:$D$75)=0,0,'TO HOP NLAN'!F110*'TS-PILE'!$D$63/SUMSQ('TS-PILE'!$D$56:$D$75))),IF('TS-PILE'!$B$64="",1E+99,'TO HOP NLAN'!D110/ncoc+IF(SUMSQ('TS-PILE'!$E$56:$E$75)=0,0,'TO HOP NLAN'!E110*'TS-PILE'!$E$64/SUMSQ('TS-PILE'!$E$56:$E$75))+IF(SUMSQ('TS-PILE'!$D$56:$D$75)=0,0,'TO HOP NLAN'!F110*'TS-PILE'!$D$64/SUMSQ('TS-PILE'!$D$56:$D$75))),IF('TS-PILE'!$B$65="",1E+99,'TO HOP NLAN'!D110/ncoc+IF(SUMSQ('TS-PILE'!$E$56:$E$75)=0,0,'TO HOP NLAN'!E110*'TS-PILE'!$E$65/SUMSQ('TS-PILE'!$E$56:$E$75))+IF(SUMSQ('TS-PILE'!$D$56:$D$75)=0,0,'TO HOP NLAN'!F110*'TS-PILE'!$D$65/SUMSQ('TS-PILE'!$D$56:$D$75))),IF('TS-PILE'!$B$66="",1E+99,'TO HOP NLAN'!D110/ncoc+IF(SUMSQ('TS-PILE'!$E$56:$E$75)=0,0,'TO HOP NLAN'!E110*'TS-PILE'!$E$66/SUMSQ('TS-PILE'!$E$56:$E$75))+IF(SUMSQ('TS-PILE'!$D$56:$D$75)=0,0,'TO HOP NLAN'!F110*'TS-PILE'!$D$66/SUMSQ('TS-PILE'!$D$56:$D$75))),IF('TS-PILE'!$B$67="",1E+99,'TO HOP NLAN'!D110/ncoc+IF(SUMSQ('TS-PILE'!$E$56:$E$75)=0,0,'TO HOP NLAN'!E110*'TS-PILE'!$E$67/SUMSQ('TS-PILE'!$E$56:$E$75))+IF(SUMSQ('TS-PILE'!$D$56:$D$75)=0,0,'TO HOP NLAN'!F110*'TS-PILE'!$D$67/SUMSQ('TS-PILE'!$D$56:$D$75))),IF('TS-PILE'!$B$68="",1E+99,'TO HOP NLAN'!D110/ncoc+IF(SUMSQ('TS-PILE'!$E$56:$E$75)=0,0,'TO HOP NLAN'!E110*'TS-PILE'!$E$68/SUMSQ('TS-PILE'!$E$56:$E$75))+IF(SUMSQ('TS-PILE'!$D$56:$D$75)=0,0,'TO HOP NLAN'!F110*'TS-PILE'!$D$68/SUMSQ('TS-PILE'!$D$56:$D$75))),IF('TS-PILE'!$B$69="",1E+99,'TO HOP NLAN'!D110/ncoc+IF(SUMSQ('TS-PILE'!$E$56:$E$75)=0,0,'TO HOP NLAN'!E110*'TS-PILE'!$E$69/SUMSQ('TS-PILE'!$E$56:$E$75))+IF(SUMSQ('TS-PILE'!$D$56:$D$75)=0,0,'TO HOP NLAN'!F110*'TS-PILE'!$D$69/SUMSQ('TS-PILE'!$D$56:$D$75))),IF('TS-PILE'!$B$70="",1E+99,'TO HOP NLAN'!D110/ncoc+IF(SUMSQ('TS-PILE'!$E$56:$E$75)=0,0,'TO HOP NLAN'!E110*'TS-PILE'!$E$70/SUMSQ('TS-PILE'!$E$56:$E$75))+IF(SUMSQ('TS-PILE'!$D$56:$D$75)=0,0,'TO HOP NLAN'!F110*'TS-PILE'!$D$70/SUMSQ('TS-PILE'!$D$56:$D$75))),IF('TS-PILE'!$B$71="",1E+99,'TO HOP NLAN'!D110/ncoc+IF(SUMSQ('TS-PILE'!$E$56:$E$75)=0,0,'TO HOP NLAN'!E110*'TS-PILE'!$E$71/SUMSQ('TS-PILE'!$E$56:$E$75))+IF(SUMSQ('TS-PILE'!$D$56:$D$75)=0,0,'TO HOP NLAN'!F110*'TS-PILE'!$D$71/SUMSQ('TS-PILE'!$D$56:$D$75))),IF('TS-PILE'!$B$72="",1E+99,'TO HOP NLAN'!D110/ncoc+IF(SUMSQ('TS-PILE'!$E$56:$E$75)=0,0,'TO HOP NLAN'!E110*'TS-PILE'!$E$72/SUMSQ('TS-PILE'!$E$56:$E$75))+IF(SUMSQ('TS-PILE'!$D$56:$D$75)=0,0,'TO HOP NLAN'!F110*'TS-PILE'!$D$72/SUMSQ('TS-PILE'!$D$56:$D$75))),IF('TS-PILE'!$B$73="",1E+99,'TO HOP NLAN'!D110/ncoc+IF(SUMSQ('TS-PILE'!$E$56:$E$75)=0,0,'TO HOP NLAN'!E110*'TS-PILE'!$E$73/SUMSQ('TS-PILE'!$E$56:$E$75))+IF(SUMSQ('TS-PILE'!$D$56:$D$75)=0,0,'TO HOP NLAN'!F110*'TS-PILE'!$D$73/SUMSQ('TS-PILE'!$D$56:$D$75))),IF('TS-PILE'!$B$74="",1E+99,'TO HOP NLAN'!D110/ncoc+IF(SUMSQ('TS-PILE'!$E$56:$E$75)=0,0,'TO HOP NLAN'!E110*'TS-PILE'!$E$74/SUMSQ('TS-PILE'!$E$56:$E$75))+IF(SUMSQ('TS-PILE'!$D$56:$D$75)=0,0,'TO HOP NLAN'!F110*'TS-PILE'!$D$74/SUMSQ('TS-PILE'!$D$56:$D$75))),IF('TS-PILE'!$B$75="",1E+99,'TO HOP NLAN'!D110/ncoc+IF(SUMSQ('TS-PILE'!$E$56:$E$75)=0,0,'TO HOP NLAN'!E110*'TS-PILE'!$E$75/SUMSQ('TS-PILE'!$E$56:$E$75))+IF(SUMSQ('TS-PILE'!$D$56:$D$75)=0,0,'TO HOP NLAN'!F110*'TS-PILE'!$D$75/SUMSQ('TS-PILE'!$D$56:$D$75)))))</f>
        <v>0</v>
      </c>
      <c r="E110" s="46">
        <f t="shared" si="4"/>
        <v>-9.9999999999999997E+98</v>
      </c>
      <c r="F110" s="46">
        <f t="shared" si="5"/>
        <v>9.9999999999999997E+98</v>
      </c>
      <c r="G110" s="46">
        <f t="shared" si="6"/>
        <v>-9.9999999999999997E+98</v>
      </c>
      <c r="H110" s="46">
        <f t="shared" si="7"/>
        <v>9.9999999999999997E+98</v>
      </c>
    </row>
    <row r="111" spans="1:8" x14ac:dyDescent="0.3">
      <c r="A111" s="40" t="str">
        <f>'TO HOP NLAN'!A111</f>
        <v/>
      </c>
      <c r="B111" s="40" t="str">
        <f>'TO HOP NLAN'!L111</f>
        <v>STRENGTH</v>
      </c>
      <c r="C111" s="46">
        <f>IF(A111="",0,MAX(IF('TS-PILE'!$B$56="",-1E+99,'TO HOP NLAN'!D111/ncoc+IF(SUMSQ('TS-PILE'!$E$56:$E$75)=0,0,'TO HOP NLAN'!E111*'TS-PILE'!$E$56/SUMSQ('TS-PILE'!$E$56:$E$75))+IF(SUMSQ('TS-PILE'!$D$56:$D$75)=0,0,'TO HOP NLAN'!F111*'TS-PILE'!$D$56/SUMSQ('TS-PILE'!$D$56:$D$75))),IF('TS-PILE'!$B$57="",-1E+99,'TO HOP NLAN'!D111/ncoc+IF(SUMSQ('TS-PILE'!$E$56:$E$75)=0,0,'TO HOP NLAN'!E111*'TS-PILE'!$E$57/SUMSQ('TS-PILE'!$E$56:$E$75))+IF(SUMSQ('TS-PILE'!$D$56:$D$75)=0,0,'TO HOP NLAN'!F111*'TS-PILE'!$D$57/SUMSQ('TS-PILE'!$D$56:$D$75))),IF('TS-PILE'!$B$58="",-1E+99,'TO HOP NLAN'!D111/ncoc+IF(SUMSQ('TS-PILE'!$E$56:$E$75)=0,0,'TO HOP NLAN'!E111*'TS-PILE'!$E$58/SUMSQ('TS-PILE'!$E$56:$E$75))+IF(SUMSQ('TS-PILE'!$D$56:$D$75)=0,0,'TO HOP NLAN'!F111*'TS-PILE'!$D$58/SUMSQ('TS-PILE'!$D$56:$D$75))),IF('TS-PILE'!$B$59="",-1E+99,'TO HOP NLAN'!D111/ncoc+IF(SUMSQ('TS-PILE'!$E$56:$E$75)=0,0,'TO HOP NLAN'!E111*'TS-PILE'!$E$59/SUMSQ('TS-PILE'!$E$56:$E$75))+IF(SUMSQ('TS-PILE'!$D$56:$D$75)=0,0,'TO HOP NLAN'!F111*'TS-PILE'!$D$59/SUMSQ('TS-PILE'!$D$56:$D$75))),IF('TS-PILE'!$B$60="",-1E+99,'TO HOP NLAN'!D111/ncoc+IF(SUMSQ('TS-PILE'!$E$56:$E$75)=0,0,'TO HOP NLAN'!E111*'TS-PILE'!$E$60/SUMSQ('TS-PILE'!$E$56:$E$75))+IF(SUMSQ('TS-PILE'!$D$56:$D$75)=0,0,'TO HOP NLAN'!F111*'TS-PILE'!$D$60/SUMSQ('TS-PILE'!$D$56:$D$75))),IF('TS-PILE'!$B$61="",-1E+99,'TO HOP NLAN'!D111/ncoc+IF(SUMSQ('TS-PILE'!$E$56:$E$75)=0,0,'TO HOP NLAN'!E111*'TS-PILE'!$E$61/SUMSQ('TS-PILE'!$E$56:$E$75))+IF(SUMSQ('TS-PILE'!$D$56:$D$75)=0,0,'TO HOP NLAN'!F111*'TS-PILE'!$D$61/SUMSQ('TS-PILE'!$D$56:$D$75))),IF('TS-PILE'!$B$62="",-1E+99,'TO HOP NLAN'!D111/ncoc+IF(SUMSQ('TS-PILE'!$E$56:$E$75)=0,0,'TO HOP NLAN'!E111*'TS-PILE'!$E$62/SUMSQ('TS-PILE'!$E$56:$E$75))+IF(SUMSQ('TS-PILE'!$D$56:$D$75)=0,0,'TO HOP NLAN'!F111*'TS-PILE'!$D$62/SUMSQ('TS-PILE'!$D$56:$D$75))),IF('TS-PILE'!$B$63="",-1E+99,'TO HOP NLAN'!D111/ncoc+IF(SUMSQ('TS-PILE'!$E$56:$E$75)=0,0,'TO HOP NLAN'!E111*'TS-PILE'!$E$63/SUMSQ('TS-PILE'!$E$56:$E$75))+IF(SUMSQ('TS-PILE'!$D$56:$D$75)=0,0,'TO HOP NLAN'!F111*'TS-PILE'!$D$63/SUMSQ('TS-PILE'!$D$56:$D$75))),IF('TS-PILE'!$B$64="",-1E+99,'TO HOP NLAN'!D111/ncoc+IF(SUMSQ('TS-PILE'!$E$56:$E$75)=0,0,'TO HOP NLAN'!E111*'TS-PILE'!$E$64/SUMSQ('TS-PILE'!$E$56:$E$75))+IF(SUMSQ('TS-PILE'!$D$56:$D$75)=0,0,'TO HOP NLAN'!F111*'TS-PILE'!$D$64/SUMSQ('TS-PILE'!$D$56:$D$75))),IF('TS-PILE'!$B$65="",-1E+99,'TO HOP NLAN'!D111/ncoc+IF(SUMSQ('TS-PILE'!$E$56:$E$75)=0,0,'TO HOP NLAN'!E111*'TS-PILE'!$E$65/SUMSQ('TS-PILE'!$E$56:$E$75))+IF(SUMSQ('TS-PILE'!$D$56:$D$75)=0,0,'TO HOP NLAN'!F111*'TS-PILE'!$D$65/SUMSQ('TS-PILE'!$D$56:$D$75))),IF('TS-PILE'!$B$66="",-1E+99,'TO HOP NLAN'!D111/ncoc+IF(SUMSQ('TS-PILE'!$E$56:$E$75)=0,0,'TO HOP NLAN'!E111*'TS-PILE'!$E$66/SUMSQ('TS-PILE'!$E$56:$E$75))+IF(SUMSQ('TS-PILE'!$D$56:$D$75)=0,0,'TO HOP NLAN'!F111*'TS-PILE'!$D$66/SUMSQ('TS-PILE'!$D$56:$D$75))),IF('TS-PILE'!$B$67="",-1E+99,'TO HOP NLAN'!D111/ncoc+IF(SUMSQ('TS-PILE'!$E$56:$E$75)=0,0,'TO HOP NLAN'!E111*'TS-PILE'!$E$67/SUMSQ('TS-PILE'!$E$56:$E$75))+IF(SUMSQ('TS-PILE'!$D$56:$D$75)=0,0,'TO HOP NLAN'!F111*'TS-PILE'!$D$67/SUMSQ('TS-PILE'!$D$56:$D$75))),IF('TS-PILE'!$B$68="",-1E+99,'TO HOP NLAN'!D111/ncoc+IF(SUMSQ('TS-PILE'!$E$56:$E$75)=0,0,'TO HOP NLAN'!E111*'TS-PILE'!$E$68/SUMSQ('TS-PILE'!$E$56:$E$75))+IF(SUMSQ('TS-PILE'!$D$56:$D$75)=0,0,'TO HOP NLAN'!F111*'TS-PILE'!$D$68/SUMSQ('TS-PILE'!$D$56:$D$75))),IF('TS-PILE'!$B$69="",-1E+99,'TO HOP NLAN'!D111/ncoc+IF(SUMSQ('TS-PILE'!$E$56:$E$75)=0,0,'TO HOP NLAN'!E111*'TS-PILE'!$E$69/SUMSQ('TS-PILE'!$E$56:$E$75))+IF(SUMSQ('TS-PILE'!$D$56:$D$75)=0,0,'TO HOP NLAN'!F111*'TS-PILE'!$D$69/SUMSQ('TS-PILE'!$D$56:$D$75))),IF('TS-PILE'!$B$70="",-1E+99,'TO HOP NLAN'!D111/ncoc+IF(SUMSQ('TS-PILE'!$E$56:$E$75)=0,0,'TO HOP NLAN'!E111*'TS-PILE'!$E$70/SUMSQ('TS-PILE'!$E$56:$E$75))+IF(SUMSQ('TS-PILE'!$D$56:$D$75)=0,0,'TO HOP NLAN'!F111*'TS-PILE'!$D$70/SUMSQ('TS-PILE'!$D$56:$D$75))),IF('TS-PILE'!$B$71="",-1E+99,'TO HOP NLAN'!D111/ncoc+IF(SUMSQ('TS-PILE'!$E$56:$E$75)=0,0,'TO HOP NLAN'!E111*'TS-PILE'!$E$71/SUMSQ('TS-PILE'!$E$56:$E$75))+IF(SUMSQ('TS-PILE'!$D$56:$D$75)=0,0,'TO HOP NLAN'!F111*'TS-PILE'!$D$71/SUMSQ('TS-PILE'!$D$56:$D$75))),IF('TS-PILE'!$B$72="",-1E+99,'TO HOP NLAN'!D111/ncoc+IF(SUMSQ('TS-PILE'!$E$56:$E$75)=0,0,'TO HOP NLAN'!E111*'TS-PILE'!$E$72/SUMSQ('TS-PILE'!$E$56:$E$75))+IF(SUMSQ('TS-PILE'!$D$56:$D$75)=0,0,'TO HOP NLAN'!F111*'TS-PILE'!$D$72/SUMSQ('TS-PILE'!$D$56:$D$75))),IF('TS-PILE'!$B$73="",-1E+99,'TO HOP NLAN'!D111/ncoc+IF(SUMSQ('TS-PILE'!$E$56:$E$75)=0,0,'TO HOP NLAN'!E111*'TS-PILE'!$E$73/SUMSQ('TS-PILE'!$E$56:$E$75))+IF(SUMSQ('TS-PILE'!$D$56:$D$75)=0,0,'TO HOP NLAN'!F111*'TS-PILE'!$D$73/SUMSQ('TS-PILE'!$D$56:$D$75))),IF('TS-PILE'!$B$74="",-1E+99,'TO HOP NLAN'!D111/ncoc+IF(SUMSQ('TS-PILE'!$E$56:$E$75)=0,0,'TO HOP NLAN'!E111*'TS-PILE'!$E$74/SUMSQ('TS-PILE'!$E$56:$E$75))+IF(SUMSQ('TS-PILE'!$D$56:$D$75)=0,0,'TO HOP NLAN'!F111*'TS-PILE'!$D$74/SUMSQ('TS-PILE'!$D$56:$D$75))),IF('TS-PILE'!$B$75="",-1E+99,'TO HOP NLAN'!D111/ncoc+IF(SUMSQ('TS-PILE'!$E$56:$E$75)=0,0,'TO HOP NLAN'!E111*'TS-PILE'!$E$75/SUMSQ('TS-PILE'!$E$56:$E$75))+IF(SUMSQ('TS-PILE'!$D$56:$D$75)=0,0,'TO HOP NLAN'!F111*'TS-PILE'!$D$75/SUMSQ('TS-PILE'!$D$56:$D$75)))))</f>
        <v>0</v>
      </c>
      <c r="D111" s="46">
        <f>IF(A111="",0,MIN(IF('TS-PILE'!$B$56="",1E+99,'TO HOP NLAN'!D111/ncoc+IF(SUMSQ('TS-PILE'!$E$56:$E$75)=0,0,'TO HOP NLAN'!E111*'TS-PILE'!$E$56/SUMSQ('TS-PILE'!$E$56:$E$75))+IF(SUMSQ('TS-PILE'!$D$56:$D$75)=0,0,'TO HOP NLAN'!F111*'TS-PILE'!$D$56/SUMSQ('TS-PILE'!$D$56:$D$75))),IF('TS-PILE'!$B$57="",1E+99,'TO HOP NLAN'!D111/ncoc+IF(SUMSQ('TS-PILE'!$E$56:$E$75)=0,0,'TO HOP NLAN'!E111*'TS-PILE'!$E$57/SUMSQ('TS-PILE'!$E$56:$E$75))+IF(SUMSQ('TS-PILE'!$D$56:$D$75)=0,0,'TO HOP NLAN'!F111*'TS-PILE'!$D$57/SUMSQ('TS-PILE'!$D$56:$D$75))),IF('TS-PILE'!$B$58="",1E+99,'TO HOP NLAN'!D111/ncoc+IF(SUMSQ('TS-PILE'!$E$56:$E$75)=0,0,'TO HOP NLAN'!E111*'TS-PILE'!$E$58/SUMSQ('TS-PILE'!$E$56:$E$75))+IF(SUMSQ('TS-PILE'!$D$56:$D$75)=0,0,'TO HOP NLAN'!F111*'TS-PILE'!$D$58/SUMSQ('TS-PILE'!$D$56:$D$75))),IF('TS-PILE'!$B$59="",1E+99,'TO HOP NLAN'!D111/ncoc+IF(SUMSQ('TS-PILE'!$E$56:$E$75)=0,0,'TO HOP NLAN'!E111*'TS-PILE'!$E$59/SUMSQ('TS-PILE'!$E$56:$E$75))+IF(SUMSQ('TS-PILE'!$D$56:$D$75)=0,0,'TO HOP NLAN'!F111*'TS-PILE'!$D$59/SUMSQ('TS-PILE'!$D$56:$D$75))),IF('TS-PILE'!$B$60="",1E+99,'TO HOP NLAN'!D111/ncoc+IF(SUMSQ('TS-PILE'!$E$56:$E$75)=0,0,'TO HOP NLAN'!E111*'TS-PILE'!$E$60/SUMSQ('TS-PILE'!$E$56:$E$75))+IF(SUMSQ('TS-PILE'!$D$56:$D$75)=0,0,'TO HOP NLAN'!F111*'TS-PILE'!$D$60/SUMSQ('TS-PILE'!$D$56:$D$75))),IF('TS-PILE'!$B$61="",1E+99,'TO HOP NLAN'!D111/ncoc+IF(SUMSQ('TS-PILE'!$E$56:$E$75)=0,0,'TO HOP NLAN'!E111*'TS-PILE'!$E$61/SUMSQ('TS-PILE'!$E$56:$E$75))+IF(SUMSQ('TS-PILE'!$D$56:$D$75)=0,0,'TO HOP NLAN'!F111*'TS-PILE'!$D$61/SUMSQ('TS-PILE'!$D$56:$D$75))),IF('TS-PILE'!$B$62="",1E+99,'TO HOP NLAN'!D111/ncoc+IF(SUMSQ('TS-PILE'!$E$56:$E$75)=0,0,'TO HOP NLAN'!E111*'TS-PILE'!$E$62/SUMSQ('TS-PILE'!$E$56:$E$75))+IF(SUMSQ('TS-PILE'!$D$56:$D$75)=0,0,'TO HOP NLAN'!F111*'TS-PILE'!$D$62/SUMSQ('TS-PILE'!$D$56:$D$75))),IF('TS-PILE'!$B$63="",1E+99,'TO HOP NLAN'!D111/ncoc+IF(SUMSQ('TS-PILE'!$E$56:$E$75)=0,0,'TO HOP NLAN'!E111*'TS-PILE'!$E$63/SUMSQ('TS-PILE'!$E$56:$E$75))+IF(SUMSQ('TS-PILE'!$D$56:$D$75)=0,0,'TO HOP NLAN'!F111*'TS-PILE'!$D$63/SUMSQ('TS-PILE'!$D$56:$D$75))),IF('TS-PILE'!$B$64="",1E+99,'TO HOP NLAN'!D111/ncoc+IF(SUMSQ('TS-PILE'!$E$56:$E$75)=0,0,'TO HOP NLAN'!E111*'TS-PILE'!$E$64/SUMSQ('TS-PILE'!$E$56:$E$75))+IF(SUMSQ('TS-PILE'!$D$56:$D$75)=0,0,'TO HOP NLAN'!F111*'TS-PILE'!$D$64/SUMSQ('TS-PILE'!$D$56:$D$75))),IF('TS-PILE'!$B$65="",1E+99,'TO HOP NLAN'!D111/ncoc+IF(SUMSQ('TS-PILE'!$E$56:$E$75)=0,0,'TO HOP NLAN'!E111*'TS-PILE'!$E$65/SUMSQ('TS-PILE'!$E$56:$E$75))+IF(SUMSQ('TS-PILE'!$D$56:$D$75)=0,0,'TO HOP NLAN'!F111*'TS-PILE'!$D$65/SUMSQ('TS-PILE'!$D$56:$D$75))),IF('TS-PILE'!$B$66="",1E+99,'TO HOP NLAN'!D111/ncoc+IF(SUMSQ('TS-PILE'!$E$56:$E$75)=0,0,'TO HOP NLAN'!E111*'TS-PILE'!$E$66/SUMSQ('TS-PILE'!$E$56:$E$75))+IF(SUMSQ('TS-PILE'!$D$56:$D$75)=0,0,'TO HOP NLAN'!F111*'TS-PILE'!$D$66/SUMSQ('TS-PILE'!$D$56:$D$75))),IF('TS-PILE'!$B$67="",1E+99,'TO HOP NLAN'!D111/ncoc+IF(SUMSQ('TS-PILE'!$E$56:$E$75)=0,0,'TO HOP NLAN'!E111*'TS-PILE'!$E$67/SUMSQ('TS-PILE'!$E$56:$E$75))+IF(SUMSQ('TS-PILE'!$D$56:$D$75)=0,0,'TO HOP NLAN'!F111*'TS-PILE'!$D$67/SUMSQ('TS-PILE'!$D$56:$D$75))),IF('TS-PILE'!$B$68="",1E+99,'TO HOP NLAN'!D111/ncoc+IF(SUMSQ('TS-PILE'!$E$56:$E$75)=0,0,'TO HOP NLAN'!E111*'TS-PILE'!$E$68/SUMSQ('TS-PILE'!$E$56:$E$75))+IF(SUMSQ('TS-PILE'!$D$56:$D$75)=0,0,'TO HOP NLAN'!F111*'TS-PILE'!$D$68/SUMSQ('TS-PILE'!$D$56:$D$75))),IF('TS-PILE'!$B$69="",1E+99,'TO HOP NLAN'!D111/ncoc+IF(SUMSQ('TS-PILE'!$E$56:$E$75)=0,0,'TO HOP NLAN'!E111*'TS-PILE'!$E$69/SUMSQ('TS-PILE'!$E$56:$E$75))+IF(SUMSQ('TS-PILE'!$D$56:$D$75)=0,0,'TO HOP NLAN'!F111*'TS-PILE'!$D$69/SUMSQ('TS-PILE'!$D$56:$D$75))),IF('TS-PILE'!$B$70="",1E+99,'TO HOP NLAN'!D111/ncoc+IF(SUMSQ('TS-PILE'!$E$56:$E$75)=0,0,'TO HOP NLAN'!E111*'TS-PILE'!$E$70/SUMSQ('TS-PILE'!$E$56:$E$75))+IF(SUMSQ('TS-PILE'!$D$56:$D$75)=0,0,'TO HOP NLAN'!F111*'TS-PILE'!$D$70/SUMSQ('TS-PILE'!$D$56:$D$75))),IF('TS-PILE'!$B$71="",1E+99,'TO HOP NLAN'!D111/ncoc+IF(SUMSQ('TS-PILE'!$E$56:$E$75)=0,0,'TO HOP NLAN'!E111*'TS-PILE'!$E$71/SUMSQ('TS-PILE'!$E$56:$E$75))+IF(SUMSQ('TS-PILE'!$D$56:$D$75)=0,0,'TO HOP NLAN'!F111*'TS-PILE'!$D$71/SUMSQ('TS-PILE'!$D$56:$D$75))),IF('TS-PILE'!$B$72="",1E+99,'TO HOP NLAN'!D111/ncoc+IF(SUMSQ('TS-PILE'!$E$56:$E$75)=0,0,'TO HOP NLAN'!E111*'TS-PILE'!$E$72/SUMSQ('TS-PILE'!$E$56:$E$75))+IF(SUMSQ('TS-PILE'!$D$56:$D$75)=0,0,'TO HOP NLAN'!F111*'TS-PILE'!$D$72/SUMSQ('TS-PILE'!$D$56:$D$75))),IF('TS-PILE'!$B$73="",1E+99,'TO HOP NLAN'!D111/ncoc+IF(SUMSQ('TS-PILE'!$E$56:$E$75)=0,0,'TO HOP NLAN'!E111*'TS-PILE'!$E$73/SUMSQ('TS-PILE'!$E$56:$E$75))+IF(SUMSQ('TS-PILE'!$D$56:$D$75)=0,0,'TO HOP NLAN'!F111*'TS-PILE'!$D$73/SUMSQ('TS-PILE'!$D$56:$D$75))),IF('TS-PILE'!$B$74="",1E+99,'TO HOP NLAN'!D111/ncoc+IF(SUMSQ('TS-PILE'!$E$56:$E$75)=0,0,'TO HOP NLAN'!E111*'TS-PILE'!$E$74/SUMSQ('TS-PILE'!$E$56:$E$75))+IF(SUMSQ('TS-PILE'!$D$56:$D$75)=0,0,'TO HOP NLAN'!F111*'TS-PILE'!$D$74/SUMSQ('TS-PILE'!$D$56:$D$75))),IF('TS-PILE'!$B$75="",1E+99,'TO HOP NLAN'!D111/ncoc+IF(SUMSQ('TS-PILE'!$E$56:$E$75)=0,0,'TO HOP NLAN'!E111*'TS-PILE'!$E$75/SUMSQ('TS-PILE'!$E$56:$E$75))+IF(SUMSQ('TS-PILE'!$D$56:$D$75)=0,0,'TO HOP NLAN'!F111*'TS-PILE'!$D$75/SUMSQ('TS-PILE'!$D$56:$D$75)))))</f>
        <v>0</v>
      </c>
      <c r="E111" s="46">
        <f t="shared" si="4"/>
        <v>-9.9999999999999997E+98</v>
      </c>
      <c r="F111" s="46">
        <f t="shared" si="5"/>
        <v>9.9999999999999997E+98</v>
      </c>
      <c r="G111" s="46">
        <f t="shared" si="6"/>
        <v>-9.9999999999999997E+98</v>
      </c>
      <c r="H111" s="46">
        <f t="shared" si="7"/>
        <v>9.9999999999999997E+98</v>
      </c>
    </row>
    <row r="112" spans="1:8" x14ac:dyDescent="0.3">
      <c r="A112" s="40" t="str">
        <f>'TO HOP NLAN'!A112</f>
        <v/>
      </c>
      <c r="B112" s="40" t="str">
        <f>'TO HOP NLAN'!L112</f>
        <v>STRENGTH</v>
      </c>
      <c r="C112" s="46">
        <f>IF(A112="",0,MAX(IF('TS-PILE'!$B$56="",-1E+99,'TO HOP NLAN'!D112/ncoc+IF(SUMSQ('TS-PILE'!$E$56:$E$75)=0,0,'TO HOP NLAN'!E112*'TS-PILE'!$E$56/SUMSQ('TS-PILE'!$E$56:$E$75))+IF(SUMSQ('TS-PILE'!$D$56:$D$75)=0,0,'TO HOP NLAN'!F112*'TS-PILE'!$D$56/SUMSQ('TS-PILE'!$D$56:$D$75))),IF('TS-PILE'!$B$57="",-1E+99,'TO HOP NLAN'!D112/ncoc+IF(SUMSQ('TS-PILE'!$E$56:$E$75)=0,0,'TO HOP NLAN'!E112*'TS-PILE'!$E$57/SUMSQ('TS-PILE'!$E$56:$E$75))+IF(SUMSQ('TS-PILE'!$D$56:$D$75)=0,0,'TO HOP NLAN'!F112*'TS-PILE'!$D$57/SUMSQ('TS-PILE'!$D$56:$D$75))),IF('TS-PILE'!$B$58="",-1E+99,'TO HOP NLAN'!D112/ncoc+IF(SUMSQ('TS-PILE'!$E$56:$E$75)=0,0,'TO HOP NLAN'!E112*'TS-PILE'!$E$58/SUMSQ('TS-PILE'!$E$56:$E$75))+IF(SUMSQ('TS-PILE'!$D$56:$D$75)=0,0,'TO HOP NLAN'!F112*'TS-PILE'!$D$58/SUMSQ('TS-PILE'!$D$56:$D$75))),IF('TS-PILE'!$B$59="",-1E+99,'TO HOP NLAN'!D112/ncoc+IF(SUMSQ('TS-PILE'!$E$56:$E$75)=0,0,'TO HOP NLAN'!E112*'TS-PILE'!$E$59/SUMSQ('TS-PILE'!$E$56:$E$75))+IF(SUMSQ('TS-PILE'!$D$56:$D$75)=0,0,'TO HOP NLAN'!F112*'TS-PILE'!$D$59/SUMSQ('TS-PILE'!$D$56:$D$75))),IF('TS-PILE'!$B$60="",-1E+99,'TO HOP NLAN'!D112/ncoc+IF(SUMSQ('TS-PILE'!$E$56:$E$75)=0,0,'TO HOP NLAN'!E112*'TS-PILE'!$E$60/SUMSQ('TS-PILE'!$E$56:$E$75))+IF(SUMSQ('TS-PILE'!$D$56:$D$75)=0,0,'TO HOP NLAN'!F112*'TS-PILE'!$D$60/SUMSQ('TS-PILE'!$D$56:$D$75))),IF('TS-PILE'!$B$61="",-1E+99,'TO HOP NLAN'!D112/ncoc+IF(SUMSQ('TS-PILE'!$E$56:$E$75)=0,0,'TO HOP NLAN'!E112*'TS-PILE'!$E$61/SUMSQ('TS-PILE'!$E$56:$E$75))+IF(SUMSQ('TS-PILE'!$D$56:$D$75)=0,0,'TO HOP NLAN'!F112*'TS-PILE'!$D$61/SUMSQ('TS-PILE'!$D$56:$D$75))),IF('TS-PILE'!$B$62="",-1E+99,'TO HOP NLAN'!D112/ncoc+IF(SUMSQ('TS-PILE'!$E$56:$E$75)=0,0,'TO HOP NLAN'!E112*'TS-PILE'!$E$62/SUMSQ('TS-PILE'!$E$56:$E$75))+IF(SUMSQ('TS-PILE'!$D$56:$D$75)=0,0,'TO HOP NLAN'!F112*'TS-PILE'!$D$62/SUMSQ('TS-PILE'!$D$56:$D$75))),IF('TS-PILE'!$B$63="",-1E+99,'TO HOP NLAN'!D112/ncoc+IF(SUMSQ('TS-PILE'!$E$56:$E$75)=0,0,'TO HOP NLAN'!E112*'TS-PILE'!$E$63/SUMSQ('TS-PILE'!$E$56:$E$75))+IF(SUMSQ('TS-PILE'!$D$56:$D$75)=0,0,'TO HOP NLAN'!F112*'TS-PILE'!$D$63/SUMSQ('TS-PILE'!$D$56:$D$75))),IF('TS-PILE'!$B$64="",-1E+99,'TO HOP NLAN'!D112/ncoc+IF(SUMSQ('TS-PILE'!$E$56:$E$75)=0,0,'TO HOP NLAN'!E112*'TS-PILE'!$E$64/SUMSQ('TS-PILE'!$E$56:$E$75))+IF(SUMSQ('TS-PILE'!$D$56:$D$75)=0,0,'TO HOP NLAN'!F112*'TS-PILE'!$D$64/SUMSQ('TS-PILE'!$D$56:$D$75))),IF('TS-PILE'!$B$65="",-1E+99,'TO HOP NLAN'!D112/ncoc+IF(SUMSQ('TS-PILE'!$E$56:$E$75)=0,0,'TO HOP NLAN'!E112*'TS-PILE'!$E$65/SUMSQ('TS-PILE'!$E$56:$E$75))+IF(SUMSQ('TS-PILE'!$D$56:$D$75)=0,0,'TO HOP NLAN'!F112*'TS-PILE'!$D$65/SUMSQ('TS-PILE'!$D$56:$D$75))),IF('TS-PILE'!$B$66="",-1E+99,'TO HOP NLAN'!D112/ncoc+IF(SUMSQ('TS-PILE'!$E$56:$E$75)=0,0,'TO HOP NLAN'!E112*'TS-PILE'!$E$66/SUMSQ('TS-PILE'!$E$56:$E$75))+IF(SUMSQ('TS-PILE'!$D$56:$D$75)=0,0,'TO HOP NLAN'!F112*'TS-PILE'!$D$66/SUMSQ('TS-PILE'!$D$56:$D$75))),IF('TS-PILE'!$B$67="",-1E+99,'TO HOP NLAN'!D112/ncoc+IF(SUMSQ('TS-PILE'!$E$56:$E$75)=0,0,'TO HOP NLAN'!E112*'TS-PILE'!$E$67/SUMSQ('TS-PILE'!$E$56:$E$75))+IF(SUMSQ('TS-PILE'!$D$56:$D$75)=0,0,'TO HOP NLAN'!F112*'TS-PILE'!$D$67/SUMSQ('TS-PILE'!$D$56:$D$75))),IF('TS-PILE'!$B$68="",-1E+99,'TO HOP NLAN'!D112/ncoc+IF(SUMSQ('TS-PILE'!$E$56:$E$75)=0,0,'TO HOP NLAN'!E112*'TS-PILE'!$E$68/SUMSQ('TS-PILE'!$E$56:$E$75))+IF(SUMSQ('TS-PILE'!$D$56:$D$75)=0,0,'TO HOP NLAN'!F112*'TS-PILE'!$D$68/SUMSQ('TS-PILE'!$D$56:$D$75))),IF('TS-PILE'!$B$69="",-1E+99,'TO HOP NLAN'!D112/ncoc+IF(SUMSQ('TS-PILE'!$E$56:$E$75)=0,0,'TO HOP NLAN'!E112*'TS-PILE'!$E$69/SUMSQ('TS-PILE'!$E$56:$E$75))+IF(SUMSQ('TS-PILE'!$D$56:$D$75)=0,0,'TO HOP NLAN'!F112*'TS-PILE'!$D$69/SUMSQ('TS-PILE'!$D$56:$D$75))),IF('TS-PILE'!$B$70="",-1E+99,'TO HOP NLAN'!D112/ncoc+IF(SUMSQ('TS-PILE'!$E$56:$E$75)=0,0,'TO HOP NLAN'!E112*'TS-PILE'!$E$70/SUMSQ('TS-PILE'!$E$56:$E$75))+IF(SUMSQ('TS-PILE'!$D$56:$D$75)=0,0,'TO HOP NLAN'!F112*'TS-PILE'!$D$70/SUMSQ('TS-PILE'!$D$56:$D$75))),IF('TS-PILE'!$B$71="",-1E+99,'TO HOP NLAN'!D112/ncoc+IF(SUMSQ('TS-PILE'!$E$56:$E$75)=0,0,'TO HOP NLAN'!E112*'TS-PILE'!$E$71/SUMSQ('TS-PILE'!$E$56:$E$75))+IF(SUMSQ('TS-PILE'!$D$56:$D$75)=0,0,'TO HOP NLAN'!F112*'TS-PILE'!$D$71/SUMSQ('TS-PILE'!$D$56:$D$75))),IF('TS-PILE'!$B$72="",-1E+99,'TO HOP NLAN'!D112/ncoc+IF(SUMSQ('TS-PILE'!$E$56:$E$75)=0,0,'TO HOP NLAN'!E112*'TS-PILE'!$E$72/SUMSQ('TS-PILE'!$E$56:$E$75))+IF(SUMSQ('TS-PILE'!$D$56:$D$75)=0,0,'TO HOP NLAN'!F112*'TS-PILE'!$D$72/SUMSQ('TS-PILE'!$D$56:$D$75))),IF('TS-PILE'!$B$73="",-1E+99,'TO HOP NLAN'!D112/ncoc+IF(SUMSQ('TS-PILE'!$E$56:$E$75)=0,0,'TO HOP NLAN'!E112*'TS-PILE'!$E$73/SUMSQ('TS-PILE'!$E$56:$E$75))+IF(SUMSQ('TS-PILE'!$D$56:$D$75)=0,0,'TO HOP NLAN'!F112*'TS-PILE'!$D$73/SUMSQ('TS-PILE'!$D$56:$D$75))),IF('TS-PILE'!$B$74="",-1E+99,'TO HOP NLAN'!D112/ncoc+IF(SUMSQ('TS-PILE'!$E$56:$E$75)=0,0,'TO HOP NLAN'!E112*'TS-PILE'!$E$74/SUMSQ('TS-PILE'!$E$56:$E$75))+IF(SUMSQ('TS-PILE'!$D$56:$D$75)=0,0,'TO HOP NLAN'!F112*'TS-PILE'!$D$74/SUMSQ('TS-PILE'!$D$56:$D$75))),IF('TS-PILE'!$B$75="",-1E+99,'TO HOP NLAN'!D112/ncoc+IF(SUMSQ('TS-PILE'!$E$56:$E$75)=0,0,'TO HOP NLAN'!E112*'TS-PILE'!$E$75/SUMSQ('TS-PILE'!$E$56:$E$75))+IF(SUMSQ('TS-PILE'!$D$56:$D$75)=0,0,'TO HOP NLAN'!F112*'TS-PILE'!$D$75/SUMSQ('TS-PILE'!$D$56:$D$75)))))</f>
        <v>0</v>
      </c>
      <c r="D112" s="46">
        <f>IF(A112="",0,MIN(IF('TS-PILE'!$B$56="",1E+99,'TO HOP NLAN'!D112/ncoc+IF(SUMSQ('TS-PILE'!$E$56:$E$75)=0,0,'TO HOP NLAN'!E112*'TS-PILE'!$E$56/SUMSQ('TS-PILE'!$E$56:$E$75))+IF(SUMSQ('TS-PILE'!$D$56:$D$75)=0,0,'TO HOP NLAN'!F112*'TS-PILE'!$D$56/SUMSQ('TS-PILE'!$D$56:$D$75))),IF('TS-PILE'!$B$57="",1E+99,'TO HOP NLAN'!D112/ncoc+IF(SUMSQ('TS-PILE'!$E$56:$E$75)=0,0,'TO HOP NLAN'!E112*'TS-PILE'!$E$57/SUMSQ('TS-PILE'!$E$56:$E$75))+IF(SUMSQ('TS-PILE'!$D$56:$D$75)=0,0,'TO HOP NLAN'!F112*'TS-PILE'!$D$57/SUMSQ('TS-PILE'!$D$56:$D$75))),IF('TS-PILE'!$B$58="",1E+99,'TO HOP NLAN'!D112/ncoc+IF(SUMSQ('TS-PILE'!$E$56:$E$75)=0,0,'TO HOP NLAN'!E112*'TS-PILE'!$E$58/SUMSQ('TS-PILE'!$E$56:$E$75))+IF(SUMSQ('TS-PILE'!$D$56:$D$75)=0,0,'TO HOP NLAN'!F112*'TS-PILE'!$D$58/SUMSQ('TS-PILE'!$D$56:$D$75))),IF('TS-PILE'!$B$59="",1E+99,'TO HOP NLAN'!D112/ncoc+IF(SUMSQ('TS-PILE'!$E$56:$E$75)=0,0,'TO HOP NLAN'!E112*'TS-PILE'!$E$59/SUMSQ('TS-PILE'!$E$56:$E$75))+IF(SUMSQ('TS-PILE'!$D$56:$D$75)=0,0,'TO HOP NLAN'!F112*'TS-PILE'!$D$59/SUMSQ('TS-PILE'!$D$56:$D$75))),IF('TS-PILE'!$B$60="",1E+99,'TO HOP NLAN'!D112/ncoc+IF(SUMSQ('TS-PILE'!$E$56:$E$75)=0,0,'TO HOP NLAN'!E112*'TS-PILE'!$E$60/SUMSQ('TS-PILE'!$E$56:$E$75))+IF(SUMSQ('TS-PILE'!$D$56:$D$75)=0,0,'TO HOP NLAN'!F112*'TS-PILE'!$D$60/SUMSQ('TS-PILE'!$D$56:$D$75))),IF('TS-PILE'!$B$61="",1E+99,'TO HOP NLAN'!D112/ncoc+IF(SUMSQ('TS-PILE'!$E$56:$E$75)=0,0,'TO HOP NLAN'!E112*'TS-PILE'!$E$61/SUMSQ('TS-PILE'!$E$56:$E$75))+IF(SUMSQ('TS-PILE'!$D$56:$D$75)=0,0,'TO HOP NLAN'!F112*'TS-PILE'!$D$61/SUMSQ('TS-PILE'!$D$56:$D$75))),IF('TS-PILE'!$B$62="",1E+99,'TO HOP NLAN'!D112/ncoc+IF(SUMSQ('TS-PILE'!$E$56:$E$75)=0,0,'TO HOP NLAN'!E112*'TS-PILE'!$E$62/SUMSQ('TS-PILE'!$E$56:$E$75))+IF(SUMSQ('TS-PILE'!$D$56:$D$75)=0,0,'TO HOP NLAN'!F112*'TS-PILE'!$D$62/SUMSQ('TS-PILE'!$D$56:$D$75))),IF('TS-PILE'!$B$63="",1E+99,'TO HOP NLAN'!D112/ncoc+IF(SUMSQ('TS-PILE'!$E$56:$E$75)=0,0,'TO HOP NLAN'!E112*'TS-PILE'!$E$63/SUMSQ('TS-PILE'!$E$56:$E$75))+IF(SUMSQ('TS-PILE'!$D$56:$D$75)=0,0,'TO HOP NLAN'!F112*'TS-PILE'!$D$63/SUMSQ('TS-PILE'!$D$56:$D$75))),IF('TS-PILE'!$B$64="",1E+99,'TO HOP NLAN'!D112/ncoc+IF(SUMSQ('TS-PILE'!$E$56:$E$75)=0,0,'TO HOP NLAN'!E112*'TS-PILE'!$E$64/SUMSQ('TS-PILE'!$E$56:$E$75))+IF(SUMSQ('TS-PILE'!$D$56:$D$75)=0,0,'TO HOP NLAN'!F112*'TS-PILE'!$D$64/SUMSQ('TS-PILE'!$D$56:$D$75))),IF('TS-PILE'!$B$65="",1E+99,'TO HOP NLAN'!D112/ncoc+IF(SUMSQ('TS-PILE'!$E$56:$E$75)=0,0,'TO HOP NLAN'!E112*'TS-PILE'!$E$65/SUMSQ('TS-PILE'!$E$56:$E$75))+IF(SUMSQ('TS-PILE'!$D$56:$D$75)=0,0,'TO HOP NLAN'!F112*'TS-PILE'!$D$65/SUMSQ('TS-PILE'!$D$56:$D$75))),IF('TS-PILE'!$B$66="",1E+99,'TO HOP NLAN'!D112/ncoc+IF(SUMSQ('TS-PILE'!$E$56:$E$75)=0,0,'TO HOP NLAN'!E112*'TS-PILE'!$E$66/SUMSQ('TS-PILE'!$E$56:$E$75))+IF(SUMSQ('TS-PILE'!$D$56:$D$75)=0,0,'TO HOP NLAN'!F112*'TS-PILE'!$D$66/SUMSQ('TS-PILE'!$D$56:$D$75))),IF('TS-PILE'!$B$67="",1E+99,'TO HOP NLAN'!D112/ncoc+IF(SUMSQ('TS-PILE'!$E$56:$E$75)=0,0,'TO HOP NLAN'!E112*'TS-PILE'!$E$67/SUMSQ('TS-PILE'!$E$56:$E$75))+IF(SUMSQ('TS-PILE'!$D$56:$D$75)=0,0,'TO HOP NLAN'!F112*'TS-PILE'!$D$67/SUMSQ('TS-PILE'!$D$56:$D$75))),IF('TS-PILE'!$B$68="",1E+99,'TO HOP NLAN'!D112/ncoc+IF(SUMSQ('TS-PILE'!$E$56:$E$75)=0,0,'TO HOP NLAN'!E112*'TS-PILE'!$E$68/SUMSQ('TS-PILE'!$E$56:$E$75))+IF(SUMSQ('TS-PILE'!$D$56:$D$75)=0,0,'TO HOP NLAN'!F112*'TS-PILE'!$D$68/SUMSQ('TS-PILE'!$D$56:$D$75))),IF('TS-PILE'!$B$69="",1E+99,'TO HOP NLAN'!D112/ncoc+IF(SUMSQ('TS-PILE'!$E$56:$E$75)=0,0,'TO HOP NLAN'!E112*'TS-PILE'!$E$69/SUMSQ('TS-PILE'!$E$56:$E$75))+IF(SUMSQ('TS-PILE'!$D$56:$D$75)=0,0,'TO HOP NLAN'!F112*'TS-PILE'!$D$69/SUMSQ('TS-PILE'!$D$56:$D$75))),IF('TS-PILE'!$B$70="",1E+99,'TO HOP NLAN'!D112/ncoc+IF(SUMSQ('TS-PILE'!$E$56:$E$75)=0,0,'TO HOP NLAN'!E112*'TS-PILE'!$E$70/SUMSQ('TS-PILE'!$E$56:$E$75))+IF(SUMSQ('TS-PILE'!$D$56:$D$75)=0,0,'TO HOP NLAN'!F112*'TS-PILE'!$D$70/SUMSQ('TS-PILE'!$D$56:$D$75))),IF('TS-PILE'!$B$71="",1E+99,'TO HOP NLAN'!D112/ncoc+IF(SUMSQ('TS-PILE'!$E$56:$E$75)=0,0,'TO HOP NLAN'!E112*'TS-PILE'!$E$71/SUMSQ('TS-PILE'!$E$56:$E$75))+IF(SUMSQ('TS-PILE'!$D$56:$D$75)=0,0,'TO HOP NLAN'!F112*'TS-PILE'!$D$71/SUMSQ('TS-PILE'!$D$56:$D$75))),IF('TS-PILE'!$B$72="",1E+99,'TO HOP NLAN'!D112/ncoc+IF(SUMSQ('TS-PILE'!$E$56:$E$75)=0,0,'TO HOP NLAN'!E112*'TS-PILE'!$E$72/SUMSQ('TS-PILE'!$E$56:$E$75))+IF(SUMSQ('TS-PILE'!$D$56:$D$75)=0,0,'TO HOP NLAN'!F112*'TS-PILE'!$D$72/SUMSQ('TS-PILE'!$D$56:$D$75))),IF('TS-PILE'!$B$73="",1E+99,'TO HOP NLAN'!D112/ncoc+IF(SUMSQ('TS-PILE'!$E$56:$E$75)=0,0,'TO HOP NLAN'!E112*'TS-PILE'!$E$73/SUMSQ('TS-PILE'!$E$56:$E$75))+IF(SUMSQ('TS-PILE'!$D$56:$D$75)=0,0,'TO HOP NLAN'!F112*'TS-PILE'!$D$73/SUMSQ('TS-PILE'!$D$56:$D$75))),IF('TS-PILE'!$B$74="",1E+99,'TO HOP NLAN'!D112/ncoc+IF(SUMSQ('TS-PILE'!$E$56:$E$75)=0,0,'TO HOP NLAN'!E112*'TS-PILE'!$E$74/SUMSQ('TS-PILE'!$E$56:$E$75))+IF(SUMSQ('TS-PILE'!$D$56:$D$75)=0,0,'TO HOP NLAN'!F112*'TS-PILE'!$D$74/SUMSQ('TS-PILE'!$D$56:$D$75))),IF('TS-PILE'!$B$75="",1E+99,'TO HOP NLAN'!D112/ncoc+IF(SUMSQ('TS-PILE'!$E$56:$E$75)=0,0,'TO HOP NLAN'!E112*'TS-PILE'!$E$75/SUMSQ('TS-PILE'!$E$56:$E$75))+IF(SUMSQ('TS-PILE'!$D$56:$D$75)=0,0,'TO HOP NLAN'!F112*'TS-PILE'!$D$75/SUMSQ('TS-PILE'!$D$56:$D$75)))))</f>
        <v>0</v>
      </c>
      <c r="E112" s="46">
        <f t="shared" si="4"/>
        <v>-9.9999999999999997E+98</v>
      </c>
      <c r="F112" s="46">
        <f t="shared" si="5"/>
        <v>9.9999999999999997E+98</v>
      </c>
      <c r="G112" s="46">
        <f t="shared" si="6"/>
        <v>-9.9999999999999997E+98</v>
      </c>
      <c r="H112" s="46">
        <f t="shared" si="7"/>
        <v>9.9999999999999997E+98</v>
      </c>
    </row>
    <row r="113" spans="1:8" x14ac:dyDescent="0.3">
      <c r="A113" s="40" t="str">
        <f>'TO HOP NLAN'!A113</f>
        <v/>
      </c>
      <c r="B113" s="40" t="str">
        <f>'TO HOP NLAN'!L113</f>
        <v>STRENGTH</v>
      </c>
      <c r="C113" s="46">
        <f>IF(A113="",0,MAX(IF('TS-PILE'!$B$56="",-1E+99,'TO HOP NLAN'!D113/ncoc+IF(SUMSQ('TS-PILE'!$E$56:$E$75)=0,0,'TO HOP NLAN'!E113*'TS-PILE'!$E$56/SUMSQ('TS-PILE'!$E$56:$E$75))+IF(SUMSQ('TS-PILE'!$D$56:$D$75)=0,0,'TO HOP NLAN'!F113*'TS-PILE'!$D$56/SUMSQ('TS-PILE'!$D$56:$D$75))),IF('TS-PILE'!$B$57="",-1E+99,'TO HOP NLAN'!D113/ncoc+IF(SUMSQ('TS-PILE'!$E$56:$E$75)=0,0,'TO HOP NLAN'!E113*'TS-PILE'!$E$57/SUMSQ('TS-PILE'!$E$56:$E$75))+IF(SUMSQ('TS-PILE'!$D$56:$D$75)=0,0,'TO HOP NLAN'!F113*'TS-PILE'!$D$57/SUMSQ('TS-PILE'!$D$56:$D$75))),IF('TS-PILE'!$B$58="",-1E+99,'TO HOP NLAN'!D113/ncoc+IF(SUMSQ('TS-PILE'!$E$56:$E$75)=0,0,'TO HOP NLAN'!E113*'TS-PILE'!$E$58/SUMSQ('TS-PILE'!$E$56:$E$75))+IF(SUMSQ('TS-PILE'!$D$56:$D$75)=0,0,'TO HOP NLAN'!F113*'TS-PILE'!$D$58/SUMSQ('TS-PILE'!$D$56:$D$75))),IF('TS-PILE'!$B$59="",-1E+99,'TO HOP NLAN'!D113/ncoc+IF(SUMSQ('TS-PILE'!$E$56:$E$75)=0,0,'TO HOP NLAN'!E113*'TS-PILE'!$E$59/SUMSQ('TS-PILE'!$E$56:$E$75))+IF(SUMSQ('TS-PILE'!$D$56:$D$75)=0,0,'TO HOP NLAN'!F113*'TS-PILE'!$D$59/SUMSQ('TS-PILE'!$D$56:$D$75))),IF('TS-PILE'!$B$60="",-1E+99,'TO HOP NLAN'!D113/ncoc+IF(SUMSQ('TS-PILE'!$E$56:$E$75)=0,0,'TO HOP NLAN'!E113*'TS-PILE'!$E$60/SUMSQ('TS-PILE'!$E$56:$E$75))+IF(SUMSQ('TS-PILE'!$D$56:$D$75)=0,0,'TO HOP NLAN'!F113*'TS-PILE'!$D$60/SUMSQ('TS-PILE'!$D$56:$D$75))),IF('TS-PILE'!$B$61="",-1E+99,'TO HOP NLAN'!D113/ncoc+IF(SUMSQ('TS-PILE'!$E$56:$E$75)=0,0,'TO HOP NLAN'!E113*'TS-PILE'!$E$61/SUMSQ('TS-PILE'!$E$56:$E$75))+IF(SUMSQ('TS-PILE'!$D$56:$D$75)=0,0,'TO HOP NLAN'!F113*'TS-PILE'!$D$61/SUMSQ('TS-PILE'!$D$56:$D$75))),IF('TS-PILE'!$B$62="",-1E+99,'TO HOP NLAN'!D113/ncoc+IF(SUMSQ('TS-PILE'!$E$56:$E$75)=0,0,'TO HOP NLAN'!E113*'TS-PILE'!$E$62/SUMSQ('TS-PILE'!$E$56:$E$75))+IF(SUMSQ('TS-PILE'!$D$56:$D$75)=0,0,'TO HOP NLAN'!F113*'TS-PILE'!$D$62/SUMSQ('TS-PILE'!$D$56:$D$75))),IF('TS-PILE'!$B$63="",-1E+99,'TO HOP NLAN'!D113/ncoc+IF(SUMSQ('TS-PILE'!$E$56:$E$75)=0,0,'TO HOP NLAN'!E113*'TS-PILE'!$E$63/SUMSQ('TS-PILE'!$E$56:$E$75))+IF(SUMSQ('TS-PILE'!$D$56:$D$75)=0,0,'TO HOP NLAN'!F113*'TS-PILE'!$D$63/SUMSQ('TS-PILE'!$D$56:$D$75))),IF('TS-PILE'!$B$64="",-1E+99,'TO HOP NLAN'!D113/ncoc+IF(SUMSQ('TS-PILE'!$E$56:$E$75)=0,0,'TO HOP NLAN'!E113*'TS-PILE'!$E$64/SUMSQ('TS-PILE'!$E$56:$E$75))+IF(SUMSQ('TS-PILE'!$D$56:$D$75)=0,0,'TO HOP NLAN'!F113*'TS-PILE'!$D$64/SUMSQ('TS-PILE'!$D$56:$D$75))),IF('TS-PILE'!$B$65="",-1E+99,'TO HOP NLAN'!D113/ncoc+IF(SUMSQ('TS-PILE'!$E$56:$E$75)=0,0,'TO HOP NLAN'!E113*'TS-PILE'!$E$65/SUMSQ('TS-PILE'!$E$56:$E$75))+IF(SUMSQ('TS-PILE'!$D$56:$D$75)=0,0,'TO HOP NLAN'!F113*'TS-PILE'!$D$65/SUMSQ('TS-PILE'!$D$56:$D$75))),IF('TS-PILE'!$B$66="",-1E+99,'TO HOP NLAN'!D113/ncoc+IF(SUMSQ('TS-PILE'!$E$56:$E$75)=0,0,'TO HOP NLAN'!E113*'TS-PILE'!$E$66/SUMSQ('TS-PILE'!$E$56:$E$75))+IF(SUMSQ('TS-PILE'!$D$56:$D$75)=0,0,'TO HOP NLAN'!F113*'TS-PILE'!$D$66/SUMSQ('TS-PILE'!$D$56:$D$75))),IF('TS-PILE'!$B$67="",-1E+99,'TO HOP NLAN'!D113/ncoc+IF(SUMSQ('TS-PILE'!$E$56:$E$75)=0,0,'TO HOP NLAN'!E113*'TS-PILE'!$E$67/SUMSQ('TS-PILE'!$E$56:$E$75))+IF(SUMSQ('TS-PILE'!$D$56:$D$75)=0,0,'TO HOP NLAN'!F113*'TS-PILE'!$D$67/SUMSQ('TS-PILE'!$D$56:$D$75))),IF('TS-PILE'!$B$68="",-1E+99,'TO HOP NLAN'!D113/ncoc+IF(SUMSQ('TS-PILE'!$E$56:$E$75)=0,0,'TO HOP NLAN'!E113*'TS-PILE'!$E$68/SUMSQ('TS-PILE'!$E$56:$E$75))+IF(SUMSQ('TS-PILE'!$D$56:$D$75)=0,0,'TO HOP NLAN'!F113*'TS-PILE'!$D$68/SUMSQ('TS-PILE'!$D$56:$D$75))),IF('TS-PILE'!$B$69="",-1E+99,'TO HOP NLAN'!D113/ncoc+IF(SUMSQ('TS-PILE'!$E$56:$E$75)=0,0,'TO HOP NLAN'!E113*'TS-PILE'!$E$69/SUMSQ('TS-PILE'!$E$56:$E$75))+IF(SUMSQ('TS-PILE'!$D$56:$D$75)=0,0,'TO HOP NLAN'!F113*'TS-PILE'!$D$69/SUMSQ('TS-PILE'!$D$56:$D$75))),IF('TS-PILE'!$B$70="",-1E+99,'TO HOP NLAN'!D113/ncoc+IF(SUMSQ('TS-PILE'!$E$56:$E$75)=0,0,'TO HOP NLAN'!E113*'TS-PILE'!$E$70/SUMSQ('TS-PILE'!$E$56:$E$75))+IF(SUMSQ('TS-PILE'!$D$56:$D$75)=0,0,'TO HOP NLAN'!F113*'TS-PILE'!$D$70/SUMSQ('TS-PILE'!$D$56:$D$75))),IF('TS-PILE'!$B$71="",-1E+99,'TO HOP NLAN'!D113/ncoc+IF(SUMSQ('TS-PILE'!$E$56:$E$75)=0,0,'TO HOP NLAN'!E113*'TS-PILE'!$E$71/SUMSQ('TS-PILE'!$E$56:$E$75))+IF(SUMSQ('TS-PILE'!$D$56:$D$75)=0,0,'TO HOP NLAN'!F113*'TS-PILE'!$D$71/SUMSQ('TS-PILE'!$D$56:$D$75))),IF('TS-PILE'!$B$72="",-1E+99,'TO HOP NLAN'!D113/ncoc+IF(SUMSQ('TS-PILE'!$E$56:$E$75)=0,0,'TO HOP NLAN'!E113*'TS-PILE'!$E$72/SUMSQ('TS-PILE'!$E$56:$E$75))+IF(SUMSQ('TS-PILE'!$D$56:$D$75)=0,0,'TO HOP NLAN'!F113*'TS-PILE'!$D$72/SUMSQ('TS-PILE'!$D$56:$D$75))),IF('TS-PILE'!$B$73="",-1E+99,'TO HOP NLAN'!D113/ncoc+IF(SUMSQ('TS-PILE'!$E$56:$E$75)=0,0,'TO HOP NLAN'!E113*'TS-PILE'!$E$73/SUMSQ('TS-PILE'!$E$56:$E$75))+IF(SUMSQ('TS-PILE'!$D$56:$D$75)=0,0,'TO HOP NLAN'!F113*'TS-PILE'!$D$73/SUMSQ('TS-PILE'!$D$56:$D$75))),IF('TS-PILE'!$B$74="",-1E+99,'TO HOP NLAN'!D113/ncoc+IF(SUMSQ('TS-PILE'!$E$56:$E$75)=0,0,'TO HOP NLAN'!E113*'TS-PILE'!$E$74/SUMSQ('TS-PILE'!$E$56:$E$75))+IF(SUMSQ('TS-PILE'!$D$56:$D$75)=0,0,'TO HOP NLAN'!F113*'TS-PILE'!$D$74/SUMSQ('TS-PILE'!$D$56:$D$75))),IF('TS-PILE'!$B$75="",-1E+99,'TO HOP NLAN'!D113/ncoc+IF(SUMSQ('TS-PILE'!$E$56:$E$75)=0,0,'TO HOP NLAN'!E113*'TS-PILE'!$E$75/SUMSQ('TS-PILE'!$E$56:$E$75))+IF(SUMSQ('TS-PILE'!$D$56:$D$75)=0,0,'TO HOP NLAN'!F113*'TS-PILE'!$D$75/SUMSQ('TS-PILE'!$D$56:$D$75)))))</f>
        <v>0</v>
      </c>
      <c r="D113" s="46">
        <f>IF(A113="",0,MIN(IF('TS-PILE'!$B$56="",1E+99,'TO HOP NLAN'!D113/ncoc+IF(SUMSQ('TS-PILE'!$E$56:$E$75)=0,0,'TO HOP NLAN'!E113*'TS-PILE'!$E$56/SUMSQ('TS-PILE'!$E$56:$E$75))+IF(SUMSQ('TS-PILE'!$D$56:$D$75)=0,0,'TO HOP NLAN'!F113*'TS-PILE'!$D$56/SUMSQ('TS-PILE'!$D$56:$D$75))),IF('TS-PILE'!$B$57="",1E+99,'TO HOP NLAN'!D113/ncoc+IF(SUMSQ('TS-PILE'!$E$56:$E$75)=0,0,'TO HOP NLAN'!E113*'TS-PILE'!$E$57/SUMSQ('TS-PILE'!$E$56:$E$75))+IF(SUMSQ('TS-PILE'!$D$56:$D$75)=0,0,'TO HOP NLAN'!F113*'TS-PILE'!$D$57/SUMSQ('TS-PILE'!$D$56:$D$75))),IF('TS-PILE'!$B$58="",1E+99,'TO HOP NLAN'!D113/ncoc+IF(SUMSQ('TS-PILE'!$E$56:$E$75)=0,0,'TO HOP NLAN'!E113*'TS-PILE'!$E$58/SUMSQ('TS-PILE'!$E$56:$E$75))+IF(SUMSQ('TS-PILE'!$D$56:$D$75)=0,0,'TO HOP NLAN'!F113*'TS-PILE'!$D$58/SUMSQ('TS-PILE'!$D$56:$D$75))),IF('TS-PILE'!$B$59="",1E+99,'TO HOP NLAN'!D113/ncoc+IF(SUMSQ('TS-PILE'!$E$56:$E$75)=0,0,'TO HOP NLAN'!E113*'TS-PILE'!$E$59/SUMSQ('TS-PILE'!$E$56:$E$75))+IF(SUMSQ('TS-PILE'!$D$56:$D$75)=0,0,'TO HOP NLAN'!F113*'TS-PILE'!$D$59/SUMSQ('TS-PILE'!$D$56:$D$75))),IF('TS-PILE'!$B$60="",1E+99,'TO HOP NLAN'!D113/ncoc+IF(SUMSQ('TS-PILE'!$E$56:$E$75)=0,0,'TO HOP NLAN'!E113*'TS-PILE'!$E$60/SUMSQ('TS-PILE'!$E$56:$E$75))+IF(SUMSQ('TS-PILE'!$D$56:$D$75)=0,0,'TO HOP NLAN'!F113*'TS-PILE'!$D$60/SUMSQ('TS-PILE'!$D$56:$D$75))),IF('TS-PILE'!$B$61="",1E+99,'TO HOP NLAN'!D113/ncoc+IF(SUMSQ('TS-PILE'!$E$56:$E$75)=0,0,'TO HOP NLAN'!E113*'TS-PILE'!$E$61/SUMSQ('TS-PILE'!$E$56:$E$75))+IF(SUMSQ('TS-PILE'!$D$56:$D$75)=0,0,'TO HOP NLAN'!F113*'TS-PILE'!$D$61/SUMSQ('TS-PILE'!$D$56:$D$75))),IF('TS-PILE'!$B$62="",1E+99,'TO HOP NLAN'!D113/ncoc+IF(SUMSQ('TS-PILE'!$E$56:$E$75)=0,0,'TO HOP NLAN'!E113*'TS-PILE'!$E$62/SUMSQ('TS-PILE'!$E$56:$E$75))+IF(SUMSQ('TS-PILE'!$D$56:$D$75)=0,0,'TO HOP NLAN'!F113*'TS-PILE'!$D$62/SUMSQ('TS-PILE'!$D$56:$D$75))),IF('TS-PILE'!$B$63="",1E+99,'TO HOP NLAN'!D113/ncoc+IF(SUMSQ('TS-PILE'!$E$56:$E$75)=0,0,'TO HOP NLAN'!E113*'TS-PILE'!$E$63/SUMSQ('TS-PILE'!$E$56:$E$75))+IF(SUMSQ('TS-PILE'!$D$56:$D$75)=0,0,'TO HOP NLAN'!F113*'TS-PILE'!$D$63/SUMSQ('TS-PILE'!$D$56:$D$75))),IF('TS-PILE'!$B$64="",1E+99,'TO HOP NLAN'!D113/ncoc+IF(SUMSQ('TS-PILE'!$E$56:$E$75)=0,0,'TO HOP NLAN'!E113*'TS-PILE'!$E$64/SUMSQ('TS-PILE'!$E$56:$E$75))+IF(SUMSQ('TS-PILE'!$D$56:$D$75)=0,0,'TO HOP NLAN'!F113*'TS-PILE'!$D$64/SUMSQ('TS-PILE'!$D$56:$D$75))),IF('TS-PILE'!$B$65="",1E+99,'TO HOP NLAN'!D113/ncoc+IF(SUMSQ('TS-PILE'!$E$56:$E$75)=0,0,'TO HOP NLAN'!E113*'TS-PILE'!$E$65/SUMSQ('TS-PILE'!$E$56:$E$75))+IF(SUMSQ('TS-PILE'!$D$56:$D$75)=0,0,'TO HOP NLAN'!F113*'TS-PILE'!$D$65/SUMSQ('TS-PILE'!$D$56:$D$75))),IF('TS-PILE'!$B$66="",1E+99,'TO HOP NLAN'!D113/ncoc+IF(SUMSQ('TS-PILE'!$E$56:$E$75)=0,0,'TO HOP NLAN'!E113*'TS-PILE'!$E$66/SUMSQ('TS-PILE'!$E$56:$E$75))+IF(SUMSQ('TS-PILE'!$D$56:$D$75)=0,0,'TO HOP NLAN'!F113*'TS-PILE'!$D$66/SUMSQ('TS-PILE'!$D$56:$D$75))),IF('TS-PILE'!$B$67="",1E+99,'TO HOP NLAN'!D113/ncoc+IF(SUMSQ('TS-PILE'!$E$56:$E$75)=0,0,'TO HOP NLAN'!E113*'TS-PILE'!$E$67/SUMSQ('TS-PILE'!$E$56:$E$75))+IF(SUMSQ('TS-PILE'!$D$56:$D$75)=0,0,'TO HOP NLAN'!F113*'TS-PILE'!$D$67/SUMSQ('TS-PILE'!$D$56:$D$75))),IF('TS-PILE'!$B$68="",1E+99,'TO HOP NLAN'!D113/ncoc+IF(SUMSQ('TS-PILE'!$E$56:$E$75)=0,0,'TO HOP NLAN'!E113*'TS-PILE'!$E$68/SUMSQ('TS-PILE'!$E$56:$E$75))+IF(SUMSQ('TS-PILE'!$D$56:$D$75)=0,0,'TO HOP NLAN'!F113*'TS-PILE'!$D$68/SUMSQ('TS-PILE'!$D$56:$D$75))),IF('TS-PILE'!$B$69="",1E+99,'TO HOP NLAN'!D113/ncoc+IF(SUMSQ('TS-PILE'!$E$56:$E$75)=0,0,'TO HOP NLAN'!E113*'TS-PILE'!$E$69/SUMSQ('TS-PILE'!$E$56:$E$75))+IF(SUMSQ('TS-PILE'!$D$56:$D$75)=0,0,'TO HOP NLAN'!F113*'TS-PILE'!$D$69/SUMSQ('TS-PILE'!$D$56:$D$75))),IF('TS-PILE'!$B$70="",1E+99,'TO HOP NLAN'!D113/ncoc+IF(SUMSQ('TS-PILE'!$E$56:$E$75)=0,0,'TO HOP NLAN'!E113*'TS-PILE'!$E$70/SUMSQ('TS-PILE'!$E$56:$E$75))+IF(SUMSQ('TS-PILE'!$D$56:$D$75)=0,0,'TO HOP NLAN'!F113*'TS-PILE'!$D$70/SUMSQ('TS-PILE'!$D$56:$D$75))),IF('TS-PILE'!$B$71="",1E+99,'TO HOP NLAN'!D113/ncoc+IF(SUMSQ('TS-PILE'!$E$56:$E$75)=0,0,'TO HOP NLAN'!E113*'TS-PILE'!$E$71/SUMSQ('TS-PILE'!$E$56:$E$75))+IF(SUMSQ('TS-PILE'!$D$56:$D$75)=0,0,'TO HOP NLAN'!F113*'TS-PILE'!$D$71/SUMSQ('TS-PILE'!$D$56:$D$75))),IF('TS-PILE'!$B$72="",1E+99,'TO HOP NLAN'!D113/ncoc+IF(SUMSQ('TS-PILE'!$E$56:$E$75)=0,0,'TO HOP NLAN'!E113*'TS-PILE'!$E$72/SUMSQ('TS-PILE'!$E$56:$E$75))+IF(SUMSQ('TS-PILE'!$D$56:$D$75)=0,0,'TO HOP NLAN'!F113*'TS-PILE'!$D$72/SUMSQ('TS-PILE'!$D$56:$D$75))),IF('TS-PILE'!$B$73="",1E+99,'TO HOP NLAN'!D113/ncoc+IF(SUMSQ('TS-PILE'!$E$56:$E$75)=0,0,'TO HOP NLAN'!E113*'TS-PILE'!$E$73/SUMSQ('TS-PILE'!$E$56:$E$75))+IF(SUMSQ('TS-PILE'!$D$56:$D$75)=0,0,'TO HOP NLAN'!F113*'TS-PILE'!$D$73/SUMSQ('TS-PILE'!$D$56:$D$75))),IF('TS-PILE'!$B$74="",1E+99,'TO HOP NLAN'!D113/ncoc+IF(SUMSQ('TS-PILE'!$E$56:$E$75)=0,0,'TO HOP NLAN'!E113*'TS-PILE'!$E$74/SUMSQ('TS-PILE'!$E$56:$E$75))+IF(SUMSQ('TS-PILE'!$D$56:$D$75)=0,0,'TO HOP NLAN'!F113*'TS-PILE'!$D$74/SUMSQ('TS-PILE'!$D$56:$D$75))),IF('TS-PILE'!$B$75="",1E+99,'TO HOP NLAN'!D113/ncoc+IF(SUMSQ('TS-PILE'!$E$56:$E$75)=0,0,'TO HOP NLAN'!E113*'TS-PILE'!$E$75/SUMSQ('TS-PILE'!$E$56:$E$75))+IF(SUMSQ('TS-PILE'!$D$56:$D$75)=0,0,'TO HOP NLAN'!F113*'TS-PILE'!$D$75/SUMSQ('TS-PILE'!$D$56:$D$75)))))</f>
        <v>0</v>
      </c>
      <c r="E113" s="46">
        <f t="shared" si="4"/>
        <v>-9.9999999999999997E+98</v>
      </c>
      <c r="F113" s="46">
        <f t="shared" si="5"/>
        <v>9.9999999999999997E+98</v>
      </c>
      <c r="G113" s="46">
        <f t="shared" si="6"/>
        <v>-9.9999999999999997E+98</v>
      </c>
      <c r="H113" s="46">
        <f t="shared" si="7"/>
        <v>9.9999999999999997E+98</v>
      </c>
    </row>
    <row r="114" spans="1:8" x14ac:dyDescent="0.3">
      <c r="A114" s="40" t="str">
        <f>'TO HOP NLAN'!A114</f>
        <v/>
      </c>
      <c r="B114" s="40" t="str">
        <f>'TO HOP NLAN'!L114</f>
        <v>STRENGTH</v>
      </c>
      <c r="C114" s="46">
        <f>IF(A114="",0,MAX(IF('TS-PILE'!$B$56="",-1E+99,'TO HOP NLAN'!D114/ncoc+IF(SUMSQ('TS-PILE'!$E$56:$E$75)=0,0,'TO HOP NLAN'!E114*'TS-PILE'!$E$56/SUMSQ('TS-PILE'!$E$56:$E$75))+IF(SUMSQ('TS-PILE'!$D$56:$D$75)=0,0,'TO HOP NLAN'!F114*'TS-PILE'!$D$56/SUMSQ('TS-PILE'!$D$56:$D$75))),IF('TS-PILE'!$B$57="",-1E+99,'TO HOP NLAN'!D114/ncoc+IF(SUMSQ('TS-PILE'!$E$56:$E$75)=0,0,'TO HOP NLAN'!E114*'TS-PILE'!$E$57/SUMSQ('TS-PILE'!$E$56:$E$75))+IF(SUMSQ('TS-PILE'!$D$56:$D$75)=0,0,'TO HOP NLAN'!F114*'TS-PILE'!$D$57/SUMSQ('TS-PILE'!$D$56:$D$75))),IF('TS-PILE'!$B$58="",-1E+99,'TO HOP NLAN'!D114/ncoc+IF(SUMSQ('TS-PILE'!$E$56:$E$75)=0,0,'TO HOP NLAN'!E114*'TS-PILE'!$E$58/SUMSQ('TS-PILE'!$E$56:$E$75))+IF(SUMSQ('TS-PILE'!$D$56:$D$75)=0,0,'TO HOP NLAN'!F114*'TS-PILE'!$D$58/SUMSQ('TS-PILE'!$D$56:$D$75))),IF('TS-PILE'!$B$59="",-1E+99,'TO HOP NLAN'!D114/ncoc+IF(SUMSQ('TS-PILE'!$E$56:$E$75)=0,0,'TO HOP NLAN'!E114*'TS-PILE'!$E$59/SUMSQ('TS-PILE'!$E$56:$E$75))+IF(SUMSQ('TS-PILE'!$D$56:$D$75)=0,0,'TO HOP NLAN'!F114*'TS-PILE'!$D$59/SUMSQ('TS-PILE'!$D$56:$D$75))),IF('TS-PILE'!$B$60="",-1E+99,'TO HOP NLAN'!D114/ncoc+IF(SUMSQ('TS-PILE'!$E$56:$E$75)=0,0,'TO HOP NLAN'!E114*'TS-PILE'!$E$60/SUMSQ('TS-PILE'!$E$56:$E$75))+IF(SUMSQ('TS-PILE'!$D$56:$D$75)=0,0,'TO HOP NLAN'!F114*'TS-PILE'!$D$60/SUMSQ('TS-PILE'!$D$56:$D$75))),IF('TS-PILE'!$B$61="",-1E+99,'TO HOP NLAN'!D114/ncoc+IF(SUMSQ('TS-PILE'!$E$56:$E$75)=0,0,'TO HOP NLAN'!E114*'TS-PILE'!$E$61/SUMSQ('TS-PILE'!$E$56:$E$75))+IF(SUMSQ('TS-PILE'!$D$56:$D$75)=0,0,'TO HOP NLAN'!F114*'TS-PILE'!$D$61/SUMSQ('TS-PILE'!$D$56:$D$75))),IF('TS-PILE'!$B$62="",-1E+99,'TO HOP NLAN'!D114/ncoc+IF(SUMSQ('TS-PILE'!$E$56:$E$75)=0,0,'TO HOP NLAN'!E114*'TS-PILE'!$E$62/SUMSQ('TS-PILE'!$E$56:$E$75))+IF(SUMSQ('TS-PILE'!$D$56:$D$75)=0,0,'TO HOP NLAN'!F114*'TS-PILE'!$D$62/SUMSQ('TS-PILE'!$D$56:$D$75))),IF('TS-PILE'!$B$63="",-1E+99,'TO HOP NLAN'!D114/ncoc+IF(SUMSQ('TS-PILE'!$E$56:$E$75)=0,0,'TO HOP NLAN'!E114*'TS-PILE'!$E$63/SUMSQ('TS-PILE'!$E$56:$E$75))+IF(SUMSQ('TS-PILE'!$D$56:$D$75)=0,0,'TO HOP NLAN'!F114*'TS-PILE'!$D$63/SUMSQ('TS-PILE'!$D$56:$D$75))),IF('TS-PILE'!$B$64="",-1E+99,'TO HOP NLAN'!D114/ncoc+IF(SUMSQ('TS-PILE'!$E$56:$E$75)=0,0,'TO HOP NLAN'!E114*'TS-PILE'!$E$64/SUMSQ('TS-PILE'!$E$56:$E$75))+IF(SUMSQ('TS-PILE'!$D$56:$D$75)=0,0,'TO HOP NLAN'!F114*'TS-PILE'!$D$64/SUMSQ('TS-PILE'!$D$56:$D$75))),IF('TS-PILE'!$B$65="",-1E+99,'TO HOP NLAN'!D114/ncoc+IF(SUMSQ('TS-PILE'!$E$56:$E$75)=0,0,'TO HOP NLAN'!E114*'TS-PILE'!$E$65/SUMSQ('TS-PILE'!$E$56:$E$75))+IF(SUMSQ('TS-PILE'!$D$56:$D$75)=0,0,'TO HOP NLAN'!F114*'TS-PILE'!$D$65/SUMSQ('TS-PILE'!$D$56:$D$75))),IF('TS-PILE'!$B$66="",-1E+99,'TO HOP NLAN'!D114/ncoc+IF(SUMSQ('TS-PILE'!$E$56:$E$75)=0,0,'TO HOP NLAN'!E114*'TS-PILE'!$E$66/SUMSQ('TS-PILE'!$E$56:$E$75))+IF(SUMSQ('TS-PILE'!$D$56:$D$75)=0,0,'TO HOP NLAN'!F114*'TS-PILE'!$D$66/SUMSQ('TS-PILE'!$D$56:$D$75))),IF('TS-PILE'!$B$67="",-1E+99,'TO HOP NLAN'!D114/ncoc+IF(SUMSQ('TS-PILE'!$E$56:$E$75)=0,0,'TO HOP NLAN'!E114*'TS-PILE'!$E$67/SUMSQ('TS-PILE'!$E$56:$E$75))+IF(SUMSQ('TS-PILE'!$D$56:$D$75)=0,0,'TO HOP NLAN'!F114*'TS-PILE'!$D$67/SUMSQ('TS-PILE'!$D$56:$D$75))),IF('TS-PILE'!$B$68="",-1E+99,'TO HOP NLAN'!D114/ncoc+IF(SUMSQ('TS-PILE'!$E$56:$E$75)=0,0,'TO HOP NLAN'!E114*'TS-PILE'!$E$68/SUMSQ('TS-PILE'!$E$56:$E$75))+IF(SUMSQ('TS-PILE'!$D$56:$D$75)=0,0,'TO HOP NLAN'!F114*'TS-PILE'!$D$68/SUMSQ('TS-PILE'!$D$56:$D$75))),IF('TS-PILE'!$B$69="",-1E+99,'TO HOP NLAN'!D114/ncoc+IF(SUMSQ('TS-PILE'!$E$56:$E$75)=0,0,'TO HOP NLAN'!E114*'TS-PILE'!$E$69/SUMSQ('TS-PILE'!$E$56:$E$75))+IF(SUMSQ('TS-PILE'!$D$56:$D$75)=0,0,'TO HOP NLAN'!F114*'TS-PILE'!$D$69/SUMSQ('TS-PILE'!$D$56:$D$75))),IF('TS-PILE'!$B$70="",-1E+99,'TO HOP NLAN'!D114/ncoc+IF(SUMSQ('TS-PILE'!$E$56:$E$75)=0,0,'TO HOP NLAN'!E114*'TS-PILE'!$E$70/SUMSQ('TS-PILE'!$E$56:$E$75))+IF(SUMSQ('TS-PILE'!$D$56:$D$75)=0,0,'TO HOP NLAN'!F114*'TS-PILE'!$D$70/SUMSQ('TS-PILE'!$D$56:$D$75))),IF('TS-PILE'!$B$71="",-1E+99,'TO HOP NLAN'!D114/ncoc+IF(SUMSQ('TS-PILE'!$E$56:$E$75)=0,0,'TO HOP NLAN'!E114*'TS-PILE'!$E$71/SUMSQ('TS-PILE'!$E$56:$E$75))+IF(SUMSQ('TS-PILE'!$D$56:$D$75)=0,0,'TO HOP NLAN'!F114*'TS-PILE'!$D$71/SUMSQ('TS-PILE'!$D$56:$D$75))),IF('TS-PILE'!$B$72="",-1E+99,'TO HOP NLAN'!D114/ncoc+IF(SUMSQ('TS-PILE'!$E$56:$E$75)=0,0,'TO HOP NLAN'!E114*'TS-PILE'!$E$72/SUMSQ('TS-PILE'!$E$56:$E$75))+IF(SUMSQ('TS-PILE'!$D$56:$D$75)=0,0,'TO HOP NLAN'!F114*'TS-PILE'!$D$72/SUMSQ('TS-PILE'!$D$56:$D$75))),IF('TS-PILE'!$B$73="",-1E+99,'TO HOP NLAN'!D114/ncoc+IF(SUMSQ('TS-PILE'!$E$56:$E$75)=0,0,'TO HOP NLAN'!E114*'TS-PILE'!$E$73/SUMSQ('TS-PILE'!$E$56:$E$75))+IF(SUMSQ('TS-PILE'!$D$56:$D$75)=0,0,'TO HOP NLAN'!F114*'TS-PILE'!$D$73/SUMSQ('TS-PILE'!$D$56:$D$75))),IF('TS-PILE'!$B$74="",-1E+99,'TO HOP NLAN'!D114/ncoc+IF(SUMSQ('TS-PILE'!$E$56:$E$75)=0,0,'TO HOP NLAN'!E114*'TS-PILE'!$E$74/SUMSQ('TS-PILE'!$E$56:$E$75))+IF(SUMSQ('TS-PILE'!$D$56:$D$75)=0,0,'TO HOP NLAN'!F114*'TS-PILE'!$D$74/SUMSQ('TS-PILE'!$D$56:$D$75))),IF('TS-PILE'!$B$75="",-1E+99,'TO HOP NLAN'!D114/ncoc+IF(SUMSQ('TS-PILE'!$E$56:$E$75)=0,0,'TO HOP NLAN'!E114*'TS-PILE'!$E$75/SUMSQ('TS-PILE'!$E$56:$E$75))+IF(SUMSQ('TS-PILE'!$D$56:$D$75)=0,0,'TO HOP NLAN'!F114*'TS-PILE'!$D$75/SUMSQ('TS-PILE'!$D$56:$D$75)))))</f>
        <v>0</v>
      </c>
      <c r="D114" s="46">
        <f>IF(A114="",0,MIN(IF('TS-PILE'!$B$56="",1E+99,'TO HOP NLAN'!D114/ncoc+IF(SUMSQ('TS-PILE'!$E$56:$E$75)=0,0,'TO HOP NLAN'!E114*'TS-PILE'!$E$56/SUMSQ('TS-PILE'!$E$56:$E$75))+IF(SUMSQ('TS-PILE'!$D$56:$D$75)=0,0,'TO HOP NLAN'!F114*'TS-PILE'!$D$56/SUMSQ('TS-PILE'!$D$56:$D$75))),IF('TS-PILE'!$B$57="",1E+99,'TO HOP NLAN'!D114/ncoc+IF(SUMSQ('TS-PILE'!$E$56:$E$75)=0,0,'TO HOP NLAN'!E114*'TS-PILE'!$E$57/SUMSQ('TS-PILE'!$E$56:$E$75))+IF(SUMSQ('TS-PILE'!$D$56:$D$75)=0,0,'TO HOP NLAN'!F114*'TS-PILE'!$D$57/SUMSQ('TS-PILE'!$D$56:$D$75))),IF('TS-PILE'!$B$58="",1E+99,'TO HOP NLAN'!D114/ncoc+IF(SUMSQ('TS-PILE'!$E$56:$E$75)=0,0,'TO HOP NLAN'!E114*'TS-PILE'!$E$58/SUMSQ('TS-PILE'!$E$56:$E$75))+IF(SUMSQ('TS-PILE'!$D$56:$D$75)=0,0,'TO HOP NLAN'!F114*'TS-PILE'!$D$58/SUMSQ('TS-PILE'!$D$56:$D$75))),IF('TS-PILE'!$B$59="",1E+99,'TO HOP NLAN'!D114/ncoc+IF(SUMSQ('TS-PILE'!$E$56:$E$75)=0,0,'TO HOP NLAN'!E114*'TS-PILE'!$E$59/SUMSQ('TS-PILE'!$E$56:$E$75))+IF(SUMSQ('TS-PILE'!$D$56:$D$75)=0,0,'TO HOP NLAN'!F114*'TS-PILE'!$D$59/SUMSQ('TS-PILE'!$D$56:$D$75))),IF('TS-PILE'!$B$60="",1E+99,'TO HOP NLAN'!D114/ncoc+IF(SUMSQ('TS-PILE'!$E$56:$E$75)=0,0,'TO HOP NLAN'!E114*'TS-PILE'!$E$60/SUMSQ('TS-PILE'!$E$56:$E$75))+IF(SUMSQ('TS-PILE'!$D$56:$D$75)=0,0,'TO HOP NLAN'!F114*'TS-PILE'!$D$60/SUMSQ('TS-PILE'!$D$56:$D$75))),IF('TS-PILE'!$B$61="",1E+99,'TO HOP NLAN'!D114/ncoc+IF(SUMSQ('TS-PILE'!$E$56:$E$75)=0,0,'TO HOP NLAN'!E114*'TS-PILE'!$E$61/SUMSQ('TS-PILE'!$E$56:$E$75))+IF(SUMSQ('TS-PILE'!$D$56:$D$75)=0,0,'TO HOP NLAN'!F114*'TS-PILE'!$D$61/SUMSQ('TS-PILE'!$D$56:$D$75))),IF('TS-PILE'!$B$62="",1E+99,'TO HOP NLAN'!D114/ncoc+IF(SUMSQ('TS-PILE'!$E$56:$E$75)=0,0,'TO HOP NLAN'!E114*'TS-PILE'!$E$62/SUMSQ('TS-PILE'!$E$56:$E$75))+IF(SUMSQ('TS-PILE'!$D$56:$D$75)=0,0,'TO HOP NLAN'!F114*'TS-PILE'!$D$62/SUMSQ('TS-PILE'!$D$56:$D$75))),IF('TS-PILE'!$B$63="",1E+99,'TO HOP NLAN'!D114/ncoc+IF(SUMSQ('TS-PILE'!$E$56:$E$75)=0,0,'TO HOP NLAN'!E114*'TS-PILE'!$E$63/SUMSQ('TS-PILE'!$E$56:$E$75))+IF(SUMSQ('TS-PILE'!$D$56:$D$75)=0,0,'TO HOP NLAN'!F114*'TS-PILE'!$D$63/SUMSQ('TS-PILE'!$D$56:$D$75))),IF('TS-PILE'!$B$64="",1E+99,'TO HOP NLAN'!D114/ncoc+IF(SUMSQ('TS-PILE'!$E$56:$E$75)=0,0,'TO HOP NLAN'!E114*'TS-PILE'!$E$64/SUMSQ('TS-PILE'!$E$56:$E$75))+IF(SUMSQ('TS-PILE'!$D$56:$D$75)=0,0,'TO HOP NLAN'!F114*'TS-PILE'!$D$64/SUMSQ('TS-PILE'!$D$56:$D$75))),IF('TS-PILE'!$B$65="",1E+99,'TO HOP NLAN'!D114/ncoc+IF(SUMSQ('TS-PILE'!$E$56:$E$75)=0,0,'TO HOP NLAN'!E114*'TS-PILE'!$E$65/SUMSQ('TS-PILE'!$E$56:$E$75))+IF(SUMSQ('TS-PILE'!$D$56:$D$75)=0,0,'TO HOP NLAN'!F114*'TS-PILE'!$D$65/SUMSQ('TS-PILE'!$D$56:$D$75))),IF('TS-PILE'!$B$66="",1E+99,'TO HOP NLAN'!D114/ncoc+IF(SUMSQ('TS-PILE'!$E$56:$E$75)=0,0,'TO HOP NLAN'!E114*'TS-PILE'!$E$66/SUMSQ('TS-PILE'!$E$56:$E$75))+IF(SUMSQ('TS-PILE'!$D$56:$D$75)=0,0,'TO HOP NLAN'!F114*'TS-PILE'!$D$66/SUMSQ('TS-PILE'!$D$56:$D$75))),IF('TS-PILE'!$B$67="",1E+99,'TO HOP NLAN'!D114/ncoc+IF(SUMSQ('TS-PILE'!$E$56:$E$75)=0,0,'TO HOP NLAN'!E114*'TS-PILE'!$E$67/SUMSQ('TS-PILE'!$E$56:$E$75))+IF(SUMSQ('TS-PILE'!$D$56:$D$75)=0,0,'TO HOP NLAN'!F114*'TS-PILE'!$D$67/SUMSQ('TS-PILE'!$D$56:$D$75))),IF('TS-PILE'!$B$68="",1E+99,'TO HOP NLAN'!D114/ncoc+IF(SUMSQ('TS-PILE'!$E$56:$E$75)=0,0,'TO HOP NLAN'!E114*'TS-PILE'!$E$68/SUMSQ('TS-PILE'!$E$56:$E$75))+IF(SUMSQ('TS-PILE'!$D$56:$D$75)=0,0,'TO HOP NLAN'!F114*'TS-PILE'!$D$68/SUMSQ('TS-PILE'!$D$56:$D$75))),IF('TS-PILE'!$B$69="",1E+99,'TO HOP NLAN'!D114/ncoc+IF(SUMSQ('TS-PILE'!$E$56:$E$75)=0,0,'TO HOP NLAN'!E114*'TS-PILE'!$E$69/SUMSQ('TS-PILE'!$E$56:$E$75))+IF(SUMSQ('TS-PILE'!$D$56:$D$75)=0,0,'TO HOP NLAN'!F114*'TS-PILE'!$D$69/SUMSQ('TS-PILE'!$D$56:$D$75))),IF('TS-PILE'!$B$70="",1E+99,'TO HOP NLAN'!D114/ncoc+IF(SUMSQ('TS-PILE'!$E$56:$E$75)=0,0,'TO HOP NLAN'!E114*'TS-PILE'!$E$70/SUMSQ('TS-PILE'!$E$56:$E$75))+IF(SUMSQ('TS-PILE'!$D$56:$D$75)=0,0,'TO HOP NLAN'!F114*'TS-PILE'!$D$70/SUMSQ('TS-PILE'!$D$56:$D$75))),IF('TS-PILE'!$B$71="",1E+99,'TO HOP NLAN'!D114/ncoc+IF(SUMSQ('TS-PILE'!$E$56:$E$75)=0,0,'TO HOP NLAN'!E114*'TS-PILE'!$E$71/SUMSQ('TS-PILE'!$E$56:$E$75))+IF(SUMSQ('TS-PILE'!$D$56:$D$75)=0,0,'TO HOP NLAN'!F114*'TS-PILE'!$D$71/SUMSQ('TS-PILE'!$D$56:$D$75))),IF('TS-PILE'!$B$72="",1E+99,'TO HOP NLAN'!D114/ncoc+IF(SUMSQ('TS-PILE'!$E$56:$E$75)=0,0,'TO HOP NLAN'!E114*'TS-PILE'!$E$72/SUMSQ('TS-PILE'!$E$56:$E$75))+IF(SUMSQ('TS-PILE'!$D$56:$D$75)=0,0,'TO HOP NLAN'!F114*'TS-PILE'!$D$72/SUMSQ('TS-PILE'!$D$56:$D$75))),IF('TS-PILE'!$B$73="",1E+99,'TO HOP NLAN'!D114/ncoc+IF(SUMSQ('TS-PILE'!$E$56:$E$75)=0,0,'TO HOP NLAN'!E114*'TS-PILE'!$E$73/SUMSQ('TS-PILE'!$E$56:$E$75))+IF(SUMSQ('TS-PILE'!$D$56:$D$75)=0,0,'TO HOP NLAN'!F114*'TS-PILE'!$D$73/SUMSQ('TS-PILE'!$D$56:$D$75))),IF('TS-PILE'!$B$74="",1E+99,'TO HOP NLAN'!D114/ncoc+IF(SUMSQ('TS-PILE'!$E$56:$E$75)=0,0,'TO HOP NLAN'!E114*'TS-PILE'!$E$74/SUMSQ('TS-PILE'!$E$56:$E$75))+IF(SUMSQ('TS-PILE'!$D$56:$D$75)=0,0,'TO HOP NLAN'!F114*'TS-PILE'!$D$74/SUMSQ('TS-PILE'!$D$56:$D$75))),IF('TS-PILE'!$B$75="",1E+99,'TO HOP NLAN'!D114/ncoc+IF(SUMSQ('TS-PILE'!$E$56:$E$75)=0,0,'TO HOP NLAN'!E114*'TS-PILE'!$E$75/SUMSQ('TS-PILE'!$E$56:$E$75))+IF(SUMSQ('TS-PILE'!$D$56:$D$75)=0,0,'TO HOP NLAN'!F114*'TS-PILE'!$D$75/SUMSQ('TS-PILE'!$D$56:$D$75)))))</f>
        <v>0</v>
      </c>
      <c r="E114" s="46">
        <f t="shared" si="4"/>
        <v>-9.9999999999999997E+98</v>
      </c>
      <c r="F114" s="46">
        <f t="shared" si="5"/>
        <v>9.9999999999999997E+98</v>
      </c>
      <c r="G114" s="46">
        <f t="shared" si="6"/>
        <v>-9.9999999999999997E+98</v>
      </c>
      <c r="H114" s="46">
        <f t="shared" si="7"/>
        <v>9.9999999999999997E+98</v>
      </c>
    </row>
    <row r="115" spans="1:8" x14ac:dyDescent="0.3">
      <c r="A115" s="40" t="str">
        <f>'TO HOP NLAN'!A115</f>
        <v/>
      </c>
      <c r="B115" s="40" t="str">
        <f>'TO HOP NLAN'!L115</f>
        <v>STRENGTH</v>
      </c>
      <c r="C115" s="46">
        <f>IF(A115="",0,MAX(IF('TS-PILE'!$B$56="",-1E+99,'TO HOP NLAN'!D115/ncoc+IF(SUMSQ('TS-PILE'!$E$56:$E$75)=0,0,'TO HOP NLAN'!E115*'TS-PILE'!$E$56/SUMSQ('TS-PILE'!$E$56:$E$75))+IF(SUMSQ('TS-PILE'!$D$56:$D$75)=0,0,'TO HOP NLAN'!F115*'TS-PILE'!$D$56/SUMSQ('TS-PILE'!$D$56:$D$75))),IF('TS-PILE'!$B$57="",-1E+99,'TO HOP NLAN'!D115/ncoc+IF(SUMSQ('TS-PILE'!$E$56:$E$75)=0,0,'TO HOP NLAN'!E115*'TS-PILE'!$E$57/SUMSQ('TS-PILE'!$E$56:$E$75))+IF(SUMSQ('TS-PILE'!$D$56:$D$75)=0,0,'TO HOP NLAN'!F115*'TS-PILE'!$D$57/SUMSQ('TS-PILE'!$D$56:$D$75))),IF('TS-PILE'!$B$58="",-1E+99,'TO HOP NLAN'!D115/ncoc+IF(SUMSQ('TS-PILE'!$E$56:$E$75)=0,0,'TO HOP NLAN'!E115*'TS-PILE'!$E$58/SUMSQ('TS-PILE'!$E$56:$E$75))+IF(SUMSQ('TS-PILE'!$D$56:$D$75)=0,0,'TO HOP NLAN'!F115*'TS-PILE'!$D$58/SUMSQ('TS-PILE'!$D$56:$D$75))),IF('TS-PILE'!$B$59="",-1E+99,'TO HOP NLAN'!D115/ncoc+IF(SUMSQ('TS-PILE'!$E$56:$E$75)=0,0,'TO HOP NLAN'!E115*'TS-PILE'!$E$59/SUMSQ('TS-PILE'!$E$56:$E$75))+IF(SUMSQ('TS-PILE'!$D$56:$D$75)=0,0,'TO HOP NLAN'!F115*'TS-PILE'!$D$59/SUMSQ('TS-PILE'!$D$56:$D$75))),IF('TS-PILE'!$B$60="",-1E+99,'TO HOP NLAN'!D115/ncoc+IF(SUMSQ('TS-PILE'!$E$56:$E$75)=0,0,'TO HOP NLAN'!E115*'TS-PILE'!$E$60/SUMSQ('TS-PILE'!$E$56:$E$75))+IF(SUMSQ('TS-PILE'!$D$56:$D$75)=0,0,'TO HOP NLAN'!F115*'TS-PILE'!$D$60/SUMSQ('TS-PILE'!$D$56:$D$75))),IF('TS-PILE'!$B$61="",-1E+99,'TO HOP NLAN'!D115/ncoc+IF(SUMSQ('TS-PILE'!$E$56:$E$75)=0,0,'TO HOP NLAN'!E115*'TS-PILE'!$E$61/SUMSQ('TS-PILE'!$E$56:$E$75))+IF(SUMSQ('TS-PILE'!$D$56:$D$75)=0,0,'TO HOP NLAN'!F115*'TS-PILE'!$D$61/SUMSQ('TS-PILE'!$D$56:$D$75))),IF('TS-PILE'!$B$62="",-1E+99,'TO HOP NLAN'!D115/ncoc+IF(SUMSQ('TS-PILE'!$E$56:$E$75)=0,0,'TO HOP NLAN'!E115*'TS-PILE'!$E$62/SUMSQ('TS-PILE'!$E$56:$E$75))+IF(SUMSQ('TS-PILE'!$D$56:$D$75)=0,0,'TO HOP NLAN'!F115*'TS-PILE'!$D$62/SUMSQ('TS-PILE'!$D$56:$D$75))),IF('TS-PILE'!$B$63="",-1E+99,'TO HOP NLAN'!D115/ncoc+IF(SUMSQ('TS-PILE'!$E$56:$E$75)=0,0,'TO HOP NLAN'!E115*'TS-PILE'!$E$63/SUMSQ('TS-PILE'!$E$56:$E$75))+IF(SUMSQ('TS-PILE'!$D$56:$D$75)=0,0,'TO HOP NLAN'!F115*'TS-PILE'!$D$63/SUMSQ('TS-PILE'!$D$56:$D$75))),IF('TS-PILE'!$B$64="",-1E+99,'TO HOP NLAN'!D115/ncoc+IF(SUMSQ('TS-PILE'!$E$56:$E$75)=0,0,'TO HOP NLAN'!E115*'TS-PILE'!$E$64/SUMSQ('TS-PILE'!$E$56:$E$75))+IF(SUMSQ('TS-PILE'!$D$56:$D$75)=0,0,'TO HOP NLAN'!F115*'TS-PILE'!$D$64/SUMSQ('TS-PILE'!$D$56:$D$75))),IF('TS-PILE'!$B$65="",-1E+99,'TO HOP NLAN'!D115/ncoc+IF(SUMSQ('TS-PILE'!$E$56:$E$75)=0,0,'TO HOP NLAN'!E115*'TS-PILE'!$E$65/SUMSQ('TS-PILE'!$E$56:$E$75))+IF(SUMSQ('TS-PILE'!$D$56:$D$75)=0,0,'TO HOP NLAN'!F115*'TS-PILE'!$D$65/SUMSQ('TS-PILE'!$D$56:$D$75))),IF('TS-PILE'!$B$66="",-1E+99,'TO HOP NLAN'!D115/ncoc+IF(SUMSQ('TS-PILE'!$E$56:$E$75)=0,0,'TO HOP NLAN'!E115*'TS-PILE'!$E$66/SUMSQ('TS-PILE'!$E$56:$E$75))+IF(SUMSQ('TS-PILE'!$D$56:$D$75)=0,0,'TO HOP NLAN'!F115*'TS-PILE'!$D$66/SUMSQ('TS-PILE'!$D$56:$D$75))),IF('TS-PILE'!$B$67="",-1E+99,'TO HOP NLAN'!D115/ncoc+IF(SUMSQ('TS-PILE'!$E$56:$E$75)=0,0,'TO HOP NLAN'!E115*'TS-PILE'!$E$67/SUMSQ('TS-PILE'!$E$56:$E$75))+IF(SUMSQ('TS-PILE'!$D$56:$D$75)=0,0,'TO HOP NLAN'!F115*'TS-PILE'!$D$67/SUMSQ('TS-PILE'!$D$56:$D$75))),IF('TS-PILE'!$B$68="",-1E+99,'TO HOP NLAN'!D115/ncoc+IF(SUMSQ('TS-PILE'!$E$56:$E$75)=0,0,'TO HOP NLAN'!E115*'TS-PILE'!$E$68/SUMSQ('TS-PILE'!$E$56:$E$75))+IF(SUMSQ('TS-PILE'!$D$56:$D$75)=0,0,'TO HOP NLAN'!F115*'TS-PILE'!$D$68/SUMSQ('TS-PILE'!$D$56:$D$75))),IF('TS-PILE'!$B$69="",-1E+99,'TO HOP NLAN'!D115/ncoc+IF(SUMSQ('TS-PILE'!$E$56:$E$75)=0,0,'TO HOP NLAN'!E115*'TS-PILE'!$E$69/SUMSQ('TS-PILE'!$E$56:$E$75))+IF(SUMSQ('TS-PILE'!$D$56:$D$75)=0,0,'TO HOP NLAN'!F115*'TS-PILE'!$D$69/SUMSQ('TS-PILE'!$D$56:$D$75))),IF('TS-PILE'!$B$70="",-1E+99,'TO HOP NLAN'!D115/ncoc+IF(SUMSQ('TS-PILE'!$E$56:$E$75)=0,0,'TO HOP NLAN'!E115*'TS-PILE'!$E$70/SUMSQ('TS-PILE'!$E$56:$E$75))+IF(SUMSQ('TS-PILE'!$D$56:$D$75)=0,0,'TO HOP NLAN'!F115*'TS-PILE'!$D$70/SUMSQ('TS-PILE'!$D$56:$D$75))),IF('TS-PILE'!$B$71="",-1E+99,'TO HOP NLAN'!D115/ncoc+IF(SUMSQ('TS-PILE'!$E$56:$E$75)=0,0,'TO HOP NLAN'!E115*'TS-PILE'!$E$71/SUMSQ('TS-PILE'!$E$56:$E$75))+IF(SUMSQ('TS-PILE'!$D$56:$D$75)=0,0,'TO HOP NLAN'!F115*'TS-PILE'!$D$71/SUMSQ('TS-PILE'!$D$56:$D$75))),IF('TS-PILE'!$B$72="",-1E+99,'TO HOP NLAN'!D115/ncoc+IF(SUMSQ('TS-PILE'!$E$56:$E$75)=0,0,'TO HOP NLAN'!E115*'TS-PILE'!$E$72/SUMSQ('TS-PILE'!$E$56:$E$75))+IF(SUMSQ('TS-PILE'!$D$56:$D$75)=0,0,'TO HOP NLAN'!F115*'TS-PILE'!$D$72/SUMSQ('TS-PILE'!$D$56:$D$75))),IF('TS-PILE'!$B$73="",-1E+99,'TO HOP NLAN'!D115/ncoc+IF(SUMSQ('TS-PILE'!$E$56:$E$75)=0,0,'TO HOP NLAN'!E115*'TS-PILE'!$E$73/SUMSQ('TS-PILE'!$E$56:$E$75))+IF(SUMSQ('TS-PILE'!$D$56:$D$75)=0,0,'TO HOP NLAN'!F115*'TS-PILE'!$D$73/SUMSQ('TS-PILE'!$D$56:$D$75))),IF('TS-PILE'!$B$74="",-1E+99,'TO HOP NLAN'!D115/ncoc+IF(SUMSQ('TS-PILE'!$E$56:$E$75)=0,0,'TO HOP NLAN'!E115*'TS-PILE'!$E$74/SUMSQ('TS-PILE'!$E$56:$E$75))+IF(SUMSQ('TS-PILE'!$D$56:$D$75)=0,0,'TO HOP NLAN'!F115*'TS-PILE'!$D$74/SUMSQ('TS-PILE'!$D$56:$D$75))),IF('TS-PILE'!$B$75="",-1E+99,'TO HOP NLAN'!D115/ncoc+IF(SUMSQ('TS-PILE'!$E$56:$E$75)=0,0,'TO HOP NLAN'!E115*'TS-PILE'!$E$75/SUMSQ('TS-PILE'!$E$56:$E$75))+IF(SUMSQ('TS-PILE'!$D$56:$D$75)=0,0,'TO HOP NLAN'!F115*'TS-PILE'!$D$75/SUMSQ('TS-PILE'!$D$56:$D$75)))))</f>
        <v>0</v>
      </c>
      <c r="D115" s="46">
        <f>IF(A115="",0,MIN(IF('TS-PILE'!$B$56="",1E+99,'TO HOP NLAN'!D115/ncoc+IF(SUMSQ('TS-PILE'!$E$56:$E$75)=0,0,'TO HOP NLAN'!E115*'TS-PILE'!$E$56/SUMSQ('TS-PILE'!$E$56:$E$75))+IF(SUMSQ('TS-PILE'!$D$56:$D$75)=0,0,'TO HOP NLAN'!F115*'TS-PILE'!$D$56/SUMSQ('TS-PILE'!$D$56:$D$75))),IF('TS-PILE'!$B$57="",1E+99,'TO HOP NLAN'!D115/ncoc+IF(SUMSQ('TS-PILE'!$E$56:$E$75)=0,0,'TO HOP NLAN'!E115*'TS-PILE'!$E$57/SUMSQ('TS-PILE'!$E$56:$E$75))+IF(SUMSQ('TS-PILE'!$D$56:$D$75)=0,0,'TO HOP NLAN'!F115*'TS-PILE'!$D$57/SUMSQ('TS-PILE'!$D$56:$D$75))),IF('TS-PILE'!$B$58="",1E+99,'TO HOP NLAN'!D115/ncoc+IF(SUMSQ('TS-PILE'!$E$56:$E$75)=0,0,'TO HOP NLAN'!E115*'TS-PILE'!$E$58/SUMSQ('TS-PILE'!$E$56:$E$75))+IF(SUMSQ('TS-PILE'!$D$56:$D$75)=0,0,'TO HOP NLAN'!F115*'TS-PILE'!$D$58/SUMSQ('TS-PILE'!$D$56:$D$75))),IF('TS-PILE'!$B$59="",1E+99,'TO HOP NLAN'!D115/ncoc+IF(SUMSQ('TS-PILE'!$E$56:$E$75)=0,0,'TO HOP NLAN'!E115*'TS-PILE'!$E$59/SUMSQ('TS-PILE'!$E$56:$E$75))+IF(SUMSQ('TS-PILE'!$D$56:$D$75)=0,0,'TO HOP NLAN'!F115*'TS-PILE'!$D$59/SUMSQ('TS-PILE'!$D$56:$D$75))),IF('TS-PILE'!$B$60="",1E+99,'TO HOP NLAN'!D115/ncoc+IF(SUMSQ('TS-PILE'!$E$56:$E$75)=0,0,'TO HOP NLAN'!E115*'TS-PILE'!$E$60/SUMSQ('TS-PILE'!$E$56:$E$75))+IF(SUMSQ('TS-PILE'!$D$56:$D$75)=0,0,'TO HOP NLAN'!F115*'TS-PILE'!$D$60/SUMSQ('TS-PILE'!$D$56:$D$75))),IF('TS-PILE'!$B$61="",1E+99,'TO HOP NLAN'!D115/ncoc+IF(SUMSQ('TS-PILE'!$E$56:$E$75)=0,0,'TO HOP NLAN'!E115*'TS-PILE'!$E$61/SUMSQ('TS-PILE'!$E$56:$E$75))+IF(SUMSQ('TS-PILE'!$D$56:$D$75)=0,0,'TO HOP NLAN'!F115*'TS-PILE'!$D$61/SUMSQ('TS-PILE'!$D$56:$D$75))),IF('TS-PILE'!$B$62="",1E+99,'TO HOP NLAN'!D115/ncoc+IF(SUMSQ('TS-PILE'!$E$56:$E$75)=0,0,'TO HOP NLAN'!E115*'TS-PILE'!$E$62/SUMSQ('TS-PILE'!$E$56:$E$75))+IF(SUMSQ('TS-PILE'!$D$56:$D$75)=0,0,'TO HOP NLAN'!F115*'TS-PILE'!$D$62/SUMSQ('TS-PILE'!$D$56:$D$75))),IF('TS-PILE'!$B$63="",1E+99,'TO HOP NLAN'!D115/ncoc+IF(SUMSQ('TS-PILE'!$E$56:$E$75)=0,0,'TO HOP NLAN'!E115*'TS-PILE'!$E$63/SUMSQ('TS-PILE'!$E$56:$E$75))+IF(SUMSQ('TS-PILE'!$D$56:$D$75)=0,0,'TO HOP NLAN'!F115*'TS-PILE'!$D$63/SUMSQ('TS-PILE'!$D$56:$D$75))),IF('TS-PILE'!$B$64="",1E+99,'TO HOP NLAN'!D115/ncoc+IF(SUMSQ('TS-PILE'!$E$56:$E$75)=0,0,'TO HOP NLAN'!E115*'TS-PILE'!$E$64/SUMSQ('TS-PILE'!$E$56:$E$75))+IF(SUMSQ('TS-PILE'!$D$56:$D$75)=0,0,'TO HOP NLAN'!F115*'TS-PILE'!$D$64/SUMSQ('TS-PILE'!$D$56:$D$75))),IF('TS-PILE'!$B$65="",1E+99,'TO HOP NLAN'!D115/ncoc+IF(SUMSQ('TS-PILE'!$E$56:$E$75)=0,0,'TO HOP NLAN'!E115*'TS-PILE'!$E$65/SUMSQ('TS-PILE'!$E$56:$E$75))+IF(SUMSQ('TS-PILE'!$D$56:$D$75)=0,0,'TO HOP NLAN'!F115*'TS-PILE'!$D$65/SUMSQ('TS-PILE'!$D$56:$D$75))),IF('TS-PILE'!$B$66="",1E+99,'TO HOP NLAN'!D115/ncoc+IF(SUMSQ('TS-PILE'!$E$56:$E$75)=0,0,'TO HOP NLAN'!E115*'TS-PILE'!$E$66/SUMSQ('TS-PILE'!$E$56:$E$75))+IF(SUMSQ('TS-PILE'!$D$56:$D$75)=0,0,'TO HOP NLAN'!F115*'TS-PILE'!$D$66/SUMSQ('TS-PILE'!$D$56:$D$75))),IF('TS-PILE'!$B$67="",1E+99,'TO HOP NLAN'!D115/ncoc+IF(SUMSQ('TS-PILE'!$E$56:$E$75)=0,0,'TO HOP NLAN'!E115*'TS-PILE'!$E$67/SUMSQ('TS-PILE'!$E$56:$E$75))+IF(SUMSQ('TS-PILE'!$D$56:$D$75)=0,0,'TO HOP NLAN'!F115*'TS-PILE'!$D$67/SUMSQ('TS-PILE'!$D$56:$D$75))),IF('TS-PILE'!$B$68="",1E+99,'TO HOP NLAN'!D115/ncoc+IF(SUMSQ('TS-PILE'!$E$56:$E$75)=0,0,'TO HOP NLAN'!E115*'TS-PILE'!$E$68/SUMSQ('TS-PILE'!$E$56:$E$75))+IF(SUMSQ('TS-PILE'!$D$56:$D$75)=0,0,'TO HOP NLAN'!F115*'TS-PILE'!$D$68/SUMSQ('TS-PILE'!$D$56:$D$75))),IF('TS-PILE'!$B$69="",1E+99,'TO HOP NLAN'!D115/ncoc+IF(SUMSQ('TS-PILE'!$E$56:$E$75)=0,0,'TO HOP NLAN'!E115*'TS-PILE'!$E$69/SUMSQ('TS-PILE'!$E$56:$E$75))+IF(SUMSQ('TS-PILE'!$D$56:$D$75)=0,0,'TO HOP NLAN'!F115*'TS-PILE'!$D$69/SUMSQ('TS-PILE'!$D$56:$D$75))),IF('TS-PILE'!$B$70="",1E+99,'TO HOP NLAN'!D115/ncoc+IF(SUMSQ('TS-PILE'!$E$56:$E$75)=0,0,'TO HOP NLAN'!E115*'TS-PILE'!$E$70/SUMSQ('TS-PILE'!$E$56:$E$75))+IF(SUMSQ('TS-PILE'!$D$56:$D$75)=0,0,'TO HOP NLAN'!F115*'TS-PILE'!$D$70/SUMSQ('TS-PILE'!$D$56:$D$75))),IF('TS-PILE'!$B$71="",1E+99,'TO HOP NLAN'!D115/ncoc+IF(SUMSQ('TS-PILE'!$E$56:$E$75)=0,0,'TO HOP NLAN'!E115*'TS-PILE'!$E$71/SUMSQ('TS-PILE'!$E$56:$E$75))+IF(SUMSQ('TS-PILE'!$D$56:$D$75)=0,0,'TO HOP NLAN'!F115*'TS-PILE'!$D$71/SUMSQ('TS-PILE'!$D$56:$D$75))),IF('TS-PILE'!$B$72="",1E+99,'TO HOP NLAN'!D115/ncoc+IF(SUMSQ('TS-PILE'!$E$56:$E$75)=0,0,'TO HOP NLAN'!E115*'TS-PILE'!$E$72/SUMSQ('TS-PILE'!$E$56:$E$75))+IF(SUMSQ('TS-PILE'!$D$56:$D$75)=0,0,'TO HOP NLAN'!F115*'TS-PILE'!$D$72/SUMSQ('TS-PILE'!$D$56:$D$75))),IF('TS-PILE'!$B$73="",1E+99,'TO HOP NLAN'!D115/ncoc+IF(SUMSQ('TS-PILE'!$E$56:$E$75)=0,0,'TO HOP NLAN'!E115*'TS-PILE'!$E$73/SUMSQ('TS-PILE'!$E$56:$E$75))+IF(SUMSQ('TS-PILE'!$D$56:$D$75)=0,0,'TO HOP NLAN'!F115*'TS-PILE'!$D$73/SUMSQ('TS-PILE'!$D$56:$D$75))),IF('TS-PILE'!$B$74="",1E+99,'TO HOP NLAN'!D115/ncoc+IF(SUMSQ('TS-PILE'!$E$56:$E$75)=0,0,'TO HOP NLAN'!E115*'TS-PILE'!$E$74/SUMSQ('TS-PILE'!$E$56:$E$75))+IF(SUMSQ('TS-PILE'!$D$56:$D$75)=0,0,'TO HOP NLAN'!F115*'TS-PILE'!$D$74/SUMSQ('TS-PILE'!$D$56:$D$75))),IF('TS-PILE'!$B$75="",1E+99,'TO HOP NLAN'!D115/ncoc+IF(SUMSQ('TS-PILE'!$E$56:$E$75)=0,0,'TO HOP NLAN'!E115*'TS-PILE'!$E$75/SUMSQ('TS-PILE'!$E$56:$E$75))+IF(SUMSQ('TS-PILE'!$D$56:$D$75)=0,0,'TO HOP NLAN'!F115*'TS-PILE'!$D$75/SUMSQ('TS-PILE'!$D$56:$D$75)))))</f>
        <v>0</v>
      </c>
      <c r="E115" s="46">
        <f t="shared" si="4"/>
        <v>-9.9999999999999997E+98</v>
      </c>
      <c r="F115" s="46">
        <f t="shared" si="5"/>
        <v>9.9999999999999997E+98</v>
      </c>
      <c r="G115" s="46">
        <f t="shared" si="6"/>
        <v>-9.9999999999999997E+98</v>
      </c>
      <c r="H115" s="46">
        <f t="shared" si="7"/>
        <v>9.9999999999999997E+98</v>
      </c>
    </row>
    <row r="116" spans="1:8" x14ac:dyDescent="0.3">
      <c r="A116" s="40" t="str">
        <f>'TO HOP NLAN'!A116</f>
        <v/>
      </c>
      <c r="B116" s="40" t="str">
        <f>'TO HOP NLAN'!L116</f>
        <v>STRENGTH</v>
      </c>
      <c r="C116" s="46">
        <f>IF(A116="",0,MAX(IF('TS-PILE'!$B$56="",-1E+99,'TO HOP NLAN'!D116/ncoc+IF(SUMSQ('TS-PILE'!$E$56:$E$75)=0,0,'TO HOP NLAN'!E116*'TS-PILE'!$E$56/SUMSQ('TS-PILE'!$E$56:$E$75))+IF(SUMSQ('TS-PILE'!$D$56:$D$75)=0,0,'TO HOP NLAN'!F116*'TS-PILE'!$D$56/SUMSQ('TS-PILE'!$D$56:$D$75))),IF('TS-PILE'!$B$57="",-1E+99,'TO HOP NLAN'!D116/ncoc+IF(SUMSQ('TS-PILE'!$E$56:$E$75)=0,0,'TO HOP NLAN'!E116*'TS-PILE'!$E$57/SUMSQ('TS-PILE'!$E$56:$E$75))+IF(SUMSQ('TS-PILE'!$D$56:$D$75)=0,0,'TO HOP NLAN'!F116*'TS-PILE'!$D$57/SUMSQ('TS-PILE'!$D$56:$D$75))),IF('TS-PILE'!$B$58="",-1E+99,'TO HOP NLAN'!D116/ncoc+IF(SUMSQ('TS-PILE'!$E$56:$E$75)=0,0,'TO HOP NLAN'!E116*'TS-PILE'!$E$58/SUMSQ('TS-PILE'!$E$56:$E$75))+IF(SUMSQ('TS-PILE'!$D$56:$D$75)=0,0,'TO HOP NLAN'!F116*'TS-PILE'!$D$58/SUMSQ('TS-PILE'!$D$56:$D$75))),IF('TS-PILE'!$B$59="",-1E+99,'TO HOP NLAN'!D116/ncoc+IF(SUMSQ('TS-PILE'!$E$56:$E$75)=0,0,'TO HOP NLAN'!E116*'TS-PILE'!$E$59/SUMSQ('TS-PILE'!$E$56:$E$75))+IF(SUMSQ('TS-PILE'!$D$56:$D$75)=0,0,'TO HOP NLAN'!F116*'TS-PILE'!$D$59/SUMSQ('TS-PILE'!$D$56:$D$75))),IF('TS-PILE'!$B$60="",-1E+99,'TO HOP NLAN'!D116/ncoc+IF(SUMSQ('TS-PILE'!$E$56:$E$75)=0,0,'TO HOP NLAN'!E116*'TS-PILE'!$E$60/SUMSQ('TS-PILE'!$E$56:$E$75))+IF(SUMSQ('TS-PILE'!$D$56:$D$75)=0,0,'TO HOP NLAN'!F116*'TS-PILE'!$D$60/SUMSQ('TS-PILE'!$D$56:$D$75))),IF('TS-PILE'!$B$61="",-1E+99,'TO HOP NLAN'!D116/ncoc+IF(SUMSQ('TS-PILE'!$E$56:$E$75)=0,0,'TO HOP NLAN'!E116*'TS-PILE'!$E$61/SUMSQ('TS-PILE'!$E$56:$E$75))+IF(SUMSQ('TS-PILE'!$D$56:$D$75)=0,0,'TO HOP NLAN'!F116*'TS-PILE'!$D$61/SUMSQ('TS-PILE'!$D$56:$D$75))),IF('TS-PILE'!$B$62="",-1E+99,'TO HOP NLAN'!D116/ncoc+IF(SUMSQ('TS-PILE'!$E$56:$E$75)=0,0,'TO HOP NLAN'!E116*'TS-PILE'!$E$62/SUMSQ('TS-PILE'!$E$56:$E$75))+IF(SUMSQ('TS-PILE'!$D$56:$D$75)=0,0,'TO HOP NLAN'!F116*'TS-PILE'!$D$62/SUMSQ('TS-PILE'!$D$56:$D$75))),IF('TS-PILE'!$B$63="",-1E+99,'TO HOP NLAN'!D116/ncoc+IF(SUMSQ('TS-PILE'!$E$56:$E$75)=0,0,'TO HOP NLAN'!E116*'TS-PILE'!$E$63/SUMSQ('TS-PILE'!$E$56:$E$75))+IF(SUMSQ('TS-PILE'!$D$56:$D$75)=0,0,'TO HOP NLAN'!F116*'TS-PILE'!$D$63/SUMSQ('TS-PILE'!$D$56:$D$75))),IF('TS-PILE'!$B$64="",-1E+99,'TO HOP NLAN'!D116/ncoc+IF(SUMSQ('TS-PILE'!$E$56:$E$75)=0,0,'TO HOP NLAN'!E116*'TS-PILE'!$E$64/SUMSQ('TS-PILE'!$E$56:$E$75))+IF(SUMSQ('TS-PILE'!$D$56:$D$75)=0,0,'TO HOP NLAN'!F116*'TS-PILE'!$D$64/SUMSQ('TS-PILE'!$D$56:$D$75))),IF('TS-PILE'!$B$65="",-1E+99,'TO HOP NLAN'!D116/ncoc+IF(SUMSQ('TS-PILE'!$E$56:$E$75)=0,0,'TO HOP NLAN'!E116*'TS-PILE'!$E$65/SUMSQ('TS-PILE'!$E$56:$E$75))+IF(SUMSQ('TS-PILE'!$D$56:$D$75)=0,0,'TO HOP NLAN'!F116*'TS-PILE'!$D$65/SUMSQ('TS-PILE'!$D$56:$D$75))),IF('TS-PILE'!$B$66="",-1E+99,'TO HOP NLAN'!D116/ncoc+IF(SUMSQ('TS-PILE'!$E$56:$E$75)=0,0,'TO HOP NLAN'!E116*'TS-PILE'!$E$66/SUMSQ('TS-PILE'!$E$56:$E$75))+IF(SUMSQ('TS-PILE'!$D$56:$D$75)=0,0,'TO HOP NLAN'!F116*'TS-PILE'!$D$66/SUMSQ('TS-PILE'!$D$56:$D$75))),IF('TS-PILE'!$B$67="",-1E+99,'TO HOP NLAN'!D116/ncoc+IF(SUMSQ('TS-PILE'!$E$56:$E$75)=0,0,'TO HOP NLAN'!E116*'TS-PILE'!$E$67/SUMSQ('TS-PILE'!$E$56:$E$75))+IF(SUMSQ('TS-PILE'!$D$56:$D$75)=0,0,'TO HOP NLAN'!F116*'TS-PILE'!$D$67/SUMSQ('TS-PILE'!$D$56:$D$75))),IF('TS-PILE'!$B$68="",-1E+99,'TO HOP NLAN'!D116/ncoc+IF(SUMSQ('TS-PILE'!$E$56:$E$75)=0,0,'TO HOP NLAN'!E116*'TS-PILE'!$E$68/SUMSQ('TS-PILE'!$E$56:$E$75))+IF(SUMSQ('TS-PILE'!$D$56:$D$75)=0,0,'TO HOP NLAN'!F116*'TS-PILE'!$D$68/SUMSQ('TS-PILE'!$D$56:$D$75))),IF('TS-PILE'!$B$69="",-1E+99,'TO HOP NLAN'!D116/ncoc+IF(SUMSQ('TS-PILE'!$E$56:$E$75)=0,0,'TO HOP NLAN'!E116*'TS-PILE'!$E$69/SUMSQ('TS-PILE'!$E$56:$E$75))+IF(SUMSQ('TS-PILE'!$D$56:$D$75)=0,0,'TO HOP NLAN'!F116*'TS-PILE'!$D$69/SUMSQ('TS-PILE'!$D$56:$D$75))),IF('TS-PILE'!$B$70="",-1E+99,'TO HOP NLAN'!D116/ncoc+IF(SUMSQ('TS-PILE'!$E$56:$E$75)=0,0,'TO HOP NLAN'!E116*'TS-PILE'!$E$70/SUMSQ('TS-PILE'!$E$56:$E$75))+IF(SUMSQ('TS-PILE'!$D$56:$D$75)=0,0,'TO HOP NLAN'!F116*'TS-PILE'!$D$70/SUMSQ('TS-PILE'!$D$56:$D$75))),IF('TS-PILE'!$B$71="",-1E+99,'TO HOP NLAN'!D116/ncoc+IF(SUMSQ('TS-PILE'!$E$56:$E$75)=0,0,'TO HOP NLAN'!E116*'TS-PILE'!$E$71/SUMSQ('TS-PILE'!$E$56:$E$75))+IF(SUMSQ('TS-PILE'!$D$56:$D$75)=0,0,'TO HOP NLAN'!F116*'TS-PILE'!$D$71/SUMSQ('TS-PILE'!$D$56:$D$75))),IF('TS-PILE'!$B$72="",-1E+99,'TO HOP NLAN'!D116/ncoc+IF(SUMSQ('TS-PILE'!$E$56:$E$75)=0,0,'TO HOP NLAN'!E116*'TS-PILE'!$E$72/SUMSQ('TS-PILE'!$E$56:$E$75))+IF(SUMSQ('TS-PILE'!$D$56:$D$75)=0,0,'TO HOP NLAN'!F116*'TS-PILE'!$D$72/SUMSQ('TS-PILE'!$D$56:$D$75))),IF('TS-PILE'!$B$73="",-1E+99,'TO HOP NLAN'!D116/ncoc+IF(SUMSQ('TS-PILE'!$E$56:$E$75)=0,0,'TO HOP NLAN'!E116*'TS-PILE'!$E$73/SUMSQ('TS-PILE'!$E$56:$E$75))+IF(SUMSQ('TS-PILE'!$D$56:$D$75)=0,0,'TO HOP NLAN'!F116*'TS-PILE'!$D$73/SUMSQ('TS-PILE'!$D$56:$D$75))),IF('TS-PILE'!$B$74="",-1E+99,'TO HOP NLAN'!D116/ncoc+IF(SUMSQ('TS-PILE'!$E$56:$E$75)=0,0,'TO HOP NLAN'!E116*'TS-PILE'!$E$74/SUMSQ('TS-PILE'!$E$56:$E$75))+IF(SUMSQ('TS-PILE'!$D$56:$D$75)=0,0,'TO HOP NLAN'!F116*'TS-PILE'!$D$74/SUMSQ('TS-PILE'!$D$56:$D$75))),IF('TS-PILE'!$B$75="",-1E+99,'TO HOP NLAN'!D116/ncoc+IF(SUMSQ('TS-PILE'!$E$56:$E$75)=0,0,'TO HOP NLAN'!E116*'TS-PILE'!$E$75/SUMSQ('TS-PILE'!$E$56:$E$75))+IF(SUMSQ('TS-PILE'!$D$56:$D$75)=0,0,'TO HOP NLAN'!F116*'TS-PILE'!$D$75/SUMSQ('TS-PILE'!$D$56:$D$75)))))</f>
        <v>0</v>
      </c>
      <c r="D116" s="46">
        <f>IF(A116="",0,MIN(IF('TS-PILE'!$B$56="",1E+99,'TO HOP NLAN'!D116/ncoc+IF(SUMSQ('TS-PILE'!$E$56:$E$75)=0,0,'TO HOP NLAN'!E116*'TS-PILE'!$E$56/SUMSQ('TS-PILE'!$E$56:$E$75))+IF(SUMSQ('TS-PILE'!$D$56:$D$75)=0,0,'TO HOP NLAN'!F116*'TS-PILE'!$D$56/SUMSQ('TS-PILE'!$D$56:$D$75))),IF('TS-PILE'!$B$57="",1E+99,'TO HOP NLAN'!D116/ncoc+IF(SUMSQ('TS-PILE'!$E$56:$E$75)=0,0,'TO HOP NLAN'!E116*'TS-PILE'!$E$57/SUMSQ('TS-PILE'!$E$56:$E$75))+IF(SUMSQ('TS-PILE'!$D$56:$D$75)=0,0,'TO HOP NLAN'!F116*'TS-PILE'!$D$57/SUMSQ('TS-PILE'!$D$56:$D$75))),IF('TS-PILE'!$B$58="",1E+99,'TO HOP NLAN'!D116/ncoc+IF(SUMSQ('TS-PILE'!$E$56:$E$75)=0,0,'TO HOP NLAN'!E116*'TS-PILE'!$E$58/SUMSQ('TS-PILE'!$E$56:$E$75))+IF(SUMSQ('TS-PILE'!$D$56:$D$75)=0,0,'TO HOP NLAN'!F116*'TS-PILE'!$D$58/SUMSQ('TS-PILE'!$D$56:$D$75))),IF('TS-PILE'!$B$59="",1E+99,'TO HOP NLAN'!D116/ncoc+IF(SUMSQ('TS-PILE'!$E$56:$E$75)=0,0,'TO HOP NLAN'!E116*'TS-PILE'!$E$59/SUMSQ('TS-PILE'!$E$56:$E$75))+IF(SUMSQ('TS-PILE'!$D$56:$D$75)=0,0,'TO HOP NLAN'!F116*'TS-PILE'!$D$59/SUMSQ('TS-PILE'!$D$56:$D$75))),IF('TS-PILE'!$B$60="",1E+99,'TO HOP NLAN'!D116/ncoc+IF(SUMSQ('TS-PILE'!$E$56:$E$75)=0,0,'TO HOP NLAN'!E116*'TS-PILE'!$E$60/SUMSQ('TS-PILE'!$E$56:$E$75))+IF(SUMSQ('TS-PILE'!$D$56:$D$75)=0,0,'TO HOP NLAN'!F116*'TS-PILE'!$D$60/SUMSQ('TS-PILE'!$D$56:$D$75))),IF('TS-PILE'!$B$61="",1E+99,'TO HOP NLAN'!D116/ncoc+IF(SUMSQ('TS-PILE'!$E$56:$E$75)=0,0,'TO HOP NLAN'!E116*'TS-PILE'!$E$61/SUMSQ('TS-PILE'!$E$56:$E$75))+IF(SUMSQ('TS-PILE'!$D$56:$D$75)=0,0,'TO HOP NLAN'!F116*'TS-PILE'!$D$61/SUMSQ('TS-PILE'!$D$56:$D$75))),IF('TS-PILE'!$B$62="",1E+99,'TO HOP NLAN'!D116/ncoc+IF(SUMSQ('TS-PILE'!$E$56:$E$75)=0,0,'TO HOP NLAN'!E116*'TS-PILE'!$E$62/SUMSQ('TS-PILE'!$E$56:$E$75))+IF(SUMSQ('TS-PILE'!$D$56:$D$75)=0,0,'TO HOP NLAN'!F116*'TS-PILE'!$D$62/SUMSQ('TS-PILE'!$D$56:$D$75))),IF('TS-PILE'!$B$63="",1E+99,'TO HOP NLAN'!D116/ncoc+IF(SUMSQ('TS-PILE'!$E$56:$E$75)=0,0,'TO HOP NLAN'!E116*'TS-PILE'!$E$63/SUMSQ('TS-PILE'!$E$56:$E$75))+IF(SUMSQ('TS-PILE'!$D$56:$D$75)=0,0,'TO HOP NLAN'!F116*'TS-PILE'!$D$63/SUMSQ('TS-PILE'!$D$56:$D$75))),IF('TS-PILE'!$B$64="",1E+99,'TO HOP NLAN'!D116/ncoc+IF(SUMSQ('TS-PILE'!$E$56:$E$75)=0,0,'TO HOP NLAN'!E116*'TS-PILE'!$E$64/SUMSQ('TS-PILE'!$E$56:$E$75))+IF(SUMSQ('TS-PILE'!$D$56:$D$75)=0,0,'TO HOP NLAN'!F116*'TS-PILE'!$D$64/SUMSQ('TS-PILE'!$D$56:$D$75))),IF('TS-PILE'!$B$65="",1E+99,'TO HOP NLAN'!D116/ncoc+IF(SUMSQ('TS-PILE'!$E$56:$E$75)=0,0,'TO HOP NLAN'!E116*'TS-PILE'!$E$65/SUMSQ('TS-PILE'!$E$56:$E$75))+IF(SUMSQ('TS-PILE'!$D$56:$D$75)=0,0,'TO HOP NLAN'!F116*'TS-PILE'!$D$65/SUMSQ('TS-PILE'!$D$56:$D$75))),IF('TS-PILE'!$B$66="",1E+99,'TO HOP NLAN'!D116/ncoc+IF(SUMSQ('TS-PILE'!$E$56:$E$75)=0,0,'TO HOP NLAN'!E116*'TS-PILE'!$E$66/SUMSQ('TS-PILE'!$E$56:$E$75))+IF(SUMSQ('TS-PILE'!$D$56:$D$75)=0,0,'TO HOP NLAN'!F116*'TS-PILE'!$D$66/SUMSQ('TS-PILE'!$D$56:$D$75))),IF('TS-PILE'!$B$67="",1E+99,'TO HOP NLAN'!D116/ncoc+IF(SUMSQ('TS-PILE'!$E$56:$E$75)=0,0,'TO HOP NLAN'!E116*'TS-PILE'!$E$67/SUMSQ('TS-PILE'!$E$56:$E$75))+IF(SUMSQ('TS-PILE'!$D$56:$D$75)=0,0,'TO HOP NLAN'!F116*'TS-PILE'!$D$67/SUMSQ('TS-PILE'!$D$56:$D$75))),IF('TS-PILE'!$B$68="",1E+99,'TO HOP NLAN'!D116/ncoc+IF(SUMSQ('TS-PILE'!$E$56:$E$75)=0,0,'TO HOP NLAN'!E116*'TS-PILE'!$E$68/SUMSQ('TS-PILE'!$E$56:$E$75))+IF(SUMSQ('TS-PILE'!$D$56:$D$75)=0,0,'TO HOP NLAN'!F116*'TS-PILE'!$D$68/SUMSQ('TS-PILE'!$D$56:$D$75))),IF('TS-PILE'!$B$69="",1E+99,'TO HOP NLAN'!D116/ncoc+IF(SUMSQ('TS-PILE'!$E$56:$E$75)=0,0,'TO HOP NLAN'!E116*'TS-PILE'!$E$69/SUMSQ('TS-PILE'!$E$56:$E$75))+IF(SUMSQ('TS-PILE'!$D$56:$D$75)=0,0,'TO HOP NLAN'!F116*'TS-PILE'!$D$69/SUMSQ('TS-PILE'!$D$56:$D$75))),IF('TS-PILE'!$B$70="",1E+99,'TO HOP NLAN'!D116/ncoc+IF(SUMSQ('TS-PILE'!$E$56:$E$75)=0,0,'TO HOP NLAN'!E116*'TS-PILE'!$E$70/SUMSQ('TS-PILE'!$E$56:$E$75))+IF(SUMSQ('TS-PILE'!$D$56:$D$75)=0,0,'TO HOP NLAN'!F116*'TS-PILE'!$D$70/SUMSQ('TS-PILE'!$D$56:$D$75))),IF('TS-PILE'!$B$71="",1E+99,'TO HOP NLAN'!D116/ncoc+IF(SUMSQ('TS-PILE'!$E$56:$E$75)=0,0,'TO HOP NLAN'!E116*'TS-PILE'!$E$71/SUMSQ('TS-PILE'!$E$56:$E$75))+IF(SUMSQ('TS-PILE'!$D$56:$D$75)=0,0,'TO HOP NLAN'!F116*'TS-PILE'!$D$71/SUMSQ('TS-PILE'!$D$56:$D$75))),IF('TS-PILE'!$B$72="",1E+99,'TO HOP NLAN'!D116/ncoc+IF(SUMSQ('TS-PILE'!$E$56:$E$75)=0,0,'TO HOP NLAN'!E116*'TS-PILE'!$E$72/SUMSQ('TS-PILE'!$E$56:$E$75))+IF(SUMSQ('TS-PILE'!$D$56:$D$75)=0,0,'TO HOP NLAN'!F116*'TS-PILE'!$D$72/SUMSQ('TS-PILE'!$D$56:$D$75))),IF('TS-PILE'!$B$73="",1E+99,'TO HOP NLAN'!D116/ncoc+IF(SUMSQ('TS-PILE'!$E$56:$E$75)=0,0,'TO HOP NLAN'!E116*'TS-PILE'!$E$73/SUMSQ('TS-PILE'!$E$56:$E$75))+IF(SUMSQ('TS-PILE'!$D$56:$D$75)=0,0,'TO HOP NLAN'!F116*'TS-PILE'!$D$73/SUMSQ('TS-PILE'!$D$56:$D$75))),IF('TS-PILE'!$B$74="",1E+99,'TO HOP NLAN'!D116/ncoc+IF(SUMSQ('TS-PILE'!$E$56:$E$75)=0,0,'TO HOP NLAN'!E116*'TS-PILE'!$E$74/SUMSQ('TS-PILE'!$E$56:$E$75))+IF(SUMSQ('TS-PILE'!$D$56:$D$75)=0,0,'TO HOP NLAN'!F116*'TS-PILE'!$D$74/SUMSQ('TS-PILE'!$D$56:$D$75))),IF('TS-PILE'!$B$75="",1E+99,'TO HOP NLAN'!D116/ncoc+IF(SUMSQ('TS-PILE'!$E$56:$E$75)=0,0,'TO HOP NLAN'!E116*'TS-PILE'!$E$75/SUMSQ('TS-PILE'!$E$56:$E$75))+IF(SUMSQ('TS-PILE'!$D$56:$D$75)=0,0,'TO HOP NLAN'!F116*'TS-PILE'!$D$75/SUMSQ('TS-PILE'!$D$56:$D$75)))))</f>
        <v>0</v>
      </c>
      <c r="E116" s="46">
        <f t="shared" si="4"/>
        <v>-9.9999999999999997E+98</v>
      </c>
      <c r="F116" s="46">
        <f t="shared" si="5"/>
        <v>9.9999999999999997E+98</v>
      </c>
      <c r="G116" s="46">
        <f t="shared" si="6"/>
        <v>-9.9999999999999997E+98</v>
      </c>
      <c r="H116" s="46">
        <f t="shared" si="7"/>
        <v>9.9999999999999997E+98</v>
      </c>
    </row>
    <row r="117" spans="1:8" x14ac:dyDescent="0.3">
      <c r="A117" s="40" t="str">
        <f>'TO HOP NLAN'!A117</f>
        <v/>
      </c>
      <c r="B117" s="40" t="str">
        <f>'TO HOP NLAN'!L117</f>
        <v>STRENGTH</v>
      </c>
      <c r="C117" s="46">
        <f>IF(A117="",0,MAX(IF('TS-PILE'!$B$56="",-1E+99,'TO HOP NLAN'!D117/ncoc+IF(SUMSQ('TS-PILE'!$E$56:$E$75)=0,0,'TO HOP NLAN'!E117*'TS-PILE'!$E$56/SUMSQ('TS-PILE'!$E$56:$E$75))+IF(SUMSQ('TS-PILE'!$D$56:$D$75)=0,0,'TO HOP NLAN'!F117*'TS-PILE'!$D$56/SUMSQ('TS-PILE'!$D$56:$D$75))),IF('TS-PILE'!$B$57="",-1E+99,'TO HOP NLAN'!D117/ncoc+IF(SUMSQ('TS-PILE'!$E$56:$E$75)=0,0,'TO HOP NLAN'!E117*'TS-PILE'!$E$57/SUMSQ('TS-PILE'!$E$56:$E$75))+IF(SUMSQ('TS-PILE'!$D$56:$D$75)=0,0,'TO HOP NLAN'!F117*'TS-PILE'!$D$57/SUMSQ('TS-PILE'!$D$56:$D$75))),IF('TS-PILE'!$B$58="",-1E+99,'TO HOP NLAN'!D117/ncoc+IF(SUMSQ('TS-PILE'!$E$56:$E$75)=0,0,'TO HOP NLAN'!E117*'TS-PILE'!$E$58/SUMSQ('TS-PILE'!$E$56:$E$75))+IF(SUMSQ('TS-PILE'!$D$56:$D$75)=0,0,'TO HOP NLAN'!F117*'TS-PILE'!$D$58/SUMSQ('TS-PILE'!$D$56:$D$75))),IF('TS-PILE'!$B$59="",-1E+99,'TO HOP NLAN'!D117/ncoc+IF(SUMSQ('TS-PILE'!$E$56:$E$75)=0,0,'TO HOP NLAN'!E117*'TS-PILE'!$E$59/SUMSQ('TS-PILE'!$E$56:$E$75))+IF(SUMSQ('TS-PILE'!$D$56:$D$75)=0,0,'TO HOP NLAN'!F117*'TS-PILE'!$D$59/SUMSQ('TS-PILE'!$D$56:$D$75))),IF('TS-PILE'!$B$60="",-1E+99,'TO HOP NLAN'!D117/ncoc+IF(SUMSQ('TS-PILE'!$E$56:$E$75)=0,0,'TO HOP NLAN'!E117*'TS-PILE'!$E$60/SUMSQ('TS-PILE'!$E$56:$E$75))+IF(SUMSQ('TS-PILE'!$D$56:$D$75)=0,0,'TO HOP NLAN'!F117*'TS-PILE'!$D$60/SUMSQ('TS-PILE'!$D$56:$D$75))),IF('TS-PILE'!$B$61="",-1E+99,'TO HOP NLAN'!D117/ncoc+IF(SUMSQ('TS-PILE'!$E$56:$E$75)=0,0,'TO HOP NLAN'!E117*'TS-PILE'!$E$61/SUMSQ('TS-PILE'!$E$56:$E$75))+IF(SUMSQ('TS-PILE'!$D$56:$D$75)=0,0,'TO HOP NLAN'!F117*'TS-PILE'!$D$61/SUMSQ('TS-PILE'!$D$56:$D$75))),IF('TS-PILE'!$B$62="",-1E+99,'TO HOP NLAN'!D117/ncoc+IF(SUMSQ('TS-PILE'!$E$56:$E$75)=0,0,'TO HOP NLAN'!E117*'TS-PILE'!$E$62/SUMSQ('TS-PILE'!$E$56:$E$75))+IF(SUMSQ('TS-PILE'!$D$56:$D$75)=0,0,'TO HOP NLAN'!F117*'TS-PILE'!$D$62/SUMSQ('TS-PILE'!$D$56:$D$75))),IF('TS-PILE'!$B$63="",-1E+99,'TO HOP NLAN'!D117/ncoc+IF(SUMSQ('TS-PILE'!$E$56:$E$75)=0,0,'TO HOP NLAN'!E117*'TS-PILE'!$E$63/SUMSQ('TS-PILE'!$E$56:$E$75))+IF(SUMSQ('TS-PILE'!$D$56:$D$75)=0,0,'TO HOP NLAN'!F117*'TS-PILE'!$D$63/SUMSQ('TS-PILE'!$D$56:$D$75))),IF('TS-PILE'!$B$64="",-1E+99,'TO HOP NLAN'!D117/ncoc+IF(SUMSQ('TS-PILE'!$E$56:$E$75)=0,0,'TO HOP NLAN'!E117*'TS-PILE'!$E$64/SUMSQ('TS-PILE'!$E$56:$E$75))+IF(SUMSQ('TS-PILE'!$D$56:$D$75)=0,0,'TO HOP NLAN'!F117*'TS-PILE'!$D$64/SUMSQ('TS-PILE'!$D$56:$D$75))),IF('TS-PILE'!$B$65="",-1E+99,'TO HOP NLAN'!D117/ncoc+IF(SUMSQ('TS-PILE'!$E$56:$E$75)=0,0,'TO HOP NLAN'!E117*'TS-PILE'!$E$65/SUMSQ('TS-PILE'!$E$56:$E$75))+IF(SUMSQ('TS-PILE'!$D$56:$D$75)=0,0,'TO HOP NLAN'!F117*'TS-PILE'!$D$65/SUMSQ('TS-PILE'!$D$56:$D$75))),IF('TS-PILE'!$B$66="",-1E+99,'TO HOP NLAN'!D117/ncoc+IF(SUMSQ('TS-PILE'!$E$56:$E$75)=0,0,'TO HOP NLAN'!E117*'TS-PILE'!$E$66/SUMSQ('TS-PILE'!$E$56:$E$75))+IF(SUMSQ('TS-PILE'!$D$56:$D$75)=0,0,'TO HOP NLAN'!F117*'TS-PILE'!$D$66/SUMSQ('TS-PILE'!$D$56:$D$75))),IF('TS-PILE'!$B$67="",-1E+99,'TO HOP NLAN'!D117/ncoc+IF(SUMSQ('TS-PILE'!$E$56:$E$75)=0,0,'TO HOP NLAN'!E117*'TS-PILE'!$E$67/SUMSQ('TS-PILE'!$E$56:$E$75))+IF(SUMSQ('TS-PILE'!$D$56:$D$75)=0,0,'TO HOP NLAN'!F117*'TS-PILE'!$D$67/SUMSQ('TS-PILE'!$D$56:$D$75))),IF('TS-PILE'!$B$68="",-1E+99,'TO HOP NLAN'!D117/ncoc+IF(SUMSQ('TS-PILE'!$E$56:$E$75)=0,0,'TO HOP NLAN'!E117*'TS-PILE'!$E$68/SUMSQ('TS-PILE'!$E$56:$E$75))+IF(SUMSQ('TS-PILE'!$D$56:$D$75)=0,0,'TO HOP NLAN'!F117*'TS-PILE'!$D$68/SUMSQ('TS-PILE'!$D$56:$D$75))),IF('TS-PILE'!$B$69="",-1E+99,'TO HOP NLAN'!D117/ncoc+IF(SUMSQ('TS-PILE'!$E$56:$E$75)=0,0,'TO HOP NLAN'!E117*'TS-PILE'!$E$69/SUMSQ('TS-PILE'!$E$56:$E$75))+IF(SUMSQ('TS-PILE'!$D$56:$D$75)=0,0,'TO HOP NLAN'!F117*'TS-PILE'!$D$69/SUMSQ('TS-PILE'!$D$56:$D$75))),IF('TS-PILE'!$B$70="",-1E+99,'TO HOP NLAN'!D117/ncoc+IF(SUMSQ('TS-PILE'!$E$56:$E$75)=0,0,'TO HOP NLAN'!E117*'TS-PILE'!$E$70/SUMSQ('TS-PILE'!$E$56:$E$75))+IF(SUMSQ('TS-PILE'!$D$56:$D$75)=0,0,'TO HOP NLAN'!F117*'TS-PILE'!$D$70/SUMSQ('TS-PILE'!$D$56:$D$75))),IF('TS-PILE'!$B$71="",-1E+99,'TO HOP NLAN'!D117/ncoc+IF(SUMSQ('TS-PILE'!$E$56:$E$75)=0,0,'TO HOP NLAN'!E117*'TS-PILE'!$E$71/SUMSQ('TS-PILE'!$E$56:$E$75))+IF(SUMSQ('TS-PILE'!$D$56:$D$75)=0,0,'TO HOP NLAN'!F117*'TS-PILE'!$D$71/SUMSQ('TS-PILE'!$D$56:$D$75))),IF('TS-PILE'!$B$72="",-1E+99,'TO HOP NLAN'!D117/ncoc+IF(SUMSQ('TS-PILE'!$E$56:$E$75)=0,0,'TO HOP NLAN'!E117*'TS-PILE'!$E$72/SUMSQ('TS-PILE'!$E$56:$E$75))+IF(SUMSQ('TS-PILE'!$D$56:$D$75)=0,0,'TO HOP NLAN'!F117*'TS-PILE'!$D$72/SUMSQ('TS-PILE'!$D$56:$D$75))),IF('TS-PILE'!$B$73="",-1E+99,'TO HOP NLAN'!D117/ncoc+IF(SUMSQ('TS-PILE'!$E$56:$E$75)=0,0,'TO HOP NLAN'!E117*'TS-PILE'!$E$73/SUMSQ('TS-PILE'!$E$56:$E$75))+IF(SUMSQ('TS-PILE'!$D$56:$D$75)=0,0,'TO HOP NLAN'!F117*'TS-PILE'!$D$73/SUMSQ('TS-PILE'!$D$56:$D$75))),IF('TS-PILE'!$B$74="",-1E+99,'TO HOP NLAN'!D117/ncoc+IF(SUMSQ('TS-PILE'!$E$56:$E$75)=0,0,'TO HOP NLAN'!E117*'TS-PILE'!$E$74/SUMSQ('TS-PILE'!$E$56:$E$75))+IF(SUMSQ('TS-PILE'!$D$56:$D$75)=0,0,'TO HOP NLAN'!F117*'TS-PILE'!$D$74/SUMSQ('TS-PILE'!$D$56:$D$75))),IF('TS-PILE'!$B$75="",-1E+99,'TO HOP NLAN'!D117/ncoc+IF(SUMSQ('TS-PILE'!$E$56:$E$75)=0,0,'TO HOP NLAN'!E117*'TS-PILE'!$E$75/SUMSQ('TS-PILE'!$E$56:$E$75))+IF(SUMSQ('TS-PILE'!$D$56:$D$75)=0,0,'TO HOP NLAN'!F117*'TS-PILE'!$D$75/SUMSQ('TS-PILE'!$D$56:$D$75)))))</f>
        <v>0</v>
      </c>
      <c r="D117" s="46">
        <f>IF(A117="",0,MIN(IF('TS-PILE'!$B$56="",1E+99,'TO HOP NLAN'!D117/ncoc+IF(SUMSQ('TS-PILE'!$E$56:$E$75)=0,0,'TO HOP NLAN'!E117*'TS-PILE'!$E$56/SUMSQ('TS-PILE'!$E$56:$E$75))+IF(SUMSQ('TS-PILE'!$D$56:$D$75)=0,0,'TO HOP NLAN'!F117*'TS-PILE'!$D$56/SUMSQ('TS-PILE'!$D$56:$D$75))),IF('TS-PILE'!$B$57="",1E+99,'TO HOP NLAN'!D117/ncoc+IF(SUMSQ('TS-PILE'!$E$56:$E$75)=0,0,'TO HOP NLAN'!E117*'TS-PILE'!$E$57/SUMSQ('TS-PILE'!$E$56:$E$75))+IF(SUMSQ('TS-PILE'!$D$56:$D$75)=0,0,'TO HOP NLAN'!F117*'TS-PILE'!$D$57/SUMSQ('TS-PILE'!$D$56:$D$75))),IF('TS-PILE'!$B$58="",1E+99,'TO HOP NLAN'!D117/ncoc+IF(SUMSQ('TS-PILE'!$E$56:$E$75)=0,0,'TO HOP NLAN'!E117*'TS-PILE'!$E$58/SUMSQ('TS-PILE'!$E$56:$E$75))+IF(SUMSQ('TS-PILE'!$D$56:$D$75)=0,0,'TO HOP NLAN'!F117*'TS-PILE'!$D$58/SUMSQ('TS-PILE'!$D$56:$D$75))),IF('TS-PILE'!$B$59="",1E+99,'TO HOP NLAN'!D117/ncoc+IF(SUMSQ('TS-PILE'!$E$56:$E$75)=0,0,'TO HOP NLAN'!E117*'TS-PILE'!$E$59/SUMSQ('TS-PILE'!$E$56:$E$75))+IF(SUMSQ('TS-PILE'!$D$56:$D$75)=0,0,'TO HOP NLAN'!F117*'TS-PILE'!$D$59/SUMSQ('TS-PILE'!$D$56:$D$75))),IF('TS-PILE'!$B$60="",1E+99,'TO HOP NLAN'!D117/ncoc+IF(SUMSQ('TS-PILE'!$E$56:$E$75)=0,0,'TO HOP NLAN'!E117*'TS-PILE'!$E$60/SUMSQ('TS-PILE'!$E$56:$E$75))+IF(SUMSQ('TS-PILE'!$D$56:$D$75)=0,0,'TO HOP NLAN'!F117*'TS-PILE'!$D$60/SUMSQ('TS-PILE'!$D$56:$D$75))),IF('TS-PILE'!$B$61="",1E+99,'TO HOP NLAN'!D117/ncoc+IF(SUMSQ('TS-PILE'!$E$56:$E$75)=0,0,'TO HOP NLAN'!E117*'TS-PILE'!$E$61/SUMSQ('TS-PILE'!$E$56:$E$75))+IF(SUMSQ('TS-PILE'!$D$56:$D$75)=0,0,'TO HOP NLAN'!F117*'TS-PILE'!$D$61/SUMSQ('TS-PILE'!$D$56:$D$75))),IF('TS-PILE'!$B$62="",1E+99,'TO HOP NLAN'!D117/ncoc+IF(SUMSQ('TS-PILE'!$E$56:$E$75)=0,0,'TO HOP NLAN'!E117*'TS-PILE'!$E$62/SUMSQ('TS-PILE'!$E$56:$E$75))+IF(SUMSQ('TS-PILE'!$D$56:$D$75)=0,0,'TO HOP NLAN'!F117*'TS-PILE'!$D$62/SUMSQ('TS-PILE'!$D$56:$D$75))),IF('TS-PILE'!$B$63="",1E+99,'TO HOP NLAN'!D117/ncoc+IF(SUMSQ('TS-PILE'!$E$56:$E$75)=0,0,'TO HOP NLAN'!E117*'TS-PILE'!$E$63/SUMSQ('TS-PILE'!$E$56:$E$75))+IF(SUMSQ('TS-PILE'!$D$56:$D$75)=0,0,'TO HOP NLAN'!F117*'TS-PILE'!$D$63/SUMSQ('TS-PILE'!$D$56:$D$75))),IF('TS-PILE'!$B$64="",1E+99,'TO HOP NLAN'!D117/ncoc+IF(SUMSQ('TS-PILE'!$E$56:$E$75)=0,0,'TO HOP NLAN'!E117*'TS-PILE'!$E$64/SUMSQ('TS-PILE'!$E$56:$E$75))+IF(SUMSQ('TS-PILE'!$D$56:$D$75)=0,0,'TO HOP NLAN'!F117*'TS-PILE'!$D$64/SUMSQ('TS-PILE'!$D$56:$D$75))),IF('TS-PILE'!$B$65="",1E+99,'TO HOP NLAN'!D117/ncoc+IF(SUMSQ('TS-PILE'!$E$56:$E$75)=0,0,'TO HOP NLAN'!E117*'TS-PILE'!$E$65/SUMSQ('TS-PILE'!$E$56:$E$75))+IF(SUMSQ('TS-PILE'!$D$56:$D$75)=0,0,'TO HOP NLAN'!F117*'TS-PILE'!$D$65/SUMSQ('TS-PILE'!$D$56:$D$75))),IF('TS-PILE'!$B$66="",1E+99,'TO HOP NLAN'!D117/ncoc+IF(SUMSQ('TS-PILE'!$E$56:$E$75)=0,0,'TO HOP NLAN'!E117*'TS-PILE'!$E$66/SUMSQ('TS-PILE'!$E$56:$E$75))+IF(SUMSQ('TS-PILE'!$D$56:$D$75)=0,0,'TO HOP NLAN'!F117*'TS-PILE'!$D$66/SUMSQ('TS-PILE'!$D$56:$D$75))),IF('TS-PILE'!$B$67="",1E+99,'TO HOP NLAN'!D117/ncoc+IF(SUMSQ('TS-PILE'!$E$56:$E$75)=0,0,'TO HOP NLAN'!E117*'TS-PILE'!$E$67/SUMSQ('TS-PILE'!$E$56:$E$75))+IF(SUMSQ('TS-PILE'!$D$56:$D$75)=0,0,'TO HOP NLAN'!F117*'TS-PILE'!$D$67/SUMSQ('TS-PILE'!$D$56:$D$75))),IF('TS-PILE'!$B$68="",1E+99,'TO HOP NLAN'!D117/ncoc+IF(SUMSQ('TS-PILE'!$E$56:$E$75)=0,0,'TO HOP NLAN'!E117*'TS-PILE'!$E$68/SUMSQ('TS-PILE'!$E$56:$E$75))+IF(SUMSQ('TS-PILE'!$D$56:$D$75)=0,0,'TO HOP NLAN'!F117*'TS-PILE'!$D$68/SUMSQ('TS-PILE'!$D$56:$D$75))),IF('TS-PILE'!$B$69="",1E+99,'TO HOP NLAN'!D117/ncoc+IF(SUMSQ('TS-PILE'!$E$56:$E$75)=0,0,'TO HOP NLAN'!E117*'TS-PILE'!$E$69/SUMSQ('TS-PILE'!$E$56:$E$75))+IF(SUMSQ('TS-PILE'!$D$56:$D$75)=0,0,'TO HOP NLAN'!F117*'TS-PILE'!$D$69/SUMSQ('TS-PILE'!$D$56:$D$75))),IF('TS-PILE'!$B$70="",1E+99,'TO HOP NLAN'!D117/ncoc+IF(SUMSQ('TS-PILE'!$E$56:$E$75)=0,0,'TO HOP NLAN'!E117*'TS-PILE'!$E$70/SUMSQ('TS-PILE'!$E$56:$E$75))+IF(SUMSQ('TS-PILE'!$D$56:$D$75)=0,0,'TO HOP NLAN'!F117*'TS-PILE'!$D$70/SUMSQ('TS-PILE'!$D$56:$D$75))),IF('TS-PILE'!$B$71="",1E+99,'TO HOP NLAN'!D117/ncoc+IF(SUMSQ('TS-PILE'!$E$56:$E$75)=0,0,'TO HOP NLAN'!E117*'TS-PILE'!$E$71/SUMSQ('TS-PILE'!$E$56:$E$75))+IF(SUMSQ('TS-PILE'!$D$56:$D$75)=0,0,'TO HOP NLAN'!F117*'TS-PILE'!$D$71/SUMSQ('TS-PILE'!$D$56:$D$75))),IF('TS-PILE'!$B$72="",1E+99,'TO HOP NLAN'!D117/ncoc+IF(SUMSQ('TS-PILE'!$E$56:$E$75)=0,0,'TO HOP NLAN'!E117*'TS-PILE'!$E$72/SUMSQ('TS-PILE'!$E$56:$E$75))+IF(SUMSQ('TS-PILE'!$D$56:$D$75)=0,0,'TO HOP NLAN'!F117*'TS-PILE'!$D$72/SUMSQ('TS-PILE'!$D$56:$D$75))),IF('TS-PILE'!$B$73="",1E+99,'TO HOP NLAN'!D117/ncoc+IF(SUMSQ('TS-PILE'!$E$56:$E$75)=0,0,'TO HOP NLAN'!E117*'TS-PILE'!$E$73/SUMSQ('TS-PILE'!$E$56:$E$75))+IF(SUMSQ('TS-PILE'!$D$56:$D$75)=0,0,'TO HOP NLAN'!F117*'TS-PILE'!$D$73/SUMSQ('TS-PILE'!$D$56:$D$75))),IF('TS-PILE'!$B$74="",1E+99,'TO HOP NLAN'!D117/ncoc+IF(SUMSQ('TS-PILE'!$E$56:$E$75)=0,0,'TO HOP NLAN'!E117*'TS-PILE'!$E$74/SUMSQ('TS-PILE'!$E$56:$E$75))+IF(SUMSQ('TS-PILE'!$D$56:$D$75)=0,0,'TO HOP NLAN'!F117*'TS-PILE'!$D$74/SUMSQ('TS-PILE'!$D$56:$D$75))),IF('TS-PILE'!$B$75="",1E+99,'TO HOP NLAN'!D117/ncoc+IF(SUMSQ('TS-PILE'!$E$56:$E$75)=0,0,'TO HOP NLAN'!E117*'TS-PILE'!$E$75/SUMSQ('TS-PILE'!$E$56:$E$75))+IF(SUMSQ('TS-PILE'!$D$56:$D$75)=0,0,'TO HOP NLAN'!F117*'TS-PILE'!$D$75/SUMSQ('TS-PILE'!$D$56:$D$75)))))</f>
        <v>0</v>
      </c>
      <c r="E117" s="46">
        <f t="shared" si="4"/>
        <v>-9.9999999999999997E+98</v>
      </c>
      <c r="F117" s="46">
        <f t="shared" si="5"/>
        <v>9.9999999999999997E+98</v>
      </c>
      <c r="G117" s="46">
        <f t="shared" si="6"/>
        <v>-9.9999999999999997E+98</v>
      </c>
      <c r="H117" s="46">
        <f t="shared" si="7"/>
        <v>9.9999999999999997E+98</v>
      </c>
    </row>
    <row r="118" spans="1:8" x14ac:dyDescent="0.3">
      <c r="A118" s="40" t="str">
        <f>'TO HOP NLAN'!A118</f>
        <v/>
      </c>
      <c r="B118" s="40" t="str">
        <f>'TO HOP NLAN'!L118</f>
        <v>STRENGTH</v>
      </c>
      <c r="C118" s="46">
        <f>IF(A118="",0,MAX(IF('TS-PILE'!$B$56="",-1E+99,'TO HOP NLAN'!D118/ncoc+IF(SUMSQ('TS-PILE'!$E$56:$E$75)=0,0,'TO HOP NLAN'!E118*'TS-PILE'!$E$56/SUMSQ('TS-PILE'!$E$56:$E$75))+IF(SUMSQ('TS-PILE'!$D$56:$D$75)=0,0,'TO HOP NLAN'!F118*'TS-PILE'!$D$56/SUMSQ('TS-PILE'!$D$56:$D$75))),IF('TS-PILE'!$B$57="",-1E+99,'TO HOP NLAN'!D118/ncoc+IF(SUMSQ('TS-PILE'!$E$56:$E$75)=0,0,'TO HOP NLAN'!E118*'TS-PILE'!$E$57/SUMSQ('TS-PILE'!$E$56:$E$75))+IF(SUMSQ('TS-PILE'!$D$56:$D$75)=0,0,'TO HOP NLAN'!F118*'TS-PILE'!$D$57/SUMSQ('TS-PILE'!$D$56:$D$75))),IF('TS-PILE'!$B$58="",-1E+99,'TO HOP NLAN'!D118/ncoc+IF(SUMSQ('TS-PILE'!$E$56:$E$75)=0,0,'TO HOP NLAN'!E118*'TS-PILE'!$E$58/SUMSQ('TS-PILE'!$E$56:$E$75))+IF(SUMSQ('TS-PILE'!$D$56:$D$75)=0,0,'TO HOP NLAN'!F118*'TS-PILE'!$D$58/SUMSQ('TS-PILE'!$D$56:$D$75))),IF('TS-PILE'!$B$59="",-1E+99,'TO HOP NLAN'!D118/ncoc+IF(SUMSQ('TS-PILE'!$E$56:$E$75)=0,0,'TO HOP NLAN'!E118*'TS-PILE'!$E$59/SUMSQ('TS-PILE'!$E$56:$E$75))+IF(SUMSQ('TS-PILE'!$D$56:$D$75)=0,0,'TO HOP NLAN'!F118*'TS-PILE'!$D$59/SUMSQ('TS-PILE'!$D$56:$D$75))),IF('TS-PILE'!$B$60="",-1E+99,'TO HOP NLAN'!D118/ncoc+IF(SUMSQ('TS-PILE'!$E$56:$E$75)=0,0,'TO HOP NLAN'!E118*'TS-PILE'!$E$60/SUMSQ('TS-PILE'!$E$56:$E$75))+IF(SUMSQ('TS-PILE'!$D$56:$D$75)=0,0,'TO HOP NLAN'!F118*'TS-PILE'!$D$60/SUMSQ('TS-PILE'!$D$56:$D$75))),IF('TS-PILE'!$B$61="",-1E+99,'TO HOP NLAN'!D118/ncoc+IF(SUMSQ('TS-PILE'!$E$56:$E$75)=0,0,'TO HOP NLAN'!E118*'TS-PILE'!$E$61/SUMSQ('TS-PILE'!$E$56:$E$75))+IF(SUMSQ('TS-PILE'!$D$56:$D$75)=0,0,'TO HOP NLAN'!F118*'TS-PILE'!$D$61/SUMSQ('TS-PILE'!$D$56:$D$75))),IF('TS-PILE'!$B$62="",-1E+99,'TO HOP NLAN'!D118/ncoc+IF(SUMSQ('TS-PILE'!$E$56:$E$75)=0,0,'TO HOP NLAN'!E118*'TS-PILE'!$E$62/SUMSQ('TS-PILE'!$E$56:$E$75))+IF(SUMSQ('TS-PILE'!$D$56:$D$75)=0,0,'TO HOP NLAN'!F118*'TS-PILE'!$D$62/SUMSQ('TS-PILE'!$D$56:$D$75))),IF('TS-PILE'!$B$63="",-1E+99,'TO HOP NLAN'!D118/ncoc+IF(SUMSQ('TS-PILE'!$E$56:$E$75)=0,0,'TO HOP NLAN'!E118*'TS-PILE'!$E$63/SUMSQ('TS-PILE'!$E$56:$E$75))+IF(SUMSQ('TS-PILE'!$D$56:$D$75)=0,0,'TO HOP NLAN'!F118*'TS-PILE'!$D$63/SUMSQ('TS-PILE'!$D$56:$D$75))),IF('TS-PILE'!$B$64="",-1E+99,'TO HOP NLAN'!D118/ncoc+IF(SUMSQ('TS-PILE'!$E$56:$E$75)=0,0,'TO HOP NLAN'!E118*'TS-PILE'!$E$64/SUMSQ('TS-PILE'!$E$56:$E$75))+IF(SUMSQ('TS-PILE'!$D$56:$D$75)=0,0,'TO HOP NLAN'!F118*'TS-PILE'!$D$64/SUMSQ('TS-PILE'!$D$56:$D$75))),IF('TS-PILE'!$B$65="",-1E+99,'TO HOP NLAN'!D118/ncoc+IF(SUMSQ('TS-PILE'!$E$56:$E$75)=0,0,'TO HOP NLAN'!E118*'TS-PILE'!$E$65/SUMSQ('TS-PILE'!$E$56:$E$75))+IF(SUMSQ('TS-PILE'!$D$56:$D$75)=0,0,'TO HOP NLAN'!F118*'TS-PILE'!$D$65/SUMSQ('TS-PILE'!$D$56:$D$75))),IF('TS-PILE'!$B$66="",-1E+99,'TO HOP NLAN'!D118/ncoc+IF(SUMSQ('TS-PILE'!$E$56:$E$75)=0,0,'TO HOP NLAN'!E118*'TS-PILE'!$E$66/SUMSQ('TS-PILE'!$E$56:$E$75))+IF(SUMSQ('TS-PILE'!$D$56:$D$75)=0,0,'TO HOP NLAN'!F118*'TS-PILE'!$D$66/SUMSQ('TS-PILE'!$D$56:$D$75))),IF('TS-PILE'!$B$67="",-1E+99,'TO HOP NLAN'!D118/ncoc+IF(SUMSQ('TS-PILE'!$E$56:$E$75)=0,0,'TO HOP NLAN'!E118*'TS-PILE'!$E$67/SUMSQ('TS-PILE'!$E$56:$E$75))+IF(SUMSQ('TS-PILE'!$D$56:$D$75)=0,0,'TO HOP NLAN'!F118*'TS-PILE'!$D$67/SUMSQ('TS-PILE'!$D$56:$D$75))),IF('TS-PILE'!$B$68="",-1E+99,'TO HOP NLAN'!D118/ncoc+IF(SUMSQ('TS-PILE'!$E$56:$E$75)=0,0,'TO HOP NLAN'!E118*'TS-PILE'!$E$68/SUMSQ('TS-PILE'!$E$56:$E$75))+IF(SUMSQ('TS-PILE'!$D$56:$D$75)=0,0,'TO HOP NLAN'!F118*'TS-PILE'!$D$68/SUMSQ('TS-PILE'!$D$56:$D$75))),IF('TS-PILE'!$B$69="",-1E+99,'TO HOP NLAN'!D118/ncoc+IF(SUMSQ('TS-PILE'!$E$56:$E$75)=0,0,'TO HOP NLAN'!E118*'TS-PILE'!$E$69/SUMSQ('TS-PILE'!$E$56:$E$75))+IF(SUMSQ('TS-PILE'!$D$56:$D$75)=0,0,'TO HOP NLAN'!F118*'TS-PILE'!$D$69/SUMSQ('TS-PILE'!$D$56:$D$75))),IF('TS-PILE'!$B$70="",-1E+99,'TO HOP NLAN'!D118/ncoc+IF(SUMSQ('TS-PILE'!$E$56:$E$75)=0,0,'TO HOP NLAN'!E118*'TS-PILE'!$E$70/SUMSQ('TS-PILE'!$E$56:$E$75))+IF(SUMSQ('TS-PILE'!$D$56:$D$75)=0,0,'TO HOP NLAN'!F118*'TS-PILE'!$D$70/SUMSQ('TS-PILE'!$D$56:$D$75))),IF('TS-PILE'!$B$71="",-1E+99,'TO HOP NLAN'!D118/ncoc+IF(SUMSQ('TS-PILE'!$E$56:$E$75)=0,0,'TO HOP NLAN'!E118*'TS-PILE'!$E$71/SUMSQ('TS-PILE'!$E$56:$E$75))+IF(SUMSQ('TS-PILE'!$D$56:$D$75)=0,0,'TO HOP NLAN'!F118*'TS-PILE'!$D$71/SUMSQ('TS-PILE'!$D$56:$D$75))),IF('TS-PILE'!$B$72="",-1E+99,'TO HOP NLAN'!D118/ncoc+IF(SUMSQ('TS-PILE'!$E$56:$E$75)=0,0,'TO HOP NLAN'!E118*'TS-PILE'!$E$72/SUMSQ('TS-PILE'!$E$56:$E$75))+IF(SUMSQ('TS-PILE'!$D$56:$D$75)=0,0,'TO HOP NLAN'!F118*'TS-PILE'!$D$72/SUMSQ('TS-PILE'!$D$56:$D$75))),IF('TS-PILE'!$B$73="",-1E+99,'TO HOP NLAN'!D118/ncoc+IF(SUMSQ('TS-PILE'!$E$56:$E$75)=0,0,'TO HOP NLAN'!E118*'TS-PILE'!$E$73/SUMSQ('TS-PILE'!$E$56:$E$75))+IF(SUMSQ('TS-PILE'!$D$56:$D$75)=0,0,'TO HOP NLAN'!F118*'TS-PILE'!$D$73/SUMSQ('TS-PILE'!$D$56:$D$75))),IF('TS-PILE'!$B$74="",-1E+99,'TO HOP NLAN'!D118/ncoc+IF(SUMSQ('TS-PILE'!$E$56:$E$75)=0,0,'TO HOP NLAN'!E118*'TS-PILE'!$E$74/SUMSQ('TS-PILE'!$E$56:$E$75))+IF(SUMSQ('TS-PILE'!$D$56:$D$75)=0,0,'TO HOP NLAN'!F118*'TS-PILE'!$D$74/SUMSQ('TS-PILE'!$D$56:$D$75))),IF('TS-PILE'!$B$75="",-1E+99,'TO HOP NLAN'!D118/ncoc+IF(SUMSQ('TS-PILE'!$E$56:$E$75)=0,0,'TO HOP NLAN'!E118*'TS-PILE'!$E$75/SUMSQ('TS-PILE'!$E$56:$E$75))+IF(SUMSQ('TS-PILE'!$D$56:$D$75)=0,0,'TO HOP NLAN'!F118*'TS-PILE'!$D$75/SUMSQ('TS-PILE'!$D$56:$D$75)))))</f>
        <v>0</v>
      </c>
      <c r="D118" s="46">
        <f>IF(A118="",0,MIN(IF('TS-PILE'!$B$56="",1E+99,'TO HOP NLAN'!D118/ncoc+IF(SUMSQ('TS-PILE'!$E$56:$E$75)=0,0,'TO HOP NLAN'!E118*'TS-PILE'!$E$56/SUMSQ('TS-PILE'!$E$56:$E$75))+IF(SUMSQ('TS-PILE'!$D$56:$D$75)=0,0,'TO HOP NLAN'!F118*'TS-PILE'!$D$56/SUMSQ('TS-PILE'!$D$56:$D$75))),IF('TS-PILE'!$B$57="",1E+99,'TO HOP NLAN'!D118/ncoc+IF(SUMSQ('TS-PILE'!$E$56:$E$75)=0,0,'TO HOP NLAN'!E118*'TS-PILE'!$E$57/SUMSQ('TS-PILE'!$E$56:$E$75))+IF(SUMSQ('TS-PILE'!$D$56:$D$75)=0,0,'TO HOP NLAN'!F118*'TS-PILE'!$D$57/SUMSQ('TS-PILE'!$D$56:$D$75))),IF('TS-PILE'!$B$58="",1E+99,'TO HOP NLAN'!D118/ncoc+IF(SUMSQ('TS-PILE'!$E$56:$E$75)=0,0,'TO HOP NLAN'!E118*'TS-PILE'!$E$58/SUMSQ('TS-PILE'!$E$56:$E$75))+IF(SUMSQ('TS-PILE'!$D$56:$D$75)=0,0,'TO HOP NLAN'!F118*'TS-PILE'!$D$58/SUMSQ('TS-PILE'!$D$56:$D$75))),IF('TS-PILE'!$B$59="",1E+99,'TO HOP NLAN'!D118/ncoc+IF(SUMSQ('TS-PILE'!$E$56:$E$75)=0,0,'TO HOP NLAN'!E118*'TS-PILE'!$E$59/SUMSQ('TS-PILE'!$E$56:$E$75))+IF(SUMSQ('TS-PILE'!$D$56:$D$75)=0,0,'TO HOP NLAN'!F118*'TS-PILE'!$D$59/SUMSQ('TS-PILE'!$D$56:$D$75))),IF('TS-PILE'!$B$60="",1E+99,'TO HOP NLAN'!D118/ncoc+IF(SUMSQ('TS-PILE'!$E$56:$E$75)=0,0,'TO HOP NLAN'!E118*'TS-PILE'!$E$60/SUMSQ('TS-PILE'!$E$56:$E$75))+IF(SUMSQ('TS-PILE'!$D$56:$D$75)=0,0,'TO HOP NLAN'!F118*'TS-PILE'!$D$60/SUMSQ('TS-PILE'!$D$56:$D$75))),IF('TS-PILE'!$B$61="",1E+99,'TO HOP NLAN'!D118/ncoc+IF(SUMSQ('TS-PILE'!$E$56:$E$75)=0,0,'TO HOP NLAN'!E118*'TS-PILE'!$E$61/SUMSQ('TS-PILE'!$E$56:$E$75))+IF(SUMSQ('TS-PILE'!$D$56:$D$75)=0,0,'TO HOP NLAN'!F118*'TS-PILE'!$D$61/SUMSQ('TS-PILE'!$D$56:$D$75))),IF('TS-PILE'!$B$62="",1E+99,'TO HOP NLAN'!D118/ncoc+IF(SUMSQ('TS-PILE'!$E$56:$E$75)=0,0,'TO HOP NLAN'!E118*'TS-PILE'!$E$62/SUMSQ('TS-PILE'!$E$56:$E$75))+IF(SUMSQ('TS-PILE'!$D$56:$D$75)=0,0,'TO HOP NLAN'!F118*'TS-PILE'!$D$62/SUMSQ('TS-PILE'!$D$56:$D$75))),IF('TS-PILE'!$B$63="",1E+99,'TO HOP NLAN'!D118/ncoc+IF(SUMSQ('TS-PILE'!$E$56:$E$75)=0,0,'TO HOP NLAN'!E118*'TS-PILE'!$E$63/SUMSQ('TS-PILE'!$E$56:$E$75))+IF(SUMSQ('TS-PILE'!$D$56:$D$75)=0,0,'TO HOP NLAN'!F118*'TS-PILE'!$D$63/SUMSQ('TS-PILE'!$D$56:$D$75))),IF('TS-PILE'!$B$64="",1E+99,'TO HOP NLAN'!D118/ncoc+IF(SUMSQ('TS-PILE'!$E$56:$E$75)=0,0,'TO HOP NLAN'!E118*'TS-PILE'!$E$64/SUMSQ('TS-PILE'!$E$56:$E$75))+IF(SUMSQ('TS-PILE'!$D$56:$D$75)=0,0,'TO HOP NLAN'!F118*'TS-PILE'!$D$64/SUMSQ('TS-PILE'!$D$56:$D$75))),IF('TS-PILE'!$B$65="",1E+99,'TO HOP NLAN'!D118/ncoc+IF(SUMSQ('TS-PILE'!$E$56:$E$75)=0,0,'TO HOP NLAN'!E118*'TS-PILE'!$E$65/SUMSQ('TS-PILE'!$E$56:$E$75))+IF(SUMSQ('TS-PILE'!$D$56:$D$75)=0,0,'TO HOP NLAN'!F118*'TS-PILE'!$D$65/SUMSQ('TS-PILE'!$D$56:$D$75))),IF('TS-PILE'!$B$66="",1E+99,'TO HOP NLAN'!D118/ncoc+IF(SUMSQ('TS-PILE'!$E$56:$E$75)=0,0,'TO HOP NLAN'!E118*'TS-PILE'!$E$66/SUMSQ('TS-PILE'!$E$56:$E$75))+IF(SUMSQ('TS-PILE'!$D$56:$D$75)=0,0,'TO HOP NLAN'!F118*'TS-PILE'!$D$66/SUMSQ('TS-PILE'!$D$56:$D$75))),IF('TS-PILE'!$B$67="",1E+99,'TO HOP NLAN'!D118/ncoc+IF(SUMSQ('TS-PILE'!$E$56:$E$75)=0,0,'TO HOP NLAN'!E118*'TS-PILE'!$E$67/SUMSQ('TS-PILE'!$E$56:$E$75))+IF(SUMSQ('TS-PILE'!$D$56:$D$75)=0,0,'TO HOP NLAN'!F118*'TS-PILE'!$D$67/SUMSQ('TS-PILE'!$D$56:$D$75))),IF('TS-PILE'!$B$68="",1E+99,'TO HOP NLAN'!D118/ncoc+IF(SUMSQ('TS-PILE'!$E$56:$E$75)=0,0,'TO HOP NLAN'!E118*'TS-PILE'!$E$68/SUMSQ('TS-PILE'!$E$56:$E$75))+IF(SUMSQ('TS-PILE'!$D$56:$D$75)=0,0,'TO HOP NLAN'!F118*'TS-PILE'!$D$68/SUMSQ('TS-PILE'!$D$56:$D$75))),IF('TS-PILE'!$B$69="",1E+99,'TO HOP NLAN'!D118/ncoc+IF(SUMSQ('TS-PILE'!$E$56:$E$75)=0,0,'TO HOP NLAN'!E118*'TS-PILE'!$E$69/SUMSQ('TS-PILE'!$E$56:$E$75))+IF(SUMSQ('TS-PILE'!$D$56:$D$75)=0,0,'TO HOP NLAN'!F118*'TS-PILE'!$D$69/SUMSQ('TS-PILE'!$D$56:$D$75))),IF('TS-PILE'!$B$70="",1E+99,'TO HOP NLAN'!D118/ncoc+IF(SUMSQ('TS-PILE'!$E$56:$E$75)=0,0,'TO HOP NLAN'!E118*'TS-PILE'!$E$70/SUMSQ('TS-PILE'!$E$56:$E$75))+IF(SUMSQ('TS-PILE'!$D$56:$D$75)=0,0,'TO HOP NLAN'!F118*'TS-PILE'!$D$70/SUMSQ('TS-PILE'!$D$56:$D$75))),IF('TS-PILE'!$B$71="",1E+99,'TO HOP NLAN'!D118/ncoc+IF(SUMSQ('TS-PILE'!$E$56:$E$75)=0,0,'TO HOP NLAN'!E118*'TS-PILE'!$E$71/SUMSQ('TS-PILE'!$E$56:$E$75))+IF(SUMSQ('TS-PILE'!$D$56:$D$75)=0,0,'TO HOP NLAN'!F118*'TS-PILE'!$D$71/SUMSQ('TS-PILE'!$D$56:$D$75))),IF('TS-PILE'!$B$72="",1E+99,'TO HOP NLAN'!D118/ncoc+IF(SUMSQ('TS-PILE'!$E$56:$E$75)=0,0,'TO HOP NLAN'!E118*'TS-PILE'!$E$72/SUMSQ('TS-PILE'!$E$56:$E$75))+IF(SUMSQ('TS-PILE'!$D$56:$D$75)=0,0,'TO HOP NLAN'!F118*'TS-PILE'!$D$72/SUMSQ('TS-PILE'!$D$56:$D$75))),IF('TS-PILE'!$B$73="",1E+99,'TO HOP NLAN'!D118/ncoc+IF(SUMSQ('TS-PILE'!$E$56:$E$75)=0,0,'TO HOP NLAN'!E118*'TS-PILE'!$E$73/SUMSQ('TS-PILE'!$E$56:$E$75))+IF(SUMSQ('TS-PILE'!$D$56:$D$75)=0,0,'TO HOP NLAN'!F118*'TS-PILE'!$D$73/SUMSQ('TS-PILE'!$D$56:$D$75))),IF('TS-PILE'!$B$74="",1E+99,'TO HOP NLAN'!D118/ncoc+IF(SUMSQ('TS-PILE'!$E$56:$E$75)=0,0,'TO HOP NLAN'!E118*'TS-PILE'!$E$74/SUMSQ('TS-PILE'!$E$56:$E$75))+IF(SUMSQ('TS-PILE'!$D$56:$D$75)=0,0,'TO HOP NLAN'!F118*'TS-PILE'!$D$74/SUMSQ('TS-PILE'!$D$56:$D$75))),IF('TS-PILE'!$B$75="",1E+99,'TO HOP NLAN'!D118/ncoc+IF(SUMSQ('TS-PILE'!$E$56:$E$75)=0,0,'TO HOP NLAN'!E118*'TS-PILE'!$E$75/SUMSQ('TS-PILE'!$E$56:$E$75))+IF(SUMSQ('TS-PILE'!$D$56:$D$75)=0,0,'TO HOP NLAN'!F118*'TS-PILE'!$D$75/SUMSQ('TS-PILE'!$D$56:$D$75)))))</f>
        <v>0</v>
      </c>
      <c r="E118" s="46">
        <f t="shared" si="4"/>
        <v>-9.9999999999999997E+98</v>
      </c>
      <c r="F118" s="46">
        <f t="shared" si="5"/>
        <v>9.9999999999999997E+98</v>
      </c>
      <c r="G118" s="46">
        <f t="shared" si="6"/>
        <v>-9.9999999999999997E+98</v>
      </c>
      <c r="H118" s="46">
        <f t="shared" si="7"/>
        <v>9.9999999999999997E+98</v>
      </c>
    </row>
    <row r="119" spans="1:8" x14ac:dyDescent="0.3">
      <c r="A119" s="40" t="str">
        <f>'TO HOP NLAN'!A119</f>
        <v/>
      </c>
      <c r="B119" s="40" t="str">
        <f>'TO HOP NLAN'!L119</f>
        <v>STRENGTH</v>
      </c>
      <c r="C119" s="46">
        <f>IF(A119="",0,MAX(IF('TS-PILE'!$B$56="",-1E+99,'TO HOP NLAN'!D119/ncoc+IF(SUMSQ('TS-PILE'!$E$56:$E$75)=0,0,'TO HOP NLAN'!E119*'TS-PILE'!$E$56/SUMSQ('TS-PILE'!$E$56:$E$75))+IF(SUMSQ('TS-PILE'!$D$56:$D$75)=0,0,'TO HOP NLAN'!F119*'TS-PILE'!$D$56/SUMSQ('TS-PILE'!$D$56:$D$75))),IF('TS-PILE'!$B$57="",-1E+99,'TO HOP NLAN'!D119/ncoc+IF(SUMSQ('TS-PILE'!$E$56:$E$75)=0,0,'TO HOP NLAN'!E119*'TS-PILE'!$E$57/SUMSQ('TS-PILE'!$E$56:$E$75))+IF(SUMSQ('TS-PILE'!$D$56:$D$75)=0,0,'TO HOP NLAN'!F119*'TS-PILE'!$D$57/SUMSQ('TS-PILE'!$D$56:$D$75))),IF('TS-PILE'!$B$58="",-1E+99,'TO HOP NLAN'!D119/ncoc+IF(SUMSQ('TS-PILE'!$E$56:$E$75)=0,0,'TO HOP NLAN'!E119*'TS-PILE'!$E$58/SUMSQ('TS-PILE'!$E$56:$E$75))+IF(SUMSQ('TS-PILE'!$D$56:$D$75)=0,0,'TO HOP NLAN'!F119*'TS-PILE'!$D$58/SUMSQ('TS-PILE'!$D$56:$D$75))),IF('TS-PILE'!$B$59="",-1E+99,'TO HOP NLAN'!D119/ncoc+IF(SUMSQ('TS-PILE'!$E$56:$E$75)=0,0,'TO HOP NLAN'!E119*'TS-PILE'!$E$59/SUMSQ('TS-PILE'!$E$56:$E$75))+IF(SUMSQ('TS-PILE'!$D$56:$D$75)=0,0,'TO HOP NLAN'!F119*'TS-PILE'!$D$59/SUMSQ('TS-PILE'!$D$56:$D$75))),IF('TS-PILE'!$B$60="",-1E+99,'TO HOP NLAN'!D119/ncoc+IF(SUMSQ('TS-PILE'!$E$56:$E$75)=0,0,'TO HOP NLAN'!E119*'TS-PILE'!$E$60/SUMSQ('TS-PILE'!$E$56:$E$75))+IF(SUMSQ('TS-PILE'!$D$56:$D$75)=0,0,'TO HOP NLAN'!F119*'TS-PILE'!$D$60/SUMSQ('TS-PILE'!$D$56:$D$75))),IF('TS-PILE'!$B$61="",-1E+99,'TO HOP NLAN'!D119/ncoc+IF(SUMSQ('TS-PILE'!$E$56:$E$75)=0,0,'TO HOP NLAN'!E119*'TS-PILE'!$E$61/SUMSQ('TS-PILE'!$E$56:$E$75))+IF(SUMSQ('TS-PILE'!$D$56:$D$75)=0,0,'TO HOP NLAN'!F119*'TS-PILE'!$D$61/SUMSQ('TS-PILE'!$D$56:$D$75))),IF('TS-PILE'!$B$62="",-1E+99,'TO HOP NLAN'!D119/ncoc+IF(SUMSQ('TS-PILE'!$E$56:$E$75)=0,0,'TO HOP NLAN'!E119*'TS-PILE'!$E$62/SUMSQ('TS-PILE'!$E$56:$E$75))+IF(SUMSQ('TS-PILE'!$D$56:$D$75)=0,0,'TO HOP NLAN'!F119*'TS-PILE'!$D$62/SUMSQ('TS-PILE'!$D$56:$D$75))),IF('TS-PILE'!$B$63="",-1E+99,'TO HOP NLAN'!D119/ncoc+IF(SUMSQ('TS-PILE'!$E$56:$E$75)=0,0,'TO HOP NLAN'!E119*'TS-PILE'!$E$63/SUMSQ('TS-PILE'!$E$56:$E$75))+IF(SUMSQ('TS-PILE'!$D$56:$D$75)=0,0,'TO HOP NLAN'!F119*'TS-PILE'!$D$63/SUMSQ('TS-PILE'!$D$56:$D$75))),IF('TS-PILE'!$B$64="",-1E+99,'TO HOP NLAN'!D119/ncoc+IF(SUMSQ('TS-PILE'!$E$56:$E$75)=0,0,'TO HOP NLAN'!E119*'TS-PILE'!$E$64/SUMSQ('TS-PILE'!$E$56:$E$75))+IF(SUMSQ('TS-PILE'!$D$56:$D$75)=0,0,'TO HOP NLAN'!F119*'TS-PILE'!$D$64/SUMSQ('TS-PILE'!$D$56:$D$75))),IF('TS-PILE'!$B$65="",-1E+99,'TO HOP NLAN'!D119/ncoc+IF(SUMSQ('TS-PILE'!$E$56:$E$75)=0,0,'TO HOP NLAN'!E119*'TS-PILE'!$E$65/SUMSQ('TS-PILE'!$E$56:$E$75))+IF(SUMSQ('TS-PILE'!$D$56:$D$75)=0,0,'TO HOP NLAN'!F119*'TS-PILE'!$D$65/SUMSQ('TS-PILE'!$D$56:$D$75))),IF('TS-PILE'!$B$66="",-1E+99,'TO HOP NLAN'!D119/ncoc+IF(SUMSQ('TS-PILE'!$E$56:$E$75)=0,0,'TO HOP NLAN'!E119*'TS-PILE'!$E$66/SUMSQ('TS-PILE'!$E$56:$E$75))+IF(SUMSQ('TS-PILE'!$D$56:$D$75)=0,0,'TO HOP NLAN'!F119*'TS-PILE'!$D$66/SUMSQ('TS-PILE'!$D$56:$D$75))),IF('TS-PILE'!$B$67="",-1E+99,'TO HOP NLAN'!D119/ncoc+IF(SUMSQ('TS-PILE'!$E$56:$E$75)=0,0,'TO HOP NLAN'!E119*'TS-PILE'!$E$67/SUMSQ('TS-PILE'!$E$56:$E$75))+IF(SUMSQ('TS-PILE'!$D$56:$D$75)=0,0,'TO HOP NLAN'!F119*'TS-PILE'!$D$67/SUMSQ('TS-PILE'!$D$56:$D$75))),IF('TS-PILE'!$B$68="",-1E+99,'TO HOP NLAN'!D119/ncoc+IF(SUMSQ('TS-PILE'!$E$56:$E$75)=0,0,'TO HOP NLAN'!E119*'TS-PILE'!$E$68/SUMSQ('TS-PILE'!$E$56:$E$75))+IF(SUMSQ('TS-PILE'!$D$56:$D$75)=0,0,'TO HOP NLAN'!F119*'TS-PILE'!$D$68/SUMSQ('TS-PILE'!$D$56:$D$75))),IF('TS-PILE'!$B$69="",-1E+99,'TO HOP NLAN'!D119/ncoc+IF(SUMSQ('TS-PILE'!$E$56:$E$75)=0,0,'TO HOP NLAN'!E119*'TS-PILE'!$E$69/SUMSQ('TS-PILE'!$E$56:$E$75))+IF(SUMSQ('TS-PILE'!$D$56:$D$75)=0,0,'TO HOP NLAN'!F119*'TS-PILE'!$D$69/SUMSQ('TS-PILE'!$D$56:$D$75))),IF('TS-PILE'!$B$70="",-1E+99,'TO HOP NLAN'!D119/ncoc+IF(SUMSQ('TS-PILE'!$E$56:$E$75)=0,0,'TO HOP NLAN'!E119*'TS-PILE'!$E$70/SUMSQ('TS-PILE'!$E$56:$E$75))+IF(SUMSQ('TS-PILE'!$D$56:$D$75)=0,0,'TO HOP NLAN'!F119*'TS-PILE'!$D$70/SUMSQ('TS-PILE'!$D$56:$D$75))),IF('TS-PILE'!$B$71="",-1E+99,'TO HOP NLAN'!D119/ncoc+IF(SUMSQ('TS-PILE'!$E$56:$E$75)=0,0,'TO HOP NLAN'!E119*'TS-PILE'!$E$71/SUMSQ('TS-PILE'!$E$56:$E$75))+IF(SUMSQ('TS-PILE'!$D$56:$D$75)=0,0,'TO HOP NLAN'!F119*'TS-PILE'!$D$71/SUMSQ('TS-PILE'!$D$56:$D$75))),IF('TS-PILE'!$B$72="",-1E+99,'TO HOP NLAN'!D119/ncoc+IF(SUMSQ('TS-PILE'!$E$56:$E$75)=0,0,'TO HOP NLAN'!E119*'TS-PILE'!$E$72/SUMSQ('TS-PILE'!$E$56:$E$75))+IF(SUMSQ('TS-PILE'!$D$56:$D$75)=0,0,'TO HOP NLAN'!F119*'TS-PILE'!$D$72/SUMSQ('TS-PILE'!$D$56:$D$75))),IF('TS-PILE'!$B$73="",-1E+99,'TO HOP NLAN'!D119/ncoc+IF(SUMSQ('TS-PILE'!$E$56:$E$75)=0,0,'TO HOP NLAN'!E119*'TS-PILE'!$E$73/SUMSQ('TS-PILE'!$E$56:$E$75))+IF(SUMSQ('TS-PILE'!$D$56:$D$75)=0,0,'TO HOP NLAN'!F119*'TS-PILE'!$D$73/SUMSQ('TS-PILE'!$D$56:$D$75))),IF('TS-PILE'!$B$74="",-1E+99,'TO HOP NLAN'!D119/ncoc+IF(SUMSQ('TS-PILE'!$E$56:$E$75)=0,0,'TO HOP NLAN'!E119*'TS-PILE'!$E$74/SUMSQ('TS-PILE'!$E$56:$E$75))+IF(SUMSQ('TS-PILE'!$D$56:$D$75)=0,0,'TO HOP NLAN'!F119*'TS-PILE'!$D$74/SUMSQ('TS-PILE'!$D$56:$D$75))),IF('TS-PILE'!$B$75="",-1E+99,'TO HOP NLAN'!D119/ncoc+IF(SUMSQ('TS-PILE'!$E$56:$E$75)=0,0,'TO HOP NLAN'!E119*'TS-PILE'!$E$75/SUMSQ('TS-PILE'!$E$56:$E$75))+IF(SUMSQ('TS-PILE'!$D$56:$D$75)=0,0,'TO HOP NLAN'!F119*'TS-PILE'!$D$75/SUMSQ('TS-PILE'!$D$56:$D$75)))))</f>
        <v>0</v>
      </c>
      <c r="D119" s="46">
        <f>IF(A119="",0,MIN(IF('TS-PILE'!$B$56="",1E+99,'TO HOP NLAN'!D119/ncoc+IF(SUMSQ('TS-PILE'!$E$56:$E$75)=0,0,'TO HOP NLAN'!E119*'TS-PILE'!$E$56/SUMSQ('TS-PILE'!$E$56:$E$75))+IF(SUMSQ('TS-PILE'!$D$56:$D$75)=0,0,'TO HOP NLAN'!F119*'TS-PILE'!$D$56/SUMSQ('TS-PILE'!$D$56:$D$75))),IF('TS-PILE'!$B$57="",1E+99,'TO HOP NLAN'!D119/ncoc+IF(SUMSQ('TS-PILE'!$E$56:$E$75)=0,0,'TO HOP NLAN'!E119*'TS-PILE'!$E$57/SUMSQ('TS-PILE'!$E$56:$E$75))+IF(SUMSQ('TS-PILE'!$D$56:$D$75)=0,0,'TO HOP NLAN'!F119*'TS-PILE'!$D$57/SUMSQ('TS-PILE'!$D$56:$D$75))),IF('TS-PILE'!$B$58="",1E+99,'TO HOP NLAN'!D119/ncoc+IF(SUMSQ('TS-PILE'!$E$56:$E$75)=0,0,'TO HOP NLAN'!E119*'TS-PILE'!$E$58/SUMSQ('TS-PILE'!$E$56:$E$75))+IF(SUMSQ('TS-PILE'!$D$56:$D$75)=0,0,'TO HOP NLAN'!F119*'TS-PILE'!$D$58/SUMSQ('TS-PILE'!$D$56:$D$75))),IF('TS-PILE'!$B$59="",1E+99,'TO HOP NLAN'!D119/ncoc+IF(SUMSQ('TS-PILE'!$E$56:$E$75)=0,0,'TO HOP NLAN'!E119*'TS-PILE'!$E$59/SUMSQ('TS-PILE'!$E$56:$E$75))+IF(SUMSQ('TS-PILE'!$D$56:$D$75)=0,0,'TO HOP NLAN'!F119*'TS-PILE'!$D$59/SUMSQ('TS-PILE'!$D$56:$D$75))),IF('TS-PILE'!$B$60="",1E+99,'TO HOP NLAN'!D119/ncoc+IF(SUMSQ('TS-PILE'!$E$56:$E$75)=0,0,'TO HOP NLAN'!E119*'TS-PILE'!$E$60/SUMSQ('TS-PILE'!$E$56:$E$75))+IF(SUMSQ('TS-PILE'!$D$56:$D$75)=0,0,'TO HOP NLAN'!F119*'TS-PILE'!$D$60/SUMSQ('TS-PILE'!$D$56:$D$75))),IF('TS-PILE'!$B$61="",1E+99,'TO HOP NLAN'!D119/ncoc+IF(SUMSQ('TS-PILE'!$E$56:$E$75)=0,0,'TO HOP NLAN'!E119*'TS-PILE'!$E$61/SUMSQ('TS-PILE'!$E$56:$E$75))+IF(SUMSQ('TS-PILE'!$D$56:$D$75)=0,0,'TO HOP NLAN'!F119*'TS-PILE'!$D$61/SUMSQ('TS-PILE'!$D$56:$D$75))),IF('TS-PILE'!$B$62="",1E+99,'TO HOP NLAN'!D119/ncoc+IF(SUMSQ('TS-PILE'!$E$56:$E$75)=0,0,'TO HOP NLAN'!E119*'TS-PILE'!$E$62/SUMSQ('TS-PILE'!$E$56:$E$75))+IF(SUMSQ('TS-PILE'!$D$56:$D$75)=0,0,'TO HOP NLAN'!F119*'TS-PILE'!$D$62/SUMSQ('TS-PILE'!$D$56:$D$75))),IF('TS-PILE'!$B$63="",1E+99,'TO HOP NLAN'!D119/ncoc+IF(SUMSQ('TS-PILE'!$E$56:$E$75)=0,0,'TO HOP NLAN'!E119*'TS-PILE'!$E$63/SUMSQ('TS-PILE'!$E$56:$E$75))+IF(SUMSQ('TS-PILE'!$D$56:$D$75)=0,0,'TO HOP NLAN'!F119*'TS-PILE'!$D$63/SUMSQ('TS-PILE'!$D$56:$D$75))),IF('TS-PILE'!$B$64="",1E+99,'TO HOP NLAN'!D119/ncoc+IF(SUMSQ('TS-PILE'!$E$56:$E$75)=0,0,'TO HOP NLAN'!E119*'TS-PILE'!$E$64/SUMSQ('TS-PILE'!$E$56:$E$75))+IF(SUMSQ('TS-PILE'!$D$56:$D$75)=0,0,'TO HOP NLAN'!F119*'TS-PILE'!$D$64/SUMSQ('TS-PILE'!$D$56:$D$75))),IF('TS-PILE'!$B$65="",1E+99,'TO HOP NLAN'!D119/ncoc+IF(SUMSQ('TS-PILE'!$E$56:$E$75)=0,0,'TO HOP NLAN'!E119*'TS-PILE'!$E$65/SUMSQ('TS-PILE'!$E$56:$E$75))+IF(SUMSQ('TS-PILE'!$D$56:$D$75)=0,0,'TO HOP NLAN'!F119*'TS-PILE'!$D$65/SUMSQ('TS-PILE'!$D$56:$D$75))),IF('TS-PILE'!$B$66="",1E+99,'TO HOP NLAN'!D119/ncoc+IF(SUMSQ('TS-PILE'!$E$56:$E$75)=0,0,'TO HOP NLAN'!E119*'TS-PILE'!$E$66/SUMSQ('TS-PILE'!$E$56:$E$75))+IF(SUMSQ('TS-PILE'!$D$56:$D$75)=0,0,'TO HOP NLAN'!F119*'TS-PILE'!$D$66/SUMSQ('TS-PILE'!$D$56:$D$75))),IF('TS-PILE'!$B$67="",1E+99,'TO HOP NLAN'!D119/ncoc+IF(SUMSQ('TS-PILE'!$E$56:$E$75)=0,0,'TO HOP NLAN'!E119*'TS-PILE'!$E$67/SUMSQ('TS-PILE'!$E$56:$E$75))+IF(SUMSQ('TS-PILE'!$D$56:$D$75)=0,0,'TO HOP NLAN'!F119*'TS-PILE'!$D$67/SUMSQ('TS-PILE'!$D$56:$D$75))),IF('TS-PILE'!$B$68="",1E+99,'TO HOP NLAN'!D119/ncoc+IF(SUMSQ('TS-PILE'!$E$56:$E$75)=0,0,'TO HOP NLAN'!E119*'TS-PILE'!$E$68/SUMSQ('TS-PILE'!$E$56:$E$75))+IF(SUMSQ('TS-PILE'!$D$56:$D$75)=0,0,'TO HOP NLAN'!F119*'TS-PILE'!$D$68/SUMSQ('TS-PILE'!$D$56:$D$75))),IF('TS-PILE'!$B$69="",1E+99,'TO HOP NLAN'!D119/ncoc+IF(SUMSQ('TS-PILE'!$E$56:$E$75)=0,0,'TO HOP NLAN'!E119*'TS-PILE'!$E$69/SUMSQ('TS-PILE'!$E$56:$E$75))+IF(SUMSQ('TS-PILE'!$D$56:$D$75)=0,0,'TO HOP NLAN'!F119*'TS-PILE'!$D$69/SUMSQ('TS-PILE'!$D$56:$D$75))),IF('TS-PILE'!$B$70="",1E+99,'TO HOP NLAN'!D119/ncoc+IF(SUMSQ('TS-PILE'!$E$56:$E$75)=0,0,'TO HOP NLAN'!E119*'TS-PILE'!$E$70/SUMSQ('TS-PILE'!$E$56:$E$75))+IF(SUMSQ('TS-PILE'!$D$56:$D$75)=0,0,'TO HOP NLAN'!F119*'TS-PILE'!$D$70/SUMSQ('TS-PILE'!$D$56:$D$75))),IF('TS-PILE'!$B$71="",1E+99,'TO HOP NLAN'!D119/ncoc+IF(SUMSQ('TS-PILE'!$E$56:$E$75)=0,0,'TO HOP NLAN'!E119*'TS-PILE'!$E$71/SUMSQ('TS-PILE'!$E$56:$E$75))+IF(SUMSQ('TS-PILE'!$D$56:$D$75)=0,0,'TO HOP NLAN'!F119*'TS-PILE'!$D$71/SUMSQ('TS-PILE'!$D$56:$D$75))),IF('TS-PILE'!$B$72="",1E+99,'TO HOP NLAN'!D119/ncoc+IF(SUMSQ('TS-PILE'!$E$56:$E$75)=0,0,'TO HOP NLAN'!E119*'TS-PILE'!$E$72/SUMSQ('TS-PILE'!$E$56:$E$75))+IF(SUMSQ('TS-PILE'!$D$56:$D$75)=0,0,'TO HOP NLAN'!F119*'TS-PILE'!$D$72/SUMSQ('TS-PILE'!$D$56:$D$75))),IF('TS-PILE'!$B$73="",1E+99,'TO HOP NLAN'!D119/ncoc+IF(SUMSQ('TS-PILE'!$E$56:$E$75)=0,0,'TO HOP NLAN'!E119*'TS-PILE'!$E$73/SUMSQ('TS-PILE'!$E$56:$E$75))+IF(SUMSQ('TS-PILE'!$D$56:$D$75)=0,0,'TO HOP NLAN'!F119*'TS-PILE'!$D$73/SUMSQ('TS-PILE'!$D$56:$D$75))),IF('TS-PILE'!$B$74="",1E+99,'TO HOP NLAN'!D119/ncoc+IF(SUMSQ('TS-PILE'!$E$56:$E$75)=0,0,'TO HOP NLAN'!E119*'TS-PILE'!$E$74/SUMSQ('TS-PILE'!$E$56:$E$75))+IF(SUMSQ('TS-PILE'!$D$56:$D$75)=0,0,'TO HOP NLAN'!F119*'TS-PILE'!$D$74/SUMSQ('TS-PILE'!$D$56:$D$75))),IF('TS-PILE'!$B$75="",1E+99,'TO HOP NLAN'!D119/ncoc+IF(SUMSQ('TS-PILE'!$E$56:$E$75)=0,0,'TO HOP NLAN'!E119*'TS-PILE'!$E$75/SUMSQ('TS-PILE'!$E$56:$E$75))+IF(SUMSQ('TS-PILE'!$D$56:$D$75)=0,0,'TO HOP NLAN'!F119*'TS-PILE'!$D$75/SUMSQ('TS-PILE'!$D$56:$D$75)))))</f>
        <v>0</v>
      </c>
      <c r="E119" s="46">
        <f t="shared" si="4"/>
        <v>-9.9999999999999997E+98</v>
      </c>
      <c r="F119" s="46">
        <f t="shared" si="5"/>
        <v>9.9999999999999997E+98</v>
      </c>
      <c r="G119" s="46">
        <f t="shared" si="6"/>
        <v>-9.9999999999999997E+98</v>
      </c>
      <c r="H119" s="46">
        <f t="shared" si="7"/>
        <v>9.9999999999999997E+98</v>
      </c>
    </row>
    <row r="120" spans="1:8" x14ac:dyDescent="0.3">
      <c r="A120" s="40" t="str">
        <f>'TO HOP NLAN'!A120</f>
        <v/>
      </c>
      <c r="B120" s="40" t="str">
        <f>'TO HOP NLAN'!L120</f>
        <v>STRENGTH</v>
      </c>
      <c r="C120" s="46">
        <f>IF(A120="",0,MAX(IF('TS-PILE'!$B$56="",-1E+99,'TO HOP NLAN'!D120/ncoc+IF(SUMSQ('TS-PILE'!$E$56:$E$75)=0,0,'TO HOP NLAN'!E120*'TS-PILE'!$E$56/SUMSQ('TS-PILE'!$E$56:$E$75))+IF(SUMSQ('TS-PILE'!$D$56:$D$75)=0,0,'TO HOP NLAN'!F120*'TS-PILE'!$D$56/SUMSQ('TS-PILE'!$D$56:$D$75))),IF('TS-PILE'!$B$57="",-1E+99,'TO HOP NLAN'!D120/ncoc+IF(SUMSQ('TS-PILE'!$E$56:$E$75)=0,0,'TO HOP NLAN'!E120*'TS-PILE'!$E$57/SUMSQ('TS-PILE'!$E$56:$E$75))+IF(SUMSQ('TS-PILE'!$D$56:$D$75)=0,0,'TO HOP NLAN'!F120*'TS-PILE'!$D$57/SUMSQ('TS-PILE'!$D$56:$D$75))),IF('TS-PILE'!$B$58="",-1E+99,'TO HOP NLAN'!D120/ncoc+IF(SUMSQ('TS-PILE'!$E$56:$E$75)=0,0,'TO HOP NLAN'!E120*'TS-PILE'!$E$58/SUMSQ('TS-PILE'!$E$56:$E$75))+IF(SUMSQ('TS-PILE'!$D$56:$D$75)=0,0,'TO HOP NLAN'!F120*'TS-PILE'!$D$58/SUMSQ('TS-PILE'!$D$56:$D$75))),IF('TS-PILE'!$B$59="",-1E+99,'TO HOP NLAN'!D120/ncoc+IF(SUMSQ('TS-PILE'!$E$56:$E$75)=0,0,'TO HOP NLAN'!E120*'TS-PILE'!$E$59/SUMSQ('TS-PILE'!$E$56:$E$75))+IF(SUMSQ('TS-PILE'!$D$56:$D$75)=0,0,'TO HOP NLAN'!F120*'TS-PILE'!$D$59/SUMSQ('TS-PILE'!$D$56:$D$75))),IF('TS-PILE'!$B$60="",-1E+99,'TO HOP NLAN'!D120/ncoc+IF(SUMSQ('TS-PILE'!$E$56:$E$75)=0,0,'TO HOP NLAN'!E120*'TS-PILE'!$E$60/SUMSQ('TS-PILE'!$E$56:$E$75))+IF(SUMSQ('TS-PILE'!$D$56:$D$75)=0,0,'TO HOP NLAN'!F120*'TS-PILE'!$D$60/SUMSQ('TS-PILE'!$D$56:$D$75))),IF('TS-PILE'!$B$61="",-1E+99,'TO HOP NLAN'!D120/ncoc+IF(SUMSQ('TS-PILE'!$E$56:$E$75)=0,0,'TO HOP NLAN'!E120*'TS-PILE'!$E$61/SUMSQ('TS-PILE'!$E$56:$E$75))+IF(SUMSQ('TS-PILE'!$D$56:$D$75)=0,0,'TO HOP NLAN'!F120*'TS-PILE'!$D$61/SUMSQ('TS-PILE'!$D$56:$D$75))),IF('TS-PILE'!$B$62="",-1E+99,'TO HOP NLAN'!D120/ncoc+IF(SUMSQ('TS-PILE'!$E$56:$E$75)=0,0,'TO HOP NLAN'!E120*'TS-PILE'!$E$62/SUMSQ('TS-PILE'!$E$56:$E$75))+IF(SUMSQ('TS-PILE'!$D$56:$D$75)=0,0,'TO HOP NLAN'!F120*'TS-PILE'!$D$62/SUMSQ('TS-PILE'!$D$56:$D$75))),IF('TS-PILE'!$B$63="",-1E+99,'TO HOP NLAN'!D120/ncoc+IF(SUMSQ('TS-PILE'!$E$56:$E$75)=0,0,'TO HOP NLAN'!E120*'TS-PILE'!$E$63/SUMSQ('TS-PILE'!$E$56:$E$75))+IF(SUMSQ('TS-PILE'!$D$56:$D$75)=0,0,'TO HOP NLAN'!F120*'TS-PILE'!$D$63/SUMSQ('TS-PILE'!$D$56:$D$75))),IF('TS-PILE'!$B$64="",-1E+99,'TO HOP NLAN'!D120/ncoc+IF(SUMSQ('TS-PILE'!$E$56:$E$75)=0,0,'TO HOP NLAN'!E120*'TS-PILE'!$E$64/SUMSQ('TS-PILE'!$E$56:$E$75))+IF(SUMSQ('TS-PILE'!$D$56:$D$75)=0,0,'TO HOP NLAN'!F120*'TS-PILE'!$D$64/SUMSQ('TS-PILE'!$D$56:$D$75))),IF('TS-PILE'!$B$65="",-1E+99,'TO HOP NLAN'!D120/ncoc+IF(SUMSQ('TS-PILE'!$E$56:$E$75)=0,0,'TO HOP NLAN'!E120*'TS-PILE'!$E$65/SUMSQ('TS-PILE'!$E$56:$E$75))+IF(SUMSQ('TS-PILE'!$D$56:$D$75)=0,0,'TO HOP NLAN'!F120*'TS-PILE'!$D$65/SUMSQ('TS-PILE'!$D$56:$D$75))),IF('TS-PILE'!$B$66="",-1E+99,'TO HOP NLAN'!D120/ncoc+IF(SUMSQ('TS-PILE'!$E$56:$E$75)=0,0,'TO HOP NLAN'!E120*'TS-PILE'!$E$66/SUMSQ('TS-PILE'!$E$56:$E$75))+IF(SUMSQ('TS-PILE'!$D$56:$D$75)=0,0,'TO HOP NLAN'!F120*'TS-PILE'!$D$66/SUMSQ('TS-PILE'!$D$56:$D$75))),IF('TS-PILE'!$B$67="",-1E+99,'TO HOP NLAN'!D120/ncoc+IF(SUMSQ('TS-PILE'!$E$56:$E$75)=0,0,'TO HOP NLAN'!E120*'TS-PILE'!$E$67/SUMSQ('TS-PILE'!$E$56:$E$75))+IF(SUMSQ('TS-PILE'!$D$56:$D$75)=0,0,'TO HOP NLAN'!F120*'TS-PILE'!$D$67/SUMSQ('TS-PILE'!$D$56:$D$75))),IF('TS-PILE'!$B$68="",-1E+99,'TO HOP NLAN'!D120/ncoc+IF(SUMSQ('TS-PILE'!$E$56:$E$75)=0,0,'TO HOP NLAN'!E120*'TS-PILE'!$E$68/SUMSQ('TS-PILE'!$E$56:$E$75))+IF(SUMSQ('TS-PILE'!$D$56:$D$75)=0,0,'TO HOP NLAN'!F120*'TS-PILE'!$D$68/SUMSQ('TS-PILE'!$D$56:$D$75))),IF('TS-PILE'!$B$69="",-1E+99,'TO HOP NLAN'!D120/ncoc+IF(SUMSQ('TS-PILE'!$E$56:$E$75)=0,0,'TO HOP NLAN'!E120*'TS-PILE'!$E$69/SUMSQ('TS-PILE'!$E$56:$E$75))+IF(SUMSQ('TS-PILE'!$D$56:$D$75)=0,0,'TO HOP NLAN'!F120*'TS-PILE'!$D$69/SUMSQ('TS-PILE'!$D$56:$D$75))),IF('TS-PILE'!$B$70="",-1E+99,'TO HOP NLAN'!D120/ncoc+IF(SUMSQ('TS-PILE'!$E$56:$E$75)=0,0,'TO HOP NLAN'!E120*'TS-PILE'!$E$70/SUMSQ('TS-PILE'!$E$56:$E$75))+IF(SUMSQ('TS-PILE'!$D$56:$D$75)=0,0,'TO HOP NLAN'!F120*'TS-PILE'!$D$70/SUMSQ('TS-PILE'!$D$56:$D$75))),IF('TS-PILE'!$B$71="",-1E+99,'TO HOP NLAN'!D120/ncoc+IF(SUMSQ('TS-PILE'!$E$56:$E$75)=0,0,'TO HOP NLAN'!E120*'TS-PILE'!$E$71/SUMSQ('TS-PILE'!$E$56:$E$75))+IF(SUMSQ('TS-PILE'!$D$56:$D$75)=0,0,'TO HOP NLAN'!F120*'TS-PILE'!$D$71/SUMSQ('TS-PILE'!$D$56:$D$75))),IF('TS-PILE'!$B$72="",-1E+99,'TO HOP NLAN'!D120/ncoc+IF(SUMSQ('TS-PILE'!$E$56:$E$75)=0,0,'TO HOP NLAN'!E120*'TS-PILE'!$E$72/SUMSQ('TS-PILE'!$E$56:$E$75))+IF(SUMSQ('TS-PILE'!$D$56:$D$75)=0,0,'TO HOP NLAN'!F120*'TS-PILE'!$D$72/SUMSQ('TS-PILE'!$D$56:$D$75))),IF('TS-PILE'!$B$73="",-1E+99,'TO HOP NLAN'!D120/ncoc+IF(SUMSQ('TS-PILE'!$E$56:$E$75)=0,0,'TO HOP NLAN'!E120*'TS-PILE'!$E$73/SUMSQ('TS-PILE'!$E$56:$E$75))+IF(SUMSQ('TS-PILE'!$D$56:$D$75)=0,0,'TO HOP NLAN'!F120*'TS-PILE'!$D$73/SUMSQ('TS-PILE'!$D$56:$D$75))),IF('TS-PILE'!$B$74="",-1E+99,'TO HOP NLAN'!D120/ncoc+IF(SUMSQ('TS-PILE'!$E$56:$E$75)=0,0,'TO HOP NLAN'!E120*'TS-PILE'!$E$74/SUMSQ('TS-PILE'!$E$56:$E$75))+IF(SUMSQ('TS-PILE'!$D$56:$D$75)=0,0,'TO HOP NLAN'!F120*'TS-PILE'!$D$74/SUMSQ('TS-PILE'!$D$56:$D$75))),IF('TS-PILE'!$B$75="",-1E+99,'TO HOP NLAN'!D120/ncoc+IF(SUMSQ('TS-PILE'!$E$56:$E$75)=0,0,'TO HOP NLAN'!E120*'TS-PILE'!$E$75/SUMSQ('TS-PILE'!$E$56:$E$75))+IF(SUMSQ('TS-PILE'!$D$56:$D$75)=0,0,'TO HOP NLAN'!F120*'TS-PILE'!$D$75/SUMSQ('TS-PILE'!$D$56:$D$75)))))</f>
        <v>0</v>
      </c>
      <c r="D120" s="46">
        <f>IF(A120="",0,MIN(IF('TS-PILE'!$B$56="",1E+99,'TO HOP NLAN'!D120/ncoc+IF(SUMSQ('TS-PILE'!$E$56:$E$75)=0,0,'TO HOP NLAN'!E120*'TS-PILE'!$E$56/SUMSQ('TS-PILE'!$E$56:$E$75))+IF(SUMSQ('TS-PILE'!$D$56:$D$75)=0,0,'TO HOP NLAN'!F120*'TS-PILE'!$D$56/SUMSQ('TS-PILE'!$D$56:$D$75))),IF('TS-PILE'!$B$57="",1E+99,'TO HOP NLAN'!D120/ncoc+IF(SUMSQ('TS-PILE'!$E$56:$E$75)=0,0,'TO HOP NLAN'!E120*'TS-PILE'!$E$57/SUMSQ('TS-PILE'!$E$56:$E$75))+IF(SUMSQ('TS-PILE'!$D$56:$D$75)=0,0,'TO HOP NLAN'!F120*'TS-PILE'!$D$57/SUMSQ('TS-PILE'!$D$56:$D$75))),IF('TS-PILE'!$B$58="",1E+99,'TO HOP NLAN'!D120/ncoc+IF(SUMSQ('TS-PILE'!$E$56:$E$75)=0,0,'TO HOP NLAN'!E120*'TS-PILE'!$E$58/SUMSQ('TS-PILE'!$E$56:$E$75))+IF(SUMSQ('TS-PILE'!$D$56:$D$75)=0,0,'TO HOP NLAN'!F120*'TS-PILE'!$D$58/SUMSQ('TS-PILE'!$D$56:$D$75))),IF('TS-PILE'!$B$59="",1E+99,'TO HOP NLAN'!D120/ncoc+IF(SUMSQ('TS-PILE'!$E$56:$E$75)=0,0,'TO HOP NLAN'!E120*'TS-PILE'!$E$59/SUMSQ('TS-PILE'!$E$56:$E$75))+IF(SUMSQ('TS-PILE'!$D$56:$D$75)=0,0,'TO HOP NLAN'!F120*'TS-PILE'!$D$59/SUMSQ('TS-PILE'!$D$56:$D$75))),IF('TS-PILE'!$B$60="",1E+99,'TO HOP NLAN'!D120/ncoc+IF(SUMSQ('TS-PILE'!$E$56:$E$75)=0,0,'TO HOP NLAN'!E120*'TS-PILE'!$E$60/SUMSQ('TS-PILE'!$E$56:$E$75))+IF(SUMSQ('TS-PILE'!$D$56:$D$75)=0,0,'TO HOP NLAN'!F120*'TS-PILE'!$D$60/SUMSQ('TS-PILE'!$D$56:$D$75))),IF('TS-PILE'!$B$61="",1E+99,'TO HOP NLAN'!D120/ncoc+IF(SUMSQ('TS-PILE'!$E$56:$E$75)=0,0,'TO HOP NLAN'!E120*'TS-PILE'!$E$61/SUMSQ('TS-PILE'!$E$56:$E$75))+IF(SUMSQ('TS-PILE'!$D$56:$D$75)=0,0,'TO HOP NLAN'!F120*'TS-PILE'!$D$61/SUMSQ('TS-PILE'!$D$56:$D$75))),IF('TS-PILE'!$B$62="",1E+99,'TO HOP NLAN'!D120/ncoc+IF(SUMSQ('TS-PILE'!$E$56:$E$75)=0,0,'TO HOP NLAN'!E120*'TS-PILE'!$E$62/SUMSQ('TS-PILE'!$E$56:$E$75))+IF(SUMSQ('TS-PILE'!$D$56:$D$75)=0,0,'TO HOP NLAN'!F120*'TS-PILE'!$D$62/SUMSQ('TS-PILE'!$D$56:$D$75))),IF('TS-PILE'!$B$63="",1E+99,'TO HOP NLAN'!D120/ncoc+IF(SUMSQ('TS-PILE'!$E$56:$E$75)=0,0,'TO HOP NLAN'!E120*'TS-PILE'!$E$63/SUMSQ('TS-PILE'!$E$56:$E$75))+IF(SUMSQ('TS-PILE'!$D$56:$D$75)=0,0,'TO HOP NLAN'!F120*'TS-PILE'!$D$63/SUMSQ('TS-PILE'!$D$56:$D$75))),IF('TS-PILE'!$B$64="",1E+99,'TO HOP NLAN'!D120/ncoc+IF(SUMSQ('TS-PILE'!$E$56:$E$75)=0,0,'TO HOP NLAN'!E120*'TS-PILE'!$E$64/SUMSQ('TS-PILE'!$E$56:$E$75))+IF(SUMSQ('TS-PILE'!$D$56:$D$75)=0,0,'TO HOP NLAN'!F120*'TS-PILE'!$D$64/SUMSQ('TS-PILE'!$D$56:$D$75))),IF('TS-PILE'!$B$65="",1E+99,'TO HOP NLAN'!D120/ncoc+IF(SUMSQ('TS-PILE'!$E$56:$E$75)=0,0,'TO HOP NLAN'!E120*'TS-PILE'!$E$65/SUMSQ('TS-PILE'!$E$56:$E$75))+IF(SUMSQ('TS-PILE'!$D$56:$D$75)=0,0,'TO HOP NLAN'!F120*'TS-PILE'!$D$65/SUMSQ('TS-PILE'!$D$56:$D$75))),IF('TS-PILE'!$B$66="",1E+99,'TO HOP NLAN'!D120/ncoc+IF(SUMSQ('TS-PILE'!$E$56:$E$75)=0,0,'TO HOP NLAN'!E120*'TS-PILE'!$E$66/SUMSQ('TS-PILE'!$E$56:$E$75))+IF(SUMSQ('TS-PILE'!$D$56:$D$75)=0,0,'TO HOP NLAN'!F120*'TS-PILE'!$D$66/SUMSQ('TS-PILE'!$D$56:$D$75))),IF('TS-PILE'!$B$67="",1E+99,'TO HOP NLAN'!D120/ncoc+IF(SUMSQ('TS-PILE'!$E$56:$E$75)=0,0,'TO HOP NLAN'!E120*'TS-PILE'!$E$67/SUMSQ('TS-PILE'!$E$56:$E$75))+IF(SUMSQ('TS-PILE'!$D$56:$D$75)=0,0,'TO HOP NLAN'!F120*'TS-PILE'!$D$67/SUMSQ('TS-PILE'!$D$56:$D$75))),IF('TS-PILE'!$B$68="",1E+99,'TO HOP NLAN'!D120/ncoc+IF(SUMSQ('TS-PILE'!$E$56:$E$75)=0,0,'TO HOP NLAN'!E120*'TS-PILE'!$E$68/SUMSQ('TS-PILE'!$E$56:$E$75))+IF(SUMSQ('TS-PILE'!$D$56:$D$75)=0,0,'TO HOP NLAN'!F120*'TS-PILE'!$D$68/SUMSQ('TS-PILE'!$D$56:$D$75))),IF('TS-PILE'!$B$69="",1E+99,'TO HOP NLAN'!D120/ncoc+IF(SUMSQ('TS-PILE'!$E$56:$E$75)=0,0,'TO HOP NLAN'!E120*'TS-PILE'!$E$69/SUMSQ('TS-PILE'!$E$56:$E$75))+IF(SUMSQ('TS-PILE'!$D$56:$D$75)=0,0,'TO HOP NLAN'!F120*'TS-PILE'!$D$69/SUMSQ('TS-PILE'!$D$56:$D$75))),IF('TS-PILE'!$B$70="",1E+99,'TO HOP NLAN'!D120/ncoc+IF(SUMSQ('TS-PILE'!$E$56:$E$75)=0,0,'TO HOP NLAN'!E120*'TS-PILE'!$E$70/SUMSQ('TS-PILE'!$E$56:$E$75))+IF(SUMSQ('TS-PILE'!$D$56:$D$75)=0,0,'TO HOP NLAN'!F120*'TS-PILE'!$D$70/SUMSQ('TS-PILE'!$D$56:$D$75))),IF('TS-PILE'!$B$71="",1E+99,'TO HOP NLAN'!D120/ncoc+IF(SUMSQ('TS-PILE'!$E$56:$E$75)=0,0,'TO HOP NLAN'!E120*'TS-PILE'!$E$71/SUMSQ('TS-PILE'!$E$56:$E$75))+IF(SUMSQ('TS-PILE'!$D$56:$D$75)=0,0,'TO HOP NLAN'!F120*'TS-PILE'!$D$71/SUMSQ('TS-PILE'!$D$56:$D$75))),IF('TS-PILE'!$B$72="",1E+99,'TO HOP NLAN'!D120/ncoc+IF(SUMSQ('TS-PILE'!$E$56:$E$75)=0,0,'TO HOP NLAN'!E120*'TS-PILE'!$E$72/SUMSQ('TS-PILE'!$E$56:$E$75))+IF(SUMSQ('TS-PILE'!$D$56:$D$75)=0,0,'TO HOP NLAN'!F120*'TS-PILE'!$D$72/SUMSQ('TS-PILE'!$D$56:$D$75))),IF('TS-PILE'!$B$73="",1E+99,'TO HOP NLAN'!D120/ncoc+IF(SUMSQ('TS-PILE'!$E$56:$E$75)=0,0,'TO HOP NLAN'!E120*'TS-PILE'!$E$73/SUMSQ('TS-PILE'!$E$56:$E$75))+IF(SUMSQ('TS-PILE'!$D$56:$D$75)=0,0,'TO HOP NLAN'!F120*'TS-PILE'!$D$73/SUMSQ('TS-PILE'!$D$56:$D$75))),IF('TS-PILE'!$B$74="",1E+99,'TO HOP NLAN'!D120/ncoc+IF(SUMSQ('TS-PILE'!$E$56:$E$75)=0,0,'TO HOP NLAN'!E120*'TS-PILE'!$E$74/SUMSQ('TS-PILE'!$E$56:$E$75))+IF(SUMSQ('TS-PILE'!$D$56:$D$75)=0,0,'TO HOP NLAN'!F120*'TS-PILE'!$D$74/SUMSQ('TS-PILE'!$D$56:$D$75))),IF('TS-PILE'!$B$75="",1E+99,'TO HOP NLAN'!D120/ncoc+IF(SUMSQ('TS-PILE'!$E$56:$E$75)=0,0,'TO HOP NLAN'!E120*'TS-PILE'!$E$75/SUMSQ('TS-PILE'!$E$56:$E$75))+IF(SUMSQ('TS-PILE'!$D$56:$D$75)=0,0,'TO HOP NLAN'!F120*'TS-PILE'!$D$75/SUMSQ('TS-PILE'!$D$56:$D$75)))))</f>
        <v>0</v>
      </c>
      <c r="E120" s="46">
        <f t="shared" si="4"/>
        <v>-9.9999999999999997E+98</v>
      </c>
      <c r="F120" s="46">
        <f t="shared" si="5"/>
        <v>9.9999999999999997E+98</v>
      </c>
      <c r="G120" s="46">
        <f t="shared" si="6"/>
        <v>-9.9999999999999997E+98</v>
      </c>
      <c r="H120" s="46">
        <f t="shared" si="7"/>
        <v>9.9999999999999997E+98</v>
      </c>
    </row>
    <row r="121" spans="1:8" x14ac:dyDescent="0.3">
      <c r="A121" s="40" t="str">
        <f>'TO HOP NLAN'!A121</f>
        <v/>
      </c>
      <c r="B121" s="40" t="str">
        <f>'TO HOP NLAN'!L121</f>
        <v>STRENGTH</v>
      </c>
      <c r="C121" s="46">
        <f>IF(A121="",0,MAX(IF('TS-PILE'!$B$56="",-1E+99,'TO HOP NLAN'!D121/ncoc+IF(SUMSQ('TS-PILE'!$E$56:$E$75)=0,0,'TO HOP NLAN'!E121*'TS-PILE'!$E$56/SUMSQ('TS-PILE'!$E$56:$E$75))+IF(SUMSQ('TS-PILE'!$D$56:$D$75)=0,0,'TO HOP NLAN'!F121*'TS-PILE'!$D$56/SUMSQ('TS-PILE'!$D$56:$D$75))),IF('TS-PILE'!$B$57="",-1E+99,'TO HOP NLAN'!D121/ncoc+IF(SUMSQ('TS-PILE'!$E$56:$E$75)=0,0,'TO HOP NLAN'!E121*'TS-PILE'!$E$57/SUMSQ('TS-PILE'!$E$56:$E$75))+IF(SUMSQ('TS-PILE'!$D$56:$D$75)=0,0,'TO HOP NLAN'!F121*'TS-PILE'!$D$57/SUMSQ('TS-PILE'!$D$56:$D$75))),IF('TS-PILE'!$B$58="",-1E+99,'TO HOP NLAN'!D121/ncoc+IF(SUMSQ('TS-PILE'!$E$56:$E$75)=0,0,'TO HOP NLAN'!E121*'TS-PILE'!$E$58/SUMSQ('TS-PILE'!$E$56:$E$75))+IF(SUMSQ('TS-PILE'!$D$56:$D$75)=0,0,'TO HOP NLAN'!F121*'TS-PILE'!$D$58/SUMSQ('TS-PILE'!$D$56:$D$75))),IF('TS-PILE'!$B$59="",-1E+99,'TO HOP NLAN'!D121/ncoc+IF(SUMSQ('TS-PILE'!$E$56:$E$75)=0,0,'TO HOP NLAN'!E121*'TS-PILE'!$E$59/SUMSQ('TS-PILE'!$E$56:$E$75))+IF(SUMSQ('TS-PILE'!$D$56:$D$75)=0,0,'TO HOP NLAN'!F121*'TS-PILE'!$D$59/SUMSQ('TS-PILE'!$D$56:$D$75))),IF('TS-PILE'!$B$60="",-1E+99,'TO HOP NLAN'!D121/ncoc+IF(SUMSQ('TS-PILE'!$E$56:$E$75)=0,0,'TO HOP NLAN'!E121*'TS-PILE'!$E$60/SUMSQ('TS-PILE'!$E$56:$E$75))+IF(SUMSQ('TS-PILE'!$D$56:$D$75)=0,0,'TO HOP NLAN'!F121*'TS-PILE'!$D$60/SUMSQ('TS-PILE'!$D$56:$D$75))),IF('TS-PILE'!$B$61="",-1E+99,'TO HOP NLAN'!D121/ncoc+IF(SUMSQ('TS-PILE'!$E$56:$E$75)=0,0,'TO HOP NLAN'!E121*'TS-PILE'!$E$61/SUMSQ('TS-PILE'!$E$56:$E$75))+IF(SUMSQ('TS-PILE'!$D$56:$D$75)=0,0,'TO HOP NLAN'!F121*'TS-PILE'!$D$61/SUMSQ('TS-PILE'!$D$56:$D$75))),IF('TS-PILE'!$B$62="",-1E+99,'TO HOP NLAN'!D121/ncoc+IF(SUMSQ('TS-PILE'!$E$56:$E$75)=0,0,'TO HOP NLAN'!E121*'TS-PILE'!$E$62/SUMSQ('TS-PILE'!$E$56:$E$75))+IF(SUMSQ('TS-PILE'!$D$56:$D$75)=0,0,'TO HOP NLAN'!F121*'TS-PILE'!$D$62/SUMSQ('TS-PILE'!$D$56:$D$75))),IF('TS-PILE'!$B$63="",-1E+99,'TO HOP NLAN'!D121/ncoc+IF(SUMSQ('TS-PILE'!$E$56:$E$75)=0,0,'TO HOP NLAN'!E121*'TS-PILE'!$E$63/SUMSQ('TS-PILE'!$E$56:$E$75))+IF(SUMSQ('TS-PILE'!$D$56:$D$75)=0,0,'TO HOP NLAN'!F121*'TS-PILE'!$D$63/SUMSQ('TS-PILE'!$D$56:$D$75))),IF('TS-PILE'!$B$64="",-1E+99,'TO HOP NLAN'!D121/ncoc+IF(SUMSQ('TS-PILE'!$E$56:$E$75)=0,0,'TO HOP NLAN'!E121*'TS-PILE'!$E$64/SUMSQ('TS-PILE'!$E$56:$E$75))+IF(SUMSQ('TS-PILE'!$D$56:$D$75)=0,0,'TO HOP NLAN'!F121*'TS-PILE'!$D$64/SUMSQ('TS-PILE'!$D$56:$D$75))),IF('TS-PILE'!$B$65="",-1E+99,'TO HOP NLAN'!D121/ncoc+IF(SUMSQ('TS-PILE'!$E$56:$E$75)=0,0,'TO HOP NLAN'!E121*'TS-PILE'!$E$65/SUMSQ('TS-PILE'!$E$56:$E$75))+IF(SUMSQ('TS-PILE'!$D$56:$D$75)=0,0,'TO HOP NLAN'!F121*'TS-PILE'!$D$65/SUMSQ('TS-PILE'!$D$56:$D$75))),IF('TS-PILE'!$B$66="",-1E+99,'TO HOP NLAN'!D121/ncoc+IF(SUMSQ('TS-PILE'!$E$56:$E$75)=0,0,'TO HOP NLAN'!E121*'TS-PILE'!$E$66/SUMSQ('TS-PILE'!$E$56:$E$75))+IF(SUMSQ('TS-PILE'!$D$56:$D$75)=0,0,'TO HOP NLAN'!F121*'TS-PILE'!$D$66/SUMSQ('TS-PILE'!$D$56:$D$75))),IF('TS-PILE'!$B$67="",-1E+99,'TO HOP NLAN'!D121/ncoc+IF(SUMSQ('TS-PILE'!$E$56:$E$75)=0,0,'TO HOP NLAN'!E121*'TS-PILE'!$E$67/SUMSQ('TS-PILE'!$E$56:$E$75))+IF(SUMSQ('TS-PILE'!$D$56:$D$75)=0,0,'TO HOP NLAN'!F121*'TS-PILE'!$D$67/SUMSQ('TS-PILE'!$D$56:$D$75))),IF('TS-PILE'!$B$68="",-1E+99,'TO HOP NLAN'!D121/ncoc+IF(SUMSQ('TS-PILE'!$E$56:$E$75)=0,0,'TO HOP NLAN'!E121*'TS-PILE'!$E$68/SUMSQ('TS-PILE'!$E$56:$E$75))+IF(SUMSQ('TS-PILE'!$D$56:$D$75)=0,0,'TO HOP NLAN'!F121*'TS-PILE'!$D$68/SUMSQ('TS-PILE'!$D$56:$D$75))),IF('TS-PILE'!$B$69="",-1E+99,'TO HOP NLAN'!D121/ncoc+IF(SUMSQ('TS-PILE'!$E$56:$E$75)=0,0,'TO HOP NLAN'!E121*'TS-PILE'!$E$69/SUMSQ('TS-PILE'!$E$56:$E$75))+IF(SUMSQ('TS-PILE'!$D$56:$D$75)=0,0,'TO HOP NLAN'!F121*'TS-PILE'!$D$69/SUMSQ('TS-PILE'!$D$56:$D$75))),IF('TS-PILE'!$B$70="",-1E+99,'TO HOP NLAN'!D121/ncoc+IF(SUMSQ('TS-PILE'!$E$56:$E$75)=0,0,'TO HOP NLAN'!E121*'TS-PILE'!$E$70/SUMSQ('TS-PILE'!$E$56:$E$75))+IF(SUMSQ('TS-PILE'!$D$56:$D$75)=0,0,'TO HOP NLAN'!F121*'TS-PILE'!$D$70/SUMSQ('TS-PILE'!$D$56:$D$75))),IF('TS-PILE'!$B$71="",-1E+99,'TO HOP NLAN'!D121/ncoc+IF(SUMSQ('TS-PILE'!$E$56:$E$75)=0,0,'TO HOP NLAN'!E121*'TS-PILE'!$E$71/SUMSQ('TS-PILE'!$E$56:$E$75))+IF(SUMSQ('TS-PILE'!$D$56:$D$75)=0,0,'TO HOP NLAN'!F121*'TS-PILE'!$D$71/SUMSQ('TS-PILE'!$D$56:$D$75))),IF('TS-PILE'!$B$72="",-1E+99,'TO HOP NLAN'!D121/ncoc+IF(SUMSQ('TS-PILE'!$E$56:$E$75)=0,0,'TO HOP NLAN'!E121*'TS-PILE'!$E$72/SUMSQ('TS-PILE'!$E$56:$E$75))+IF(SUMSQ('TS-PILE'!$D$56:$D$75)=0,0,'TO HOP NLAN'!F121*'TS-PILE'!$D$72/SUMSQ('TS-PILE'!$D$56:$D$75))),IF('TS-PILE'!$B$73="",-1E+99,'TO HOP NLAN'!D121/ncoc+IF(SUMSQ('TS-PILE'!$E$56:$E$75)=0,0,'TO HOP NLAN'!E121*'TS-PILE'!$E$73/SUMSQ('TS-PILE'!$E$56:$E$75))+IF(SUMSQ('TS-PILE'!$D$56:$D$75)=0,0,'TO HOP NLAN'!F121*'TS-PILE'!$D$73/SUMSQ('TS-PILE'!$D$56:$D$75))),IF('TS-PILE'!$B$74="",-1E+99,'TO HOP NLAN'!D121/ncoc+IF(SUMSQ('TS-PILE'!$E$56:$E$75)=0,0,'TO HOP NLAN'!E121*'TS-PILE'!$E$74/SUMSQ('TS-PILE'!$E$56:$E$75))+IF(SUMSQ('TS-PILE'!$D$56:$D$75)=0,0,'TO HOP NLAN'!F121*'TS-PILE'!$D$74/SUMSQ('TS-PILE'!$D$56:$D$75))),IF('TS-PILE'!$B$75="",-1E+99,'TO HOP NLAN'!D121/ncoc+IF(SUMSQ('TS-PILE'!$E$56:$E$75)=0,0,'TO HOP NLAN'!E121*'TS-PILE'!$E$75/SUMSQ('TS-PILE'!$E$56:$E$75))+IF(SUMSQ('TS-PILE'!$D$56:$D$75)=0,0,'TO HOP NLAN'!F121*'TS-PILE'!$D$75/SUMSQ('TS-PILE'!$D$56:$D$75)))))</f>
        <v>0</v>
      </c>
      <c r="D121" s="46">
        <f>IF(A121="",0,MIN(IF('TS-PILE'!$B$56="",1E+99,'TO HOP NLAN'!D121/ncoc+IF(SUMSQ('TS-PILE'!$E$56:$E$75)=0,0,'TO HOP NLAN'!E121*'TS-PILE'!$E$56/SUMSQ('TS-PILE'!$E$56:$E$75))+IF(SUMSQ('TS-PILE'!$D$56:$D$75)=0,0,'TO HOP NLAN'!F121*'TS-PILE'!$D$56/SUMSQ('TS-PILE'!$D$56:$D$75))),IF('TS-PILE'!$B$57="",1E+99,'TO HOP NLAN'!D121/ncoc+IF(SUMSQ('TS-PILE'!$E$56:$E$75)=0,0,'TO HOP NLAN'!E121*'TS-PILE'!$E$57/SUMSQ('TS-PILE'!$E$56:$E$75))+IF(SUMSQ('TS-PILE'!$D$56:$D$75)=0,0,'TO HOP NLAN'!F121*'TS-PILE'!$D$57/SUMSQ('TS-PILE'!$D$56:$D$75))),IF('TS-PILE'!$B$58="",1E+99,'TO HOP NLAN'!D121/ncoc+IF(SUMSQ('TS-PILE'!$E$56:$E$75)=0,0,'TO HOP NLAN'!E121*'TS-PILE'!$E$58/SUMSQ('TS-PILE'!$E$56:$E$75))+IF(SUMSQ('TS-PILE'!$D$56:$D$75)=0,0,'TO HOP NLAN'!F121*'TS-PILE'!$D$58/SUMSQ('TS-PILE'!$D$56:$D$75))),IF('TS-PILE'!$B$59="",1E+99,'TO HOP NLAN'!D121/ncoc+IF(SUMSQ('TS-PILE'!$E$56:$E$75)=0,0,'TO HOP NLAN'!E121*'TS-PILE'!$E$59/SUMSQ('TS-PILE'!$E$56:$E$75))+IF(SUMSQ('TS-PILE'!$D$56:$D$75)=0,0,'TO HOP NLAN'!F121*'TS-PILE'!$D$59/SUMSQ('TS-PILE'!$D$56:$D$75))),IF('TS-PILE'!$B$60="",1E+99,'TO HOP NLAN'!D121/ncoc+IF(SUMSQ('TS-PILE'!$E$56:$E$75)=0,0,'TO HOP NLAN'!E121*'TS-PILE'!$E$60/SUMSQ('TS-PILE'!$E$56:$E$75))+IF(SUMSQ('TS-PILE'!$D$56:$D$75)=0,0,'TO HOP NLAN'!F121*'TS-PILE'!$D$60/SUMSQ('TS-PILE'!$D$56:$D$75))),IF('TS-PILE'!$B$61="",1E+99,'TO HOP NLAN'!D121/ncoc+IF(SUMSQ('TS-PILE'!$E$56:$E$75)=0,0,'TO HOP NLAN'!E121*'TS-PILE'!$E$61/SUMSQ('TS-PILE'!$E$56:$E$75))+IF(SUMSQ('TS-PILE'!$D$56:$D$75)=0,0,'TO HOP NLAN'!F121*'TS-PILE'!$D$61/SUMSQ('TS-PILE'!$D$56:$D$75))),IF('TS-PILE'!$B$62="",1E+99,'TO HOP NLAN'!D121/ncoc+IF(SUMSQ('TS-PILE'!$E$56:$E$75)=0,0,'TO HOP NLAN'!E121*'TS-PILE'!$E$62/SUMSQ('TS-PILE'!$E$56:$E$75))+IF(SUMSQ('TS-PILE'!$D$56:$D$75)=0,0,'TO HOP NLAN'!F121*'TS-PILE'!$D$62/SUMSQ('TS-PILE'!$D$56:$D$75))),IF('TS-PILE'!$B$63="",1E+99,'TO HOP NLAN'!D121/ncoc+IF(SUMSQ('TS-PILE'!$E$56:$E$75)=0,0,'TO HOP NLAN'!E121*'TS-PILE'!$E$63/SUMSQ('TS-PILE'!$E$56:$E$75))+IF(SUMSQ('TS-PILE'!$D$56:$D$75)=0,0,'TO HOP NLAN'!F121*'TS-PILE'!$D$63/SUMSQ('TS-PILE'!$D$56:$D$75))),IF('TS-PILE'!$B$64="",1E+99,'TO HOP NLAN'!D121/ncoc+IF(SUMSQ('TS-PILE'!$E$56:$E$75)=0,0,'TO HOP NLAN'!E121*'TS-PILE'!$E$64/SUMSQ('TS-PILE'!$E$56:$E$75))+IF(SUMSQ('TS-PILE'!$D$56:$D$75)=0,0,'TO HOP NLAN'!F121*'TS-PILE'!$D$64/SUMSQ('TS-PILE'!$D$56:$D$75))),IF('TS-PILE'!$B$65="",1E+99,'TO HOP NLAN'!D121/ncoc+IF(SUMSQ('TS-PILE'!$E$56:$E$75)=0,0,'TO HOP NLAN'!E121*'TS-PILE'!$E$65/SUMSQ('TS-PILE'!$E$56:$E$75))+IF(SUMSQ('TS-PILE'!$D$56:$D$75)=0,0,'TO HOP NLAN'!F121*'TS-PILE'!$D$65/SUMSQ('TS-PILE'!$D$56:$D$75))),IF('TS-PILE'!$B$66="",1E+99,'TO HOP NLAN'!D121/ncoc+IF(SUMSQ('TS-PILE'!$E$56:$E$75)=0,0,'TO HOP NLAN'!E121*'TS-PILE'!$E$66/SUMSQ('TS-PILE'!$E$56:$E$75))+IF(SUMSQ('TS-PILE'!$D$56:$D$75)=0,0,'TO HOP NLAN'!F121*'TS-PILE'!$D$66/SUMSQ('TS-PILE'!$D$56:$D$75))),IF('TS-PILE'!$B$67="",1E+99,'TO HOP NLAN'!D121/ncoc+IF(SUMSQ('TS-PILE'!$E$56:$E$75)=0,0,'TO HOP NLAN'!E121*'TS-PILE'!$E$67/SUMSQ('TS-PILE'!$E$56:$E$75))+IF(SUMSQ('TS-PILE'!$D$56:$D$75)=0,0,'TO HOP NLAN'!F121*'TS-PILE'!$D$67/SUMSQ('TS-PILE'!$D$56:$D$75))),IF('TS-PILE'!$B$68="",1E+99,'TO HOP NLAN'!D121/ncoc+IF(SUMSQ('TS-PILE'!$E$56:$E$75)=0,0,'TO HOP NLAN'!E121*'TS-PILE'!$E$68/SUMSQ('TS-PILE'!$E$56:$E$75))+IF(SUMSQ('TS-PILE'!$D$56:$D$75)=0,0,'TO HOP NLAN'!F121*'TS-PILE'!$D$68/SUMSQ('TS-PILE'!$D$56:$D$75))),IF('TS-PILE'!$B$69="",1E+99,'TO HOP NLAN'!D121/ncoc+IF(SUMSQ('TS-PILE'!$E$56:$E$75)=0,0,'TO HOP NLAN'!E121*'TS-PILE'!$E$69/SUMSQ('TS-PILE'!$E$56:$E$75))+IF(SUMSQ('TS-PILE'!$D$56:$D$75)=0,0,'TO HOP NLAN'!F121*'TS-PILE'!$D$69/SUMSQ('TS-PILE'!$D$56:$D$75))),IF('TS-PILE'!$B$70="",1E+99,'TO HOP NLAN'!D121/ncoc+IF(SUMSQ('TS-PILE'!$E$56:$E$75)=0,0,'TO HOP NLAN'!E121*'TS-PILE'!$E$70/SUMSQ('TS-PILE'!$E$56:$E$75))+IF(SUMSQ('TS-PILE'!$D$56:$D$75)=0,0,'TO HOP NLAN'!F121*'TS-PILE'!$D$70/SUMSQ('TS-PILE'!$D$56:$D$75))),IF('TS-PILE'!$B$71="",1E+99,'TO HOP NLAN'!D121/ncoc+IF(SUMSQ('TS-PILE'!$E$56:$E$75)=0,0,'TO HOP NLAN'!E121*'TS-PILE'!$E$71/SUMSQ('TS-PILE'!$E$56:$E$75))+IF(SUMSQ('TS-PILE'!$D$56:$D$75)=0,0,'TO HOP NLAN'!F121*'TS-PILE'!$D$71/SUMSQ('TS-PILE'!$D$56:$D$75))),IF('TS-PILE'!$B$72="",1E+99,'TO HOP NLAN'!D121/ncoc+IF(SUMSQ('TS-PILE'!$E$56:$E$75)=0,0,'TO HOP NLAN'!E121*'TS-PILE'!$E$72/SUMSQ('TS-PILE'!$E$56:$E$75))+IF(SUMSQ('TS-PILE'!$D$56:$D$75)=0,0,'TO HOP NLAN'!F121*'TS-PILE'!$D$72/SUMSQ('TS-PILE'!$D$56:$D$75))),IF('TS-PILE'!$B$73="",1E+99,'TO HOP NLAN'!D121/ncoc+IF(SUMSQ('TS-PILE'!$E$56:$E$75)=0,0,'TO HOP NLAN'!E121*'TS-PILE'!$E$73/SUMSQ('TS-PILE'!$E$56:$E$75))+IF(SUMSQ('TS-PILE'!$D$56:$D$75)=0,0,'TO HOP NLAN'!F121*'TS-PILE'!$D$73/SUMSQ('TS-PILE'!$D$56:$D$75))),IF('TS-PILE'!$B$74="",1E+99,'TO HOP NLAN'!D121/ncoc+IF(SUMSQ('TS-PILE'!$E$56:$E$75)=0,0,'TO HOP NLAN'!E121*'TS-PILE'!$E$74/SUMSQ('TS-PILE'!$E$56:$E$75))+IF(SUMSQ('TS-PILE'!$D$56:$D$75)=0,0,'TO HOP NLAN'!F121*'TS-PILE'!$D$74/SUMSQ('TS-PILE'!$D$56:$D$75))),IF('TS-PILE'!$B$75="",1E+99,'TO HOP NLAN'!D121/ncoc+IF(SUMSQ('TS-PILE'!$E$56:$E$75)=0,0,'TO HOP NLAN'!E121*'TS-PILE'!$E$75/SUMSQ('TS-PILE'!$E$56:$E$75))+IF(SUMSQ('TS-PILE'!$D$56:$D$75)=0,0,'TO HOP NLAN'!F121*'TS-PILE'!$D$75/SUMSQ('TS-PILE'!$D$56:$D$75)))))</f>
        <v>0</v>
      </c>
      <c r="E121" s="46">
        <f t="shared" si="4"/>
        <v>-9.9999999999999997E+98</v>
      </c>
      <c r="F121" s="46">
        <f t="shared" si="5"/>
        <v>9.9999999999999997E+98</v>
      </c>
      <c r="G121" s="46">
        <f t="shared" si="6"/>
        <v>-9.9999999999999997E+98</v>
      </c>
      <c r="H121" s="46">
        <f t="shared" si="7"/>
        <v>9.9999999999999997E+98</v>
      </c>
    </row>
    <row r="122" spans="1:8" x14ac:dyDescent="0.3">
      <c r="A122" s="40" t="str">
        <f>'TO HOP NLAN'!A122</f>
        <v/>
      </c>
      <c r="B122" s="40" t="str">
        <f>'TO HOP NLAN'!L122</f>
        <v>STRENGTH</v>
      </c>
      <c r="C122" s="46">
        <f>IF(A122="",0,MAX(IF('TS-PILE'!$B$56="",-1E+99,'TO HOP NLAN'!D122/ncoc+IF(SUMSQ('TS-PILE'!$E$56:$E$75)=0,0,'TO HOP NLAN'!E122*'TS-PILE'!$E$56/SUMSQ('TS-PILE'!$E$56:$E$75))+IF(SUMSQ('TS-PILE'!$D$56:$D$75)=0,0,'TO HOP NLAN'!F122*'TS-PILE'!$D$56/SUMSQ('TS-PILE'!$D$56:$D$75))),IF('TS-PILE'!$B$57="",-1E+99,'TO HOP NLAN'!D122/ncoc+IF(SUMSQ('TS-PILE'!$E$56:$E$75)=0,0,'TO HOP NLAN'!E122*'TS-PILE'!$E$57/SUMSQ('TS-PILE'!$E$56:$E$75))+IF(SUMSQ('TS-PILE'!$D$56:$D$75)=0,0,'TO HOP NLAN'!F122*'TS-PILE'!$D$57/SUMSQ('TS-PILE'!$D$56:$D$75))),IF('TS-PILE'!$B$58="",-1E+99,'TO HOP NLAN'!D122/ncoc+IF(SUMSQ('TS-PILE'!$E$56:$E$75)=0,0,'TO HOP NLAN'!E122*'TS-PILE'!$E$58/SUMSQ('TS-PILE'!$E$56:$E$75))+IF(SUMSQ('TS-PILE'!$D$56:$D$75)=0,0,'TO HOP NLAN'!F122*'TS-PILE'!$D$58/SUMSQ('TS-PILE'!$D$56:$D$75))),IF('TS-PILE'!$B$59="",-1E+99,'TO HOP NLAN'!D122/ncoc+IF(SUMSQ('TS-PILE'!$E$56:$E$75)=0,0,'TO HOP NLAN'!E122*'TS-PILE'!$E$59/SUMSQ('TS-PILE'!$E$56:$E$75))+IF(SUMSQ('TS-PILE'!$D$56:$D$75)=0,0,'TO HOP NLAN'!F122*'TS-PILE'!$D$59/SUMSQ('TS-PILE'!$D$56:$D$75))),IF('TS-PILE'!$B$60="",-1E+99,'TO HOP NLAN'!D122/ncoc+IF(SUMSQ('TS-PILE'!$E$56:$E$75)=0,0,'TO HOP NLAN'!E122*'TS-PILE'!$E$60/SUMSQ('TS-PILE'!$E$56:$E$75))+IF(SUMSQ('TS-PILE'!$D$56:$D$75)=0,0,'TO HOP NLAN'!F122*'TS-PILE'!$D$60/SUMSQ('TS-PILE'!$D$56:$D$75))),IF('TS-PILE'!$B$61="",-1E+99,'TO HOP NLAN'!D122/ncoc+IF(SUMSQ('TS-PILE'!$E$56:$E$75)=0,0,'TO HOP NLAN'!E122*'TS-PILE'!$E$61/SUMSQ('TS-PILE'!$E$56:$E$75))+IF(SUMSQ('TS-PILE'!$D$56:$D$75)=0,0,'TO HOP NLAN'!F122*'TS-PILE'!$D$61/SUMSQ('TS-PILE'!$D$56:$D$75))),IF('TS-PILE'!$B$62="",-1E+99,'TO HOP NLAN'!D122/ncoc+IF(SUMSQ('TS-PILE'!$E$56:$E$75)=0,0,'TO HOP NLAN'!E122*'TS-PILE'!$E$62/SUMSQ('TS-PILE'!$E$56:$E$75))+IF(SUMSQ('TS-PILE'!$D$56:$D$75)=0,0,'TO HOP NLAN'!F122*'TS-PILE'!$D$62/SUMSQ('TS-PILE'!$D$56:$D$75))),IF('TS-PILE'!$B$63="",-1E+99,'TO HOP NLAN'!D122/ncoc+IF(SUMSQ('TS-PILE'!$E$56:$E$75)=0,0,'TO HOP NLAN'!E122*'TS-PILE'!$E$63/SUMSQ('TS-PILE'!$E$56:$E$75))+IF(SUMSQ('TS-PILE'!$D$56:$D$75)=0,0,'TO HOP NLAN'!F122*'TS-PILE'!$D$63/SUMSQ('TS-PILE'!$D$56:$D$75))),IF('TS-PILE'!$B$64="",-1E+99,'TO HOP NLAN'!D122/ncoc+IF(SUMSQ('TS-PILE'!$E$56:$E$75)=0,0,'TO HOP NLAN'!E122*'TS-PILE'!$E$64/SUMSQ('TS-PILE'!$E$56:$E$75))+IF(SUMSQ('TS-PILE'!$D$56:$D$75)=0,0,'TO HOP NLAN'!F122*'TS-PILE'!$D$64/SUMSQ('TS-PILE'!$D$56:$D$75))),IF('TS-PILE'!$B$65="",-1E+99,'TO HOP NLAN'!D122/ncoc+IF(SUMSQ('TS-PILE'!$E$56:$E$75)=0,0,'TO HOP NLAN'!E122*'TS-PILE'!$E$65/SUMSQ('TS-PILE'!$E$56:$E$75))+IF(SUMSQ('TS-PILE'!$D$56:$D$75)=0,0,'TO HOP NLAN'!F122*'TS-PILE'!$D$65/SUMSQ('TS-PILE'!$D$56:$D$75))),IF('TS-PILE'!$B$66="",-1E+99,'TO HOP NLAN'!D122/ncoc+IF(SUMSQ('TS-PILE'!$E$56:$E$75)=0,0,'TO HOP NLAN'!E122*'TS-PILE'!$E$66/SUMSQ('TS-PILE'!$E$56:$E$75))+IF(SUMSQ('TS-PILE'!$D$56:$D$75)=0,0,'TO HOP NLAN'!F122*'TS-PILE'!$D$66/SUMSQ('TS-PILE'!$D$56:$D$75))),IF('TS-PILE'!$B$67="",-1E+99,'TO HOP NLAN'!D122/ncoc+IF(SUMSQ('TS-PILE'!$E$56:$E$75)=0,0,'TO HOP NLAN'!E122*'TS-PILE'!$E$67/SUMSQ('TS-PILE'!$E$56:$E$75))+IF(SUMSQ('TS-PILE'!$D$56:$D$75)=0,0,'TO HOP NLAN'!F122*'TS-PILE'!$D$67/SUMSQ('TS-PILE'!$D$56:$D$75))),IF('TS-PILE'!$B$68="",-1E+99,'TO HOP NLAN'!D122/ncoc+IF(SUMSQ('TS-PILE'!$E$56:$E$75)=0,0,'TO HOP NLAN'!E122*'TS-PILE'!$E$68/SUMSQ('TS-PILE'!$E$56:$E$75))+IF(SUMSQ('TS-PILE'!$D$56:$D$75)=0,0,'TO HOP NLAN'!F122*'TS-PILE'!$D$68/SUMSQ('TS-PILE'!$D$56:$D$75))),IF('TS-PILE'!$B$69="",-1E+99,'TO HOP NLAN'!D122/ncoc+IF(SUMSQ('TS-PILE'!$E$56:$E$75)=0,0,'TO HOP NLAN'!E122*'TS-PILE'!$E$69/SUMSQ('TS-PILE'!$E$56:$E$75))+IF(SUMSQ('TS-PILE'!$D$56:$D$75)=0,0,'TO HOP NLAN'!F122*'TS-PILE'!$D$69/SUMSQ('TS-PILE'!$D$56:$D$75))),IF('TS-PILE'!$B$70="",-1E+99,'TO HOP NLAN'!D122/ncoc+IF(SUMSQ('TS-PILE'!$E$56:$E$75)=0,0,'TO HOP NLAN'!E122*'TS-PILE'!$E$70/SUMSQ('TS-PILE'!$E$56:$E$75))+IF(SUMSQ('TS-PILE'!$D$56:$D$75)=0,0,'TO HOP NLAN'!F122*'TS-PILE'!$D$70/SUMSQ('TS-PILE'!$D$56:$D$75))),IF('TS-PILE'!$B$71="",-1E+99,'TO HOP NLAN'!D122/ncoc+IF(SUMSQ('TS-PILE'!$E$56:$E$75)=0,0,'TO HOP NLAN'!E122*'TS-PILE'!$E$71/SUMSQ('TS-PILE'!$E$56:$E$75))+IF(SUMSQ('TS-PILE'!$D$56:$D$75)=0,0,'TO HOP NLAN'!F122*'TS-PILE'!$D$71/SUMSQ('TS-PILE'!$D$56:$D$75))),IF('TS-PILE'!$B$72="",-1E+99,'TO HOP NLAN'!D122/ncoc+IF(SUMSQ('TS-PILE'!$E$56:$E$75)=0,0,'TO HOP NLAN'!E122*'TS-PILE'!$E$72/SUMSQ('TS-PILE'!$E$56:$E$75))+IF(SUMSQ('TS-PILE'!$D$56:$D$75)=0,0,'TO HOP NLAN'!F122*'TS-PILE'!$D$72/SUMSQ('TS-PILE'!$D$56:$D$75))),IF('TS-PILE'!$B$73="",-1E+99,'TO HOP NLAN'!D122/ncoc+IF(SUMSQ('TS-PILE'!$E$56:$E$75)=0,0,'TO HOP NLAN'!E122*'TS-PILE'!$E$73/SUMSQ('TS-PILE'!$E$56:$E$75))+IF(SUMSQ('TS-PILE'!$D$56:$D$75)=0,0,'TO HOP NLAN'!F122*'TS-PILE'!$D$73/SUMSQ('TS-PILE'!$D$56:$D$75))),IF('TS-PILE'!$B$74="",-1E+99,'TO HOP NLAN'!D122/ncoc+IF(SUMSQ('TS-PILE'!$E$56:$E$75)=0,0,'TO HOP NLAN'!E122*'TS-PILE'!$E$74/SUMSQ('TS-PILE'!$E$56:$E$75))+IF(SUMSQ('TS-PILE'!$D$56:$D$75)=0,0,'TO HOP NLAN'!F122*'TS-PILE'!$D$74/SUMSQ('TS-PILE'!$D$56:$D$75))),IF('TS-PILE'!$B$75="",-1E+99,'TO HOP NLAN'!D122/ncoc+IF(SUMSQ('TS-PILE'!$E$56:$E$75)=0,0,'TO HOP NLAN'!E122*'TS-PILE'!$E$75/SUMSQ('TS-PILE'!$E$56:$E$75))+IF(SUMSQ('TS-PILE'!$D$56:$D$75)=0,0,'TO HOP NLAN'!F122*'TS-PILE'!$D$75/SUMSQ('TS-PILE'!$D$56:$D$75)))))</f>
        <v>0</v>
      </c>
      <c r="D122" s="46">
        <f>IF(A122="",0,MIN(IF('TS-PILE'!$B$56="",1E+99,'TO HOP NLAN'!D122/ncoc+IF(SUMSQ('TS-PILE'!$E$56:$E$75)=0,0,'TO HOP NLAN'!E122*'TS-PILE'!$E$56/SUMSQ('TS-PILE'!$E$56:$E$75))+IF(SUMSQ('TS-PILE'!$D$56:$D$75)=0,0,'TO HOP NLAN'!F122*'TS-PILE'!$D$56/SUMSQ('TS-PILE'!$D$56:$D$75))),IF('TS-PILE'!$B$57="",1E+99,'TO HOP NLAN'!D122/ncoc+IF(SUMSQ('TS-PILE'!$E$56:$E$75)=0,0,'TO HOP NLAN'!E122*'TS-PILE'!$E$57/SUMSQ('TS-PILE'!$E$56:$E$75))+IF(SUMSQ('TS-PILE'!$D$56:$D$75)=0,0,'TO HOP NLAN'!F122*'TS-PILE'!$D$57/SUMSQ('TS-PILE'!$D$56:$D$75))),IF('TS-PILE'!$B$58="",1E+99,'TO HOP NLAN'!D122/ncoc+IF(SUMSQ('TS-PILE'!$E$56:$E$75)=0,0,'TO HOP NLAN'!E122*'TS-PILE'!$E$58/SUMSQ('TS-PILE'!$E$56:$E$75))+IF(SUMSQ('TS-PILE'!$D$56:$D$75)=0,0,'TO HOP NLAN'!F122*'TS-PILE'!$D$58/SUMSQ('TS-PILE'!$D$56:$D$75))),IF('TS-PILE'!$B$59="",1E+99,'TO HOP NLAN'!D122/ncoc+IF(SUMSQ('TS-PILE'!$E$56:$E$75)=0,0,'TO HOP NLAN'!E122*'TS-PILE'!$E$59/SUMSQ('TS-PILE'!$E$56:$E$75))+IF(SUMSQ('TS-PILE'!$D$56:$D$75)=0,0,'TO HOP NLAN'!F122*'TS-PILE'!$D$59/SUMSQ('TS-PILE'!$D$56:$D$75))),IF('TS-PILE'!$B$60="",1E+99,'TO HOP NLAN'!D122/ncoc+IF(SUMSQ('TS-PILE'!$E$56:$E$75)=0,0,'TO HOP NLAN'!E122*'TS-PILE'!$E$60/SUMSQ('TS-PILE'!$E$56:$E$75))+IF(SUMSQ('TS-PILE'!$D$56:$D$75)=0,0,'TO HOP NLAN'!F122*'TS-PILE'!$D$60/SUMSQ('TS-PILE'!$D$56:$D$75))),IF('TS-PILE'!$B$61="",1E+99,'TO HOP NLAN'!D122/ncoc+IF(SUMSQ('TS-PILE'!$E$56:$E$75)=0,0,'TO HOP NLAN'!E122*'TS-PILE'!$E$61/SUMSQ('TS-PILE'!$E$56:$E$75))+IF(SUMSQ('TS-PILE'!$D$56:$D$75)=0,0,'TO HOP NLAN'!F122*'TS-PILE'!$D$61/SUMSQ('TS-PILE'!$D$56:$D$75))),IF('TS-PILE'!$B$62="",1E+99,'TO HOP NLAN'!D122/ncoc+IF(SUMSQ('TS-PILE'!$E$56:$E$75)=0,0,'TO HOP NLAN'!E122*'TS-PILE'!$E$62/SUMSQ('TS-PILE'!$E$56:$E$75))+IF(SUMSQ('TS-PILE'!$D$56:$D$75)=0,0,'TO HOP NLAN'!F122*'TS-PILE'!$D$62/SUMSQ('TS-PILE'!$D$56:$D$75))),IF('TS-PILE'!$B$63="",1E+99,'TO HOP NLAN'!D122/ncoc+IF(SUMSQ('TS-PILE'!$E$56:$E$75)=0,0,'TO HOP NLAN'!E122*'TS-PILE'!$E$63/SUMSQ('TS-PILE'!$E$56:$E$75))+IF(SUMSQ('TS-PILE'!$D$56:$D$75)=0,0,'TO HOP NLAN'!F122*'TS-PILE'!$D$63/SUMSQ('TS-PILE'!$D$56:$D$75))),IF('TS-PILE'!$B$64="",1E+99,'TO HOP NLAN'!D122/ncoc+IF(SUMSQ('TS-PILE'!$E$56:$E$75)=0,0,'TO HOP NLAN'!E122*'TS-PILE'!$E$64/SUMSQ('TS-PILE'!$E$56:$E$75))+IF(SUMSQ('TS-PILE'!$D$56:$D$75)=0,0,'TO HOP NLAN'!F122*'TS-PILE'!$D$64/SUMSQ('TS-PILE'!$D$56:$D$75))),IF('TS-PILE'!$B$65="",1E+99,'TO HOP NLAN'!D122/ncoc+IF(SUMSQ('TS-PILE'!$E$56:$E$75)=0,0,'TO HOP NLAN'!E122*'TS-PILE'!$E$65/SUMSQ('TS-PILE'!$E$56:$E$75))+IF(SUMSQ('TS-PILE'!$D$56:$D$75)=0,0,'TO HOP NLAN'!F122*'TS-PILE'!$D$65/SUMSQ('TS-PILE'!$D$56:$D$75))),IF('TS-PILE'!$B$66="",1E+99,'TO HOP NLAN'!D122/ncoc+IF(SUMSQ('TS-PILE'!$E$56:$E$75)=0,0,'TO HOP NLAN'!E122*'TS-PILE'!$E$66/SUMSQ('TS-PILE'!$E$56:$E$75))+IF(SUMSQ('TS-PILE'!$D$56:$D$75)=0,0,'TO HOP NLAN'!F122*'TS-PILE'!$D$66/SUMSQ('TS-PILE'!$D$56:$D$75))),IF('TS-PILE'!$B$67="",1E+99,'TO HOP NLAN'!D122/ncoc+IF(SUMSQ('TS-PILE'!$E$56:$E$75)=0,0,'TO HOP NLAN'!E122*'TS-PILE'!$E$67/SUMSQ('TS-PILE'!$E$56:$E$75))+IF(SUMSQ('TS-PILE'!$D$56:$D$75)=0,0,'TO HOP NLAN'!F122*'TS-PILE'!$D$67/SUMSQ('TS-PILE'!$D$56:$D$75))),IF('TS-PILE'!$B$68="",1E+99,'TO HOP NLAN'!D122/ncoc+IF(SUMSQ('TS-PILE'!$E$56:$E$75)=0,0,'TO HOP NLAN'!E122*'TS-PILE'!$E$68/SUMSQ('TS-PILE'!$E$56:$E$75))+IF(SUMSQ('TS-PILE'!$D$56:$D$75)=0,0,'TO HOP NLAN'!F122*'TS-PILE'!$D$68/SUMSQ('TS-PILE'!$D$56:$D$75))),IF('TS-PILE'!$B$69="",1E+99,'TO HOP NLAN'!D122/ncoc+IF(SUMSQ('TS-PILE'!$E$56:$E$75)=0,0,'TO HOP NLAN'!E122*'TS-PILE'!$E$69/SUMSQ('TS-PILE'!$E$56:$E$75))+IF(SUMSQ('TS-PILE'!$D$56:$D$75)=0,0,'TO HOP NLAN'!F122*'TS-PILE'!$D$69/SUMSQ('TS-PILE'!$D$56:$D$75))),IF('TS-PILE'!$B$70="",1E+99,'TO HOP NLAN'!D122/ncoc+IF(SUMSQ('TS-PILE'!$E$56:$E$75)=0,0,'TO HOP NLAN'!E122*'TS-PILE'!$E$70/SUMSQ('TS-PILE'!$E$56:$E$75))+IF(SUMSQ('TS-PILE'!$D$56:$D$75)=0,0,'TO HOP NLAN'!F122*'TS-PILE'!$D$70/SUMSQ('TS-PILE'!$D$56:$D$75))),IF('TS-PILE'!$B$71="",1E+99,'TO HOP NLAN'!D122/ncoc+IF(SUMSQ('TS-PILE'!$E$56:$E$75)=0,0,'TO HOP NLAN'!E122*'TS-PILE'!$E$71/SUMSQ('TS-PILE'!$E$56:$E$75))+IF(SUMSQ('TS-PILE'!$D$56:$D$75)=0,0,'TO HOP NLAN'!F122*'TS-PILE'!$D$71/SUMSQ('TS-PILE'!$D$56:$D$75))),IF('TS-PILE'!$B$72="",1E+99,'TO HOP NLAN'!D122/ncoc+IF(SUMSQ('TS-PILE'!$E$56:$E$75)=0,0,'TO HOP NLAN'!E122*'TS-PILE'!$E$72/SUMSQ('TS-PILE'!$E$56:$E$75))+IF(SUMSQ('TS-PILE'!$D$56:$D$75)=0,0,'TO HOP NLAN'!F122*'TS-PILE'!$D$72/SUMSQ('TS-PILE'!$D$56:$D$75))),IF('TS-PILE'!$B$73="",1E+99,'TO HOP NLAN'!D122/ncoc+IF(SUMSQ('TS-PILE'!$E$56:$E$75)=0,0,'TO HOP NLAN'!E122*'TS-PILE'!$E$73/SUMSQ('TS-PILE'!$E$56:$E$75))+IF(SUMSQ('TS-PILE'!$D$56:$D$75)=0,0,'TO HOP NLAN'!F122*'TS-PILE'!$D$73/SUMSQ('TS-PILE'!$D$56:$D$75))),IF('TS-PILE'!$B$74="",1E+99,'TO HOP NLAN'!D122/ncoc+IF(SUMSQ('TS-PILE'!$E$56:$E$75)=0,0,'TO HOP NLAN'!E122*'TS-PILE'!$E$74/SUMSQ('TS-PILE'!$E$56:$E$75))+IF(SUMSQ('TS-PILE'!$D$56:$D$75)=0,0,'TO HOP NLAN'!F122*'TS-PILE'!$D$74/SUMSQ('TS-PILE'!$D$56:$D$75))),IF('TS-PILE'!$B$75="",1E+99,'TO HOP NLAN'!D122/ncoc+IF(SUMSQ('TS-PILE'!$E$56:$E$75)=0,0,'TO HOP NLAN'!E122*'TS-PILE'!$E$75/SUMSQ('TS-PILE'!$E$56:$E$75))+IF(SUMSQ('TS-PILE'!$D$56:$D$75)=0,0,'TO HOP NLAN'!F122*'TS-PILE'!$D$75/SUMSQ('TS-PILE'!$D$56:$D$75)))))</f>
        <v>0</v>
      </c>
      <c r="E122" s="46">
        <f t="shared" si="4"/>
        <v>-9.9999999999999997E+98</v>
      </c>
      <c r="F122" s="46">
        <f t="shared" si="5"/>
        <v>9.9999999999999997E+98</v>
      </c>
      <c r="G122" s="46">
        <f t="shared" si="6"/>
        <v>-9.9999999999999997E+98</v>
      </c>
      <c r="H122" s="46">
        <f t="shared" si="7"/>
        <v>9.9999999999999997E+98</v>
      </c>
    </row>
    <row r="123" spans="1:8" x14ac:dyDescent="0.3">
      <c r="A123" s="40" t="str">
        <f>'TO HOP NLAN'!A123</f>
        <v/>
      </c>
      <c r="B123" s="40" t="str">
        <f>'TO HOP NLAN'!L123</f>
        <v>STRENGTH</v>
      </c>
      <c r="C123" s="46">
        <f>IF(A123="",0,MAX(IF('TS-PILE'!$B$56="",-1E+99,'TO HOP NLAN'!D123/ncoc+IF(SUMSQ('TS-PILE'!$E$56:$E$75)=0,0,'TO HOP NLAN'!E123*'TS-PILE'!$E$56/SUMSQ('TS-PILE'!$E$56:$E$75))+IF(SUMSQ('TS-PILE'!$D$56:$D$75)=0,0,'TO HOP NLAN'!F123*'TS-PILE'!$D$56/SUMSQ('TS-PILE'!$D$56:$D$75))),IF('TS-PILE'!$B$57="",-1E+99,'TO HOP NLAN'!D123/ncoc+IF(SUMSQ('TS-PILE'!$E$56:$E$75)=0,0,'TO HOP NLAN'!E123*'TS-PILE'!$E$57/SUMSQ('TS-PILE'!$E$56:$E$75))+IF(SUMSQ('TS-PILE'!$D$56:$D$75)=0,0,'TO HOP NLAN'!F123*'TS-PILE'!$D$57/SUMSQ('TS-PILE'!$D$56:$D$75))),IF('TS-PILE'!$B$58="",-1E+99,'TO HOP NLAN'!D123/ncoc+IF(SUMSQ('TS-PILE'!$E$56:$E$75)=0,0,'TO HOP NLAN'!E123*'TS-PILE'!$E$58/SUMSQ('TS-PILE'!$E$56:$E$75))+IF(SUMSQ('TS-PILE'!$D$56:$D$75)=0,0,'TO HOP NLAN'!F123*'TS-PILE'!$D$58/SUMSQ('TS-PILE'!$D$56:$D$75))),IF('TS-PILE'!$B$59="",-1E+99,'TO HOP NLAN'!D123/ncoc+IF(SUMSQ('TS-PILE'!$E$56:$E$75)=0,0,'TO HOP NLAN'!E123*'TS-PILE'!$E$59/SUMSQ('TS-PILE'!$E$56:$E$75))+IF(SUMSQ('TS-PILE'!$D$56:$D$75)=0,0,'TO HOP NLAN'!F123*'TS-PILE'!$D$59/SUMSQ('TS-PILE'!$D$56:$D$75))),IF('TS-PILE'!$B$60="",-1E+99,'TO HOP NLAN'!D123/ncoc+IF(SUMSQ('TS-PILE'!$E$56:$E$75)=0,0,'TO HOP NLAN'!E123*'TS-PILE'!$E$60/SUMSQ('TS-PILE'!$E$56:$E$75))+IF(SUMSQ('TS-PILE'!$D$56:$D$75)=0,0,'TO HOP NLAN'!F123*'TS-PILE'!$D$60/SUMSQ('TS-PILE'!$D$56:$D$75))),IF('TS-PILE'!$B$61="",-1E+99,'TO HOP NLAN'!D123/ncoc+IF(SUMSQ('TS-PILE'!$E$56:$E$75)=0,0,'TO HOP NLAN'!E123*'TS-PILE'!$E$61/SUMSQ('TS-PILE'!$E$56:$E$75))+IF(SUMSQ('TS-PILE'!$D$56:$D$75)=0,0,'TO HOP NLAN'!F123*'TS-PILE'!$D$61/SUMSQ('TS-PILE'!$D$56:$D$75))),IF('TS-PILE'!$B$62="",-1E+99,'TO HOP NLAN'!D123/ncoc+IF(SUMSQ('TS-PILE'!$E$56:$E$75)=0,0,'TO HOP NLAN'!E123*'TS-PILE'!$E$62/SUMSQ('TS-PILE'!$E$56:$E$75))+IF(SUMSQ('TS-PILE'!$D$56:$D$75)=0,0,'TO HOP NLAN'!F123*'TS-PILE'!$D$62/SUMSQ('TS-PILE'!$D$56:$D$75))),IF('TS-PILE'!$B$63="",-1E+99,'TO HOP NLAN'!D123/ncoc+IF(SUMSQ('TS-PILE'!$E$56:$E$75)=0,0,'TO HOP NLAN'!E123*'TS-PILE'!$E$63/SUMSQ('TS-PILE'!$E$56:$E$75))+IF(SUMSQ('TS-PILE'!$D$56:$D$75)=0,0,'TO HOP NLAN'!F123*'TS-PILE'!$D$63/SUMSQ('TS-PILE'!$D$56:$D$75))),IF('TS-PILE'!$B$64="",-1E+99,'TO HOP NLAN'!D123/ncoc+IF(SUMSQ('TS-PILE'!$E$56:$E$75)=0,0,'TO HOP NLAN'!E123*'TS-PILE'!$E$64/SUMSQ('TS-PILE'!$E$56:$E$75))+IF(SUMSQ('TS-PILE'!$D$56:$D$75)=0,0,'TO HOP NLAN'!F123*'TS-PILE'!$D$64/SUMSQ('TS-PILE'!$D$56:$D$75))),IF('TS-PILE'!$B$65="",-1E+99,'TO HOP NLAN'!D123/ncoc+IF(SUMSQ('TS-PILE'!$E$56:$E$75)=0,0,'TO HOP NLAN'!E123*'TS-PILE'!$E$65/SUMSQ('TS-PILE'!$E$56:$E$75))+IF(SUMSQ('TS-PILE'!$D$56:$D$75)=0,0,'TO HOP NLAN'!F123*'TS-PILE'!$D$65/SUMSQ('TS-PILE'!$D$56:$D$75))),IF('TS-PILE'!$B$66="",-1E+99,'TO HOP NLAN'!D123/ncoc+IF(SUMSQ('TS-PILE'!$E$56:$E$75)=0,0,'TO HOP NLAN'!E123*'TS-PILE'!$E$66/SUMSQ('TS-PILE'!$E$56:$E$75))+IF(SUMSQ('TS-PILE'!$D$56:$D$75)=0,0,'TO HOP NLAN'!F123*'TS-PILE'!$D$66/SUMSQ('TS-PILE'!$D$56:$D$75))),IF('TS-PILE'!$B$67="",-1E+99,'TO HOP NLAN'!D123/ncoc+IF(SUMSQ('TS-PILE'!$E$56:$E$75)=0,0,'TO HOP NLAN'!E123*'TS-PILE'!$E$67/SUMSQ('TS-PILE'!$E$56:$E$75))+IF(SUMSQ('TS-PILE'!$D$56:$D$75)=0,0,'TO HOP NLAN'!F123*'TS-PILE'!$D$67/SUMSQ('TS-PILE'!$D$56:$D$75))),IF('TS-PILE'!$B$68="",-1E+99,'TO HOP NLAN'!D123/ncoc+IF(SUMSQ('TS-PILE'!$E$56:$E$75)=0,0,'TO HOP NLAN'!E123*'TS-PILE'!$E$68/SUMSQ('TS-PILE'!$E$56:$E$75))+IF(SUMSQ('TS-PILE'!$D$56:$D$75)=0,0,'TO HOP NLAN'!F123*'TS-PILE'!$D$68/SUMSQ('TS-PILE'!$D$56:$D$75))),IF('TS-PILE'!$B$69="",-1E+99,'TO HOP NLAN'!D123/ncoc+IF(SUMSQ('TS-PILE'!$E$56:$E$75)=0,0,'TO HOP NLAN'!E123*'TS-PILE'!$E$69/SUMSQ('TS-PILE'!$E$56:$E$75))+IF(SUMSQ('TS-PILE'!$D$56:$D$75)=0,0,'TO HOP NLAN'!F123*'TS-PILE'!$D$69/SUMSQ('TS-PILE'!$D$56:$D$75))),IF('TS-PILE'!$B$70="",-1E+99,'TO HOP NLAN'!D123/ncoc+IF(SUMSQ('TS-PILE'!$E$56:$E$75)=0,0,'TO HOP NLAN'!E123*'TS-PILE'!$E$70/SUMSQ('TS-PILE'!$E$56:$E$75))+IF(SUMSQ('TS-PILE'!$D$56:$D$75)=0,0,'TO HOP NLAN'!F123*'TS-PILE'!$D$70/SUMSQ('TS-PILE'!$D$56:$D$75))),IF('TS-PILE'!$B$71="",-1E+99,'TO HOP NLAN'!D123/ncoc+IF(SUMSQ('TS-PILE'!$E$56:$E$75)=0,0,'TO HOP NLAN'!E123*'TS-PILE'!$E$71/SUMSQ('TS-PILE'!$E$56:$E$75))+IF(SUMSQ('TS-PILE'!$D$56:$D$75)=0,0,'TO HOP NLAN'!F123*'TS-PILE'!$D$71/SUMSQ('TS-PILE'!$D$56:$D$75))),IF('TS-PILE'!$B$72="",-1E+99,'TO HOP NLAN'!D123/ncoc+IF(SUMSQ('TS-PILE'!$E$56:$E$75)=0,0,'TO HOP NLAN'!E123*'TS-PILE'!$E$72/SUMSQ('TS-PILE'!$E$56:$E$75))+IF(SUMSQ('TS-PILE'!$D$56:$D$75)=0,0,'TO HOP NLAN'!F123*'TS-PILE'!$D$72/SUMSQ('TS-PILE'!$D$56:$D$75))),IF('TS-PILE'!$B$73="",-1E+99,'TO HOP NLAN'!D123/ncoc+IF(SUMSQ('TS-PILE'!$E$56:$E$75)=0,0,'TO HOP NLAN'!E123*'TS-PILE'!$E$73/SUMSQ('TS-PILE'!$E$56:$E$75))+IF(SUMSQ('TS-PILE'!$D$56:$D$75)=0,0,'TO HOP NLAN'!F123*'TS-PILE'!$D$73/SUMSQ('TS-PILE'!$D$56:$D$75))),IF('TS-PILE'!$B$74="",-1E+99,'TO HOP NLAN'!D123/ncoc+IF(SUMSQ('TS-PILE'!$E$56:$E$75)=0,0,'TO HOP NLAN'!E123*'TS-PILE'!$E$74/SUMSQ('TS-PILE'!$E$56:$E$75))+IF(SUMSQ('TS-PILE'!$D$56:$D$75)=0,0,'TO HOP NLAN'!F123*'TS-PILE'!$D$74/SUMSQ('TS-PILE'!$D$56:$D$75))),IF('TS-PILE'!$B$75="",-1E+99,'TO HOP NLAN'!D123/ncoc+IF(SUMSQ('TS-PILE'!$E$56:$E$75)=0,0,'TO HOP NLAN'!E123*'TS-PILE'!$E$75/SUMSQ('TS-PILE'!$E$56:$E$75))+IF(SUMSQ('TS-PILE'!$D$56:$D$75)=0,0,'TO HOP NLAN'!F123*'TS-PILE'!$D$75/SUMSQ('TS-PILE'!$D$56:$D$75)))))</f>
        <v>0</v>
      </c>
      <c r="D123" s="46">
        <f>IF(A123="",0,MIN(IF('TS-PILE'!$B$56="",1E+99,'TO HOP NLAN'!D123/ncoc+IF(SUMSQ('TS-PILE'!$E$56:$E$75)=0,0,'TO HOP NLAN'!E123*'TS-PILE'!$E$56/SUMSQ('TS-PILE'!$E$56:$E$75))+IF(SUMSQ('TS-PILE'!$D$56:$D$75)=0,0,'TO HOP NLAN'!F123*'TS-PILE'!$D$56/SUMSQ('TS-PILE'!$D$56:$D$75))),IF('TS-PILE'!$B$57="",1E+99,'TO HOP NLAN'!D123/ncoc+IF(SUMSQ('TS-PILE'!$E$56:$E$75)=0,0,'TO HOP NLAN'!E123*'TS-PILE'!$E$57/SUMSQ('TS-PILE'!$E$56:$E$75))+IF(SUMSQ('TS-PILE'!$D$56:$D$75)=0,0,'TO HOP NLAN'!F123*'TS-PILE'!$D$57/SUMSQ('TS-PILE'!$D$56:$D$75))),IF('TS-PILE'!$B$58="",1E+99,'TO HOP NLAN'!D123/ncoc+IF(SUMSQ('TS-PILE'!$E$56:$E$75)=0,0,'TO HOP NLAN'!E123*'TS-PILE'!$E$58/SUMSQ('TS-PILE'!$E$56:$E$75))+IF(SUMSQ('TS-PILE'!$D$56:$D$75)=0,0,'TO HOP NLAN'!F123*'TS-PILE'!$D$58/SUMSQ('TS-PILE'!$D$56:$D$75))),IF('TS-PILE'!$B$59="",1E+99,'TO HOP NLAN'!D123/ncoc+IF(SUMSQ('TS-PILE'!$E$56:$E$75)=0,0,'TO HOP NLAN'!E123*'TS-PILE'!$E$59/SUMSQ('TS-PILE'!$E$56:$E$75))+IF(SUMSQ('TS-PILE'!$D$56:$D$75)=0,0,'TO HOP NLAN'!F123*'TS-PILE'!$D$59/SUMSQ('TS-PILE'!$D$56:$D$75))),IF('TS-PILE'!$B$60="",1E+99,'TO HOP NLAN'!D123/ncoc+IF(SUMSQ('TS-PILE'!$E$56:$E$75)=0,0,'TO HOP NLAN'!E123*'TS-PILE'!$E$60/SUMSQ('TS-PILE'!$E$56:$E$75))+IF(SUMSQ('TS-PILE'!$D$56:$D$75)=0,0,'TO HOP NLAN'!F123*'TS-PILE'!$D$60/SUMSQ('TS-PILE'!$D$56:$D$75))),IF('TS-PILE'!$B$61="",1E+99,'TO HOP NLAN'!D123/ncoc+IF(SUMSQ('TS-PILE'!$E$56:$E$75)=0,0,'TO HOP NLAN'!E123*'TS-PILE'!$E$61/SUMSQ('TS-PILE'!$E$56:$E$75))+IF(SUMSQ('TS-PILE'!$D$56:$D$75)=0,0,'TO HOP NLAN'!F123*'TS-PILE'!$D$61/SUMSQ('TS-PILE'!$D$56:$D$75))),IF('TS-PILE'!$B$62="",1E+99,'TO HOP NLAN'!D123/ncoc+IF(SUMSQ('TS-PILE'!$E$56:$E$75)=0,0,'TO HOP NLAN'!E123*'TS-PILE'!$E$62/SUMSQ('TS-PILE'!$E$56:$E$75))+IF(SUMSQ('TS-PILE'!$D$56:$D$75)=0,0,'TO HOP NLAN'!F123*'TS-PILE'!$D$62/SUMSQ('TS-PILE'!$D$56:$D$75))),IF('TS-PILE'!$B$63="",1E+99,'TO HOP NLAN'!D123/ncoc+IF(SUMSQ('TS-PILE'!$E$56:$E$75)=0,0,'TO HOP NLAN'!E123*'TS-PILE'!$E$63/SUMSQ('TS-PILE'!$E$56:$E$75))+IF(SUMSQ('TS-PILE'!$D$56:$D$75)=0,0,'TO HOP NLAN'!F123*'TS-PILE'!$D$63/SUMSQ('TS-PILE'!$D$56:$D$75))),IF('TS-PILE'!$B$64="",1E+99,'TO HOP NLAN'!D123/ncoc+IF(SUMSQ('TS-PILE'!$E$56:$E$75)=0,0,'TO HOP NLAN'!E123*'TS-PILE'!$E$64/SUMSQ('TS-PILE'!$E$56:$E$75))+IF(SUMSQ('TS-PILE'!$D$56:$D$75)=0,0,'TO HOP NLAN'!F123*'TS-PILE'!$D$64/SUMSQ('TS-PILE'!$D$56:$D$75))),IF('TS-PILE'!$B$65="",1E+99,'TO HOP NLAN'!D123/ncoc+IF(SUMSQ('TS-PILE'!$E$56:$E$75)=0,0,'TO HOP NLAN'!E123*'TS-PILE'!$E$65/SUMSQ('TS-PILE'!$E$56:$E$75))+IF(SUMSQ('TS-PILE'!$D$56:$D$75)=0,0,'TO HOP NLAN'!F123*'TS-PILE'!$D$65/SUMSQ('TS-PILE'!$D$56:$D$75))),IF('TS-PILE'!$B$66="",1E+99,'TO HOP NLAN'!D123/ncoc+IF(SUMSQ('TS-PILE'!$E$56:$E$75)=0,0,'TO HOP NLAN'!E123*'TS-PILE'!$E$66/SUMSQ('TS-PILE'!$E$56:$E$75))+IF(SUMSQ('TS-PILE'!$D$56:$D$75)=0,0,'TO HOP NLAN'!F123*'TS-PILE'!$D$66/SUMSQ('TS-PILE'!$D$56:$D$75))),IF('TS-PILE'!$B$67="",1E+99,'TO HOP NLAN'!D123/ncoc+IF(SUMSQ('TS-PILE'!$E$56:$E$75)=0,0,'TO HOP NLAN'!E123*'TS-PILE'!$E$67/SUMSQ('TS-PILE'!$E$56:$E$75))+IF(SUMSQ('TS-PILE'!$D$56:$D$75)=0,0,'TO HOP NLAN'!F123*'TS-PILE'!$D$67/SUMSQ('TS-PILE'!$D$56:$D$75))),IF('TS-PILE'!$B$68="",1E+99,'TO HOP NLAN'!D123/ncoc+IF(SUMSQ('TS-PILE'!$E$56:$E$75)=0,0,'TO HOP NLAN'!E123*'TS-PILE'!$E$68/SUMSQ('TS-PILE'!$E$56:$E$75))+IF(SUMSQ('TS-PILE'!$D$56:$D$75)=0,0,'TO HOP NLAN'!F123*'TS-PILE'!$D$68/SUMSQ('TS-PILE'!$D$56:$D$75))),IF('TS-PILE'!$B$69="",1E+99,'TO HOP NLAN'!D123/ncoc+IF(SUMSQ('TS-PILE'!$E$56:$E$75)=0,0,'TO HOP NLAN'!E123*'TS-PILE'!$E$69/SUMSQ('TS-PILE'!$E$56:$E$75))+IF(SUMSQ('TS-PILE'!$D$56:$D$75)=0,0,'TO HOP NLAN'!F123*'TS-PILE'!$D$69/SUMSQ('TS-PILE'!$D$56:$D$75))),IF('TS-PILE'!$B$70="",1E+99,'TO HOP NLAN'!D123/ncoc+IF(SUMSQ('TS-PILE'!$E$56:$E$75)=0,0,'TO HOP NLAN'!E123*'TS-PILE'!$E$70/SUMSQ('TS-PILE'!$E$56:$E$75))+IF(SUMSQ('TS-PILE'!$D$56:$D$75)=0,0,'TO HOP NLAN'!F123*'TS-PILE'!$D$70/SUMSQ('TS-PILE'!$D$56:$D$75))),IF('TS-PILE'!$B$71="",1E+99,'TO HOP NLAN'!D123/ncoc+IF(SUMSQ('TS-PILE'!$E$56:$E$75)=0,0,'TO HOP NLAN'!E123*'TS-PILE'!$E$71/SUMSQ('TS-PILE'!$E$56:$E$75))+IF(SUMSQ('TS-PILE'!$D$56:$D$75)=0,0,'TO HOP NLAN'!F123*'TS-PILE'!$D$71/SUMSQ('TS-PILE'!$D$56:$D$75))),IF('TS-PILE'!$B$72="",1E+99,'TO HOP NLAN'!D123/ncoc+IF(SUMSQ('TS-PILE'!$E$56:$E$75)=0,0,'TO HOP NLAN'!E123*'TS-PILE'!$E$72/SUMSQ('TS-PILE'!$E$56:$E$75))+IF(SUMSQ('TS-PILE'!$D$56:$D$75)=0,0,'TO HOP NLAN'!F123*'TS-PILE'!$D$72/SUMSQ('TS-PILE'!$D$56:$D$75))),IF('TS-PILE'!$B$73="",1E+99,'TO HOP NLAN'!D123/ncoc+IF(SUMSQ('TS-PILE'!$E$56:$E$75)=0,0,'TO HOP NLAN'!E123*'TS-PILE'!$E$73/SUMSQ('TS-PILE'!$E$56:$E$75))+IF(SUMSQ('TS-PILE'!$D$56:$D$75)=0,0,'TO HOP NLAN'!F123*'TS-PILE'!$D$73/SUMSQ('TS-PILE'!$D$56:$D$75))),IF('TS-PILE'!$B$74="",1E+99,'TO HOP NLAN'!D123/ncoc+IF(SUMSQ('TS-PILE'!$E$56:$E$75)=0,0,'TO HOP NLAN'!E123*'TS-PILE'!$E$74/SUMSQ('TS-PILE'!$E$56:$E$75))+IF(SUMSQ('TS-PILE'!$D$56:$D$75)=0,0,'TO HOP NLAN'!F123*'TS-PILE'!$D$74/SUMSQ('TS-PILE'!$D$56:$D$75))),IF('TS-PILE'!$B$75="",1E+99,'TO HOP NLAN'!D123/ncoc+IF(SUMSQ('TS-PILE'!$E$56:$E$75)=0,0,'TO HOP NLAN'!E123*'TS-PILE'!$E$75/SUMSQ('TS-PILE'!$E$56:$E$75))+IF(SUMSQ('TS-PILE'!$D$56:$D$75)=0,0,'TO HOP NLAN'!F123*'TS-PILE'!$D$75/SUMSQ('TS-PILE'!$D$56:$D$75)))))</f>
        <v>0</v>
      </c>
      <c r="E123" s="46">
        <f t="shared" si="4"/>
        <v>-9.9999999999999997E+98</v>
      </c>
      <c r="F123" s="46">
        <f t="shared" si="5"/>
        <v>9.9999999999999997E+98</v>
      </c>
      <c r="G123" s="46">
        <f t="shared" si="6"/>
        <v>-9.9999999999999997E+98</v>
      </c>
      <c r="H123" s="46">
        <f t="shared" si="7"/>
        <v>9.9999999999999997E+98</v>
      </c>
    </row>
    <row r="124" spans="1:8" x14ac:dyDescent="0.3">
      <c r="A124" s="40" t="str">
        <f>'TO HOP NLAN'!A124</f>
        <v/>
      </c>
      <c r="B124" s="40" t="str">
        <f>'TO HOP NLAN'!L124</f>
        <v>STRENGTH</v>
      </c>
      <c r="C124" s="46">
        <f>IF(A124="",0,MAX(IF('TS-PILE'!$B$56="",-1E+99,'TO HOP NLAN'!D124/ncoc+IF(SUMSQ('TS-PILE'!$E$56:$E$75)=0,0,'TO HOP NLAN'!E124*'TS-PILE'!$E$56/SUMSQ('TS-PILE'!$E$56:$E$75))+IF(SUMSQ('TS-PILE'!$D$56:$D$75)=0,0,'TO HOP NLAN'!F124*'TS-PILE'!$D$56/SUMSQ('TS-PILE'!$D$56:$D$75))),IF('TS-PILE'!$B$57="",-1E+99,'TO HOP NLAN'!D124/ncoc+IF(SUMSQ('TS-PILE'!$E$56:$E$75)=0,0,'TO HOP NLAN'!E124*'TS-PILE'!$E$57/SUMSQ('TS-PILE'!$E$56:$E$75))+IF(SUMSQ('TS-PILE'!$D$56:$D$75)=0,0,'TO HOP NLAN'!F124*'TS-PILE'!$D$57/SUMSQ('TS-PILE'!$D$56:$D$75))),IF('TS-PILE'!$B$58="",-1E+99,'TO HOP NLAN'!D124/ncoc+IF(SUMSQ('TS-PILE'!$E$56:$E$75)=0,0,'TO HOP NLAN'!E124*'TS-PILE'!$E$58/SUMSQ('TS-PILE'!$E$56:$E$75))+IF(SUMSQ('TS-PILE'!$D$56:$D$75)=0,0,'TO HOP NLAN'!F124*'TS-PILE'!$D$58/SUMSQ('TS-PILE'!$D$56:$D$75))),IF('TS-PILE'!$B$59="",-1E+99,'TO HOP NLAN'!D124/ncoc+IF(SUMSQ('TS-PILE'!$E$56:$E$75)=0,0,'TO HOP NLAN'!E124*'TS-PILE'!$E$59/SUMSQ('TS-PILE'!$E$56:$E$75))+IF(SUMSQ('TS-PILE'!$D$56:$D$75)=0,0,'TO HOP NLAN'!F124*'TS-PILE'!$D$59/SUMSQ('TS-PILE'!$D$56:$D$75))),IF('TS-PILE'!$B$60="",-1E+99,'TO HOP NLAN'!D124/ncoc+IF(SUMSQ('TS-PILE'!$E$56:$E$75)=0,0,'TO HOP NLAN'!E124*'TS-PILE'!$E$60/SUMSQ('TS-PILE'!$E$56:$E$75))+IF(SUMSQ('TS-PILE'!$D$56:$D$75)=0,0,'TO HOP NLAN'!F124*'TS-PILE'!$D$60/SUMSQ('TS-PILE'!$D$56:$D$75))),IF('TS-PILE'!$B$61="",-1E+99,'TO HOP NLAN'!D124/ncoc+IF(SUMSQ('TS-PILE'!$E$56:$E$75)=0,0,'TO HOP NLAN'!E124*'TS-PILE'!$E$61/SUMSQ('TS-PILE'!$E$56:$E$75))+IF(SUMSQ('TS-PILE'!$D$56:$D$75)=0,0,'TO HOP NLAN'!F124*'TS-PILE'!$D$61/SUMSQ('TS-PILE'!$D$56:$D$75))),IF('TS-PILE'!$B$62="",-1E+99,'TO HOP NLAN'!D124/ncoc+IF(SUMSQ('TS-PILE'!$E$56:$E$75)=0,0,'TO HOP NLAN'!E124*'TS-PILE'!$E$62/SUMSQ('TS-PILE'!$E$56:$E$75))+IF(SUMSQ('TS-PILE'!$D$56:$D$75)=0,0,'TO HOP NLAN'!F124*'TS-PILE'!$D$62/SUMSQ('TS-PILE'!$D$56:$D$75))),IF('TS-PILE'!$B$63="",-1E+99,'TO HOP NLAN'!D124/ncoc+IF(SUMSQ('TS-PILE'!$E$56:$E$75)=0,0,'TO HOP NLAN'!E124*'TS-PILE'!$E$63/SUMSQ('TS-PILE'!$E$56:$E$75))+IF(SUMSQ('TS-PILE'!$D$56:$D$75)=0,0,'TO HOP NLAN'!F124*'TS-PILE'!$D$63/SUMSQ('TS-PILE'!$D$56:$D$75))),IF('TS-PILE'!$B$64="",-1E+99,'TO HOP NLAN'!D124/ncoc+IF(SUMSQ('TS-PILE'!$E$56:$E$75)=0,0,'TO HOP NLAN'!E124*'TS-PILE'!$E$64/SUMSQ('TS-PILE'!$E$56:$E$75))+IF(SUMSQ('TS-PILE'!$D$56:$D$75)=0,0,'TO HOP NLAN'!F124*'TS-PILE'!$D$64/SUMSQ('TS-PILE'!$D$56:$D$75))),IF('TS-PILE'!$B$65="",-1E+99,'TO HOP NLAN'!D124/ncoc+IF(SUMSQ('TS-PILE'!$E$56:$E$75)=0,0,'TO HOP NLAN'!E124*'TS-PILE'!$E$65/SUMSQ('TS-PILE'!$E$56:$E$75))+IF(SUMSQ('TS-PILE'!$D$56:$D$75)=0,0,'TO HOP NLAN'!F124*'TS-PILE'!$D$65/SUMSQ('TS-PILE'!$D$56:$D$75))),IF('TS-PILE'!$B$66="",-1E+99,'TO HOP NLAN'!D124/ncoc+IF(SUMSQ('TS-PILE'!$E$56:$E$75)=0,0,'TO HOP NLAN'!E124*'TS-PILE'!$E$66/SUMSQ('TS-PILE'!$E$56:$E$75))+IF(SUMSQ('TS-PILE'!$D$56:$D$75)=0,0,'TO HOP NLAN'!F124*'TS-PILE'!$D$66/SUMSQ('TS-PILE'!$D$56:$D$75))),IF('TS-PILE'!$B$67="",-1E+99,'TO HOP NLAN'!D124/ncoc+IF(SUMSQ('TS-PILE'!$E$56:$E$75)=0,0,'TO HOP NLAN'!E124*'TS-PILE'!$E$67/SUMSQ('TS-PILE'!$E$56:$E$75))+IF(SUMSQ('TS-PILE'!$D$56:$D$75)=0,0,'TO HOP NLAN'!F124*'TS-PILE'!$D$67/SUMSQ('TS-PILE'!$D$56:$D$75))),IF('TS-PILE'!$B$68="",-1E+99,'TO HOP NLAN'!D124/ncoc+IF(SUMSQ('TS-PILE'!$E$56:$E$75)=0,0,'TO HOP NLAN'!E124*'TS-PILE'!$E$68/SUMSQ('TS-PILE'!$E$56:$E$75))+IF(SUMSQ('TS-PILE'!$D$56:$D$75)=0,0,'TO HOP NLAN'!F124*'TS-PILE'!$D$68/SUMSQ('TS-PILE'!$D$56:$D$75))),IF('TS-PILE'!$B$69="",-1E+99,'TO HOP NLAN'!D124/ncoc+IF(SUMSQ('TS-PILE'!$E$56:$E$75)=0,0,'TO HOP NLAN'!E124*'TS-PILE'!$E$69/SUMSQ('TS-PILE'!$E$56:$E$75))+IF(SUMSQ('TS-PILE'!$D$56:$D$75)=0,0,'TO HOP NLAN'!F124*'TS-PILE'!$D$69/SUMSQ('TS-PILE'!$D$56:$D$75))),IF('TS-PILE'!$B$70="",-1E+99,'TO HOP NLAN'!D124/ncoc+IF(SUMSQ('TS-PILE'!$E$56:$E$75)=0,0,'TO HOP NLAN'!E124*'TS-PILE'!$E$70/SUMSQ('TS-PILE'!$E$56:$E$75))+IF(SUMSQ('TS-PILE'!$D$56:$D$75)=0,0,'TO HOP NLAN'!F124*'TS-PILE'!$D$70/SUMSQ('TS-PILE'!$D$56:$D$75))),IF('TS-PILE'!$B$71="",-1E+99,'TO HOP NLAN'!D124/ncoc+IF(SUMSQ('TS-PILE'!$E$56:$E$75)=0,0,'TO HOP NLAN'!E124*'TS-PILE'!$E$71/SUMSQ('TS-PILE'!$E$56:$E$75))+IF(SUMSQ('TS-PILE'!$D$56:$D$75)=0,0,'TO HOP NLAN'!F124*'TS-PILE'!$D$71/SUMSQ('TS-PILE'!$D$56:$D$75))),IF('TS-PILE'!$B$72="",-1E+99,'TO HOP NLAN'!D124/ncoc+IF(SUMSQ('TS-PILE'!$E$56:$E$75)=0,0,'TO HOP NLAN'!E124*'TS-PILE'!$E$72/SUMSQ('TS-PILE'!$E$56:$E$75))+IF(SUMSQ('TS-PILE'!$D$56:$D$75)=0,0,'TO HOP NLAN'!F124*'TS-PILE'!$D$72/SUMSQ('TS-PILE'!$D$56:$D$75))),IF('TS-PILE'!$B$73="",-1E+99,'TO HOP NLAN'!D124/ncoc+IF(SUMSQ('TS-PILE'!$E$56:$E$75)=0,0,'TO HOP NLAN'!E124*'TS-PILE'!$E$73/SUMSQ('TS-PILE'!$E$56:$E$75))+IF(SUMSQ('TS-PILE'!$D$56:$D$75)=0,0,'TO HOP NLAN'!F124*'TS-PILE'!$D$73/SUMSQ('TS-PILE'!$D$56:$D$75))),IF('TS-PILE'!$B$74="",-1E+99,'TO HOP NLAN'!D124/ncoc+IF(SUMSQ('TS-PILE'!$E$56:$E$75)=0,0,'TO HOP NLAN'!E124*'TS-PILE'!$E$74/SUMSQ('TS-PILE'!$E$56:$E$75))+IF(SUMSQ('TS-PILE'!$D$56:$D$75)=0,0,'TO HOP NLAN'!F124*'TS-PILE'!$D$74/SUMSQ('TS-PILE'!$D$56:$D$75))),IF('TS-PILE'!$B$75="",-1E+99,'TO HOP NLAN'!D124/ncoc+IF(SUMSQ('TS-PILE'!$E$56:$E$75)=0,0,'TO HOP NLAN'!E124*'TS-PILE'!$E$75/SUMSQ('TS-PILE'!$E$56:$E$75))+IF(SUMSQ('TS-PILE'!$D$56:$D$75)=0,0,'TO HOP NLAN'!F124*'TS-PILE'!$D$75/SUMSQ('TS-PILE'!$D$56:$D$75)))))</f>
        <v>0</v>
      </c>
      <c r="D124" s="46">
        <f>IF(A124="",0,MIN(IF('TS-PILE'!$B$56="",1E+99,'TO HOP NLAN'!D124/ncoc+IF(SUMSQ('TS-PILE'!$E$56:$E$75)=0,0,'TO HOP NLAN'!E124*'TS-PILE'!$E$56/SUMSQ('TS-PILE'!$E$56:$E$75))+IF(SUMSQ('TS-PILE'!$D$56:$D$75)=0,0,'TO HOP NLAN'!F124*'TS-PILE'!$D$56/SUMSQ('TS-PILE'!$D$56:$D$75))),IF('TS-PILE'!$B$57="",1E+99,'TO HOP NLAN'!D124/ncoc+IF(SUMSQ('TS-PILE'!$E$56:$E$75)=0,0,'TO HOP NLAN'!E124*'TS-PILE'!$E$57/SUMSQ('TS-PILE'!$E$56:$E$75))+IF(SUMSQ('TS-PILE'!$D$56:$D$75)=0,0,'TO HOP NLAN'!F124*'TS-PILE'!$D$57/SUMSQ('TS-PILE'!$D$56:$D$75))),IF('TS-PILE'!$B$58="",1E+99,'TO HOP NLAN'!D124/ncoc+IF(SUMSQ('TS-PILE'!$E$56:$E$75)=0,0,'TO HOP NLAN'!E124*'TS-PILE'!$E$58/SUMSQ('TS-PILE'!$E$56:$E$75))+IF(SUMSQ('TS-PILE'!$D$56:$D$75)=0,0,'TO HOP NLAN'!F124*'TS-PILE'!$D$58/SUMSQ('TS-PILE'!$D$56:$D$75))),IF('TS-PILE'!$B$59="",1E+99,'TO HOP NLAN'!D124/ncoc+IF(SUMSQ('TS-PILE'!$E$56:$E$75)=0,0,'TO HOP NLAN'!E124*'TS-PILE'!$E$59/SUMSQ('TS-PILE'!$E$56:$E$75))+IF(SUMSQ('TS-PILE'!$D$56:$D$75)=0,0,'TO HOP NLAN'!F124*'TS-PILE'!$D$59/SUMSQ('TS-PILE'!$D$56:$D$75))),IF('TS-PILE'!$B$60="",1E+99,'TO HOP NLAN'!D124/ncoc+IF(SUMSQ('TS-PILE'!$E$56:$E$75)=0,0,'TO HOP NLAN'!E124*'TS-PILE'!$E$60/SUMSQ('TS-PILE'!$E$56:$E$75))+IF(SUMSQ('TS-PILE'!$D$56:$D$75)=0,0,'TO HOP NLAN'!F124*'TS-PILE'!$D$60/SUMSQ('TS-PILE'!$D$56:$D$75))),IF('TS-PILE'!$B$61="",1E+99,'TO HOP NLAN'!D124/ncoc+IF(SUMSQ('TS-PILE'!$E$56:$E$75)=0,0,'TO HOP NLAN'!E124*'TS-PILE'!$E$61/SUMSQ('TS-PILE'!$E$56:$E$75))+IF(SUMSQ('TS-PILE'!$D$56:$D$75)=0,0,'TO HOP NLAN'!F124*'TS-PILE'!$D$61/SUMSQ('TS-PILE'!$D$56:$D$75))),IF('TS-PILE'!$B$62="",1E+99,'TO HOP NLAN'!D124/ncoc+IF(SUMSQ('TS-PILE'!$E$56:$E$75)=0,0,'TO HOP NLAN'!E124*'TS-PILE'!$E$62/SUMSQ('TS-PILE'!$E$56:$E$75))+IF(SUMSQ('TS-PILE'!$D$56:$D$75)=0,0,'TO HOP NLAN'!F124*'TS-PILE'!$D$62/SUMSQ('TS-PILE'!$D$56:$D$75))),IF('TS-PILE'!$B$63="",1E+99,'TO HOP NLAN'!D124/ncoc+IF(SUMSQ('TS-PILE'!$E$56:$E$75)=0,0,'TO HOP NLAN'!E124*'TS-PILE'!$E$63/SUMSQ('TS-PILE'!$E$56:$E$75))+IF(SUMSQ('TS-PILE'!$D$56:$D$75)=0,0,'TO HOP NLAN'!F124*'TS-PILE'!$D$63/SUMSQ('TS-PILE'!$D$56:$D$75))),IF('TS-PILE'!$B$64="",1E+99,'TO HOP NLAN'!D124/ncoc+IF(SUMSQ('TS-PILE'!$E$56:$E$75)=0,0,'TO HOP NLAN'!E124*'TS-PILE'!$E$64/SUMSQ('TS-PILE'!$E$56:$E$75))+IF(SUMSQ('TS-PILE'!$D$56:$D$75)=0,0,'TO HOP NLAN'!F124*'TS-PILE'!$D$64/SUMSQ('TS-PILE'!$D$56:$D$75))),IF('TS-PILE'!$B$65="",1E+99,'TO HOP NLAN'!D124/ncoc+IF(SUMSQ('TS-PILE'!$E$56:$E$75)=0,0,'TO HOP NLAN'!E124*'TS-PILE'!$E$65/SUMSQ('TS-PILE'!$E$56:$E$75))+IF(SUMSQ('TS-PILE'!$D$56:$D$75)=0,0,'TO HOP NLAN'!F124*'TS-PILE'!$D$65/SUMSQ('TS-PILE'!$D$56:$D$75))),IF('TS-PILE'!$B$66="",1E+99,'TO HOP NLAN'!D124/ncoc+IF(SUMSQ('TS-PILE'!$E$56:$E$75)=0,0,'TO HOP NLAN'!E124*'TS-PILE'!$E$66/SUMSQ('TS-PILE'!$E$56:$E$75))+IF(SUMSQ('TS-PILE'!$D$56:$D$75)=0,0,'TO HOP NLAN'!F124*'TS-PILE'!$D$66/SUMSQ('TS-PILE'!$D$56:$D$75))),IF('TS-PILE'!$B$67="",1E+99,'TO HOP NLAN'!D124/ncoc+IF(SUMSQ('TS-PILE'!$E$56:$E$75)=0,0,'TO HOP NLAN'!E124*'TS-PILE'!$E$67/SUMSQ('TS-PILE'!$E$56:$E$75))+IF(SUMSQ('TS-PILE'!$D$56:$D$75)=0,0,'TO HOP NLAN'!F124*'TS-PILE'!$D$67/SUMSQ('TS-PILE'!$D$56:$D$75))),IF('TS-PILE'!$B$68="",1E+99,'TO HOP NLAN'!D124/ncoc+IF(SUMSQ('TS-PILE'!$E$56:$E$75)=0,0,'TO HOP NLAN'!E124*'TS-PILE'!$E$68/SUMSQ('TS-PILE'!$E$56:$E$75))+IF(SUMSQ('TS-PILE'!$D$56:$D$75)=0,0,'TO HOP NLAN'!F124*'TS-PILE'!$D$68/SUMSQ('TS-PILE'!$D$56:$D$75))),IF('TS-PILE'!$B$69="",1E+99,'TO HOP NLAN'!D124/ncoc+IF(SUMSQ('TS-PILE'!$E$56:$E$75)=0,0,'TO HOP NLAN'!E124*'TS-PILE'!$E$69/SUMSQ('TS-PILE'!$E$56:$E$75))+IF(SUMSQ('TS-PILE'!$D$56:$D$75)=0,0,'TO HOP NLAN'!F124*'TS-PILE'!$D$69/SUMSQ('TS-PILE'!$D$56:$D$75))),IF('TS-PILE'!$B$70="",1E+99,'TO HOP NLAN'!D124/ncoc+IF(SUMSQ('TS-PILE'!$E$56:$E$75)=0,0,'TO HOP NLAN'!E124*'TS-PILE'!$E$70/SUMSQ('TS-PILE'!$E$56:$E$75))+IF(SUMSQ('TS-PILE'!$D$56:$D$75)=0,0,'TO HOP NLAN'!F124*'TS-PILE'!$D$70/SUMSQ('TS-PILE'!$D$56:$D$75))),IF('TS-PILE'!$B$71="",1E+99,'TO HOP NLAN'!D124/ncoc+IF(SUMSQ('TS-PILE'!$E$56:$E$75)=0,0,'TO HOP NLAN'!E124*'TS-PILE'!$E$71/SUMSQ('TS-PILE'!$E$56:$E$75))+IF(SUMSQ('TS-PILE'!$D$56:$D$75)=0,0,'TO HOP NLAN'!F124*'TS-PILE'!$D$71/SUMSQ('TS-PILE'!$D$56:$D$75))),IF('TS-PILE'!$B$72="",1E+99,'TO HOP NLAN'!D124/ncoc+IF(SUMSQ('TS-PILE'!$E$56:$E$75)=0,0,'TO HOP NLAN'!E124*'TS-PILE'!$E$72/SUMSQ('TS-PILE'!$E$56:$E$75))+IF(SUMSQ('TS-PILE'!$D$56:$D$75)=0,0,'TO HOP NLAN'!F124*'TS-PILE'!$D$72/SUMSQ('TS-PILE'!$D$56:$D$75))),IF('TS-PILE'!$B$73="",1E+99,'TO HOP NLAN'!D124/ncoc+IF(SUMSQ('TS-PILE'!$E$56:$E$75)=0,0,'TO HOP NLAN'!E124*'TS-PILE'!$E$73/SUMSQ('TS-PILE'!$E$56:$E$75))+IF(SUMSQ('TS-PILE'!$D$56:$D$75)=0,0,'TO HOP NLAN'!F124*'TS-PILE'!$D$73/SUMSQ('TS-PILE'!$D$56:$D$75))),IF('TS-PILE'!$B$74="",1E+99,'TO HOP NLAN'!D124/ncoc+IF(SUMSQ('TS-PILE'!$E$56:$E$75)=0,0,'TO HOP NLAN'!E124*'TS-PILE'!$E$74/SUMSQ('TS-PILE'!$E$56:$E$75))+IF(SUMSQ('TS-PILE'!$D$56:$D$75)=0,0,'TO HOP NLAN'!F124*'TS-PILE'!$D$74/SUMSQ('TS-PILE'!$D$56:$D$75))),IF('TS-PILE'!$B$75="",1E+99,'TO HOP NLAN'!D124/ncoc+IF(SUMSQ('TS-PILE'!$E$56:$E$75)=0,0,'TO HOP NLAN'!E124*'TS-PILE'!$E$75/SUMSQ('TS-PILE'!$E$56:$E$75))+IF(SUMSQ('TS-PILE'!$D$56:$D$75)=0,0,'TO HOP NLAN'!F124*'TS-PILE'!$D$75/SUMSQ('TS-PILE'!$D$56:$D$75)))))</f>
        <v>0</v>
      </c>
      <c r="E124" s="46">
        <f t="shared" si="4"/>
        <v>-9.9999999999999997E+98</v>
      </c>
      <c r="F124" s="46">
        <f t="shared" si="5"/>
        <v>9.9999999999999997E+98</v>
      </c>
      <c r="G124" s="46">
        <f t="shared" si="6"/>
        <v>-9.9999999999999997E+98</v>
      </c>
      <c r="H124" s="46">
        <f t="shared" si="7"/>
        <v>9.9999999999999997E+98</v>
      </c>
    </row>
    <row r="125" spans="1:8" x14ac:dyDescent="0.3">
      <c r="A125" s="40" t="str">
        <f>'TO HOP NLAN'!A125</f>
        <v/>
      </c>
      <c r="B125" s="40" t="str">
        <f>'TO HOP NLAN'!L125</f>
        <v>STRENGTH</v>
      </c>
      <c r="C125" s="46">
        <f>IF(A125="",0,MAX(IF('TS-PILE'!$B$56="",-1E+99,'TO HOP NLAN'!D125/ncoc+IF(SUMSQ('TS-PILE'!$E$56:$E$75)=0,0,'TO HOP NLAN'!E125*'TS-PILE'!$E$56/SUMSQ('TS-PILE'!$E$56:$E$75))+IF(SUMSQ('TS-PILE'!$D$56:$D$75)=0,0,'TO HOP NLAN'!F125*'TS-PILE'!$D$56/SUMSQ('TS-PILE'!$D$56:$D$75))),IF('TS-PILE'!$B$57="",-1E+99,'TO HOP NLAN'!D125/ncoc+IF(SUMSQ('TS-PILE'!$E$56:$E$75)=0,0,'TO HOP NLAN'!E125*'TS-PILE'!$E$57/SUMSQ('TS-PILE'!$E$56:$E$75))+IF(SUMSQ('TS-PILE'!$D$56:$D$75)=0,0,'TO HOP NLAN'!F125*'TS-PILE'!$D$57/SUMSQ('TS-PILE'!$D$56:$D$75))),IF('TS-PILE'!$B$58="",-1E+99,'TO HOP NLAN'!D125/ncoc+IF(SUMSQ('TS-PILE'!$E$56:$E$75)=0,0,'TO HOP NLAN'!E125*'TS-PILE'!$E$58/SUMSQ('TS-PILE'!$E$56:$E$75))+IF(SUMSQ('TS-PILE'!$D$56:$D$75)=0,0,'TO HOP NLAN'!F125*'TS-PILE'!$D$58/SUMSQ('TS-PILE'!$D$56:$D$75))),IF('TS-PILE'!$B$59="",-1E+99,'TO HOP NLAN'!D125/ncoc+IF(SUMSQ('TS-PILE'!$E$56:$E$75)=0,0,'TO HOP NLAN'!E125*'TS-PILE'!$E$59/SUMSQ('TS-PILE'!$E$56:$E$75))+IF(SUMSQ('TS-PILE'!$D$56:$D$75)=0,0,'TO HOP NLAN'!F125*'TS-PILE'!$D$59/SUMSQ('TS-PILE'!$D$56:$D$75))),IF('TS-PILE'!$B$60="",-1E+99,'TO HOP NLAN'!D125/ncoc+IF(SUMSQ('TS-PILE'!$E$56:$E$75)=0,0,'TO HOP NLAN'!E125*'TS-PILE'!$E$60/SUMSQ('TS-PILE'!$E$56:$E$75))+IF(SUMSQ('TS-PILE'!$D$56:$D$75)=0,0,'TO HOP NLAN'!F125*'TS-PILE'!$D$60/SUMSQ('TS-PILE'!$D$56:$D$75))),IF('TS-PILE'!$B$61="",-1E+99,'TO HOP NLAN'!D125/ncoc+IF(SUMSQ('TS-PILE'!$E$56:$E$75)=0,0,'TO HOP NLAN'!E125*'TS-PILE'!$E$61/SUMSQ('TS-PILE'!$E$56:$E$75))+IF(SUMSQ('TS-PILE'!$D$56:$D$75)=0,0,'TO HOP NLAN'!F125*'TS-PILE'!$D$61/SUMSQ('TS-PILE'!$D$56:$D$75))),IF('TS-PILE'!$B$62="",-1E+99,'TO HOP NLAN'!D125/ncoc+IF(SUMSQ('TS-PILE'!$E$56:$E$75)=0,0,'TO HOP NLAN'!E125*'TS-PILE'!$E$62/SUMSQ('TS-PILE'!$E$56:$E$75))+IF(SUMSQ('TS-PILE'!$D$56:$D$75)=0,0,'TO HOP NLAN'!F125*'TS-PILE'!$D$62/SUMSQ('TS-PILE'!$D$56:$D$75))),IF('TS-PILE'!$B$63="",-1E+99,'TO HOP NLAN'!D125/ncoc+IF(SUMSQ('TS-PILE'!$E$56:$E$75)=0,0,'TO HOP NLAN'!E125*'TS-PILE'!$E$63/SUMSQ('TS-PILE'!$E$56:$E$75))+IF(SUMSQ('TS-PILE'!$D$56:$D$75)=0,0,'TO HOP NLAN'!F125*'TS-PILE'!$D$63/SUMSQ('TS-PILE'!$D$56:$D$75))),IF('TS-PILE'!$B$64="",-1E+99,'TO HOP NLAN'!D125/ncoc+IF(SUMSQ('TS-PILE'!$E$56:$E$75)=0,0,'TO HOP NLAN'!E125*'TS-PILE'!$E$64/SUMSQ('TS-PILE'!$E$56:$E$75))+IF(SUMSQ('TS-PILE'!$D$56:$D$75)=0,0,'TO HOP NLAN'!F125*'TS-PILE'!$D$64/SUMSQ('TS-PILE'!$D$56:$D$75))),IF('TS-PILE'!$B$65="",-1E+99,'TO HOP NLAN'!D125/ncoc+IF(SUMSQ('TS-PILE'!$E$56:$E$75)=0,0,'TO HOP NLAN'!E125*'TS-PILE'!$E$65/SUMSQ('TS-PILE'!$E$56:$E$75))+IF(SUMSQ('TS-PILE'!$D$56:$D$75)=0,0,'TO HOP NLAN'!F125*'TS-PILE'!$D$65/SUMSQ('TS-PILE'!$D$56:$D$75))),IF('TS-PILE'!$B$66="",-1E+99,'TO HOP NLAN'!D125/ncoc+IF(SUMSQ('TS-PILE'!$E$56:$E$75)=0,0,'TO HOP NLAN'!E125*'TS-PILE'!$E$66/SUMSQ('TS-PILE'!$E$56:$E$75))+IF(SUMSQ('TS-PILE'!$D$56:$D$75)=0,0,'TO HOP NLAN'!F125*'TS-PILE'!$D$66/SUMSQ('TS-PILE'!$D$56:$D$75))),IF('TS-PILE'!$B$67="",-1E+99,'TO HOP NLAN'!D125/ncoc+IF(SUMSQ('TS-PILE'!$E$56:$E$75)=0,0,'TO HOP NLAN'!E125*'TS-PILE'!$E$67/SUMSQ('TS-PILE'!$E$56:$E$75))+IF(SUMSQ('TS-PILE'!$D$56:$D$75)=0,0,'TO HOP NLAN'!F125*'TS-PILE'!$D$67/SUMSQ('TS-PILE'!$D$56:$D$75))),IF('TS-PILE'!$B$68="",-1E+99,'TO HOP NLAN'!D125/ncoc+IF(SUMSQ('TS-PILE'!$E$56:$E$75)=0,0,'TO HOP NLAN'!E125*'TS-PILE'!$E$68/SUMSQ('TS-PILE'!$E$56:$E$75))+IF(SUMSQ('TS-PILE'!$D$56:$D$75)=0,0,'TO HOP NLAN'!F125*'TS-PILE'!$D$68/SUMSQ('TS-PILE'!$D$56:$D$75))),IF('TS-PILE'!$B$69="",-1E+99,'TO HOP NLAN'!D125/ncoc+IF(SUMSQ('TS-PILE'!$E$56:$E$75)=0,0,'TO HOP NLAN'!E125*'TS-PILE'!$E$69/SUMSQ('TS-PILE'!$E$56:$E$75))+IF(SUMSQ('TS-PILE'!$D$56:$D$75)=0,0,'TO HOP NLAN'!F125*'TS-PILE'!$D$69/SUMSQ('TS-PILE'!$D$56:$D$75))),IF('TS-PILE'!$B$70="",-1E+99,'TO HOP NLAN'!D125/ncoc+IF(SUMSQ('TS-PILE'!$E$56:$E$75)=0,0,'TO HOP NLAN'!E125*'TS-PILE'!$E$70/SUMSQ('TS-PILE'!$E$56:$E$75))+IF(SUMSQ('TS-PILE'!$D$56:$D$75)=0,0,'TO HOP NLAN'!F125*'TS-PILE'!$D$70/SUMSQ('TS-PILE'!$D$56:$D$75))),IF('TS-PILE'!$B$71="",-1E+99,'TO HOP NLAN'!D125/ncoc+IF(SUMSQ('TS-PILE'!$E$56:$E$75)=0,0,'TO HOP NLAN'!E125*'TS-PILE'!$E$71/SUMSQ('TS-PILE'!$E$56:$E$75))+IF(SUMSQ('TS-PILE'!$D$56:$D$75)=0,0,'TO HOP NLAN'!F125*'TS-PILE'!$D$71/SUMSQ('TS-PILE'!$D$56:$D$75))),IF('TS-PILE'!$B$72="",-1E+99,'TO HOP NLAN'!D125/ncoc+IF(SUMSQ('TS-PILE'!$E$56:$E$75)=0,0,'TO HOP NLAN'!E125*'TS-PILE'!$E$72/SUMSQ('TS-PILE'!$E$56:$E$75))+IF(SUMSQ('TS-PILE'!$D$56:$D$75)=0,0,'TO HOP NLAN'!F125*'TS-PILE'!$D$72/SUMSQ('TS-PILE'!$D$56:$D$75))),IF('TS-PILE'!$B$73="",-1E+99,'TO HOP NLAN'!D125/ncoc+IF(SUMSQ('TS-PILE'!$E$56:$E$75)=0,0,'TO HOP NLAN'!E125*'TS-PILE'!$E$73/SUMSQ('TS-PILE'!$E$56:$E$75))+IF(SUMSQ('TS-PILE'!$D$56:$D$75)=0,0,'TO HOP NLAN'!F125*'TS-PILE'!$D$73/SUMSQ('TS-PILE'!$D$56:$D$75))),IF('TS-PILE'!$B$74="",-1E+99,'TO HOP NLAN'!D125/ncoc+IF(SUMSQ('TS-PILE'!$E$56:$E$75)=0,0,'TO HOP NLAN'!E125*'TS-PILE'!$E$74/SUMSQ('TS-PILE'!$E$56:$E$75))+IF(SUMSQ('TS-PILE'!$D$56:$D$75)=0,0,'TO HOP NLAN'!F125*'TS-PILE'!$D$74/SUMSQ('TS-PILE'!$D$56:$D$75))),IF('TS-PILE'!$B$75="",-1E+99,'TO HOP NLAN'!D125/ncoc+IF(SUMSQ('TS-PILE'!$E$56:$E$75)=0,0,'TO HOP NLAN'!E125*'TS-PILE'!$E$75/SUMSQ('TS-PILE'!$E$56:$E$75))+IF(SUMSQ('TS-PILE'!$D$56:$D$75)=0,0,'TO HOP NLAN'!F125*'TS-PILE'!$D$75/SUMSQ('TS-PILE'!$D$56:$D$75)))))</f>
        <v>0</v>
      </c>
      <c r="D125" s="46">
        <f>IF(A125="",0,MIN(IF('TS-PILE'!$B$56="",1E+99,'TO HOP NLAN'!D125/ncoc+IF(SUMSQ('TS-PILE'!$E$56:$E$75)=0,0,'TO HOP NLAN'!E125*'TS-PILE'!$E$56/SUMSQ('TS-PILE'!$E$56:$E$75))+IF(SUMSQ('TS-PILE'!$D$56:$D$75)=0,0,'TO HOP NLAN'!F125*'TS-PILE'!$D$56/SUMSQ('TS-PILE'!$D$56:$D$75))),IF('TS-PILE'!$B$57="",1E+99,'TO HOP NLAN'!D125/ncoc+IF(SUMSQ('TS-PILE'!$E$56:$E$75)=0,0,'TO HOP NLAN'!E125*'TS-PILE'!$E$57/SUMSQ('TS-PILE'!$E$56:$E$75))+IF(SUMSQ('TS-PILE'!$D$56:$D$75)=0,0,'TO HOP NLAN'!F125*'TS-PILE'!$D$57/SUMSQ('TS-PILE'!$D$56:$D$75))),IF('TS-PILE'!$B$58="",1E+99,'TO HOP NLAN'!D125/ncoc+IF(SUMSQ('TS-PILE'!$E$56:$E$75)=0,0,'TO HOP NLAN'!E125*'TS-PILE'!$E$58/SUMSQ('TS-PILE'!$E$56:$E$75))+IF(SUMSQ('TS-PILE'!$D$56:$D$75)=0,0,'TO HOP NLAN'!F125*'TS-PILE'!$D$58/SUMSQ('TS-PILE'!$D$56:$D$75))),IF('TS-PILE'!$B$59="",1E+99,'TO HOP NLAN'!D125/ncoc+IF(SUMSQ('TS-PILE'!$E$56:$E$75)=0,0,'TO HOP NLAN'!E125*'TS-PILE'!$E$59/SUMSQ('TS-PILE'!$E$56:$E$75))+IF(SUMSQ('TS-PILE'!$D$56:$D$75)=0,0,'TO HOP NLAN'!F125*'TS-PILE'!$D$59/SUMSQ('TS-PILE'!$D$56:$D$75))),IF('TS-PILE'!$B$60="",1E+99,'TO HOP NLAN'!D125/ncoc+IF(SUMSQ('TS-PILE'!$E$56:$E$75)=0,0,'TO HOP NLAN'!E125*'TS-PILE'!$E$60/SUMSQ('TS-PILE'!$E$56:$E$75))+IF(SUMSQ('TS-PILE'!$D$56:$D$75)=0,0,'TO HOP NLAN'!F125*'TS-PILE'!$D$60/SUMSQ('TS-PILE'!$D$56:$D$75))),IF('TS-PILE'!$B$61="",1E+99,'TO HOP NLAN'!D125/ncoc+IF(SUMSQ('TS-PILE'!$E$56:$E$75)=0,0,'TO HOP NLAN'!E125*'TS-PILE'!$E$61/SUMSQ('TS-PILE'!$E$56:$E$75))+IF(SUMSQ('TS-PILE'!$D$56:$D$75)=0,0,'TO HOP NLAN'!F125*'TS-PILE'!$D$61/SUMSQ('TS-PILE'!$D$56:$D$75))),IF('TS-PILE'!$B$62="",1E+99,'TO HOP NLAN'!D125/ncoc+IF(SUMSQ('TS-PILE'!$E$56:$E$75)=0,0,'TO HOP NLAN'!E125*'TS-PILE'!$E$62/SUMSQ('TS-PILE'!$E$56:$E$75))+IF(SUMSQ('TS-PILE'!$D$56:$D$75)=0,0,'TO HOP NLAN'!F125*'TS-PILE'!$D$62/SUMSQ('TS-PILE'!$D$56:$D$75))),IF('TS-PILE'!$B$63="",1E+99,'TO HOP NLAN'!D125/ncoc+IF(SUMSQ('TS-PILE'!$E$56:$E$75)=0,0,'TO HOP NLAN'!E125*'TS-PILE'!$E$63/SUMSQ('TS-PILE'!$E$56:$E$75))+IF(SUMSQ('TS-PILE'!$D$56:$D$75)=0,0,'TO HOP NLAN'!F125*'TS-PILE'!$D$63/SUMSQ('TS-PILE'!$D$56:$D$75))),IF('TS-PILE'!$B$64="",1E+99,'TO HOP NLAN'!D125/ncoc+IF(SUMSQ('TS-PILE'!$E$56:$E$75)=0,0,'TO HOP NLAN'!E125*'TS-PILE'!$E$64/SUMSQ('TS-PILE'!$E$56:$E$75))+IF(SUMSQ('TS-PILE'!$D$56:$D$75)=0,0,'TO HOP NLAN'!F125*'TS-PILE'!$D$64/SUMSQ('TS-PILE'!$D$56:$D$75))),IF('TS-PILE'!$B$65="",1E+99,'TO HOP NLAN'!D125/ncoc+IF(SUMSQ('TS-PILE'!$E$56:$E$75)=0,0,'TO HOP NLAN'!E125*'TS-PILE'!$E$65/SUMSQ('TS-PILE'!$E$56:$E$75))+IF(SUMSQ('TS-PILE'!$D$56:$D$75)=0,0,'TO HOP NLAN'!F125*'TS-PILE'!$D$65/SUMSQ('TS-PILE'!$D$56:$D$75))),IF('TS-PILE'!$B$66="",1E+99,'TO HOP NLAN'!D125/ncoc+IF(SUMSQ('TS-PILE'!$E$56:$E$75)=0,0,'TO HOP NLAN'!E125*'TS-PILE'!$E$66/SUMSQ('TS-PILE'!$E$56:$E$75))+IF(SUMSQ('TS-PILE'!$D$56:$D$75)=0,0,'TO HOP NLAN'!F125*'TS-PILE'!$D$66/SUMSQ('TS-PILE'!$D$56:$D$75))),IF('TS-PILE'!$B$67="",1E+99,'TO HOP NLAN'!D125/ncoc+IF(SUMSQ('TS-PILE'!$E$56:$E$75)=0,0,'TO HOP NLAN'!E125*'TS-PILE'!$E$67/SUMSQ('TS-PILE'!$E$56:$E$75))+IF(SUMSQ('TS-PILE'!$D$56:$D$75)=0,0,'TO HOP NLAN'!F125*'TS-PILE'!$D$67/SUMSQ('TS-PILE'!$D$56:$D$75))),IF('TS-PILE'!$B$68="",1E+99,'TO HOP NLAN'!D125/ncoc+IF(SUMSQ('TS-PILE'!$E$56:$E$75)=0,0,'TO HOP NLAN'!E125*'TS-PILE'!$E$68/SUMSQ('TS-PILE'!$E$56:$E$75))+IF(SUMSQ('TS-PILE'!$D$56:$D$75)=0,0,'TO HOP NLAN'!F125*'TS-PILE'!$D$68/SUMSQ('TS-PILE'!$D$56:$D$75))),IF('TS-PILE'!$B$69="",1E+99,'TO HOP NLAN'!D125/ncoc+IF(SUMSQ('TS-PILE'!$E$56:$E$75)=0,0,'TO HOP NLAN'!E125*'TS-PILE'!$E$69/SUMSQ('TS-PILE'!$E$56:$E$75))+IF(SUMSQ('TS-PILE'!$D$56:$D$75)=0,0,'TO HOP NLAN'!F125*'TS-PILE'!$D$69/SUMSQ('TS-PILE'!$D$56:$D$75))),IF('TS-PILE'!$B$70="",1E+99,'TO HOP NLAN'!D125/ncoc+IF(SUMSQ('TS-PILE'!$E$56:$E$75)=0,0,'TO HOP NLAN'!E125*'TS-PILE'!$E$70/SUMSQ('TS-PILE'!$E$56:$E$75))+IF(SUMSQ('TS-PILE'!$D$56:$D$75)=0,0,'TO HOP NLAN'!F125*'TS-PILE'!$D$70/SUMSQ('TS-PILE'!$D$56:$D$75))),IF('TS-PILE'!$B$71="",1E+99,'TO HOP NLAN'!D125/ncoc+IF(SUMSQ('TS-PILE'!$E$56:$E$75)=0,0,'TO HOP NLAN'!E125*'TS-PILE'!$E$71/SUMSQ('TS-PILE'!$E$56:$E$75))+IF(SUMSQ('TS-PILE'!$D$56:$D$75)=0,0,'TO HOP NLAN'!F125*'TS-PILE'!$D$71/SUMSQ('TS-PILE'!$D$56:$D$75))),IF('TS-PILE'!$B$72="",1E+99,'TO HOP NLAN'!D125/ncoc+IF(SUMSQ('TS-PILE'!$E$56:$E$75)=0,0,'TO HOP NLAN'!E125*'TS-PILE'!$E$72/SUMSQ('TS-PILE'!$E$56:$E$75))+IF(SUMSQ('TS-PILE'!$D$56:$D$75)=0,0,'TO HOP NLAN'!F125*'TS-PILE'!$D$72/SUMSQ('TS-PILE'!$D$56:$D$75))),IF('TS-PILE'!$B$73="",1E+99,'TO HOP NLAN'!D125/ncoc+IF(SUMSQ('TS-PILE'!$E$56:$E$75)=0,0,'TO HOP NLAN'!E125*'TS-PILE'!$E$73/SUMSQ('TS-PILE'!$E$56:$E$75))+IF(SUMSQ('TS-PILE'!$D$56:$D$75)=0,0,'TO HOP NLAN'!F125*'TS-PILE'!$D$73/SUMSQ('TS-PILE'!$D$56:$D$75))),IF('TS-PILE'!$B$74="",1E+99,'TO HOP NLAN'!D125/ncoc+IF(SUMSQ('TS-PILE'!$E$56:$E$75)=0,0,'TO HOP NLAN'!E125*'TS-PILE'!$E$74/SUMSQ('TS-PILE'!$E$56:$E$75))+IF(SUMSQ('TS-PILE'!$D$56:$D$75)=0,0,'TO HOP NLAN'!F125*'TS-PILE'!$D$74/SUMSQ('TS-PILE'!$D$56:$D$75))),IF('TS-PILE'!$B$75="",1E+99,'TO HOP NLAN'!D125/ncoc+IF(SUMSQ('TS-PILE'!$E$56:$E$75)=0,0,'TO HOP NLAN'!E125*'TS-PILE'!$E$75/SUMSQ('TS-PILE'!$E$56:$E$75))+IF(SUMSQ('TS-PILE'!$D$56:$D$75)=0,0,'TO HOP NLAN'!F125*'TS-PILE'!$D$75/SUMSQ('TS-PILE'!$D$56:$D$75)))))</f>
        <v>0</v>
      </c>
      <c r="E125" s="46">
        <f t="shared" si="4"/>
        <v>-9.9999999999999997E+98</v>
      </c>
      <c r="F125" s="46">
        <f t="shared" si="5"/>
        <v>9.9999999999999997E+98</v>
      </c>
      <c r="G125" s="46">
        <f t="shared" si="6"/>
        <v>-9.9999999999999997E+98</v>
      </c>
      <c r="H125" s="46">
        <f t="shared" si="7"/>
        <v>9.9999999999999997E+98</v>
      </c>
    </row>
    <row r="126" spans="1:8" x14ac:dyDescent="0.3">
      <c r="A126" s="40" t="str">
        <f>'TO HOP NLAN'!A126</f>
        <v/>
      </c>
      <c r="B126" s="40" t="str">
        <f>'TO HOP NLAN'!L126</f>
        <v>STRENGTH</v>
      </c>
      <c r="C126" s="46">
        <f>IF(A126="",0,MAX(IF('TS-PILE'!$B$56="",-1E+99,'TO HOP NLAN'!D126/ncoc+IF(SUMSQ('TS-PILE'!$E$56:$E$75)=0,0,'TO HOP NLAN'!E126*'TS-PILE'!$E$56/SUMSQ('TS-PILE'!$E$56:$E$75))+IF(SUMSQ('TS-PILE'!$D$56:$D$75)=0,0,'TO HOP NLAN'!F126*'TS-PILE'!$D$56/SUMSQ('TS-PILE'!$D$56:$D$75))),IF('TS-PILE'!$B$57="",-1E+99,'TO HOP NLAN'!D126/ncoc+IF(SUMSQ('TS-PILE'!$E$56:$E$75)=0,0,'TO HOP NLAN'!E126*'TS-PILE'!$E$57/SUMSQ('TS-PILE'!$E$56:$E$75))+IF(SUMSQ('TS-PILE'!$D$56:$D$75)=0,0,'TO HOP NLAN'!F126*'TS-PILE'!$D$57/SUMSQ('TS-PILE'!$D$56:$D$75))),IF('TS-PILE'!$B$58="",-1E+99,'TO HOP NLAN'!D126/ncoc+IF(SUMSQ('TS-PILE'!$E$56:$E$75)=0,0,'TO HOP NLAN'!E126*'TS-PILE'!$E$58/SUMSQ('TS-PILE'!$E$56:$E$75))+IF(SUMSQ('TS-PILE'!$D$56:$D$75)=0,0,'TO HOP NLAN'!F126*'TS-PILE'!$D$58/SUMSQ('TS-PILE'!$D$56:$D$75))),IF('TS-PILE'!$B$59="",-1E+99,'TO HOP NLAN'!D126/ncoc+IF(SUMSQ('TS-PILE'!$E$56:$E$75)=0,0,'TO HOP NLAN'!E126*'TS-PILE'!$E$59/SUMSQ('TS-PILE'!$E$56:$E$75))+IF(SUMSQ('TS-PILE'!$D$56:$D$75)=0,0,'TO HOP NLAN'!F126*'TS-PILE'!$D$59/SUMSQ('TS-PILE'!$D$56:$D$75))),IF('TS-PILE'!$B$60="",-1E+99,'TO HOP NLAN'!D126/ncoc+IF(SUMSQ('TS-PILE'!$E$56:$E$75)=0,0,'TO HOP NLAN'!E126*'TS-PILE'!$E$60/SUMSQ('TS-PILE'!$E$56:$E$75))+IF(SUMSQ('TS-PILE'!$D$56:$D$75)=0,0,'TO HOP NLAN'!F126*'TS-PILE'!$D$60/SUMSQ('TS-PILE'!$D$56:$D$75))),IF('TS-PILE'!$B$61="",-1E+99,'TO HOP NLAN'!D126/ncoc+IF(SUMSQ('TS-PILE'!$E$56:$E$75)=0,0,'TO HOP NLAN'!E126*'TS-PILE'!$E$61/SUMSQ('TS-PILE'!$E$56:$E$75))+IF(SUMSQ('TS-PILE'!$D$56:$D$75)=0,0,'TO HOP NLAN'!F126*'TS-PILE'!$D$61/SUMSQ('TS-PILE'!$D$56:$D$75))),IF('TS-PILE'!$B$62="",-1E+99,'TO HOP NLAN'!D126/ncoc+IF(SUMSQ('TS-PILE'!$E$56:$E$75)=0,0,'TO HOP NLAN'!E126*'TS-PILE'!$E$62/SUMSQ('TS-PILE'!$E$56:$E$75))+IF(SUMSQ('TS-PILE'!$D$56:$D$75)=0,0,'TO HOP NLAN'!F126*'TS-PILE'!$D$62/SUMSQ('TS-PILE'!$D$56:$D$75))),IF('TS-PILE'!$B$63="",-1E+99,'TO HOP NLAN'!D126/ncoc+IF(SUMSQ('TS-PILE'!$E$56:$E$75)=0,0,'TO HOP NLAN'!E126*'TS-PILE'!$E$63/SUMSQ('TS-PILE'!$E$56:$E$75))+IF(SUMSQ('TS-PILE'!$D$56:$D$75)=0,0,'TO HOP NLAN'!F126*'TS-PILE'!$D$63/SUMSQ('TS-PILE'!$D$56:$D$75))),IF('TS-PILE'!$B$64="",-1E+99,'TO HOP NLAN'!D126/ncoc+IF(SUMSQ('TS-PILE'!$E$56:$E$75)=0,0,'TO HOP NLAN'!E126*'TS-PILE'!$E$64/SUMSQ('TS-PILE'!$E$56:$E$75))+IF(SUMSQ('TS-PILE'!$D$56:$D$75)=0,0,'TO HOP NLAN'!F126*'TS-PILE'!$D$64/SUMSQ('TS-PILE'!$D$56:$D$75))),IF('TS-PILE'!$B$65="",-1E+99,'TO HOP NLAN'!D126/ncoc+IF(SUMSQ('TS-PILE'!$E$56:$E$75)=0,0,'TO HOP NLAN'!E126*'TS-PILE'!$E$65/SUMSQ('TS-PILE'!$E$56:$E$75))+IF(SUMSQ('TS-PILE'!$D$56:$D$75)=0,0,'TO HOP NLAN'!F126*'TS-PILE'!$D$65/SUMSQ('TS-PILE'!$D$56:$D$75))),IF('TS-PILE'!$B$66="",-1E+99,'TO HOP NLAN'!D126/ncoc+IF(SUMSQ('TS-PILE'!$E$56:$E$75)=0,0,'TO HOP NLAN'!E126*'TS-PILE'!$E$66/SUMSQ('TS-PILE'!$E$56:$E$75))+IF(SUMSQ('TS-PILE'!$D$56:$D$75)=0,0,'TO HOP NLAN'!F126*'TS-PILE'!$D$66/SUMSQ('TS-PILE'!$D$56:$D$75))),IF('TS-PILE'!$B$67="",-1E+99,'TO HOP NLAN'!D126/ncoc+IF(SUMSQ('TS-PILE'!$E$56:$E$75)=0,0,'TO HOP NLAN'!E126*'TS-PILE'!$E$67/SUMSQ('TS-PILE'!$E$56:$E$75))+IF(SUMSQ('TS-PILE'!$D$56:$D$75)=0,0,'TO HOP NLAN'!F126*'TS-PILE'!$D$67/SUMSQ('TS-PILE'!$D$56:$D$75))),IF('TS-PILE'!$B$68="",-1E+99,'TO HOP NLAN'!D126/ncoc+IF(SUMSQ('TS-PILE'!$E$56:$E$75)=0,0,'TO HOP NLAN'!E126*'TS-PILE'!$E$68/SUMSQ('TS-PILE'!$E$56:$E$75))+IF(SUMSQ('TS-PILE'!$D$56:$D$75)=0,0,'TO HOP NLAN'!F126*'TS-PILE'!$D$68/SUMSQ('TS-PILE'!$D$56:$D$75))),IF('TS-PILE'!$B$69="",-1E+99,'TO HOP NLAN'!D126/ncoc+IF(SUMSQ('TS-PILE'!$E$56:$E$75)=0,0,'TO HOP NLAN'!E126*'TS-PILE'!$E$69/SUMSQ('TS-PILE'!$E$56:$E$75))+IF(SUMSQ('TS-PILE'!$D$56:$D$75)=0,0,'TO HOP NLAN'!F126*'TS-PILE'!$D$69/SUMSQ('TS-PILE'!$D$56:$D$75))),IF('TS-PILE'!$B$70="",-1E+99,'TO HOP NLAN'!D126/ncoc+IF(SUMSQ('TS-PILE'!$E$56:$E$75)=0,0,'TO HOP NLAN'!E126*'TS-PILE'!$E$70/SUMSQ('TS-PILE'!$E$56:$E$75))+IF(SUMSQ('TS-PILE'!$D$56:$D$75)=0,0,'TO HOP NLAN'!F126*'TS-PILE'!$D$70/SUMSQ('TS-PILE'!$D$56:$D$75))),IF('TS-PILE'!$B$71="",-1E+99,'TO HOP NLAN'!D126/ncoc+IF(SUMSQ('TS-PILE'!$E$56:$E$75)=0,0,'TO HOP NLAN'!E126*'TS-PILE'!$E$71/SUMSQ('TS-PILE'!$E$56:$E$75))+IF(SUMSQ('TS-PILE'!$D$56:$D$75)=0,0,'TO HOP NLAN'!F126*'TS-PILE'!$D$71/SUMSQ('TS-PILE'!$D$56:$D$75))),IF('TS-PILE'!$B$72="",-1E+99,'TO HOP NLAN'!D126/ncoc+IF(SUMSQ('TS-PILE'!$E$56:$E$75)=0,0,'TO HOP NLAN'!E126*'TS-PILE'!$E$72/SUMSQ('TS-PILE'!$E$56:$E$75))+IF(SUMSQ('TS-PILE'!$D$56:$D$75)=0,0,'TO HOP NLAN'!F126*'TS-PILE'!$D$72/SUMSQ('TS-PILE'!$D$56:$D$75))),IF('TS-PILE'!$B$73="",-1E+99,'TO HOP NLAN'!D126/ncoc+IF(SUMSQ('TS-PILE'!$E$56:$E$75)=0,0,'TO HOP NLAN'!E126*'TS-PILE'!$E$73/SUMSQ('TS-PILE'!$E$56:$E$75))+IF(SUMSQ('TS-PILE'!$D$56:$D$75)=0,0,'TO HOP NLAN'!F126*'TS-PILE'!$D$73/SUMSQ('TS-PILE'!$D$56:$D$75))),IF('TS-PILE'!$B$74="",-1E+99,'TO HOP NLAN'!D126/ncoc+IF(SUMSQ('TS-PILE'!$E$56:$E$75)=0,0,'TO HOP NLAN'!E126*'TS-PILE'!$E$74/SUMSQ('TS-PILE'!$E$56:$E$75))+IF(SUMSQ('TS-PILE'!$D$56:$D$75)=0,0,'TO HOP NLAN'!F126*'TS-PILE'!$D$74/SUMSQ('TS-PILE'!$D$56:$D$75))),IF('TS-PILE'!$B$75="",-1E+99,'TO HOP NLAN'!D126/ncoc+IF(SUMSQ('TS-PILE'!$E$56:$E$75)=0,0,'TO HOP NLAN'!E126*'TS-PILE'!$E$75/SUMSQ('TS-PILE'!$E$56:$E$75))+IF(SUMSQ('TS-PILE'!$D$56:$D$75)=0,0,'TO HOP NLAN'!F126*'TS-PILE'!$D$75/SUMSQ('TS-PILE'!$D$56:$D$75)))))</f>
        <v>0</v>
      </c>
      <c r="D126" s="46">
        <f>IF(A126="",0,MIN(IF('TS-PILE'!$B$56="",1E+99,'TO HOP NLAN'!D126/ncoc+IF(SUMSQ('TS-PILE'!$E$56:$E$75)=0,0,'TO HOP NLAN'!E126*'TS-PILE'!$E$56/SUMSQ('TS-PILE'!$E$56:$E$75))+IF(SUMSQ('TS-PILE'!$D$56:$D$75)=0,0,'TO HOP NLAN'!F126*'TS-PILE'!$D$56/SUMSQ('TS-PILE'!$D$56:$D$75))),IF('TS-PILE'!$B$57="",1E+99,'TO HOP NLAN'!D126/ncoc+IF(SUMSQ('TS-PILE'!$E$56:$E$75)=0,0,'TO HOP NLAN'!E126*'TS-PILE'!$E$57/SUMSQ('TS-PILE'!$E$56:$E$75))+IF(SUMSQ('TS-PILE'!$D$56:$D$75)=0,0,'TO HOP NLAN'!F126*'TS-PILE'!$D$57/SUMSQ('TS-PILE'!$D$56:$D$75))),IF('TS-PILE'!$B$58="",1E+99,'TO HOP NLAN'!D126/ncoc+IF(SUMSQ('TS-PILE'!$E$56:$E$75)=0,0,'TO HOP NLAN'!E126*'TS-PILE'!$E$58/SUMSQ('TS-PILE'!$E$56:$E$75))+IF(SUMSQ('TS-PILE'!$D$56:$D$75)=0,0,'TO HOP NLAN'!F126*'TS-PILE'!$D$58/SUMSQ('TS-PILE'!$D$56:$D$75))),IF('TS-PILE'!$B$59="",1E+99,'TO HOP NLAN'!D126/ncoc+IF(SUMSQ('TS-PILE'!$E$56:$E$75)=0,0,'TO HOP NLAN'!E126*'TS-PILE'!$E$59/SUMSQ('TS-PILE'!$E$56:$E$75))+IF(SUMSQ('TS-PILE'!$D$56:$D$75)=0,0,'TO HOP NLAN'!F126*'TS-PILE'!$D$59/SUMSQ('TS-PILE'!$D$56:$D$75))),IF('TS-PILE'!$B$60="",1E+99,'TO HOP NLAN'!D126/ncoc+IF(SUMSQ('TS-PILE'!$E$56:$E$75)=0,0,'TO HOP NLAN'!E126*'TS-PILE'!$E$60/SUMSQ('TS-PILE'!$E$56:$E$75))+IF(SUMSQ('TS-PILE'!$D$56:$D$75)=0,0,'TO HOP NLAN'!F126*'TS-PILE'!$D$60/SUMSQ('TS-PILE'!$D$56:$D$75))),IF('TS-PILE'!$B$61="",1E+99,'TO HOP NLAN'!D126/ncoc+IF(SUMSQ('TS-PILE'!$E$56:$E$75)=0,0,'TO HOP NLAN'!E126*'TS-PILE'!$E$61/SUMSQ('TS-PILE'!$E$56:$E$75))+IF(SUMSQ('TS-PILE'!$D$56:$D$75)=0,0,'TO HOP NLAN'!F126*'TS-PILE'!$D$61/SUMSQ('TS-PILE'!$D$56:$D$75))),IF('TS-PILE'!$B$62="",1E+99,'TO HOP NLAN'!D126/ncoc+IF(SUMSQ('TS-PILE'!$E$56:$E$75)=0,0,'TO HOP NLAN'!E126*'TS-PILE'!$E$62/SUMSQ('TS-PILE'!$E$56:$E$75))+IF(SUMSQ('TS-PILE'!$D$56:$D$75)=0,0,'TO HOP NLAN'!F126*'TS-PILE'!$D$62/SUMSQ('TS-PILE'!$D$56:$D$75))),IF('TS-PILE'!$B$63="",1E+99,'TO HOP NLAN'!D126/ncoc+IF(SUMSQ('TS-PILE'!$E$56:$E$75)=0,0,'TO HOP NLAN'!E126*'TS-PILE'!$E$63/SUMSQ('TS-PILE'!$E$56:$E$75))+IF(SUMSQ('TS-PILE'!$D$56:$D$75)=0,0,'TO HOP NLAN'!F126*'TS-PILE'!$D$63/SUMSQ('TS-PILE'!$D$56:$D$75))),IF('TS-PILE'!$B$64="",1E+99,'TO HOP NLAN'!D126/ncoc+IF(SUMSQ('TS-PILE'!$E$56:$E$75)=0,0,'TO HOP NLAN'!E126*'TS-PILE'!$E$64/SUMSQ('TS-PILE'!$E$56:$E$75))+IF(SUMSQ('TS-PILE'!$D$56:$D$75)=0,0,'TO HOP NLAN'!F126*'TS-PILE'!$D$64/SUMSQ('TS-PILE'!$D$56:$D$75))),IF('TS-PILE'!$B$65="",1E+99,'TO HOP NLAN'!D126/ncoc+IF(SUMSQ('TS-PILE'!$E$56:$E$75)=0,0,'TO HOP NLAN'!E126*'TS-PILE'!$E$65/SUMSQ('TS-PILE'!$E$56:$E$75))+IF(SUMSQ('TS-PILE'!$D$56:$D$75)=0,0,'TO HOP NLAN'!F126*'TS-PILE'!$D$65/SUMSQ('TS-PILE'!$D$56:$D$75))),IF('TS-PILE'!$B$66="",1E+99,'TO HOP NLAN'!D126/ncoc+IF(SUMSQ('TS-PILE'!$E$56:$E$75)=0,0,'TO HOP NLAN'!E126*'TS-PILE'!$E$66/SUMSQ('TS-PILE'!$E$56:$E$75))+IF(SUMSQ('TS-PILE'!$D$56:$D$75)=0,0,'TO HOP NLAN'!F126*'TS-PILE'!$D$66/SUMSQ('TS-PILE'!$D$56:$D$75))),IF('TS-PILE'!$B$67="",1E+99,'TO HOP NLAN'!D126/ncoc+IF(SUMSQ('TS-PILE'!$E$56:$E$75)=0,0,'TO HOP NLAN'!E126*'TS-PILE'!$E$67/SUMSQ('TS-PILE'!$E$56:$E$75))+IF(SUMSQ('TS-PILE'!$D$56:$D$75)=0,0,'TO HOP NLAN'!F126*'TS-PILE'!$D$67/SUMSQ('TS-PILE'!$D$56:$D$75))),IF('TS-PILE'!$B$68="",1E+99,'TO HOP NLAN'!D126/ncoc+IF(SUMSQ('TS-PILE'!$E$56:$E$75)=0,0,'TO HOP NLAN'!E126*'TS-PILE'!$E$68/SUMSQ('TS-PILE'!$E$56:$E$75))+IF(SUMSQ('TS-PILE'!$D$56:$D$75)=0,0,'TO HOP NLAN'!F126*'TS-PILE'!$D$68/SUMSQ('TS-PILE'!$D$56:$D$75))),IF('TS-PILE'!$B$69="",1E+99,'TO HOP NLAN'!D126/ncoc+IF(SUMSQ('TS-PILE'!$E$56:$E$75)=0,0,'TO HOP NLAN'!E126*'TS-PILE'!$E$69/SUMSQ('TS-PILE'!$E$56:$E$75))+IF(SUMSQ('TS-PILE'!$D$56:$D$75)=0,0,'TO HOP NLAN'!F126*'TS-PILE'!$D$69/SUMSQ('TS-PILE'!$D$56:$D$75))),IF('TS-PILE'!$B$70="",1E+99,'TO HOP NLAN'!D126/ncoc+IF(SUMSQ('TS-PILE'!$E$56:$E$75)=0,0,'TO HOP NLAN'!E126*'TS-PILE'!$E$70/SUMSQ('TS-PILE'!$E$56:$E$75))+IF(SUMSQ('TS-PILE'!$D$56:$D$75)=0,0,'TO HOP NLAN'!F126*'TS-PILE'!$D$70/SUMSQ('TS-PILE'!$D$56:$D$75))),IF('TS-PILE'!$B$71="",1E+99,'TO HOP NLAN'!D126/ncoc+IF(SUMSQ('TS-PILE'!$E$56:$E$75)=0,0,'TO HOP NLAN'!E126*'TS-PILE'!$E$71/SUMSQ('TS-PILE'!$E$56:$E$75))+IF(SUMSQ('TS-PILE'!$D$56:$D$75)=0,0,'TO HOP NLAN'!F126*'TS-PILE'!$D$71/SUMSQ('TS-PILE'!$D$56:$D$75))),IF('TS-PILE'!$B$72="",1E+99,'TO HOP NLAN'!D126/ncoc+IF(SUMSQ('TS-PILE'!$E$56:$E$75)=0,0,'TO HOP NLAN'!E126*'TS-PILE'!$E$72/SUMSQ('TS-PILE'!$E$56:$E$75))+IF(SUMSQ('TS-PILE'!$D$56:$D$75)=0,0,'TO HOP NLAN'!F126*'TS-PILE'!$D$72/SUMSQ('TS-PILE'!$D$56:$D$75))),IF('TS-PILE'!$B$73="",1E+99,'TO HOP NLAN'!D126/ncoc+IF(SUMSQ('TS-PILE'!$E$56:$E$75)=0,0,'TO HOP NLAN'!E126*'TS-PILE'!$E$73/SUMSQ('TS-PILE'!$E$56:$E$75))+IF(SUMSQ('TS-PILE'!$D$56:$D$75)=0,0,'TO HOP NLAN'!F126*'TS-PILE'!$D$73/SUMSQ('TS-PILE'!$D$56:$D$75))),IF('TS-PILE'!$B$74="",1E+99,'TO HOP NLAN'!D126/ncoc+IF(SUMSQ('TS-PILE'!$E$56:$E$75)=0,0,'TO HOP NLAN'!E126*'TS-PILE'!$E$74/SUMSQ('TS-PILE'!$E$56:$E$75))+IF(SUMSQ('TS-PILE'!$D$56:$D$75)=0,0,'TO HOP NLAN'!F126*'TS-PILE'!$D$74/SUMSQ('TS-PILE'!$D$56:$D$75))),IF('TS-PILE'!$B$75="",1E+99,'TO HOP NLAN'!D126/ncoc+IF(SUMSQ('TS-PILE'!$E$56:$E$75)=0,0,'TO HOP NLAN'!E126*'TS-PILE'!$E$75/SUMSQ('TS-PILE'!$E$56:$E$75))+IF(SUMSQ('TS-PILE'!$D$56:$D$75)=0,0,'TO HOP NLAN'!F126*'TS-PILE'!$D$75/SUMSQ('TS-PILE'!$D$56:$D$75)))))</f>
        <v>0</v>
      </c>
      <c r="E126" s="46">
        <f t="shared" si="4"/>
        <v>-9.9999999999999997E+98</v>
      </c>
      <c r="F126" s="46">
        <f t="shared" si="5"/>
        <v>9.9999999999999997E+98</v>
      </c>
      <c r="G126" s="46">
        <f t="shared" si="6"/>
        <v>-9.9999999999999997E+98</v>
      </c>
      <c r="H126" s="46">
        <f t="shared" si="7"/>
        <v>9.9999999999999997E+98</v>
      </c>
    </row>
    <row r="127" spans="1:8" x14ac:dyDescent="0.3">
      <c r="A127" s="40" t="str">
        <f>'TO HOP NLAN'!A127</f>
        <v/>
      </c>
      <c r="B127" s="40" t="str">
        <f>'TO HOP NLAN'!L127</f>
        <v>STRENGTH</v>
      </c>
      <c r="C127" s="46">
        <f>IF(A127="",0,MAX(IF('TS-PILE'!$B$56="",-1E+99,'TO HOP NLAN'!D127/ncoc+IF(SUMSQ('TS-PILE'!$E$56:$E$75)=0,0,'TO HOP NLAN'!E127*'TS-PILE'!$E$56/SUMSQ('TS-PILE'!$E$56:$E$75))+IF(SUMSQ('TS-PILE'!$D$56:$D$75)=0,0,'TO HOP NLAN'!F127*'TS-PILE'!$D$56/SUMSQ('TS-PILE'!$D$56:$D$75))),IF('TS-PILE'!$B$57="",-1E+99,'TO HOP NLAN'!D127/ncoc+IF(SUMSQ('TS-PILE'!$E$56:$E$75)=0,0,'TO HOP NLAN'!E127*'TS-PILE'!$E$57/SUMSQ('TS-PILE'!$E$56:$E$75))+IF(SUMSQ('TS-PILE'!$D$56:$D$75)=0,0,'TO HOP NLAN'!F127*'TS-PILE'!$D$57/SUMSQ('TS-PILE'!$D$56:$D$75))),IF('TS-PILE'!$B$58="",-1E+99,'TO HOP NLAN'!D127/ncoc+IF(SUMSQ('TS-PILE'!$E$56:$E$75)=0,0,'TO HOP NLAN'!E127*'TS-PILE'!$E$58/SUMSQ('TS-PILE'!$E$56:$E$75))+IF(SUMSQ('TS-PILE'!$D$56:$D$75)=0,0,'TO HOP NLAN'!F127*'TS-PILE'!$D$58/SUMSQ('TS-PILE'!$D$56:$D$75))),IF('TS-PILE'!$B$59="",-1E+99,'TO HOP NLAN'!D127/ncoc+IF(SUMSQ('TS-PILE'!$E$56:$E$75)=0,0,'TO HOP NLAN'!E127*'TS-PILE'!$E$59/SUMSQ('TS-PILE'!$E$56:$E$75))+IF(SUMSQ('TS-PILE'!$D$56:$D$75)=0,0,'TO HOP NLAN'!F127*'TS-PILE'!$D$59/SUMSQ('TS-PILE'!$D$56:$D$75))),IF('TS-PILE'!$B$60="",-1E+99,'TO HOP NLAN'!D127/ncoc+IF(SUMSQ('TS-PILE'!$E$56:$E$75)=0,0,'TO HOP NLAN'!E127*'TS-PILE'!$E$60/SUMSQ('TS-PILE'!$E$56:$E$75))+IF(SUMSQ('TS-PILE'!$D$56:$D$75)=0,0,'TO HOP NLAN'!F127*'TS-PILE'!$D$60/SUMSQ('TS-PILE'!$D$56:$D$75))),IF('TS-PILE'!$B$61="",-1E+99,'TO HOP NLAN'!D127/ncoc+IF(SUMSQ('TS-PILE'!$E$56:$E$75)=0,0,'TO HOP NLAN'!E127*'TS-PILE'!$E$61/SUMSQ('TS-PILE'!$E$56:$E$75))+IF(SUMSQ('TS-PILE'!$D$56:$D$75)=0,0,'TO HOP NLAN'!F127*'TS-PILE'!$D$61/SUMSQ('TS-PILE'!$D$56:$D$75))),IF('TS-PILE'!$B$62="",-1E+99,'TO HOP NLAN'!D127/ncoc+IF(SUMSQ('TS-PILE'!$E$56:$E$75)=0,0,'TO HOP NLAN'!E127*'TS-PILE'!$E$62/SUMSQ('TS-PILE'!$E$56:$E$75))+IF(SUMSQ('TS-PILE'!$D$56:$D$75)=0,0,'TO HOP NLAN'!F127*'TS-PILE'!$D$62/SUMSQ('TS-PILE'!$D$56:$D$75))),IF('TS-PILE'!$B$63="",-1E+99,'TO HOP NLAN'!D127/ncoc+IF(SUMSQ('TS-PILE'!$E$56:$E$75)=0,0,'TO HOP NLAN'!E127*'TS-PILE'!$E$63/SUMSQ('TS-PILE'!$E$56:$E$75))+IF(SUMSQ('TS-PILE'!$D$56:$D$75)=0,0,'TO HOP NLAN'!F127*'TS-PILE'!$D$63/SUMSQ('TS-PILE'!$D$56:$D$75))),IF('TS-PILE'!$B$64="",-1E+99,'TO HOP NLAN'!D127/ncoc+IF(SUMSQ('TS-PILE'!$E$56:$E$75)=0,0,'TO HOP NLAN'!E127*'TS-PILE'!$E$64/SUMSQ('TS-PILE'!$E$56:$E$75))+IF(SUMSQ('TS-PILE'!$D$56:$D$75)=0,0,'TO HOP NLAN'!F127*'TS-PILE'!$D$64/SUMSQ('TS-PILE'!$D$56:$D$75))),IF('TS-PILE'!$B$65="",-1E+99,'TO HOP NLAN'!D127/ncoc+IF(SUMSQ('TS-PILE'!$E$56:$E$75)=0,0,'TO HOP NLAN'!E127*'TS-PILE'!$E$65/SUMSQ('TS-PILE'!$E$56:$E$75))+IF(SUMSQ('TS-PILE'!$D$56:$D$75)=0,0,'TO HOP NLAN'!F127*'TS-PILE'!$D$65/SUMSQ('TS-PILE'!$D$56:$D$75))),IF('TS-PILE'!$B$66="",-1E+99,'TO HOP NLAN'!D127/ncoc+IF(SUMSQ('TS-PILE'!$E$56:$E$75)=0,0,'TO HOP NLAN'!E127*'TS-PILE'!$E$66/SUMSQ('TS-PILE'!$E$56:$E$75))+IF(SUMSQ('TS-PILE'!$D$56:$D$75)=0,0,'TO HOP NLAN'!F127*'TS-PILE'!$D$66/SUMSQ('TS-PILE'!$D$56:$D$75))),IF('TS-PILE'!$B$67="",-1E+99,'TO HOP NLAN'!D127/ncoc+IF(SUMSQ('TS-PILE'!$E$56:$E$75)=0,0,'TO HOP NLAN'!E127*'TS-PILE'!$E$67/SUMSQ('TS-PILE'!$E$56:$E$75))+IF(SUMSQ('TS-PILE'!$D$56:$D$75)=0,0,'TO HOP NLAN'!F127*'TS-PILE'!$D$67/SUMSQ('TS-PILE'!$D$56:$D$75))),IF('TS-PILE'!$B$68="",-1E+99,'TO HOP NLAN'!D127/ncoc+IF(SUMSQ('TS-PILE'!$E$56:$E$75)=0,0,'TO HOP NLAN'!E127*'TS-PILE'!$E$68/SUMSQ('TS-PILE'!$E$56:$E$75))+IF(SUMSQ('TS-PILE'!$D$56:$D$75)=0,0,'TO HOP NLAN'!F127*'TS-PILE'!$D$68/SUMSQ('TS-PILE'!$D$56:$D$75))),IF('TS-PILE'!$B$69="",-1E+99,'TO HOP NLAN'!D127/ncoc+IF(SUMSQ('TS-PILE'!$E$56:$E$75)=0,0,'TO HOP NLAN'!E127*'TS-PILE'!$E$69/SUMSQ('TS-PILE'!$E$56:$E$75))+IF(SUMSQ('TS-PILE'!$D$56:$D$75)=0,0,'TO HOP NLAN'!F127*'TS-PILE'!$D$69/SUMSQ('TS-PILE'!$D$56:$D$75))),IF('TS-PILE'!$B$70="",-1E+99,'TO HOP NLAN'!D127/ncoc+IF(SUMSQ('TS-PILE'!$E$56:$E$75)=0,0,'TO HOP NLAN'!E127*'TS-PILE'!$E$70/SUMSQ('TS-PILE'!$E$56:$E$75))+IF(SUMSQ('TS-PILE'!$D$56:$D$75)=0,0,'TO HOP NLAN'!F127*'TS-PILE'!$D$70/SUMSQ('TS-PILE'!$D$56:$D$75))),IF('TS-PILE'!$B$71="",-1E+99,'TO HOP NLAN'!D127/ncoc+IF(SUMSQ('TS-PILE'!$E$56:$E$75)=0,0,'TO HOP NLAN'!E127*'TS-PILE'!$E$71/SUMSQ('TS-PILE'!$E$56:$E$75))+IF(SUMSQ('TS-PILE'!$D$56:$D$75)=0,0,'TO HOP NLAN'!F127*'TS-PILE'!$D$71/SUMSQ('TS-PILE'!$D$56:$D$75))),IF('TS-PILE'!$B$72="",-1E+99,'TO HOP NLAN'!D127/ncoc+IF(SUMSQ('TS-PILE'!$E$56:$E$75)=0,0,'TO HOP NLAN'!E127*'TS-PILE'!$E$72/SUMSQ('TS-PILE'!$E$56:$E$75))+IF(SUMSQ('TS-PILE'!$D$56:$D$75)=0,0,'TO HOP NLAN'!F127*'TS-PILE'!$D$72/SUMSQ('TS-PILE'!$D$56:$D$75))),IF('TS-PILE'!$B$73="",-1E+99,'TO HOP NLAN'!D127/ncoc+IF(SUMSQ('TS-PILE'!$E$56:$E$75)=0,0,'TO HOP NLAN'!E127*'TS-PILE'!$E$73/SUMSQ('TS-PILE'!$E$56:$E$75))+IF(SUMSQ('TS-PILE'!$D$56:$D$75)=0,0,'TO HOP NLAN'!F127*'TS-PILE'!$D$73/SUMSQ('TS-PILE'!$D$56:$D$75))),IF('TS-PILE'!$B$74="",-1E+99,'TO HOP NLAN'!D127/ncoc+IF(SUMSQ('TS-PILE'!$E$56:$E$75)=0,0,'TO HOP NLAN'!E127*'TS-PILE'!$E$74/SUMSQ('TS-PILE'!$E$56:$E$75))+IF(SUMSQ('TS-PILE'!$D$56:$D$75)=0,0,'TO HOP NLAN'!F127*'TS-PILE'!$D$74/SUMSQ('TS-PILE'!$D$56:$D$75))),IF('TS-PILE'!$B$75="",-1E+99,'TO HOP NLAN'!D127/ncoc+IF(SUMSQ('TS-PILE'!$E$56:$E$75)=0,0,'TO HOP NLAN'!E127*'TS-PILE'!$E$75/SUMSQ('TS-PILE'!$E$56:$E$75))+IF(SUMSQ('TS-PILE'!$D$56:$D$75)=0,0,'TO HOP NLAN'!F127*'TS-PILE'!$D$75/SUMSQ('TS-PILE'!$D$56:$D$75)))))</f>
        <v>0</v>
      </c>
      <c r="D127" s="46">
        <f>IF(A127="",0,MIN(IF('TS-PILE'!$B$56="",1E+99,'TO HOP NLAN'!D127/ncoc+IF(SUMSQ('TS-PILE'!$E$56:$E$75)=0,0,'TO HOP NLAN'!E127*'TS-PILE'!$E$56/SUMSQ('TS-PILE'!$E$56:$E$75))+IF(SUMSQ('TS-PILE'!$D$56:$D$75)=0,0,'TO HOP NLAN'!F127*'TS-PILE'!$D$56/SUMSQ('TS-PILE'!$D$56:$D$75))),IF('TS-PILE'!$B$57="",1E+99,'TO HOP NLAN'!D127/ncoc+IF(SUMSQ('TS-PILE'!$E$56:$E$75)=0,0,'TO HOP NLAN'!E127*'TS-PILE'!$E$57/SUMSQ('TS-PILE'!$E$56:$E$75))+IF(SUMSQ('TS-PILE'!$D$56:$D$75)=0,0,'TO HOP NLAN'!F127*'TS-PILE'!$D$57/SUMSQ('TS-PILE'!$D$56:$D$75))),IF('TS-PILE'!$B$58="",1E+99,'TO HOP NLAN'!D127/ncoc+IF(SUMSQ('TS-PILE'!$E$56:$E$75)=0,0,'TO HOP NLAN'!E127*'TS-PILE'!$E$58/SUMSQ('TS-PILE'!$E$56:$E$75))+IF(SUMSQ('TS-PILE'!$D$56:$D$75)=0,0,'TO HOP NLAN'!F127*'TS-PILE'!$D$58/SUMSQ('TS-PILE'!$D$56:$D$75))),IF('TS-PILE'!$B$59="",1E+99,'TO HOP NLAN'!D127/ncoc+IF(SUMSQ('TS-PILE'!$E$56:$E$75)=0,0,'TO HOP NLAN'!E127*'TS-PILE'!$E$59/SUMSQ('TS-PILE'!$E$56:$E$75))+IF(SUMSQ('TS-PILE'!$D$56:$D$75)=0,0,'TO HOP NLAN'!F127*'TS-PILE'!$D$59/SUMSQ('TS-PILE'!$D$56:$D$75))),IF('TS-PILE'!$B$60="",1E+99,'TO HOP NLAN'!D127/ncoc+IF(SUMSQ('TS-PILE'!$E$56:$E$75)=0,0,'TO HOP NLAN'!E127*'TS-PILE'!$E$60/SUMSQ('TS-PILE'!$E$56:$E$75))+IF(SUMSQ('TS-PILE'!$D$56:$D$75)=0,0,'TO HOP NLAN'!F127*'TS-PILE'!$D$60/SUMSQ('TS-PILE'!$D$56:$D$75))),IF('TS-PILE'!$B$61="",1E+99,'TO HOP NLAN'!D127/ncoc+IF(SUMSQ('TS-PILE'!$E$56:$E$75)=0,0,'TO HOP NLAN'!E127*'TS-PILE'!$E$61/SUMSQ('TS-PILE'!$E$56:$E$75))+IF(SUMSQ('TS-PILE'!$D$56:$D$75)=0,0,'TO HOP NLAN'!F127*'TS-PILE'!$D$61/SUMSQ('TS-PILE'!$D$56:$D$75))),IF('TS-PILE'!$B$62="",1E+99,'TO HOP NLAN'!D127/ncoc+IF(SUMSQ('TS-PILE'!$E$56:$E$75)=0,0,'TO HOP NLAN'!E127*'TS-PILE'!$E$62/SUMSQ('TS-PILE'!$E$56:$E$75))+IF(SUMSQ('TS-PILE'!$D$56:$D$75)=0,0,'TO HOP NLAN'!F127*'TS-PILE'!$D$62/SUMSQ('TS-PILE'!$D$56:$D$75))),IF('TS-PILE'!$B$63="",1E+99,'TO HOP NLAN'!D127/ncoc+IF(SUMSQ('TS-PILE'!$E$56:$E$75)=0,0,'TO HOP NLAN'!E127*'TS-PILE'!$E$63/SUMSQ('TS-PILE'!$E$56:$E$75))+IF(SUMSQ('TS-PILE'!$D$56:$D$75)=0,0,'TO HOP NLAN'!F127*'TS-PILE'!$D$63/SUMSQ('TS-PILE'!$D$56:$D$75))),IF('TS-PILE'!$B$64="",1E+99,'TO HOP NLAN'!D127/ncoc+IF(SUMSQ('TS-PILE'!$E$56:$E$75)=0,0,'TO HOP NLAN'!E127*'TS-PILE'!$E$64/SUMSQ('TS-PILE'!$E$56:$E$75))+IF(SUMSQ('TS-PILE'!$D$56:$D$75)=0,0,'TO HOP NLAN'!F127*'TS-PILE'!$D$64/SUMSQ('TS-PILE'!$D$56:$D$75))),IF('TS-PILE'!$B$65="",1E+99,'TO HOP NLAN'!D127/ncoc+IF(SUMSQ('TS-PILE'!$E$56:$E$75)=0,0,'TO HOP NLAN'!E127*'TS-PILE'!$E$65/SUMSQ('TS-PILE'!$E$56:$E$75))+IF(SUMSQ('TS-PILE'!$D$56:$D$75)=0,0,'TO HOP NLAN'!F127*'TS-PILE'!$D$65/SUMSQ('TS-PILE'!$D$56:$D$75))),IF('TS-PILE'!$B$66="",1E+99,'TO HOP NLAN'!D127/ncoc+IF(SUMSQ('TS-PILE'!$E$56:$E$75)=0,0,'TO HOP NLAN'!E127*'TS-PILE'!$E$66/SUMSQ('TS-PILE'!$E$56:$E$75))+IF(SUMSQ('TS-PILE'!$D$56:$D$75)=0,0,'TO HOP NLAN'!F127*'TS-PILE'!$D$66/SUMSQ('TS-PILE'!$D$56:$D$75))),IF('TS-PILE'!$B$67="",1E+99,'TO HOP NLAN'!D127/ncoc+IF(SUMSQ('TS-PILE'!$E$56:$E$75)=0,0,'TO HOP NLAN'!E127*'TS-PILE'!$E$67/SUMSQ('TS-PILE'!$E$56:$E$75))+IF(SUMSQ('TS-PILE'!$D$56:$D$75)=0,0,'TO HOP NLAN'!F127*'TS-PILE'!$D$67/SUMSQ('TS-PILE'!$D$56:$D$75))),IF('TS-PILE'!$B$68="",1E+99,'TO HOP NLAN'!D127/ncoc+IF(SUMSQ('TS-PILE'!$E$56:$E$75)=0,0,'TO HOP NLAN'!E127*'TS-PILE'!$E$68/SUMSQ('TS-PILE'!$E$56:$E$75))+IF(SUMSQ('TS-PILE'!$D$56:$D$75)=0,0,'TO HOP NLAN'!F127*'TS-PILE'!$D$68/SUMSQ('TS-PILE'!$D$56:$D$75))),IF('TS-PILE'!$B$69="",1E+99,'TO HOP NLAN'!D127/ncoc+IF(SUMSQ('TS-PILE'!$E$56:$E$75)=0,0,'TO HOP NLAN'!E127*'TS-PILE'!$E$69/SUMSQ('TS-PILE'!$E$56:$E$75))+IF(SUMSQ('TS-PILE'!$D$56:$D$75)=0,0,'TO HOP NLAN'!F127*'TS-PILE'!$D$69/SUMSQ('TS-PILE'!$D$56:$D$75))),IF('TS-PILE'!$B$70="",1E+99,'TO HOP NLAN'!D127/ncoc+IF(SUMSQ('TS-PILE'!$E$56:$E$75)=0,0,'TO HOP NLAN'!E127*'TS-PILE'!$E$70/SUMSQ('TS-PILE'!$E$56:$E$75))+IF(SUMSQ('TS-PILE'!$D$56:$D$75)=0,0,'TO HOP NLAN'!F127*'TS-PILE'!$D$70/SUMSQ('TS-PILE'!$D$56:$D$75))),IF('TS-PILE'!$B$71="",1E+99,'TO HOP NLAN'!D127/ncoc+IF(SUMSQ('TS-PILE'!$E$56:$E$75)=0,0,'TO HOP NLAN'!E127*'TS-PILE'!$E$71/SUMSQ('TS-PILE'!$E$56:$E$75))+IF(SUMSQ('TS-PILE'!$D$56:$D$75)=0,0,'TO HOP NLAN'!F127*'TS-PILE'!$D$71/SUMSQ('TS-PILE'!$D$56:$D$75))),IF('TS-PILE'!$B$72="",1E+99,'TO HOP NLAN'!D127/ncoc+IF(SUMSQ('TS-PILE'!$E$56:$E$75)=0,0,'TO HOP NLAN'!E127*'TS-PILE'!$E$72/SUMSQ('TS-PILE'!$E$56:$E$75))+IF(SUMSQ('TS-PILE'!$D$56:$D$75)=0,0,'TO HOP NLAN'!F127*'TS-PILE'!$D$72/SUMSQ('TS-PILE'!$D$56:$D$75))),IF('TS-PILE'!$B$73="",1E+99,'TO HOP NLAN'!D127/ncoc+IF(SUMSQ('TS-PILE'!$E$56:$E$75)=0,0,'TO HOP NLAN'!E127*'TS-PILE'!$E$73/SUMSQ('TS-PILE'!$E$56:$E$75))+IF(SUMSQ('TS-PILE'!$D$56:$D$75)=0,0,'TO HOP NLAN'!F127*'TS-PILE'!$D$73/SUMSQ('TS-PILE'!$D$56:$D$75))),IF('TS-PILE'!$B$74="",1E+99,'TO HOP NLAN'!D127/ncoc+IF(SUMSQ('TS-PILE'!$E$56:$E$75)=0,0,'TO HOP NLAN'!E127*'TS-PILE'!$E$74/SUMSQ('TS-PILE'!$E$56:$E$75))+IF(SUMSQ('TS-PILE'!$D$56:$D$75)=0,0,'TO HOP NLAN'!F127*'TS-PILE'!$D$74/SUMSQ('TS-PILE'!$D$56:$D$75))),IF('TS-PILE'!$B$75="",1E+99,'TO HOP NLAN'!D127/ncoc+IF(SUMSQ('TS-PILE'!$E$56:$E$75)=0,0,'TO HOP NLAN'!E127*'TS-PILE'!$E$75/SUMSQ('TS-PILE'!$E$56:$E$75))+IF(SUMSQ('TS-PILE'!$D$56:$D$75)=0,0,'TO HOP NLAN'!F127*'TS-PILE'!$D$75/SUMSQ('TS-PILE'!$D$56:$D$75)))))</f>
        <v>0</v>
      </c>
      <c r="E127" s="46">
        <f t="shared" si="4"/>
        <v>-9.9999999999999997E+98</v>
      </c>
      <c r="F127" s="46">
        <f t="shared" si="5"/>
        <v>9.9999999999999997E+98</v>
      </c>
      <c r="G127" s="46">
        <f t="shared" si="6"/>
        <v>-9.9999999999999997E+98</v>
      </c>
      <c r="H127" s="46">
        <f t="shared" si="7"/>
        <v>9.9999999999999997E+98</v>
      </c>
    </row>
    <row r="128" spans="1:8" x14ac:dyDescent="0.3">
      <c r="A128" s="40" t="str">
        <f>'TO HOP NLAN'!A128</f>
        <v/>
      </c>
      <c r="B128" s="40" t="str">
        <f>'TO HOP NLAN'!L128</f>
        <v>STRENGTH</v>
      </c>
      <c r="C128" s="46">
        <f>IF(A128="",0,MAX(IF('TS-PILE'!$B$56="",-1E+99,'TO HOP NLAN'!D128/ncoc+IF(SUMSQ('TS-PILE'!$E$56:$E$75)=0,0,'TO HOP NLAN'!E128*'TS-PILE'!$E$56/SUMSQ('TS-PILE'!$E$56:$E$75))+IF(SUMSQ('TS-PILE'!$D$56:$D$75)=0,0,'TO HOP NLAN'!F128*'TS-PILE'!$D$56/SUMSQ('TS-PILE'!$D$56:$D$75))),IF('TS-PILE'!$B$57="",-1E+99,'TO HOP NLAN'!D128/ncoc+IF(SUMSQ('TS-PILE'!$E$56:$E$75)=0,0,'TO HOP NLAN'!E128*'TS-PILE'!$E$57/SUMSQ('TS-PILE'!$E$56:$E$75))+IF(SUMSQ('TS-PILE'!$D$56:$D$75)=0,0,'TO HOP NLAN'!F128*'TS-PILE'!$D$57/SUMSQ('TS-PILE'!$D$56:$D$75))),IF('TS-PILE'!$B$58="",-1E+99,'TO HOP NLAN'!D128/ncoc+IF(SUMSQ('TS-PILE'!$E$56:$E$75)=0,0,'TO HOP NLAN'!E128*'TS-PILE'!$E$58/SUMSQ('TS-PILE'!$E$56:$E$75))+IF(SUMSQ('TS-PILE'!$D$56:$D$75)=0,0,'TO HOP NLAN'!F128*'TS-PILE'!$D$58/SUMSQ('TS-PILE'!$D$56:$D$75))),IF('TS-PILE'!$B$59="",-1E+99,'TO HOP NLAN'!D128/ncoc+IF(SUMSQ('TS-PILE'!$E$56:$E$75)=0,0,'TO HOP NLAN'!E128*'TS-PILE'!$E$59/SUMSQ('TS-PILE'!$E$56:$E$75))+IF(SUMSQ('TS-PILE'!$D$56:$D$75)=0,0,'TO HOP NLAN'!F128*'TS-PILE'!$D$59/SUMSQ('TS-PILE'!$D$56:$D$75))),IF('TS-PILE'!$B$60="",-1E+99,'TO HOP NLAN'!D128/ncoc+IF(SUMSQ('TS-PILE'!$E$56:$E$75)=0,0,'TO HOP NLAN'!E128*'TS-PILE'!$E$60/SUMSQ('TS-PILE'!$E$56:$E$75))+IF(SUMSQ('TS-PILE'!$D$56:$D$75)=0,0,'TO HOP NLAN'!F128*'TS-PILE'!$D$60/SUMSQ('TS-PILE'!$D$56:$D$75))),IF('TS-PILE'!$B$61="",-1E+99,'TO HOP NLAN'!D128/ncoc+IF(SUMSQ('TS-PILE'!$E$56:$E$75)=0,0,'TO HOP NLAN'!E128*'TS-PILE'!$E$61/SUMSQ('TS-PILE'!$E$56:$E$75))+IF(SUMSQ('TS-PILE'!$D$56:$D$75)=0,0,'TO HOP NLAN'!F128*'TS-PILE'!$D$61/SUMSQ('TS-PILE'!$D$56:$D$75))),IF('TS-PILE'!$B$62="",-1E+99,'TO HOP NLAN'!D128/ncoc+IF(SUMSQ('TS-PILE'!$E$56:$E$75)=0,0,'TO HOP NLAN'!E128*'TS-PILE'!$E$62/SUMSQ('TS-PILE'!$E$56:$E$75))+IF(SUMSQ('TS-PILE'!$D$56:$D$75)=0,0,'TO HOP NLAN'!F128*'TS-PILE'!$D$62/SUMSQ('TS-PILE'!$D$56:$D$75))),IF('TS-PILE'!$B$63="",-1E+99,'TO HOP NLAN'!D128/ncoc+IF(SUMSQ('TS-PILE'!$E$56:$E$75)=0,0,'TO HOP NLAN'!E128*'TS-PILE'!$E$63/SUMSQ('TS-PILE'!$E$56:$E$75))+IF(SUMSQ('TS-PILE'!$D$56:$D$75)=0,0,'TO HOP NLAN'!F128*'TS-PILE'!$D$63/SUMSQ('TS-PILE'!$D$56:$D$75))),IF('TS-PILE'!$B$64="",-1E+99,'TO HOP NLAN'!D128/ncoc+IF(SUMSQ('TS-PILE'!$E$56:$E$75)=0,0,'TO HOP NLAN'!E128*'TS-PILE'!$E$64/SUMSQ('TS-PILE'!$E$56:$E$75))+IF(SUMSQ('TS-PILE'!$D$56:$D$75)=0,0,'TO HOP NLAN'!F128*'TS-PILE'!$D$64/SUMSQ('TS-PILE'!$D$56:$D$75))),IF('TS-PILE'!$B$65="",-1E+99,'TO HOP NLAN'!D128/ncoc+IF(SUMSQ('TS-PILE'!$E$56:$E$75)=0,0,'TO HOP NLAN'!E128*'TS-PILE'!$E$65/SUMSQ('TS-PILE'!$E$56:$E$75))+IF(SUMSQ('TS-PILE'!$D$56:$D$75)=0,0,'TO HOP NLAN'!F128*'TS-PILE'!$D$65/SUMSQ('TS-PILE'!$D$56:$D$75))),IF('TS-PILE'!$B$66="",-1E+99,'TO HOP NLAN'!D128/ncoc+IF(SUMSQ('TS-PILE'!$E$56:$E$75)=0,0,'TO HOP NLAN'!E128*'TS-PILE'!$E$66/SUMSQ('TS-PILE'!$E$56:$E$75))+IF(SUMSQ('TS-PILE'!$D$56:$D$75)=0,0,'TO HOP NLAN'!F128*'TS-PILE'!$D$66/SUMSQ('TS-PILE'!$D$56:$D$75))),IF('TS-PILE'!$B$67="",-1E+99,'TO HOP NLAN'!D128/ncoc+IF(SUMSQ('TS-PILE'!$E$56:$E$75)=0,0,'TO HOP NLAN'!E128*'TS-PILE'!$E$67/SUMSQ('TS-PILE'!$E$56:$E$75))+IF(SUMSQ('TS-PILE'!$D$56:$D$75)=0,0,'TO HOP NLAN'!F128*'TS-PILE'!$D$67/SUMSQ('TS-PILE'!$D$56:$D$75))),IF('TS-PILE'!$B$68="",-1E+99,'TO HOP NLAN'!D128/ncoc+IF(SUMSQ('TS-PILE'!$E$56:$E$75)=0,0,'TO HOP NLAN'!E128*'TS-PILE'!$E$68/SUMSQ('TS-PILE'!$E$56:$E$75))+IF(SUMSQ('TS-PILE'!$D$56:$D$75)=0,0,'TO HOP NLAN'!F128*'TS-PILE'!$D$68/SUMSQ('TS-PILE'!$D$56:$D$75))),IF('TS-PILE'!$B$69="",-1E+99,'TO HOP NLAN'!D128/ncoc+IF(SUMSQ('TS-PILE'!$E$56:$E$75)=0,0,'TO HOP NLAN'!E128*'TS-PILE'!$E$69/SUMSQ('TS-PILE'!$E$56:$E$75))+IF(SUMSQ('TS-PILE'!$D$56:$D$75)=0,0,'TO HOP NLAN'!F128*'TS-PILE'!$D$69/SUMSQ('TS-PILE'!$D$56:$D$75))),IF('TS-PILE'!$B$70="",-1E+99,'TO HOP NLAN'!D128/ncoc+IF(SUMSQ('TS-PILE'!$E$56:$E$75)=0,0,'TO HOP NLAN'!E128*'TS-PILE'!$E$70/SUMSQ('TS-PILE'!$E$56:$E$75))+IF(SUMSQ('TS-PILE'!$D$56:$D$75)=0,0,'TO HOP NLAN'!F128*'TS-PILE'!$D$70/SUMSQ('TS-PILE'!$D$56:$D$75))),IF('TS-PILE'!$B$71="",-1E+99,'TO HOP NLAN'!D128/ncoc+IF(SUMSQ('TS-PILE'!$E$56:$E$75)=0,0,'TO HOP NLAN'!E128*'TS-PILE'!$E$71/SUMSQ('TS-PILE'!$E$56:$E$75))+IF(SUMSQ('TS-PILE'!$D$56:$D$75)=0,0,'TO HOP NLAN'!F128*'TS-PILE'!$D$71/SUMSQ('TS-PILE'!$D$56:$D$75))),IF('TS-PILE'!$B$72="",-1E+99,'TO HOP NLAN'!D128/ncoc+IF(SUMSQ('TS-PILE'!$E$56:$E$75)=0,0,'TO HOP NLAN'!E128*'TS-PILE'!$E$72/SUMSQ('TS-PILE'!$E$56:$E$75))+IF(SUMSQ('TS-PILE'!$D$56:$D$75)=0,0,'TO HOP NLAN'!F128*'TS-PILE'!$D$72/SUMSQ('TS-PILE'!$D$56:$D$75))),IF('TS-PILE'!$B$73="",-1E+99,'TO HOP NLAN'!D128/ncoc+IF(SUMSQ('TS-PILE'!$E$56:$E$75)=0,0,'TO HOP NLAN'!E128*'TS-PILE'!$E$73/SUMSQ('TS-PILE'!$E$56:$E$75))+IF(SUMSQ('TS-PILE'!$D$56:$D$75)=0,0,'TO HOP NLAN'!F128*'TS-PILE'!$D$73/SUMSQ('TS-PILE'!$D$56:$D$75))),IF('TS-PILE'!$B$74="",-1E+99,'TO HOP NLAN'!D128/ncoc+IF(SUMSQ('TS-PILE'!$E$56:$E$75)=0,0,'TO HOP NLAN'!E128*'TS-PILE'!$E$74/SUMSQ('TS-PILE'!$E$56:$E$75))+IF(SUMSQ('TS-PILE'!$D$56:$D$75)=0,0,'TO HOP NLAN'!F128*'TS-PILE'!$D$74/SUMSQ('TS-PILE'!$D$56:$D$75))),IF('TS-PILE'!$B$75="",-1E+99,'TO HOP NLAN'!D128/ncoc+IF(SUMSQ('TS-PILE'!$E$56:$E$75)=0,0,'TO HOP NLAN'!E128*'TS-PILE'!$E$75/SUMSQ('TS-PILE'!$E$56:$E$75))+IF(SUMSQ('TS-PILE'!$D$56:$D$75)=0,0,'TO HOP NLAN'!F128*'TS-PILE'!$D$75/SUMSQ('TS-PILE'!$D$56:$D$75)))))</f>
        <v>0</v>
      </c>
      <c r="D128" s="46">
        <f>IF(A128="",0,MIN(IF('TS-PILE'!$B$56="",1E+99,'TO HOP NLAN'!D128/ncoc+IF(SUMSQ('TS-PILE'!$E$56:$E$75)=0,0,'TO HOP NLAN'!E128*'TS-PILE'!$E$56/SUMSQ('TS-PILE'!$E$56:$E$75))+IF(SUMSQ('TS-PILE'!$D$56:$D$75)=0,0,'TO HOP NLAN'!F128*'TS-PILE'!$D$56/SUMSQ('TS-PILE'!$D$56:$D$75))),IF('TS-PILE'!$B$57="",1E+99,'TO HOP NLAN'!D128/ncoc+IF(SUMSQ('TS-PILE'!$E$56:$E$75)=0,0,'TO HOP NLAN'!E128*'TS-PILE'!$E$57/SUMSQ('TS-PILE'!$E$56:$E$75))+IF(SUMSQ('TS-PILE'!$D$56:$D$75)=0,0,'TO HOP NLAN'!F128*'TS-PILE'!$D$57/SUMSQ('TS-PILE'!$D$56:$D$75))),IF('TS-PILE'!$B$58="",1E+99,'TO HOP NLAN'!D128/ncoc+IF(SUMSQ('TS-PILE'!$E$56:$E$75)=0,0,'TO HOP NLAN'!E128*'TS-PILE'!$E$58/SUMSQ('TS-PILE'!$E$56:$E$75))+IF(SUMSQ('TS-PILE'!$D$56:$D$75)=0,0,'TO HOP NLAN'!F128*'TS-PILE'!$D$58/SUMSQ('TS-PILE'!$D$56:$D$75))),IF('TS-PILE'!$B$59="",1E+99,'TO HOP NLAN'!D128/ncoc+IF(SUMSQ('TS-PILE'!$E$56:$E$75)=0,0,'TO HOP NLAN'!E128*'TS-PILE'!$E$59/SUMSQ('TS-PILE'!$E$56:$E$75))+IF(SUMSQ('TS-PILE'!$D$56:$D$75)=0,0,'TO HOP NLAN'!F128*'TS-PILE'!$D$59/SUMSQ('TS-PILE'!$D$56:$D$75))),IF('TS-PILE'!$B$60="",1E+99,'TO HOP NLAN'!D128/ncoc+IF(SUMSQ('TS-PILE'!$E$56:$E$75)=0,0,'TO HOP NLAN'!E128*'TS-PILE'!$E$60/SUMSQ('TS-PILE'!$E$56:$E$75))+IF(SUMSQ('TS-PILE'!$D$56:$D$75)=0,0,'TO HOP NLAN'!F128*'TS-PILE'!$D$60/SUMSQ('TS-PILE'!$D$56:$D$75))),IF('TS-PILE'!$B$61="",1E+99,'TO HOP NLAN'!D128/ncoc+IF(SUMSQ('TS-PILE'!$E$56:$E$75)=0,0,'TO HOP NLAN'!E128*'TS-PILE'!$E$61/SUMSQ('TS-PILE'!$E$56:$E$75))+IF(SUMSQ('TS-PILE'!$D$56:$D$75)=0,0,'TO HOP NLAN'!F128*'TS-PILE'!$D$61/SUMSQ('TS-PILE'!$D$56:$D$75))),IF('TS-PILE'!$B$62="",1E+99,'TO HOP NLAN'!D128/ncoc+IF(SUMSQ('TS-PILE'!$E$56:$E$75)=0,0,'TO HOP NLAN'!E128*'TS-PILE'!$E$62/SUMSQ('TS-PILE'!$E$56:$E$75))+IF(SUMSQ('TS-PILE'!$D$56:$D$75)=0,0,'TO HOP NLAN'!F128*'TS-PILE'!$D$62/SUMSQ('TS-PILE'!$D$56:$D$75))),IF('TS-PILE'!$B$63="",1E+99,'TO HOP NLAN'!D128/ncoc+IF(SUMSQ('TS-PILE'!$E$56:$E$75)=0,0,'TO HOP NLAN'!E128*'TS-PILE'!$E$63/SUMSQ('TS-PILE'!$E$56:$E$75))+IF(SUMSQ('TS-PILE'!$D$56:$D$75)=0,0,'TO HOP NLAN'!F128*'TS-PILE'!$D$63/SUMSQ('TS-PILE'!$D$56:$D$75))),IF('TS-PILE'!$B$64="",1E+99,'TO HOP NLAN'!D128/ncoc+IF(SUMSQ('TS-PILE'!$E$56:$E$75)=0,0,'TO HOP NLAN'!E128*'TS-PILE'!$E$64/SUMSQ('TS-PILE'!$E$56:$E$75))+IF(SUMSQ('TS-PILE'!$D$56:$D$75)=0,0,'TO HOP NLAN'!F128*'TS-PILE'!$D$64/SUMSQ('TS-PILE'!$D$56:$D$75))),IF('TS-PILE'!$B$65="",1E+99,'TO HOP NLAN'!D128/ncoc+IF(SUMSQ('TS-PILE'!$E$56:$E$75)=0,0,'TO HOP NLAN'!E128*'TS-PILE'!$E$65/SUMSQ('TS-PILE'!$E$56:$E$75))+IF(SUMSQ('TS-PILE'!$D$56:$D$75)=0,0,'TO HOP NLAN'!F128*'TS-PILE'!$D$65/SUMSQ('TS-PILE'!$D$56:$D$75))),IF('TS-PILE'!$B$66="",1E+99,'TO HOP NLAN'!D128/ncoc+IF(SUMSQ('TS-PILE'!$E$56:$E$75)=0,0,'TO HOP NLAN'!E128*'TS-PILE'!$E$66/SUMSQ('TS-PILE'!$E$56:$E$75))+IF(SUMSQ('TS-PILE'!$D$56:$D$75)=0,0,'TO HOP NLAN'!F128*'TS-PILE'!$D$66/SUMSQ('TS-PILE'!$D$56:$D$75))),IF('TS-PILE'!$B$67="",1E+99,'TO HOP NLAN'!D128/ncoc+IF(SUMSQ('TS-PILE'!$E$56:$E$75)=0,0,'TO HOP NLAN'!E128*'TS-PILE'!$E$67/SUMSQ('TS-PILE'!$E$56:$E$75))+IF(SUMSQ('TS-PILE'!$D$56:$D$75)=0,0,'TO HOP NLAN'!F128*'TS-PILE'!$D$67/SUMSQ('TS-PILE'!$D$56:$D$75))),IF('TS-PILE'!$B$68="",1E+99,'TO HOP NLAN'!D128/ncoc+IF(SUMSQ('TS-PILE'!$E$56:$E$75)=0,0,'TO HOP NLAN'!E128*'TS-PILE'!$E$68/SUMSQ('TS-PILE'!$E$56:$E$75))+IF(SUMSQ('TS-PILE'!$D$56:$D$75)=0,0,'TO HOP NLAN'!F128*'TS-PILE'!$D$68/SUMSQ('TS-PILE'!$D$56:$D$75))),IF('TS-PILE'!$B$69="",1E+99,'TO HOP NLAN'!D128/ncoc+IF(SUMSQ('TS-PILE'!$E$56:$E$75)=0,0,'TO HOP NLAN'!E128*'TS-PILE'!$E$69/SUMSQ('TS-PILE'!$E$56:$E$75))+IF(SUMSQ('TS-PILE'!$D$56:$D$75)=0,0,'TO HOP NLAN'!F128*'TS-PILE'!$D$69/SUMSQ('TS-PILE'!$D$56:$D$75))),IF('TS-PILE'!$B$70="",1E+99,'TO HOP NLAN'!D128/ncoc+IF(SUMSQ('TS-PILE'!$E$56:$E$75)=0,0,'TO HOP NLAN'!E128*'TS-PILE'!$E$70/SUMSQ('TS-PILE'!$E$56:$E$75))+IF(SUMSQ('TS-PILE'!$D$56:$D$75)=0,0,'TO HOP NLAN'!F128*'TS-PILE'!$D$70/SUMSQ('TS-PILE'!$D$56:$D$75))),IF('TS-PILE'!$B$71="",1E+99,'TO HOP NLAN'!D128/ncoc+IF(SUMSQ('TS-PILE'!$E$56:$E$75)=0,0,'TO HOP NLAN'!E128*'TS-PILE'!$E$71/SUMSQ('TS-PILE'!$E$56:$E$75))+IF(SUMSQ('TS-PILE'!$D$56:$D$75)=0,0,'TO HOP NLAN'!F128*'TS-PILE'!$D$71/SUMSQ('TS-PILE'!$D$56:$D$75))),IF('TS-PILE'!$B$72="",1E+99,'TO HOP NLAN'!D128/ncoc+IF(SUMSQ('TS-PILE'!$E$56:$E$75)=0,0,'TO HOP NLAN'!E128*'TS-PILE'!$E$72/SUMSQ('TS-PILE'!$E$56:$E$75))+IF(SUMSQ('TS-PILE'!$D$56:$D$75)=0,0,'TO HOP NLAN'!F128*'TS-PILE'!$D$72/SUMSQ('TS-PILE'!$D$56:$D$75))),IF('TS-PILE'!$B$73="",1E+99,'TO HOP NLAN'!D128/ncoc+IF(SUMSQ('TS-PILE'!$E$56:$E$75)=0,0,'TO HOP NLAN'!E128*'TS-PILE'!$E$73/SUMSQ('TS-PILE'!$E$56:$E$75))+IF(SUMSQ('TS-PILE'!$D$56:$D$75)=0,0,'TO HOP NLAN'!F128*'TS-PILE'!$D$73/SUMSQ('TS-PILE'!$D$56:$D$75))),IF('TS-PILE'!$B$74="",1E+99,'TO HOP NLAN'!D128/ncoc+IF(SUMSQ('TS-PILE'!$E$56:$E$75)=0,0,'TO HOP NLAN'!E128*'TS-PILE'!$E$74/SUMSQ('TS-PILE'!$E$56:$E$75))+IF(SUMSQ('TS-PILE'!$D$56:$D$75)=0,0,'TO HOP NLAN'!F128*'TS-PILE'!$D$74/SUMSQ('TS-PILE'!$D$56:$D$75))),IF('TS-PILE'!$B$75="",1E+99,'TO HOP NLAN'!D128/ncoc+IF(SUMSQ('TS-PILE'!$E$56:$E$75)=0,0,'TO HOP NLAN'!E128*'TS-PILE'!$E$75/SUMSQ('TS-PILE'!$E$56:$E$75))+IF(SUMSQ('TS-PILE'!$D$56:$D$75)=0,0,'TO HOP NLAN'!F128*'TS-PILE'!$D$75/SUMSQ('TS-PILE'!$D$56:$D$75)))))</f>
        <v>0</v>
      </c>
      <c r="E128" s="46">
        <f t="shared" si="4"/>
        <v>-9.9999999999999997E+98</v>
      </c>
      <c r="F128" s="46">
        <f t="shared" si="5"/>
        <v>9.9999999999999997E+98</v>
      </c>
      <c r="G128" s="46">
        <f t="shared" si="6"/>
        <v>-9.9999999999999997E+98</v>
      </c>
      <c r="H128" s="46">
        <f t="shared" si="7"/>
        <v>9.9999999999999997E+98</v>
      </c>
    </row>
    <row r="129" spans="1:8" x14ac:dyDescent="0.3">
      <c r="A129" s="40" t="str">
        <f>'TO HOP NLAN'!A129</f>
        <v/>
      </c>
      <c r="B129" s="40" t="str">
        <f>'TO HOP NLAN'!L129</f>
        <v>STRENGTH</v>
      </c>
      <c r="C129" s="46">
        <f>IF(A129="",0,MAX(IF('TS-PILE'!$B$56="",-1E+99,'TO HOP NLAN'!D129/ncoc+IF(SUMSQ('TS-PILE'!$E$56:$E$75)=0,0,'TO HOP NLAN'!E129*'TS-PILE'!$E$56/SUMSQ('TS-PILE'!$E$56:$E$75))+IF(SUMSQ('TS-PILE'!$D$56:$D$75)=0,0,'TO HOP NLAN'!F129*'TS-PILE'!$D$56/SUMSQ('TS-PILE'!$D$56:$D$75))),IF('TS-PILE'!$B$57="",-1E+99,'TO HOP NLAN'!D129/ncoc+IF(SUMSQ('TS-PILE'!$E$56:$E$75)=0,0,'TO HOP NLAN'!E129*'TS-PILE'!$E$57/SUMSQ('TS-PILE'!$E$56:$E$75))+IF(SUMSQ('TS-PILE'!$D$56:$D$75)=0,0,'TO HOP NLAN'!F129*'TS-PILE'!$D$57/SUMSQ('TS-PILE'!$D$56:$D$75))),IF('TS-PILE'!$B$58="",-1E+99,'TO HOP NLAN'!D129/ncoc+IF(SUMSQ('TS-PILE'!$E$56:$E$75)=0,0,'TO HOP NLAN'!E129*'TS-PILE'!$E$58/SUMSQ('TS-PILE'!$E$56:$E$75))+IF(SUMSQ('TS-PILE'!$D$56:$D$75)=0,0,'TO HOP NLAN'!F129*'TS-PILE'!$D$58/SUMSQ('TS-PILE'!$D$56:$D$75))),IF('TS-PILE'!$B$59="",-1E+99,'TO HOP NLAN'!D129/ncoc+IF(SUMSQ('TS-PILE'!$E$56:$E$75)=0,0,'TO HOP NLAN'!E129*'TS-PILE'!$E$59/SUMSQ('TS-PILE'!$E$56:$E$75))+IF(SUMSQ('TS-PILE'!$D$56:$D$75)=0,0,'TO HOP NLAN'!F129*'TS-PILE'!$D$59/SUMSQ('TS-PILE'!$D$56:$D$75))),IF('TS-PILE'!$B$60="",-1E+99,'TO HOP NLAN'!D129/ncoc+IF(SUMSQ('TS-PILE'!$E$56:$E$75)=0,0,'TO HOP NLAN'!E129*'TS-PILE'!$E$60/SUMSQ('TS-PILE'!$E$56:$E$75))+IF(SUMSQ('TS-PILE'!$D$56:$D$75)=0,0,'TO HOP NLAN'!F129*'TS-PILE'!$D$60/SUMSQ('TS-PILE'!$D$56:$D$75))),IF('TS-PILE'!$B$61="",-1E+99,'TO HOP NLAN'!D129/ncoc+IF(SUMSQ('TS-PILE'!$E$56:$E$75)=0,0,'TO HOP NLAN'!E129*'TS-PILE'!$E$61/SUMSQ('TS-PILE'!$E$56:$E$75))+IF(SUMSQ('TS-PILE'!$D$56:$D$75)=0,0,'TO HOP NLAN'!F129*'TS-PILE'!$D$61/SUMSQ('TS-PILE'!$D$56:$D$75))),IF('TS-PILE'!$B$62="",-1E+99,'TO HOP NLAN'!D129/ncoc+IF(SUMSQ('TS-PILE'!$E$56:$E$75)=0,0,'TO HOP NLAN'!E129*'TS-PILE'!$E$62/SUMSQ('TS-PILE'!$E$56:$E$75))+IF(SUMSQ('TS-PILE'!$D$56:$D$75)=0,0,'TO HOP NLAN'!F129*'TS-PILE'!$D$62/SUMSQ('TS-PILE'!$D$56:$D$75))),IF('TS-PILE'!$B$63="",-1E+99,'TO HOP NLAN'!D129/ncoc+IF(SUMSQ('TS-PILE'!$E$56:$E$75)=0,0,'TO HOP NLAN'!E129*'TS-PILE'!$E$63/SUMSQ('TS-PILE'!$E$56:$E$75))+IF(SUMSQ('TS-PILE'!$D$56:$D$75)=0,0,'TO HOP NLAN'!F129*'TS-PILE'!$D$63/SUMSQ('TS-PILE'!$D$56:$D$75))),IF('TS-PILE'!$B$64="",-1E+99,'TO HOP NLAN'!D129/ncoc+IF(SUMSQ('TS-PILE'!$E$56:$E$75)=0,0,'TO HOP NLAN'!E129*'TS-PILE'!$E$64/SUMSQ('TS-PILE'!$E$56:$E$75))+IF(SUMSQ('TS-PILE'!$D$56:$D$75)=0,0,'TO HOP NLAN'!F129*'TS-PILE'!$D$64/SUMSQ('TS-PILE'!$D$56:$D$75))),IF('TS-PILE'!$B$65="",-1E+99,'TO HOP NLAN'!D129/ncoc+IF(SUMSQ('TS-PILE'!$E$56:$E$75)=0,0,'TO HOP NLAN'!E129*'TS-PILE'!$E$65/SUMSQ('TS-PILE'!$E$56:$E$75))+IF(SUMSQ('TS-PILE'!$D$56:$D$75)=0,0,'TO HOP NLAN'!F129*'TS-PILE'!$D$65/SUMSQ('TS-PILE'!$D$56:$D$75))),IF('TS-PILE'!$B$66="",-1E+99,'TO HOP NLAN'!D129/ncoc+IF(SUMSQ('TS-PILE'!$E$56:$E$75)=0,0,'TO HOP NLAN'!E129*'TS-PILE'!$E$66/SUMSQ('TS-PILE'!$E$56:$E$75))+IF(SUMSQ('TS-PILE'!$D$56:$D$75)=0,0,'TO HOP NLAN'!F129*'TS-PILE'!$D$66/SUMSQ('TS-PILE'!$D$56:$D$75))),IF('TS-PILE'!$B$67="",-1E+99,'TO HOP NLAN'!D129/ncoc+IF(SUMSQ('TS-PILE'!$E$56:$E$75)=0,0,'TO HOP NLAN'!E129*'TS-PILE'!$E$67/SUMSQ('TS-PILE'!$E$56:$E$75))+IF(SUMSQ('TS-PILE'!$D$56:$D$75)=0,0,'TO HOP NLAN'!F129*'TS-PILE'!$D$67/SUMSQ('TS-PILE'!$D$56:$D$75))),IF('TS-PILE'!$B$68="",-1E+99,'TO HOP NLAN'!D129/ncoc+IF(SUMSQ('TS-PILE'!$E$56:$E$75)=0,0,'TO HOP NLAN'!E129*'TS-PILE'!$E$68/SUMSQ('TS-PILE'!$E$56:$E$75))+IF(SUMSQ('TS-PILE'!$D$56:$D$75)=0,0,'TO HOP NLAN'!F129*'TS-PILE'!$D$68/SUMSQ('TS-PILE'!$D$56:$D$75))),IF('TS-PILE'!$B$69="",-1E+99,'TO HOP NLAN'!D129/ncoc+IF(SUMSQ('TS-PILE'!$E$56:$E$75)=0,0,'TO HOP NLAN'!E129*'TS-PILE'!$E$69/SUMSQ('TS-PILE'!$E$56:$E$75))+IF(SUMSQ('TS-PILE'!$D$56:$D$75)=0,0,'TO HOP NLAN'!F129*'TS-PILE'!$D$69/SUMSQ('TS-PILE'!$D$56:$D$75))),IF('TS-PILE'!$B$70="",-1E+99,'TO HOP NLAN'!D129/ncoc+IF(SUMSQ('TS-PILE'!$E$56:$E$75)=0,0,'TO HOP NLAN'!E129*'TS-PILE'!$E$70/SUMSQ('TS-PILE'!$E$56:$E$75))+IF(SUMSQ('TS-PILE'!$D$56:$D$75)=0,0,'TO HOP NLAN'!F129*'TS-PILE'!$D$70/SUMSQ('TS-PILE'!$D$56:$D$75))),IF('TS-PILE'!$B$71="",-1E+99,'TO HOP NLAN'!D129/ncoc+IF(SUMSQ('TS-PILE'!$E$56:$E$75)=0,0,'TO HOP NLAN'!E129*'TS-PILE'!$E$71/SUMSQ('TS-PILE'!$E$56:$E$75))+IF(SUMSQ('TS-PILE'!$D$56:$D$75)=0,0,'TO HOP NLAN'!F129*'TS-PILE'!$D$71/SUMSQ('TS-PILE'!$D$56:$D$75))),IF('TS-PILE'!$B$72="",-1E+99,'TO HOP NLAN'!D129/ncoc+IF(SUMSQ('TS-PILE'!$E$56:$E$75)=0,0,'TO HOP NLAN'!E129*'TS-PILE'!$E$72/SUMSQ('TS-PILE'!$E$56:$E$75))+IF(SUMSQ('TS-PILE'!$D$56:$D$75)=0,0,'TO HOP NLAN'!F129*'TS-PILE'!$D$72/SUMSQ('TS-PILE'!$D$56:$D$75))),IF('TS-PILE'!$B$73="",-1E+99,'TO HOP NLAN'!D129/ncoc+IF(SUMSQ('TS-PILE'!$E$56:$E$75)=0,0,'TO HOP NLAN'!E129*'TS-PILE'!$E$73/SUMSQ('TS-PILE'!$E$56:$E$75))+IF(SUMSQ('TS-PILE'!$D$56:$D$75)=0,0,'TO HOP NLAN'!F129*'TS-PILE'!$D$73/SUMSQ('TS-PILE'!$D$56:$D$75))),IF('TS-PILE'!$B$74="",-1E+99,'TO HOP NLAN'!D129/ncoc+IF(SUMSQ('TS-PILE'!$E$56:$E$75)=0,0,'TO HOP NLAN'!E129*'TS-PILE'!$E$74/SUMSQ('TS-PILE'!$E$56:$E$75))+IF(SUMSQ('TS-PILE'!$D$56:$D$75)=0,0,'TO HOP NLAN'!F129*'TS-PILE'!$D$74/SUMSQ('TS-PILE'!$D$56:$D$75))),IF('TS-PILE'!$B$75="",-1E+99,'TO HOP NLAN'!D129/ncoc+IF(SUMSQ('TS-PILE'!$E$56:$E$75)=0,0,'TO HOP NLAN'!E129*'TS-PILE'!$E$75/SUMSQ('TS-PILE'!$E$56:$E$75))+IF(SUMSQ('TS-PILE'!$D$56:$D$75)=0,0,'TO HOP NLAN'!F129*'TS-PILE'!$D$75/SUMSQ('TS-PILE'!$D$56:$D$75)))))</f>
        <v>0</v>
      </c>
      <c r="D129" s="46">
        <f>IF(A129="",0,MIN(IF('TS-PILE'!$B$56="",1E+99,'TO HOP NLAN'!D129/ncoc+IF(SUMSQ('TS-PILE'!$E$56:$E$75)=0,0,'TO HOP NLAN'!E129*'TS-PILE'!$E$56/SUMSQ('TS-PILE'!$E$56:$E$75))+IF(SUMSQ('TS-PILE'!$D$56:$D$75)=0,0,'TO HOP NLAN'!F129*'TS-PILE'!$D$56/SUMSQ('TS-PILE'!$D$56:$D$75))),IF('TS-PILE'!$B$57="",1E+99,'TO HOP NLAN'!D129/ncoc+IF(SUMSQ('TS-PILE'!$E$56:$E$75)=0,0,'TO HOP NLAN'!E129*'TS-PILE'!$E$57/SUMSQ('TS-PILE'!$E$56:$E$75))+IF(SUMSQ('TS-PILE'!$D$56:$D$75)=0,0,'TO HOP NLAN'!F129*'TS-PILE'!$D$57/SUMSQ('TS-PILE'!$D$56:$D$75))),IF('TS-PILE'!$B$58="",1E+99,'TO HOP NLAN'!D129/ncoc+IF(SUMSQ('TS-PILE'!$E$56:$E$75)=0,0,'TO HOP NLAN'!E129*'TS-PILE'!$E$58/SUMSQ('TS-PILE'!$E$56:$E$75))+IF(SUMSQ('TS-PILE'!$D$56:$D$75)=0,0,'TO HOP NLAN'!F129*'TS-PILE'!$D$58/SUMSQ('TS-PILE'!$D$56:$D$75))),IF('TS-PILE'!$B$59="",1E+99,'TO HOP NLAN'!D129/ncoc+IF(SUMSQ('TS-PILE'!$E$56:$E$75)=0,0,'TO HOP NLAN'!E129*'TS-PILE'!$E$59/SUMSQ('TS-PILE'!$E$56:$E$75))+IF(SUMSQ('TS-PILE'!$D$56:$D$75)=0,0,'TO HOP NLAN'!F129*'TS-PILE'!$D$59/SUMSQ('TS-PILE'!$D$56:$D$75))),IF('TS-PILE'!$B$60="",1E+99,'TO HOP NLAN'!D129/ncoc+IF(SUMSQ('TS-PILE'!$E$56:$E$75)=0,0,'TO HOP NLAN'!E129*'TS-PILE'!$E$60/SUMSQ('TS-PILE'!$E$56:$E$75))+IF(SUMSQ('TS-PILE'!$D$56:$D$75)=0,0,'TO HOP NLAN'!F129*'TS-PILE'!$D$60/SUMSQ('TS-PILE'!$D$56:$D$75))),IF('TS-PILE'!$B$61="",1E+99,'TO HOP NLAN'!D129/ncoc+IF(SUMSQ('TS-PILE'!$E$56:$E$75)=0,0,'TO HOP NLAN'!E129*'TS-PILE'!$E$61/SUMSQ('TS-PILE'!$E$56:$E$75))+IF(SUMSQ('TS-PILE'!$D$56:$D$75)=0,0,'TO HOP NLAN'!F129*'TS-PILE'!$D$61/SUMSQ('TS-PILE'!$D$56:$D$75))),IF('TS-PILE'!$B$62="",1E+99,'TO HOP NLAN'!D129/ncoc+IF(SUMSQ('TS-PILE'!$E$56:$E$75)=0,0,'TO HOP NLAN'!E129*'TS-PILE'!$E$62/SUMSQ('TS-PILE'!$E$56:$E$75))+IF(SUMSQ('TS-PILE'!$D$56:$D$75)=0,0,'TO HOP NLAN'!F129*'TS-PILE'!$D$62/SUMSQ('TS-PILE'!$D$56:$D$75))),IF('TS-PILE'!$B$63="",1E+99,'TO HOP NLAN'!D129/ncoc+IF(SUMSQ('TS-PILE'!$E$56:$E$75)=0,0,'TO HOP NLAN'!E129*'TS-PILE'!$E$63/SUMSQ('TS-PILE'!$E$56:$E$75))+IF(SUMSQ('TS-PILE'!$D$56:$D$75)=0,0,'TO HOP NLAN'!F129*'TS-PILE'!$D$63/SUMSQ('TS-PILE'!$D$56:$D$75))),IF('TS-PILE'!$B$64="",1E+99,'TO HOP NLAN'!D129/ncoc+IF(SUMSQ('TS-PILE'!$E$56:$E$75)=0,0,'TO HOP NLAN'!E129*'TS-PILE'!$E$64/SUMSQ('TS-PILE'!$E$56:$E$75))+IF(SUMSQ('TS-PILE'!$D$56:$D$75)=0,0,'TO HOP NLAN'!F129*'TS-PILE'!$D$64/SUMSQ('TS-PILE'!$D$56:$D$75))),IF('TS-PILE'!$B$65="",1E+99,'TO HOP NLAN'!D129/ncoc+IF(SUMSQ('TS-PILE'!$E$56:$E$75)=0,0,'TO HOP NLAN'!E129*'TS-PILE'!$E$65/SUMSQ('TS-PILE'!$E$56:$E$75))+IF(SUMSQ('TS-PILE'!$D$56:$D$75)=0,0,'TO HOP NLAN'!F129*'TS-PILE'!$D$65/SUMSQ('TS-PILE'!$D$56:$D$75))),IF('TS-PILE'!$B$66="",1E+99,'TO HOP NLAN'!D129/ncoc+IF(SUMSQ('TS-PILE'!$E$56:$E$75)=0,0,'TO HOP NLAN'!E129*'TS-PILE'!$E$66/SUMSQ('TS-PILE'!$E$56:$E$75))+IF(SUMSQ('TS-PILE'!$D$56:$D$75)=0,0,'TO HOP NLAN'!F129*'TS-PILE'!$D$66/SUMSQ('TS-PILE'!$D$56:$D$75))),IF('TS-PILE'!$B$67="",1E+99,'TO HOP NLAN'!D129/ncoc+IF(SUMSQ('TS-PILE'!$E$56:$E$75)=0,0,'TO HOP NLAN'!E129*'TS-PILE'!$E$67/SUMSQ('TS-PILE'!$E$56:$E$75))+IF(SUMSQ('TS-PILE'!$D$56:$D$75)=0,0,'TO HOP NLAN'!F129*'TS-PILE'!$D$67/SUMSQ('TS-PILE'!$D$56:$D$75))),IF('TS-PILE'!$B$68="",1E+99,'TO HOP NLAN'!D129/ncoc+IF(SUMSQ('TS-PILE'!$E$56:$E$75)=0,0,'TO HOP NLAN'!E129*'TS-PILE'!$E$68/SUMSQ('TS-PILE'!$E$56:$E$75))+IF(SUMSQ('TS-PILE'!$D$56:$D$75)=0,0,'TO HOP NLAN'!F129*'TS-PILE'!$D$68/SUMSQ('TS-PILE'!$D$56:$D$75))),IF('TS-PILE'!$B$69="",1E+99,'TO HOP NLAN'!D129/ncoc+IF(SUMSQ('TS-PILE'!$E$56:$E$75)=0,0,'TO HOP NLAN'!E129*'TS-PILE'!$E$69/SUMSQ('TS-PILE'!$E$56:$E$75))+IF(SUMSQ('TS-PILE'!$D$56:$D$75)=0,0,'TO HOP NLAN'!F129*'TS-PILE'!$D$69/SUMSQ('TS-PILE'!$D$56:$D$75))),IF('TS-PILE'!$B$70="",1E+99,'TO HOP NLAN'!D129/ncoc+IF(SUMSQ('TS-PILE'!$E$56:$E$75)=0,0,'TO HOP NLAN'!E129*'TS-PILE'!$E$70/SUMSQ('TS-PILE'!$E$56:$E$75))+IF(SUMSQ('TS-PILE'!$D$56:$D$75)=0,0,'TO HOP NLAN'!F129*'TS-PILE'!$D$70/SUMSQ('TS-PILE'!$D$56:$D$75))),IF('TS-PILE'!$B$71="",1E+99,'TO HOP NLAN'!D129/ncoc+IF(SUMSQ('TS-PILE'!$E$56:$E$75)=0,0,'TO HOP NLAN'!E129*'TS-PILE'!$E$71/SUMSQ('TS-PILE'!$E$56:$E$75))+IF(SUMSQ('TS-PILE'!$D$56:$D$75)=0,0,'TO HOP NLAN'!F129*'TS-PILE'!$D$71/SUMSQ('TS-PILE'!$D$56:$D$75))),IF('TS-PILE'!$B$72="",1E+99,'TO HOP NLAN'!D129/ncoc+IF(SUMSQ('TS-PILE'!$E$56:$E$75)=0,0,'TO HOP NLAN'!E129*'TS-PILE'!$E$72/SUMSQ('TS-PILE'!$E$56:$E$75))+IF(SUMSQ('TS-PILE'!$D$56:$D$75)=0,0,'TO HOP NLAN'!F129*'TS-PILE'!$D$72/SUMSQ('TS-PILE'!$D$56:$D$75))),IF('TS-PILE'!$B$73="",1E+99,'TO HOP NLAN'!D129/ncoc+IF(SUMSQ('TS-PILE'!$E$56:$E$75)=0,0,'TO HOP NLAN'!E129*'TS-PILE'!$E$73/SUMSQ('TS-PILE'!$E$56:$E$75))+IF(SUMSQ('TS-PILE'!$D$56:$D$75)=0,0,'TO HOP NLAN'!F129*'TS-PILE'!$D$73/SUMSQ('TS-PILE'!$D$56:$D$75))),IF('TS-PILE'!$B$74="",1E+99,'TO HOP NLAN'!D129/ncoc+IF(SUMSQ('TS-PILE'!$E$56:$E$75)=0,0,'TO HOP NLAN'!E129*'TS-PILE'!$E$74/SUMSQ('TS-PILE'!$E$56:$E$75))+IF(SUMSQ('TS-PILE'!$D$56:$D$75)=0,0,'TO HOP NLAN'!F129*'TS-PILE'!$D$74/SUMSQ('TS-PILE'!$D$56:$D$75))),IF('TS-PILE'!$B$75="",1E+99,'TO HOP NLAN'!D129/ncoc+IF(SUMSQ('TS-PILE'!$E$56:$E$75)=0,0,'TO HOP NLAN'!E129*'TS-PILE'!$E$75/SUMSQ('TS-PILE'!$E$56:$E$75))+IF(SUMSQ('TS-PILE'!$D$56:$D$75)=0,0,'TO HOP NLAN'!F129*'TS-PILE'!$D$75/SUMSQ('TS-PILE'!$D$56:$D$75)))))</f>
        <v>0</v>
      </c>
      <c r="E129" s="46">
        <f t="shared" si="4"/>
        <v>-9.9999999999999997E+98</v>
      </c>
      <c r="F129" s="46">
        <f t="shared" si="5"/>
        <v>9.9999999999999997E+98</v>
      </c>
      <c r="G129" s="46">
        <f t="shared" si="6"/>
        <v>-9.9999999999999997E+98</v>
      </c>
      <c r="H129" s="46">
        <f t="shared" si="7"/>
        <v>9.9999999999999997E+98</v>
      </c>
    </row>
    <row r="130" spans="1:8" x14ac:dyDescent="0.3">
      <c r="A130" s="40" t="str">
        <f>'TO HOP NLAN'!A130</f>
        <v/>
      </c>
      <c r="B130" s="40" t="str">
        <f>'TO HOP NLAN'!L130</f>
        <v>STRENGTH</v>
      </c>
      <c r="C130" s="46">
        <f>IF(A130="",0,MAX(IF('TS-PILE'!$B$56="",-1E+99,'TO HOP NLAN'!D130/ncoc+IF(SUMSQ('TS-PILE'!$E$56:$E$75)=0,0,'TO HOP NLAN'!E130*'TS-PILE'!$E$56/SUMSQ('TS-PILE'!$E$56:$E$75))+IF(SUMSQ('TS-PILE'!$D$56:$D$75)=0,0,'TO HOP NLAN'!F130*'TS-PILE'!$D$56/SUMSQ('TS-PILE'!$D$56:$D$75))),IF('TS-PILE'!$B$57="",-1E+99,'TO HOP NLAN'!D130/ncoc+IF(SUMSQ('TS-PILE'!$E$56:$E$75)=0,0,'TO HOP NLAN'!E130*'TS-PILE'!$E$57/SUMSQ('TS-PILE'!$E$56:$E$75))+IF(SUMSQ('TS-PILE'!$D$56:$D$75)=0,0,'TO HOP NLAN'!F130*'TS-PILE'!$D$57/SUMSQ('TS-PILE'!$D$56:$D$75))),IF('TS-PILE'!$B$58="",-1E+99,'TO HOP NLAN'!D130/ncoc+IF(SUMSQ('TS-PILE'!$E$56:$E$75)=0,0,'TO HOP NLAN'!E130*'TS-PILE'!$E$58/SUMSQ('TS-PILE'!$E$56:$E$75))+IF(SUMSQ('TS-PILE'!$D$56:$D$75)=0,0,'TO HOP NLAN'!F130*'TS-PILE'!$D$58/SUMSQ('TS-PILE'!$D$56:$D$75))),IF('TS-PILE'!$B$59="",-1E+99,'TO HOP NLAN'!D130/ncoc+IF(SUMSQ('TS-PILE'!$E$56:$E$75)=0,0,'TO HOP NLAN'!E130*'TS-PILE'!$E$59/SUMSQ('TS-PILE'!$E$56:$E$75))+IF(SUMSQ('TS-PILE'!$D$56:$D$75)=0,0,'TO HOP NLAN'!F130*'TS-PILE'!$D$59/SUMSQ('TS-PILE'!$D$56:$D$75))),IF('TS-PILE'!$B$60="",-1E+99,'TO HOP NLAN'!D130/ncoc+IF(SUMSQ('TS-PILE'!$E$56:$E$75)=0,0,'TO HOP NLAN'!E130*'TS-PILE'!$E$60/SUMSQ('TS-PILE'!$E$56:$E$75))+IF(SUMSQ('TS-PILE'!$D$56:$D$75)=0,0,'TO HOP NLAN'!F130*'TS-PILE'!$D$60/SUMSQ('TS-PILE'!$D$56:$D$75))),IF('TS-PILE'!$B$61="",-1E+99,'TO HOP NLAN'!D130/ncoc+IF(SUMSQ('TS-PILE'!$E$56:$E$75)=0,0,'TO HOP NLAN'!E130*'TS-PILE'!$E$61/SUMSQ('TS-PILE'!$E$56:$E$75))+IF(SUMSQ('TS-PILE'!$D$56:$D$75)=0,0,'TO HOP NLAN'!F130*'TS-PILE'!$D$61/SUMSQ('TS-PILE'!$D$56:$D$75))),IF('TS-PILE'!$B$62="",-1E+99,'TO HOP NLAN'!D130/ncoc+IF(SUMSQ('TS-PILE'!$E$56:$E$75)=0,0,'TO HOP NLAN'!E130*'TS-PILE'!$E$62/SUMSQ('TS-PILE'!$E$56:$E$75))+IF(SUMSQ('TS-PILE'!$D$56:$D$75)=0,0,'TO HOP NLAN'!F130*'TS-PILE'!$D$62/SUMSQ('TS-PILE'!$D$56:$D$75))),IF('TS-PILE'!$B$63="",-1E+99,'TO HOP NLAN'!D130/ncoc+IF(SUMSQ('TS-PILE'!$E$56:$E$75)=0,0,'TO HOP NLAN'!E130*'TS-PILE'!$E$63/SUMSQ('TS-PILE'!$E$56:$E$75))+IF(SUMSQ('TS-PILE'!$D$56:$D$75)=0,0,'TO HOP NLAN'!F130*'TS-PILE'!$D$63/SUMSQ('TS-PILE'!$D$56:$D$75))),IF('TS-PILE'!$B$64="",-1E+99,'TO HOP NLAN'!D130/ncoc+IF(SUMSQ('TS-PILE'!$E$56:$E$75)=0,0,'TO HOP NLAN'!E130*'TS-PILE'!$E$64/SUMSQ('TS-PILE'!$E$56:$E$75))+IF(SUMSQ('TS-PILE'!$D$56:$D$75)=0,0,'TO HOP NLAN'!F130*'TS-PILE'!$D$64/SUMSQ('TS-PILE'!$D$56:$D$75))),IF('TS-PILE'!$B$65="",-1E+99,'TO HOP NLAN'!D130/ncoc+IF(SUMSQ('TS-PILE'!$E$56:$E$75)=0,0,'TO HOP NLAN'!E130*'TS-PILE'!$E$65/SUMSQ('TS-PILE'!$E$56:$E$75))+IF(SUMSQ('TS-PILE'!$D$56:$D$75)=0,0,'TO HOP NLAN'!F130*'TS-PILE'!$D$65/SUMSQ('TS-PILE'!$D$56:$D$75))),IF('TS-PILE'!$B$66="",-1E+99,'TO HOP NLAN'!D130/ncoc+IF(SUMSQ('TS-PILE'!$E$56:$E$75)=0,0,'TO HOP NLAN'!E130*'TS-PILE'!$E$66/SUMSQ('TS-PILE'!$E$56:$E$75))+IF(SUMSQ('TS-PILE'!$D$56:$D$75)=0,0,'TO HOP NLAN'!F130*'TS-PILE'!$D$66/SUMSQ('TS-PILE'!$D$56:$D$75))),IF('TS-PILE'!$B$67="",-1E+99,'TO HOP NLAN'!D130/ncoc+IF(SUMSQ('TS-PILE'!$E$56:$E$75)=0,0,'TO HOP NLAN'!E130*'TS-PILE'!$E$67/SUMSQ('TS-PILE'!$E$56:$E$75))+IF(SUMSQ('TS-PILE'!$D$56:$D$75)=0,0,'TO HOP NLAN'!F130*'TS-PILE'!$D$67/SUMSQ('TS-PILE'!$D$56:$D$75))),IF('TS-PILE'!$B$68="",-1E+99,'TO HOP NLAN'!D130/ncoc+IF(SUMSQ('TS-PILE'!$E$56:$E$75)=0,0,'TO HOP NLAN'!E130*'TS-PILE'!$E$68/SUMSQ('TS-PILE'!$E$56:$E$75))+IF(SUMSQ('TS-PILE'!$D$56:$D$75)=0,0,'TO HOP NLAN'!F130*'TS-PILE'!$D$68/SUMSQ('TS-PILE'!$D$56:$D$75))),IF('TS-PILE'!$B$69="",-1E+99,'TO HOP NLAN'!D130/ncoc+IF(SUMSQ('TS-PILE'!$E$56:$E$75)=0,0,'TO HOP NLAN'!E130*'TS-PILE'!$E$69/SUMSQ('TS-PILE'!$E$56:$E$75))+IF(SUMSQ('TS-PILE'!$D$56:$D$75)=0,0,'TO HOP NLAN'!F130*'TS-PILE'!$D$69/SUMSQ('TS-PILE'!$D$56:$D$75))),IF('TS-PILE'!$B$70="",-1E+99,'TO HOP NLAN'!D130/ncoc+IF(SUMSQ('TS-PILE'!$E$56:$E$75)=0,0,'TO HOP NLAN'!E130*'TS-PILE'!$E$70/SUMSQ('TS-PILE'!$E$56:$E$75))+IF(SUMSQ('TS-PILE'!$D$56:$D$75)=0,0,'TO HOP NLAN'!F130*'TS-PILE'!$D$70/SUMSQ('TS-PILE'!$D$56:$D$75))),IF('TS-PILE'!$B$71="",-1E+99,'TO HOP NLAN'!D130/ncoc+IF(SUMSQ('TS-PILE'!$E$56:$E$75)=0,0,'TO HOP NLAN'!E130*'TS-PILE'!$E$71/SUMSQ('TS-PILE'!$E$56:$E$75))+IF(SUMSQ('TS-PILE'!$D$56:$D$75)=0,0,'TO HOP NLAN'!F130*'TS-PILE'!$D$71/SUMSQ('TS-PILE'!$D$56:$D$75))),IF('TS-PILE'!$B$72="",-1E+99,'TO HOP NLAN'!D130/ncoc+IF(SUMSQ('TS-PILE'!$E$56:$E$75)=0,0,'TO HOP NLAN'!E130*'TS-PILE'!$E$72/SUMSQ('TS-PILE'!$E$56:$E$75))+IF(SUMSQ('TS-PILE'!$D$56:$D$75)=0,0,'TO HOP NLAN'!F130*'TS-PILE'!$D$72/SUMSQ('TS-PILE'!$D$56:$D$75))),IF('TS-PILE'!$B$73="",-1E+99,'TO HOP NLAN'!D130/ncoc+IF(SUMSQ('TS-PILE'!$E$56:$E$75)=0,0,'TO HOP NLAN'!E130*'TS-PILE'!$E$73/SUMSQ('TS-PILE'!$E$56:$E$75))+IF(SUMSQ('TS-PILE'!$D$56:$D$75)=0,0,'TO HOP NLAN'!F130*'TS-PILE'!$D$73/SUMSQ('TS-PILE'!$D$56:$D$75))),IF('TS-PILE'!$B$74="",-1E+99,'TO HOP NLAN'!D130/ncoc+IF(SUMSQ('TS-PILE'!$E$56:$E$75)=0,0,'TO HOP NLAN'!E130*'TS-PILE'!$E$74/SUMSQ('TS-PILE'!$E$56:$E$75))+IF(SUMSQ('TS-PILE'!$D$56:$D$75)=0,0,'TO HOP NLAN'!F130*'TS-PILE'!$D$74/SUMSQ('TS-PILE'!$D$56:$D$75))),IF('TS-PILE'!$B$75="",-1E+99,'TO HOP NLAN'!D130/ncoc+IF(SUMSQ('TS-PILE'!$E$56:$E$75)=0,0,'TO HOP NLAN'!E130*'TS-PILE'!$E$75/SUMSQ('TS-PILE'!$E$56:$E$75))+IF(SUMSQ('TS-PILE'!$D$56:$D$75)=0,0,'TO HOP NLAN'!F130*'TS-PILE'!$D$75/SUMSQ('TS-PILE'!$D$56:$D$75)))))</f>
        <v>0</v>
      </c>
      <c r="D130" s="46">
        <f>IF(A130="",0,MIN(IF('TS-PILE'!$B$56="",1E+99,'TO HOP NLAN'!D130/ncoc+IF(SUMSQ('TS-PILE'!$E$56:$E$75)=0,0,'TO HOP NLAN'!E130*'TS-PILE'!$E$56/SUMSQ('TS-PILE'!$E$56:$E$75))+IF(SUMSQ('TS-PILE'!$D$56:$D$75)=0,0,'TO HOP NLAN'!F130*'TS-PILE'!$D$56/SUMSQ('TS-PILE'!$D$56:$D$75))),IF('TS-PILE'!$B$57="",1E+99,'TO HOP NLAN'!D130/ncoc+IF(SUMSQ('TS-PILE'!$E$56:$E$75)=0,0,'TO HOP NLAN'!E130*'TS-PILE'!$E$57/SUMSQ('TS-PILE'!$E$56:$E$75))+IF(SUMSQ('TS-PILE'!$D$56:$D$75)=0,0,'TO HOP NLAN'!F130*'TS-PILE'!$D$57/SUMSQ('TS-PILE'!$D$56:$D$75))),IF('TS-PILE'!$B$58="",1E+99,'TO HOP NLAN'!D130/ncoc+IF(SUMSQ('TS-PILE'!$E$56:$E$75)=0,0,'TO HOP NLAN'!E130*'TS-PILE'!$E$58/SUMSQ('TS-PILE'!$E$56:$E$75))+IF(SUMSQ('TS-PILE'!$D$56:$D$75)=0,0,'TO HOP NLAN'!F130*'TS-PILE'!$D$58/SUMSQ('TS-PILE'!$D$56:$D$75))),IF('TS-PILE'!$B$59="",1E+99,'TO HOP NLAN'!D130/ncoc+IF(SUMSQ('TS-PILE'!$E$56:$E$75)=0,0,'TO HOP NLAN'!E130*'TS-PILE'!$E$59/SUMSQ('TS-PILE'!$E$56:$E$75))+IF(SUMSQ('TS-PILE'!$D$56:$D$75)=0,0,'TO HOP NLAN'!F130*'TS-PILE'!$D$59/SUMSQ('TS-PILE'!$D$56:$D$75))),IF('TS-PILE'!$B$60="",1E+99,'TO HOP NLAN'!D130/ncoc+IF(SUMSQ('TS-PILE'!$E$56:$E$75)=0,0,'TO HOP NLAN'!E130*'TS-PILE'!$E$60/SUMSQ('TS-PILE'!$E$56:$E$75))+IF(SUMSQ('TS-PILE'!$D$56:$D$75)=0,0,'TO HOP NLAN'!F130*'TS-PILE'!$D$60/SUMSQ('TS-PILE'!$D$56:$D$75))),IF('TS-PILE'!$B$61="",1E+99,'TO HOP NLAN'!D130/ncoc+IF(SUMSQ('TS-PILE'!$E$56:$E$75)=0,0,'TO HOP NLAN'!E130*'TS-PILE'!$E$61/SUMSQ('TS-PILE'!$E$56:$E$75))+IF(SUMSQ('TS-PILE'!$D$56:$D$75)=0,0,'TO HOP NLAN'!F130*'TS-PILE'!$D$61/SUMSQ('TS-PILE'!$D$56:$D$75))),IF('TS-PILE'!$B$62="",1E+99,'TO HOP NLAN'!D130/ncoc+IF(SUMSQ('TS-PILE'!$E$56:$E$75)=0,0,'TO HOP NLAN'!E130*'TS-PILE'!$E$62/SUMSQ('TS-PILE'!$E$56:$E$75))+IF(SUMSQ('TS-PILE'!$D$56:$D$75)=0,0,'TO HOP NLAN'!F130*'TS-PILE'!$D$62/SUMSQ('TS-PILE'!$D$56:$D$75))),IF('TS-PILE'!$B$63="",1E+99,'TO HOP NLAN'!D130/ncoc+IF(SUMSQ('TS-PILE'!$E$56:$E$75)=0,0,'TO HOP NLAN'!E130*'TS-PILE'!$E$63/SUMSQ('TS-PILE'!$E$56:$E$75))+IF(SUMSQ('TS-PILE'!$D$56:$D$75)=0,0,'TO HOP NLAN'!F130*'TS-PILE'!$D$63/SUMSQ('TS-PILE'!$D$56:$D$75))),IF('TS-PILE'!$B$64="",1E+99,'TO HOP NLAN'!D130/ncoc+IF(SUMSQ('TS-PILE'!$E$56:$E$75)=0,0,'TO HOP NLAN'!E130*'TS-PILE'!$E$64/SUMSQ('TS-PILE'!$E$56:$E$75))+IF(SUMSQ('TS-PILE'!$D$56:$D$75)=0,0,'TO HOP NLAN'!F130*'TS-PILE'!$D$64/SUMSQ('TS-PILE'!$D$56:$D$75))),IF('TS-PILE'!$B$65="",1E+99,'TO HOP NLAN'!D130/ncoc+IF(SUMSQ('TS-PILE'!$E$56:$E$75)=0,0,'TO HOP NLAN'!E130*'TS-PILE'!$E$65/SUMSQ('TS-PILE'!$E$56:$E$75))+IF(SUMSQ('TS-PILE'!$D$56:$D$75)=0,0,'TO HOP NLAN'!F130*'TS-PILE'!$D$65/SUMSQ('TS-PILE'!$D$56:$D$75))),IF('TS-PILE'!$B$66="",1E+99,'TO HOP NLAN'!D130/ncoc+IF(SUMSQ('TS-PILE'!$E$56:$E$75)=0,0,'TO HOP NLAN'!E130*'TS-PILE'!$E$66/SUMSQ('TS-PILE'!$E$56:$E$75))+IF(SUMSQ('TS-PILE'!$D$56:$D$75)=0,0,'TO HOP NLAN'!F130*'TS-PILE'!$D$66/SUMSQ('TS-PILE'!$D$56:$D$75))),IF('TS-PILE'!$B$67="",1E+99,'TO HOP NLAN'!D130/ncoc+IF(SUMSQ('TS-PILE'!$E$56:$E$75)=0,0,'TO HOP NLAN'!E130*'TS-PILE'!$E$67/SUMSQ('TS-PILE'!$E$56:$E$75))+IF(SUMSQ('TS-PILE'!$D$56:$D$75)=0,0,'TO HOP NLAN'!F130*'TS-PILE'!$D$67/SUMSQ('TS-PILE'!$D$56:$D$75))),IF('TS-PILE'!$B$68="",1E+99,'TO HOP NLAN'!D130/ncoc+IF(SUMSQ('TS-PILE'!$E$56:$E$75)=0,0,'TO HOP NLAN'!E130*'TS-PILE'!$E$68/SUMSQ('TS-PILE'!$E$56:$E$75))+IF(SUMSQ('TS-PILE'!$D$56:$D$75)=0,0,'TO HOP NLAN'!F130*'TS-PILE'!$D$68/SUMSQ('TS-PILE'!$D$56:$D$75))),IF('TS-PILE'!$B$69="",1E+99,'TO HOP NLAN'!D130/ncoc+IF(SUMSQ('TS-PILE'!$E$56:$E$75)=0,0,'TO HOP NLAN'!E130*'TS-PILE'!$E$69/SUMSQ('TS-PILE'!$E$56:$E$75))+IF(SUMSQ('TS-PILE'!$D$56:$D$75)=0,0,'TO HOP NLAN'!F130*'TS-PILE'!$D$69/SUMSQ('TS-PILE'!$D$56:$D$75))),IF('TS-PILE'!$B$70="",1E+99,'TO HOP NLAN'!D130/ncoc+IF(SUMSQ('TS-PILE'!$E$56:$E$75)=0,0,'TO HOP NLAN'!E130*'TS-PILE'!$E$70/SUMSQ('TS-PILE'!$E$56:$E$75))+IF(SUMSQ('TS-PILE'!$D$56:$D$75)=0,0,'TO HOP NLAN'!F130*'TS-PILE'!$D$70/SUMSQ('TS-PILE'!$D$56:$D$75))),IF('TS-PILE'!$B$71="",1E+99,'TO HOP NLAN'!D130/ncoc+IF(SUMSQ('TS-PILE'!$E$56:$E$75)=0,0,'TO HOP NLAN'!E130*'TS-PILE'!$E$71/SUMSQ('TS-PILE'!$E$56:$E$75))+IF(SUMSQ('TS-PILE'!$D$56:$D$75)=0,0,'TO HOP NLAN'!F130*'TS-PILE'!$D$71/SUMSQ('TS-PILE'!$D$56:$D$75))),IF('TS-PILE'!$B$72="",1E+99,'TO HOP NLAN'!D130/ncoc+IF(SUMSQ('TS-PILE'!$E$56:$E$75)=0,0,'TO HOP NLAN'!E130*'TS-PILE'!$E$72/SUMSQ('TS-PILE'!$E$56:$E$75))+IF(SUMSQ('TS-PILE'!$D$56:$D$75)=0,0,'TO HOP NLAN'!F130*'TS-PILE'!$D$72/SUMSQ('TS-PILE'!$D$56:$D$75))),IF('TS-PILE'!$B$73="",1E+99,'TO HOP NLAN'!D130/ncoc+IF(SUMSQ('TS-PILE'!$E$56:$E$75)=0,0,'TO HOP NLAN'!E130*'TS-PILE'!$E$73/SUMSQ('TS-PILE'!$E$56:$E$75))+IF(SUMSQ('TS-PILE'!$D$56:$D$75)=0,0,'TO HOP NLAN'!F130*'TS-PILE'!$D$73/SUMSQ('TS-PILE'!$D$56:$D$75))),IF('TS-PILE'!$B$74="",1E+99,'TO HOP NLAN'!D130/ncoc+IF(SUMSQ('TS-PILE'!$E$56:$E$75)=0,0,'TO HOP NLAN'!E130*'TS-PILE'!$E$74/SUMSQ('TS-PILE'!$E$56:$E$75))+IF(SUMSQ('TS-PILE'!$D$56:$D$75)=0,0,'TO HOP NLAN'!F130*'TS-PILE'!$D$74/SUMSQ('TS-PILE'!$D$56:$D$75))),IF('TS-PILE'!$B$75="",1E+99,'TO HOP NLAN'!D130/ncoc+IF(SUMSQ('TS-PILE'!$E$56:$E$75)=0,0,'TO HOP NLAN'!E130*'TS-PILE'!$E$75/SUMSQ('TS-PILE'!$E$56:$E$75))+IF(SUMSQ('TS-PILE'!$D$56:$D$75)=0,0,'TO HOP NLAN'!F130*'TS-PILE'!$D$75/SUMSQ('TS-PILE'!$D$56:$D$75)))))</f>
        <v>0</v>
      </c>
      <c r="E130" s="46">
        <f t="shared" si="4"/>
        <v>-9.9999999999999997E+98</v>
      </c>
      <c r="F130" s="46">
        <f t="shared" si="5"/>
        <v>9.9999999999999997E+98</v>
      </c>
      <c r="G130" s="46">
        <f t="shared" si="6"/>
        <v>-9.9999999999999997E+98</v>
      </c>
      <c r="H130" s="46">
        <f t="shared" si="7"/>
        <v>9.9999999999999997E+98</v>
      </c>
    </row>
    <row r="131" spans="1:8" x14ac:dyDescent="0.3">
      <c r="A131" s="40" t="str">
        <f>'TO HOP NLAN'!A131</f>
        <v/>
      </c>
      <c r="B131" s="40" t="str">
        <f>'TO HOP NLAN'!L131</f>
        <v>STRENGTH</v>
      </c>
      <c r="C131" s="46">
        <f>IF(A131="",0,MAX(IF('TS-PILE'!$B$56="",-1E+99,'TO HOP NLAN'!D131/ncoc+IF(SUMSQ('TS-PILE'!$E$56:$E$75)=0,0,'TO HOP NLAN'!E131*'TS-PILE'!$E$56/SUMSQ('TS-PILE'!$E$56:$E$75))+IF(SUMSQ('TS-PILE'!$D$56:$D$75)=0,0,'TO HOP NLAN'!F131*'TS-PILE'!$D$56/SUMSQ('TS-PILE'!$D$56:$D$75))),IF('TS-PILE'!$B$57="",-1E+99,'TO HOP NLAN'!D131/ncoc+IF(SUMSQ('TS-PILE'!$E$56:$E$75)=0,0,'TO HOP NLAN'!E131*'TS-PILE'!$E$57/SUMSQ('TS-PILE'!$E$56:$E$75))+IF(SUMSQ('TS-PILE'!$D$56:$D$75)=0,0,'TO HOP NLAN'!F131*'TS-PILE'!$D$57/SUMSQ('TS-PILE'!$D$56:$D$75))),IF('TS-PILE'!$B$58="",-1E+99,'TO HOP NLAN'!D131/ncoc+IF(SUMSQ('TS-PILE'!$E$56:$E$75)=0,0,'TO HOP NLAN'!E131*'TS-PILE'!$E$58/SUMSQ('TS-PILE'!$E$56:$E$75))+IF(SUMSQ('TS-PILE'!$D$56:$D$75)=0,0,'TO HOP NLAN'!F131*'TS-PILE'!$D$58/SUMSQ('TS-PILE'!$D$56:$D$75))),IF('TS-PILE'!$B$59="",-1E+99,'TO HOP NLAN'!D131/ncoc+IF(SUMSQ('TS-PILE'!$E$56:$E$75)=0,0,'TO HOP NLAN'!E131*'TS-PILE'!$E$59/SUMSQ('TS-PILE'!$E$56:$E$75))+IF(SUMSQ('TS-PILE'!$D$56:$D$75)=0,0,'TO HOP NLAN'!F131*'TS-PILE'!$D$59/SUMSQ('TS-PILE'!$D$56:$D$75))),IF('TS-PILE'!$B$60="",-1E+99,'TO HOP NLAN'!D131/ncoc+IF(SUMSQ('TS-PILE'!$E$56:$E$75)=0,0,'TO HOP NLAN'!E131*'TS-PILE'!$E$60/SUMSQ('TS-PILE'!$E$56:$E$75))+IF(SUMSQ('TS-PILE'!$D$56:$D$75)=0,0,'TO HOP NLAN'!F131*'TS-PILE'!$D$60/SUMSQ('TS-PILE'!$D$56:$D$75))),IF('TS-PILE'!$B$61="",-1E+99,'TO HOP NLAN'!D131/ncoc+IF(SUMSQ('TS-PILE'!$E$56:$E$75)=0,0,'TO HOP NLAN'!E131*'TS-PILE'!$E$61/SUMSQ('TS-PILE'!$E$56:$E$75))+IF(SUMSQ('TS-PILE'!$D$56:$D$75)=0,0,'TO HOP NLAN'!F131*'TS-PILE'!$D$61/SUMSQ('TS-PILE'!$D$56:$D$75))),IF('TS-PILE'!$B$62="",-1E+99,'TO HOP NLAN'!D131/ncoc+IF(SUMSQ('TS-PILE'!$E$56:$E$75)=0,0,'TO HOP NLAN'!E131*'TS-PILE'!$E$62/SUMSQ('TS-PILE'!$E$56:$E$75))+IF(SUMSQ('TS-PILE'!$D$56:$D$75)=0,0,'TO HOP NLAN'!F131*'TS-PILE'!$D$62/SUMSQ('TS-PILE'!$D$56:$D$75))),IF('TS-PILE'!$B$63="",-1E+99,'TO HOP NLAN'!D131/ncoc+IF(SUMSQ('TS-PILE'!$E$56:$E$75)=0,0,'TO HOP NLAN'!E131*'TS-PILE'!$E$63/SUMSQ('TS-PILE'!$E$56:$E$75))+IF(SUMSQ('TS-PILE'!$D$56:$D$75)=0,0,'TO HOP NLAN'!F131*'TS-PILE'!$D$63/SUMSQ('TS-PILE'!$D$56:$D$75))),IF('TS-PILE'!$B$64="",-1E+99,'TO HOP NLAN'!D131/ncoc+IF(SUMSQ('TS-PILE'!$E$56:$E$75)=0,0,'TO HOP NLAN'!E131*'TS-PILE'!$E$64/SUMSQ('TS-PILE'!$E$56:$E$75))+IF(SUMSQ('TS-PILE'!$D$56:$D$75)=0,0,'TO HOP NLAN'!F131*'TS-PILE'!$D$64/SUMSQ('TS-PILE'!$D$56:$D$75))),IF('TS-PILE'!$B$65="",-1E+99,'TO HOP NLAN'!D131/ncoc+IF(SUMSQ('TS-PILE'!$E$56:$E$75)=0,0,'TO HOP NLAN'!E131*'TS-PILE'!$E$65/SUMSQ('TS-PILE'!$E$56:$E$75))+IF(SUMSQ('TS-PILE'!$D$56:$D$75)=0,0,'TO HOP NLAN'!F131*'TS-PILE'!$D$65/SUMSQ('TS-PILE'!$D$56:$D$75))),IF('TS-PILE'!$B$66="",-1E+99,'TO HOP NLAN'!D131/ncoc+IF(SUMSQ('TS-PILE'!$E$56:$E$75)=0,0,'TO HOP NLAN'!E131*'TS-PILE'!$E$66/SUMSQ('TS-PILE'!$E$56:$E$75))+IF(SUMSQ('TS-PILE'!$D$56:$D$75)=0,0,'TO HOP NLAN'!F131*'TS-PILE'!$D$66/SUMSQ('TS-PILE'!$D$56:$D$75))),IF('TS-PILE'!$B$67="",-1E+99,'TO HOP NLAN'!D131/ncoc+IF(SUMSQ('TS-PILE'!$E$56:$E$75)=0,0,'TO HOP NLAN'!E131*'TS-PILE'!$E$67/SUMSQ('TS-PILE'!$E$56:$E$75))+IF(SUMSQ('TS-PILE'!$D$56:$D$75)=0,0,'TO HOP NLAN'!F131*'TS-PILE'!$D$67/SUMSQ('TS-PILE'!$D$56:$D$75))),IF('TS-PILE'!$B$68="",-1E+99,'TO HOP NLAN'!D131/ncoc+IF(SUMSQ('TS-PILE'!$E$56:$E$75)=0,0,'TO HOP NLAN'!E131*'TS-PILE'!$E$68/SUMSQ('TS-PILE'!$E$56:$E$75))+IF(SUMSQ('TS-PILE'!$D$56:$D$75)=0,0,'TO HOP NLAN'!F131*'TS-PILE'!$D$68/SUMSQ('TS-PILE'!$D$56:$D$75))),IF('TS-PILE'!$B$69="",-1E+99,'TO HOP NLAN'!D131/ncoc+IF(SUMSQ('TS-PILE'!$E$56:$E$75)=0,0,'TO HOP NLAN'!E131*'TS-PILE'!$E$69/SUMSQ('TS-PILE'!$E$56:$E$75))+IF(SUMSQ('TS-PILE'!$D$56:$D$75)=0,0,'TO HOP NLAN'!F131*'TS-PILE'!$D$69/SUMSQ('TS-PILE'!$D$56:$D$75))),IF('TS-PILE'!$B$70="",-1E+99,'TO HOP NLAN'!D131/ncoc+IF(SUMSQ('TS-PILE'!$E$56:$E$75)=0,0,'TO HOP NLAN'!E131*'TS-PILE'!$E$70/SUMSQ('TS-PILE'!$E$56:$E$75))+IF(SUMSQ('TS-PILE'!$D$56:$D$75)=0,0,'TO HOP NLAN'!F131*'TS-PILE'!$D$70/SUMSQ('TS-PILE'!$D$56:$D$75))),IF('TS-PILE'!$B$71="",-1E+99,'TO HOP NLAN'!D131/ncoc+IF(SUMSQ('TS-PILE'!$E$56:$E$75)=0,0,'TO HOP NLAN'!E131*'TS-PILE'!$E$71/SUMSQ('TS-PILE'!$E$56:$E$75))+IF(SUMSQ('TS-PILE'!$D$56:$D$75)=0,0,'TO HOP NLAN'!F131*'TS-PILE'!$D$71/SUMSQ('TS-PILE'!$D$56:$D$75))),IF('TS-PILE'!$B$72="",-1E+99,'TO HOP NLAN'!D131/ncoc+IF(SUMSQ('TS-PILE'!$E$56:$E$75)=0,0,'TO HOP NLAN'!E131*'TS-PILE'!$E$72/SUMSQ('TS-PILE'!$E$56:$E$75))+IF(SUMSQ('TS-PILE'!$D$56:$D$75)=0,0,'TO HOP NLAN'!F131*'TS-PILE'!$D$72/SUMSQ('TS-PILE'!$D$56:$D$75))),IF('TS-PILE'!$B$73="",-1E+99,'TO HOP NLAN'!D131/ncoc+IF(SUMSQ('TS-PILE'!$E$56:$E$75)=0,0,'TO HOP NLAN'!E131*'TS-PILE'!$E$73/SUMSQ('TS-PILE'!$E$56:$E$75))+IF(SUMSQ('TS-PILE'!$D$56:$D$75)=0,0,'TO HOP NLAN'!F131*'TS-PILE'!$D$73/SUMSQ('TS-PILE'!$D$56:$D$75))),IF('TS-PILE'!$B$74="",-1E+99,'TO HOP NLAN'!D131/ncoc+IF(SUMSQ('TS-PILE'!$E$56:$E$75)=0,0,'TO HOP NLAN'!E131*'TS-PILE'!$E$74/SUMSQ('TS-PILE'!$E$56:$E$75))+IF(SUMSQ('TS-PILE'!$D$56:$D$75)=0,0,'TO HOP NLAN'!F131*'TS-PILE'!$D$74/SUMSQ('TS-PILE'!$D$56:$D$75))),IF('TS-PILE'!$B$75="",-1E+99,'TO HOP NLAN'!D131/ncoc+IF(SUMSQ('TS-PILE'!$E$56:$E$75)=0,0,'TO HOP NLAN'!E131*'TS-PILE'!$E$75/SUMSQ('TS-PILE'!$E$56:$E$75))+IF(SUMSQ('TS-PILE'!$D$56:$D$75)=0,0,'TO HOP NLAN'!F131*'TS-PILE'!$D$75/SUMSQ('TS-PILE'!$D$56:$D$75)))))</f>
        <v>0</v>
      </c>
      <c r="D131" s="46">
        <f>IF(A131="",0,MIN(IF('TS-PILE'!$B$56="",1E+99,'TO HOP NLAN'!D131/ncoc+IF(SUMSQ('TS-PILE'!$E$56:$E$75)=0,0,'TO HOP NLAN'!E131*'TS-PILE'!$E$56/SUMSQ('TS-PILE'!$E$56:$E$75))+IF(SUMSQ('TS-PILE'!$D$56:$D$75)=0,0,'TO HOP NLAN'!F131*'TS-PILE'!$D$56/SUMSQ('TS-PILE'!$D$56:$D$75))),IF('TS-PILE'!$B$57="",1E+99,'TO HOP NLAN'!D131/ncoc+IF(SUMSQ('TS-PILE'!$E$56:$E$75)=0,0,'TO HOP NLAN'!E131*'TS-PILE'!$E$57/SUMSQ('TS-PILE'!$E$56:$E$75))+IF(SUMSQ('TS-PILE'!$D$56:$D$75)=0,0,'TO HOP NLAN'!F131*'TS-PILE'!$D$57/SUMSQ('TS-PILE'!$D$56:$D$75))),IF('TS-PILE'!$B$58="",1E+99,'TO HOP NLAN'!D131/ncoc+IF(SUMSQ('TS-PILE'!$E$56:$E$75)=0,0,'TO HOP NLAN'!E131*'TS-PILE'!$E$58/SUMSQ('TS-PILE'!$E$56:$E$75))+IF(SUMSQ('TS-PILE'!$D$56:$D$75)=0,0,'TO HOP NLAN'!F131*'TS-PILE'!$D$58/SUMSQ('TS-PILE'!$D$56:$D$75))),IF('TS-PILE'!$B$59="",1E+99,'TO HOP NLAN'!D131/ncoc+IF(SUMSQ('TS-PILE'!$E$56:$E$75)=0,0,'TO HOP NLAN'!E131*'TS-PILE'!$E$59/SUMSQ('TS-PILE'!$E$56:$E$75))+IF(SUMSQ('TS-PILE'!$D$56:$D$75)=0,0,'TO HOP NLAN'!F131*'TS-PILE'!$D$59/SUMSQ('TS-PILE'!$D$56:$D$75))),IF('TS-PILE'!$B$60="",1E+99,'TO HOP NLAN'!D131/ncoc+IF(SUMSQ('TS-PILE'!$E$56:$E$75)=0,0,'TO HOP NLAN'!E131*'TS-PILE'!$E$60/SUMSQ('TS-PILE'!$E$56:$E$75))+IF(SUMSQ('TS-PILE'!$D$56:$D$75)=0,0,'TO HOP NLAN'!F131*'TS-PILE'!$D$60/SUMSQ('TS-PILE'!$D$56:$D$75))),IF('TS-PILE'!$B$61="",1E+99,'TO HOP NLAN'!D131/ncoc+IF(SUMSQ('TS-PILE'!$E$56:$E$75)=0,0,'TO HOP NLAN'!E131*'TS-PILE'!$E$61/SUMSQ('TS-PILE'!$E$56:$E$75))+IF(SUMSQ('TS-PILE'!$D$56:$D$75)=0,0,'TO HOP NLAN'!F131*'TS-PILE'!$D$61/SUMSQ('TS-PILE'!$D$56:$D$75))),IF('TS-PILE'!$B$62="",1E+99,'TO HOP NLAN'!D131/ncoc+IF(SUMSQ('TS-PILE'!$E$56:$E$75)=0,0,'TO HOP NLAN'!E131*'TS-PILE'!$E$62/SUMSQ('TS-PILE'!$E$56:$E$75))+IF(SUMSQ('TS-PILE'!$D$56:$D$75)=0,0,'TO HOP NLAN'!F131*'TS-PILE'!$D$62/SUMSQ('TS-PILE'!$D$56:$D$75))),IF('TS-PILE'!$B$63="",1E+99,'TO HOP NLAN'!D131/ncoc+IF(SUMSQ('TS-PILE'!$E$56:$E$75)=0,0,'TO HOP NLAN'!E131*'TS-PILE'!$E$63/SUMSQ('TS-PILE'!$E$56:$E$75))+IF(SUMSQ('TS-PILE'!$D$56:$D$75)=0,0,'TO HOP NLAN'!F131*'TS-PILE'!$D$63/SUMSQ('TS-PILE'!$D$56:$D$75))),IF('TS-PILE'!$B$64="",1E+99,'TO HOP NLAN'!D131/ncoc+IF(SUMSQ('TS-PILE'!$E$56:$E$75)=0,0,'TO HOP NLAN'!E131*'TS-PILE'!$E$64/SUMSQ('TS-PILE'!$E$56:$E$75))+IF(SUMSQ('TS-PILE'!$D$56:$D$75)=0,0,'TO HOP NLAN'!F131*'TS-PILE'!$D$64/SUMSQ('TS-PILE'!$D$56:$D$75))),IF('TS-PILE'!$B$65="",1E+99,'TO HOP NLAN'!D131/ncoc+IF(SUMSQ('TS-PILE'!$E$56:$E$75)=0,0,'TO HOP NLAN'!E131*'TS-PILE'!$E$65/SUMSQ('TS-PILE'!$E$56:$E$75))+IF(SUMSQ('TS-PILE'!$D$56:$D$75)=0,0,'TO HOP NLAN'!F131*'TS-PILE'!$D$65/SUMSQ('TS-PILE'!$D$56:$D$75))),IF('TS-PILE'!$B$66="",1E+99,'TO HOP NLAN'!D131/ncoc+IF(SUMSQ('TS-PILE'!$E$56:$E$75)=0,0,'TO HOP NLAN'!E131*'TS-PILE'!$E$66/SUMSQ('TS-PILE'!$E$56:$E$75))+IF(SUMSQ('TS-PILE'!$D$56:$D$75)=0,0,'TO HOP NLAN'!F131*'TS-PILE'!$D$66/SUMSQ('TS-PILE'!$D$56:$D$75))),IF('TS-PILE'!$B$67="",1E+99,'TO HOP NLAN'!D131/ncoc+IF(SUMSQ('TS-PILE'!$E$56:$E$75)=0,0,'TO HOP NLAN'!E131*'TS-PILE'!$E$67/SUMSQ('TS-PILE'!$E$56:$E$75))+IF(SUMSQ('TS-PILE'!$D$56:$D$75)=0,0,'TO HOP NLAN'!F131*'TS-PILE'!$D$67/SUMSQ('TS-PILE'!$D$56:$D$75))),IF('TS-PILE'!$B$68="",1E+99,'TO HOP NLAN'!D131/ncoc+IF(SUMSQ('TS-PILE'!$E$56:$E$75)=0,0,'TO HOP NLAN'!E131*'TS-PILE'!$E$68/SUMSQ('TS-PILE'!$E$56:$E$75))+IF(SUMSQ('TS-PILE'!$D$56:$D$75)=0,0,'TO HOP NLAN'!F131*'TS-PILE'!$D$68/SUMSQ('TS-PILE'!$D$56:$D$75))),IF('TS-PILE'!$B$69="",1E+99,'TO HOP NLAN'!D131/ncoc+IF(SUMSQ('TS-PILE'!$E$56:$E$75)=0,0,'TO HOP NLAN'!E131*'TS-PILE'!$E$69/SUMSQ('TS-PILE'!$E$56:$E$75))+IF(SUMSQ('TS-PILE'!$D$56:$D$75)=0,0,'TO HOP NLAN'!F131*'TS-PILE'!$D$69/SUMSQ('TS-PILE'!$D$56:$D$75))),IF('TS-PILE'!$B$70="",1E+99,'TO HOP NLAN'!D131/ncoc+IF(SUMSQ('TS-PILE'!$E$56:$E$75)=0,0,'TO HOP NLAN'!E131*'TS-PILE'!$E$70/SUMSQ('TS-PILE'!$E$56:$E$75))+IF(SUMSQ('TS-PILE'!$D$56:$D$75)=0,0,'TO HOP NLAN'!F131*'TS-PILE'!$D$70/SUMSQ('TS-PILE'!$D$56:$D$75))),IF('TS-PILE'!$B$71="",1E+99,'TO HOP NLAN'!D131/ncoc+IF(SUMSQ('TS-PILE'!$E$56:$E$75)=0,0,'TO HOP NLAN'!E131*'TS-PILE'!$E$71/SUMSQ('TS-PILE'!$E$56:$E$75))+IF(SUMSQ('TS-PILE'!$D$56:$D$75)=0,0,'TO HOP NLAN'!F131*'TS-PILE'!$D$71/SUMSQ('TS-PILE'!$D$56:$D$75))),IF('TS-PILE'!$B$72="",1E+99,'TO HOP NLAN'!D131/ncoc+IF(SUMSQ('TS-PILE'!$E$56:$E$75)=0,0,'TO HOP NLAN'!E131*'TS-PILE'!$E$72/SUMSQ('TS-PILE'!$E$56:$E$75))+IF(SUMSQ('TS-PILE'!$D$56:$D$75)=0,0,'TO HOP NLAN'!F131*'TS-PILE'!$D$72/SUMSQ('TS-PILE'!$D$56:$D$75))),IF('TS-PILE'!$B$73="",1E+99,'TO HOP NLAN'!D131/ncoc+IF(SUMSQ('TS-PILE'!$E$56:$E$75)=0,0,'TO HOP NLAN'!E131*'TS-PILE'!$E$73/SUMSQ('TS-PILE'!$E$56:$E$75))+IF(SUMSQ('TS-PILE'!$D$56:$D$75)=0,0,'TO HOP NLAN'!F131*'TS-PILE'!$D$73/SUMSQ('TS-PILE'!$D$56:$D$75))),IF('TS-PILE'!$B$74="",1E+99,'TO HOP NLAN'!D131/ncoc+IF(SUMSQ('TS-PILE'!$E$56:$E$75)=0,0,'TO HOP NLAN'!E131*'TS-PILE'!$E$74/SUMSQ('TS-PILE'!$E$56:$E$75))+IF(SUMSQ('TS-PILE'!$D$56:$D$75)=0,0,'TO HOP NLAN'!F131*'TS-PILE'!$D$74/SUMSQ('TS-PILE'!$D$56:$D$75))),IF('TS-PILE'!$B$75="",1E+99,'TO HOP NLAN'!D131/ncoc+IF(SUMSQ('TS-PILE'!$E$56:$E$75)=0,0,'TO HOP NLAN'!E131*'TS-PILE'!$E$75/SUMSQ('TS-PILE'!$E$56:$E$75))+IF(SUMSQ('TS-PILE'!$D$56:$D$75)=0,0,'TO HOP NLAN'!F131*'TS-PILE'!$D$75/SUMSQ('TS-PILE'!$D$56:$D$75)))))</f>
        <v>0</v>
      </c>
      <c r="E131" s="46">
        <f t="shared" si="4"/>
        <v>-9.9999999999999997E+98</v>
      </c>
      <c r="F131" s="46">
        <f t="shared" si="5"/>
        <v>9.9999999999999997E+98</v>
      </c>
      <c r="G131" s="46">
        <f t="shared" si="6"/>
        <v>-9.9999999999999997E+98</v>
      </c>
      <c r="H131" s="46">
        <f t="shared" si="7"/>
        <v>9.9999999999999997E+98</v>
      </c>
    </row>
    <row r="132" spans="1:8" x14ac:dyDescent="0.3">
      <c r="A132" s="40" t="str">
        <f>'TO HOP NLAN'!A132</f>
        <v/>
      </c>
      <c r="B132" s="40" t="str">
        <f>'TO HOP NLAN'!L132</f>
        <v>STRENGTH</v>
      </c>
      <c r="C132" s="46">
        <f>IF(A132="",0,MAX(IF('TS-PILE'!$B$56="",-1E+99,'TO HOP NLAN'!D132/ncoc+IF(SUMSQ('TS-PILE'!$E$56:$E$75)=0,0,'TO HOP NLAN'!E132*'TS-PILE'!$E$56/SUMSQ('TS-PILE'!$E$56:$E$75))+IF(SUMSQ('TS-PILE'!$D$56:$D$75)=0,0,'TO HOP NLAN'!F132*'TS-PILE'!$D$56/SUMSQ('TS-PILE'!$D$56:$D$75))),IF('TS-PILE'!$B$57="",-1E+99,'TO HOP NLAN'!D132/ncoc+IF(SUMSQ('TS-PILE'!$E$56:$E$75)=0,0,'TO HOP NLAN'!E132*'TS-PILE'!$E$57/SUMSQ('TS-PILE'!$E$56:$E$75))+IF(SUMSQ('TS-PILE'!$D$56:$D$75)=0,0,'TO HOP NLAN'!F132*'TS-PILE'!$D$57/SUMSQ('TS-PILE'!$D$56:$D$75))),IF('TS-PILE'!$B$58="",-1E+99,'TO HOP NLAN'!D132/ncoc+IF(SUMSQ('TS-PILE'!$E$56:$E$75)=0,0,'TO HOP NLAN'!E132*'TS-PILE'!$E$58/SUMSQ('TS-PILE'!$E$56:$E$75))+IF(SUMSQ('TS-PILE'!$D$56:$D$75)=0,0,'TO HOP NLAN'!F132*'TS-PILE'!$D$58/SUMSQ('TS-PILE'!$D$56:$D$75))),IF('TS-PILE'!$B$59="",-1E+99,'TO HOP NLAN'!D132/ncoc+IF(SUMSQ('TS-PILE'!$E$56:$E$75)=0,0,'TO HOP NLAN'!E132*'TS-PILE'!$E$59/SUMSQ('TS-PILE'!$E$56:$E$75))+IF(SUMSQ('TS-PILE'!$D$56:$D$75)=0,0,'TO HOP NLAN'!F132*'TS-PILE'!$D$59/SUMSQ('TS-PILE'!$D$56:$D$75))),IF('TS-PILE'!$B$60="",-1E+99,'TO HOP NLAN'!D132/ncoc+IF(SUMSQ('TS-PILE'!$E$56:$E$75)=0,0,'TO HOP NLAN'!E132*'TS-PILE'!$E$60/SUMSQ('TS-PILE'!$E$56:$E$75))+IF(SUMSQ('TS-PILE'!$D$56:$D$75)=0,0,'TO HOP NLAN'!F132*'TS-PILE'!$D$60/SUMSQ('TS-PILE'!$D$56:$D$75))),IF('TS-PILE'!$B$61="",-1E+99,'TO HOP NLAN'!D132/ncoc+IF(SUMSQ('TS-PILE'!$E$56:$E$75)=0,0,'TO HOP NLAN'!E132*'TS-PILE'!$E$61/SUMSQ('TS-PILE'!$E$56:$E$75))+IF(SUMSQ('TS-PILE'!$D$56:$D$75)=0,0,'TO HOP NLAN'!F132*'TS-PILE'!$D$61/SUMSQ('TS-PILE'!$D$56:$D$75))),IF('TS-PILE'!$B$62="",-1E+99,'TO HOP NLAN'!D132/ncoc+IF(SUMSQ('TS-PILE'!$E$56:$E$75)=0,0,'TO HOP NLAN'!E132*'TS-PILE'!$E$62/SUMSQ('TS-PILE'!$E$56:$E$75))+IF(SUMSQ('TS-PILE'!$D$56:$D$75)=0,0,'TO HOP NLAN'!F132*'TS-PILE'!$D$62/SUMSQ('TS-PILE'!$D$56:$D$75))),IF('TS-PILE'!$B$63="",-1E+99,'TO HOP NLAN'!D132/ncoc+IF(SUMSQ('TS-PILE'!$E$56:$E$75)=0,0,'TO HOP NLAN'!E132*'TS-PILE'!$E$63/SUMSQ('TS-PILE'!$E$56:$E$75))+IF(SUMSQ('TS-PILE'!$D$56:$D$75)=0,0,'TO HOP NLAN'!F132*'TS-PILE'!$D$63/SUMSQ('TS-PILE'!$D$56:$D$75))),IF('TS-PILE'!$B$64="",-1E+99,'TO HOP NLAN'!D132/ncoc+IF(SUMSQ('TS-PILE'!$E$56:$E$75)=0,0,'TO HOP NLAN'!E132*'TS-PILE'!$E$64/SUMSQ('TS-PILE'!$E$56:$E$75))+IF(SUMSQ('TS-PILE'!$D$56:$D$75)=0,0,'TO HOP NLAN'!F132*'TS-PILE'!$D$64/SUMSQ('TS-PILE'!$D$56:$D$75))),IF('TS-PILE'!$B$65="",-1E+99,'TO HOP NLAN'!D132/ncoc+IF(SUMSQ('TS-PILE'!$E$56:$E$75)=0,0,'TO HOP NLAN'!E132*'TS-PILE'!$E$65/SUMSQ('TS-PILE'!$E$56:$E$75))+IF(SUMSQ('TS-PILE'!$D$56:$D$75)=0,0,'TO HOP NLAN'!F132*'TS-PILE'!$D$65/SUMSQ('TS-PILE'!$D$56:$D$75))),IF('TS-PILE'!$B$66="",-1E+99,'TO HOP NLAN'!D132/ncoc+IF(SUMSQ('TS-PILE'!$E$56:$E$75)=0,0,'TO HOP NLAN'!E132*'TS-PILE'!$E$66/SUMSQ('TS-PILE'!$E$56:$E$75))+IF(SUMSQ('TS-PILE'!$D$56:$D$75)=0,0,'TO HOP NLAN'!F132*'TS-PILE'!$D$66/SUMSQ('TS-PILE'!$D$56:$D$75))),IF('TS-PILE'!$B$67="",-1E+99,'TO HOP NLAN'!D132/ncoc+IF(SUMSQ('TS-PILE'!$E$56:$E$75)=0,0,'TO HOP NLAN'!E132*'TS-PILE'!$E$67/SUMSQ('TS-PILE'!$E$56:$E$75))+IF(SUMSQ('TS-PILE'!$D$56:$D$75)=0,0,'TO HOP NLAN'!F132*'TS-PILE'!$D$67/SUMSQ('TS-PILE'!$D$56:$D$75))),IF('TS-PILE'!$B$68="",-1E+99,'TO HOP NLAN'!D132/ncoc+IF(SUMSQ('TS-PILE'!$E$56:$E$75)=0,0,'TO HOP NLAN'!E132*'TS-PILE'!$E$68/SUMSQ('TS-PILE'!$E$56:$E$75))+IF(SUMSQ('TS-PILE'!$D$56:$D$75)=0,0,'TO HOP NLAN'!F132*'TS-PILE'!$D$68/SUMSQ('TS-PILE'!$D$56:$D$75))),IF('TS-PILE'!$B$69="",-1E+99,'TO HOP NLAN'!D132/ncoc+IF(SUMSQ('TS-PILE'!$E$56:$E$75)=0,0,'TO HOP NLAN'!E132*'TS-PILE'!$E$69/SUMSQ('TS-PILE'!$E$56:$E$75))+IF(SUMSQ('TS-PILE'!$D$56:$D$75)=0,0,'TO HOP NLAN'!F132*'TS-PILE'!$D$69/SUMSQ('TS-PILE'!$D$56:$D$75))),IF('TS-PILE'!$B$70="",-1E+99,'TO HOP NLAN'!D132/ncoc+IF(SUMSQ('TS-PILE'!$E$56:$E$75)=0,0,'TO HOP NLAN'!E132*'TS-PILE'!$E$70/SUMSQ('TS-PILE'!$E$56:$E$75))+IF(SUMSQ('TS-PILE'!$D$56:$D$75)=0,0,'TO HOP NLAN'!F132*'TS-PILE'!$D$70/SUMSQ('TS-PILE'!$D$56:$D$75))),IF('TS-PILE'!$B$71="",-1E+99,'TO HOP NLAN'!D132/ncoc+IF(SUMSQ('TS-PILE'!$E$56:$E$75)=0,0,'TO HOP NLAN'!E132*'TS-PILE'!$E$71/SUMSQ('TS-PILE'!$E$56:$E$75))+IF(SUMSQ('TS-PILE'!$D$56:$D$75)=0,0,'TO HOP NLAN'!F132*'TS-PILE'!$D$71/SUMSQ('TS-PILE'!$D$56:$D$75))),IF('TS-PILE'!$B$72="",-1E+99,'TO HOP NLAN'!D132/ncoc+IF(SUMSQ('TS-PILE'!$E$56:$E$75)=0,0,'TO HOP NLAN'!E132*'TS-PILE'!$E$72/SUMSQ('TS-PILE'!$E$56:$E$75))+IF(SUMSQ('TS-PILE'!$D$56:$D$75)=0,0,'TO HOP NLAN'!F132*'TS-PILE'!$D$72/SUMSQ('TS-PILE'!$D$56:$D$75))),IF('TS-PILE'!$B$73="",-1E+99,'TO HOP NLAN'!D132/ncoc+IF(SUMSQ('TS-PILE'!$E$56:$E$75)=0,0,'TO HOP NLAN'!E132*'TS-PILE'!$E$73/SUMSQ('TS-PILE'!$E$56:$E$75))+IF(SUMSQ('TS-PILE'!$D$56:$D$75)=0,0,'TO HOP NLAN'!F132*'TS-PILE'!$D$73/SUMSQ('TS-PILE'!$D$56:$D$75))),IF('TS-PILE'!$B$74="",-1E+99,'TO HOP NLAN'!D132/ncoc+IF(SUMSQ('TS-PILE'!$E$56:$E$75)=0,0,'TO HOP NLAN'!E132*'TS-PILE'!$E$74/SUMSQ('TS-PILE'!$E$56:$E$75))+IF(SUMSQ('TS-PILE'!$D$56:$D$75)=0,0,'TO HOP NLAN'!F132*'TS-PILE'!$D$74/SUMSQ('TS-PILE'!$D$56:$D$75))),IF('TS-PILE'!$B$75="",-1E+99,'TO HOP NLAN'!D132/ncoc+IF(SUMSQ('TS-PILE'!$E$56:$E$75)=0,0,'TO HOP NLAN'!E132*'TS-PILE'!$E$75/SUMSQ('TS-PILE'!$E$56:$E$75))+IF(SUMSQ('TS-PILE'!$D$56:$D$75)=0,0,'TO HOP NLAN'!F132*'TS-PILE'!$D$75/SUMSQ('TS-PILE'!$D$56:$D$75)))))</f>
        <v>0</v>
      </c>
      <c r="D132" s="46">
        <f>IF(A132="",0,MIN(IF('TS-PILE'!$B$56="",1E+99,'TO HOP NLAN'!D132/ncoc+IF(SUMSQ('TS-PILE'!$E$56:$E$75)=0,0,'TO HOP NLAN'!E132*'TS-PILE'!$E$56/SUMSQ('TS-PILE'!$E$56:$E$75))+IF(SUMSQ('TS-PILE'!$D$56:$D$75)=0,0,'TO HOP NLAN'!F132*'TS-PILE'!$D$56/SUMSQ('TS-PILE'!$D$56:$D$75))),IF('TS-PILE'!$B$57="",1E+99,'TO HOP NLAN'!D132/ncoc+IF(SUMSQ('TS-PILE'!$E$56:$E$75)=0,0,'TO HOP NLAN'!E132*'TS-PILE'!$E$57/SUMSQ('TS-PILE'!$E$56:$E$75))+IF(SUMSQ('TS-PILE'!$D$56:$D$75)=0,0,'TO HOP NLAN'!F132*'TS-PILE'!$D$57/SUMSQ('TS-PILE'!$D$56:$D$75))),IF('TS-PILE'!$B$58="",1E+99,'TO HOP NLAN'!D132/ncoc+IF(SUMSQ('TS-PILE'!$E$56:$E$75)=0,0,'TO HOP NLAN'!E132*'TS-PILE'!$E$58/SUMSQ('TS-PILE'!$E$56:$E$75))+IF(SUMSQ('TS-PILE'!$D$56:$D$75)=0,0,'TO HOP NLAN'!F132*'TS-PILE'!$D$58/SUMSQ('TS-PILE'!$D$56:$D$75))),IF('TS-PILE'!$B$59="",1E+99,'TO HOP NLAN'!D132/ncoc+IF(SUMSQ('TS-PILE'!$E$56:$E$75)=0,0,'TO HOP NLAN'!E132*'TS-PILE'!$E$59/SUMSQ('TS-PILE'!$E$56:$E$75))+IF(SUMSQ('TS-PILE'!$D$56:$D$75)=0,0,'TO HOP NLAN'!F132*'TS-PILE'!$D$59/SUMSQ('TS-PILE'!$D$56:$D$75))),IF('TS-PILE'!$B$60="",1E+99,'TO HOP NLAN'!D132/ncoc+IF(SUMSQ('TS-PILE'!$E$56:$E$75)=0,0,'TO HOP NLAN'!E132*'TS-PILE'!$E$60/SUMSQ('TS-PILE'!$E$56:$E$75))+IF(SUMSQ('TS-PILE'!$D$56:$D$75)=0,0,'TO HOP NLAN'!F132*'TS-PILE'!$D$60/SUMSQ('TS-PILE'!$D$56:$D$75))),IF('TS-PILE'!$B$61="",1E+99,'TO HOP NLAN'!D132/ncoc+IF(SUMSQ('TS-PILE'!$E$56:$E$75)=0,0,'TO HOP NLAN'!E132*'TS-PILE'!$E$61/SUMSQ('TS-PILE'!$E$56:$E$75))+IF(SUMSQ('TS-PILE'!$D$56:$D$75)=0,0,'TO HOP NLAN'!F132*'TS-PILE'!$D$61/SUMSQ('TS-PILE'!$D$56:$D$75))),IF('TS-PILE'!$B$62="",1E+99,'TO HOP NLAN'!D132/ncoc+IF(SUMSQ('TS-PILE'!$E$56:$E$75)=0,0,'TO HOP NLAN'!E132*'TS-PILE'!$E$62/SUMSQ('TS-PILE'!$E$56:$E$75))+IF(SUMSQ('TS-PILE'!$D$56:$D$75)=0,0,'TO HOP NLAN'!F132*'TS-PILE'!$D$62/SUMSQ('TS-PILE'!$D$56:$D$75))),IF('TS-PILE'!$B$63="",1E+99,'TO HOP NLAN'!D132/ncoc+IF(SUMSQ('TS-PILE'!$E$56:$E$75)=0,0,'TO HOP NLAN'!E132*'TS-PILE'!$E$63/SUMSQ('TS-PILE'!$E$56:$E$75))+IF(SUMSQ('TS-PILE'!$D$56:$D$75)=0,0,'TO HOP NLAN'!F132*'TS-PILE'!$D$63/SUMSQ('TS-PILE'!$D$56:$D$75))),IF('TS-PILE'!$B$64="",1E+99,'TO HOP NLAN'!D132/ncoc+IF(SUMSQ('TS-PILE'!$E$56:$E$75)=0,0,'TO HOP NLAN'!E132*'TS-PILE'!$E$64/SUMSQ('TS-PILE'!$E$56:$E$75))+IF(SUMSQ('TS-PILE'!$D$56:$D$75)=0,0,'TO HOP NLAN'!F132*'TS-PILE'!$D$64/SUMSQ('TS-PILE'!$D$56:$D$75))),IF('TS-PILE'!$B$65="",1E+99,'TO HOP NLAN'!D132/ncoc+IF(SUMSQ('TS-PILE'!$E$56:$E$75)=0,0,'TO HOP NLAN'!E132*'TS-PILE'!$E$65/SUMSQ('TS-PILE'!$E$56:$E$75))+IF(SUMSQ('TS-PILE'!$D$56:$D$75)=0,0,'TO HOP NLAN'!F132*'TS-PILE'!$D$65/SUMSQ('TS-PILE'!$D$56:$D$75))),IF('TS-PILE'!$B$66="",1E+99,'TO HOP NLAN'!D132/ncoc+IF(SUMSQ('TS-PILE'!$E$56:$E$75)=0,0,'TO HOP NLAN'!E132*'TS-PILE'!$E$66/SUMSQ('TS-PILE'!$E$56:$E$75))+IF(SUMSQ('TS-PILE'!$D$56:$D$75)=0,0,'TO HOP NLAN'!F132*'TS-PILE'!$D$66/SUMSQ('TS-PILE'!$D$56:$D$75))),IF('TS-PILE'!$B$67="",1E+99,'TO HOP NLAN'!D132/ncoc+IF(SUMSQ('TS-PILE'!$E$56:$E$75)=0,0,'TO HOP NLAN'!E132*'TS-PILE'!$E$67/SUMSQ('TS-PILE'!$E$56:$E$75))+IF(SUMSQ('TS-PILE'!$D$56:$D$75)=0,0,'TO HOP NLAN'!F132*'TS-PILE'!$D$67/SUMSQ('TS-PILE'!$D$56:$D$75))),IF('TS-PILE'!$B$68="",1E+99,'TO HOP NLAN'!D132/ncoc+IF(SUMSQ('TS-PILE'!$E$56:$E$75)=0,0,'TO HOP NLAN'!E132*'TS-PILE'!$E$68/SUMSQ('TS-PILE'!$E$56:$E$75))+IF(SUMSQ('TS-PILE'!$D$56:$D$75)=0,0,'TO HOP NLAN'!F132*'TS-PILE'!$D$68/SUMSQ('TS-PILE'!$D$56:$D$75))),IF('TS-PILE'!$B$69="",1E+99,'TO HOP NLAN'!D132/ncoc+IF(SUMSQ('TS-PILE'!$E$56:$E$75)=0,0,'TO HOP NLAN'!E132*'TS-PILE'!$E$69/SUMSQ('TS-PILE'!$E$56:$E$75))+IF(SUMSQ('TS-PILE'!$D$56:$D$75)=0,0,'TO HOP NLAN'!F132*'TS-PILE'!$D$69/SUMSQ('TS-PILE'!$D$56:$D$75))),IF('TS-PILE'!$B$70="",1E+99,'TO HOP NLAN'!D132/ncoc+IF(SUMSQ('TS-PILE'!$E$56:$E$75)=0,0,'TO HOP NLAN'!E132*'TS-PILE'!$E$70/SUMSQ('TS-PILE'!$E$56:$E$75))+IF(SUMSQ('TS-PILE'!$D$56:$D$75)=0,0,'TO HOP NLAN'!F132*'TS-PILE'!$D$70/SUMSQ('TS-PILE'!$D$56:$D$75))),IF('TS-PILE'!$B$71="",1E+99,'TO HOP NLAN'!D132/ncoc+IF(SUMSQ('TS-PILE'!$E$56:$E$75)=0,0,'TO HOP NLAN'!E132*'TS-PILE'!$E$71/SUMSQ('TS-PILE'!$E$56:$E$75))+IF(SUMSQ('TS-PILE'!$D$56:$D$75)=0,0,'TO HOP NLAN'!F132*'TS-PILE'!$D$71/SUMSQ('TS-PILE'!$D$56:$D$75))),IF('TS-PILE'!$B$72="",1E+99,'TO HOP NLAN'!D132/ncoc+IF(SUMSQ('TS-PILE'!$E$56:$E$75)=0,0,'TO HOP NLAN'!E132*'TS-PILE'!$E$72/SUMSQ('TS-PILE'!$E$56:$E$75))+IF(SUMSQ('TS-PILE'!$D$56:$D$75)=0,0,'TO HOP NLAN'!F132*'TS-PILE'!$D$72/SUMSQ('TS-PILE'!$D$56:$D$75))),IF('TS-PILE'!$B$73="",1E+99,'TO HOP NLAN'!D132/ncoc+IF(SUMSQ('TS-PILE'!$E$56:$E$75)=0,0,'TO HOP NLAN'!E132*'TS-PILE'!$E$73/SUMSQ('TS-PILE'!$E$56:$E$75))+IF(SUMSQ('TS-PILE'!$D$56:$D$75)=0,0,'TO HOP NLAN'!F132*'TS-PILE'!$D$73/SUMSQ('TS-PILE'!$D$56:$D$75))),IF('TS-PILE'!$B$74="",1E+99,'TO HOP NLAN'!D132/ncoc+IF(SUMSQ('TS-PILE'!$E$56:$E$75)=0,0,'TO HOP NLAN'!E132*'TS-PILE'!$E$74/SUMSQ('TS-PILE'!$E$56:$E$75))+IF(SUMSQ('TS-PILE'!$D$56:$D$75)=0,0,'TO HOP NLAN'!F132*'TS-PILE'!$D$74/SUMSQ('TS-PILE'!$D$56:$D$75))),IF('TS-PILE'!$B$75="",1E+99,'TO HOP NLAN'!D132/ncoc+IF(SUMSQ('TS-PILE'!$E$56:$E$75)=0,0,'TO HOP NLAN'!E132*'TS-PILE'!$E$75/SUMSQ('TS-PILE'!$E$56:$E$75))+IF(SUMSQ('TS-PILE'!$D$56:$D$75)=0,0,'TO HOP NLAN'!F132*'TS-PILE'!$D$75/SUMSQ('TS-PILE'!$D$56:$D$75)))))</f>
        <v>0</v>
      </c>
      <c r="E132" s="46">
        <f t="shared" si="4"/>
        <v>-9.9999999999999997E+98</v>
      </c>
      <c r="F132" s="46">
        <f t="shared" si="5"/>
        <v>9.9999999999999997E+98</v>
      </c>
      <c r="G132" s="46">
        <f t="shared" si="6"/>
        <v>-9.9999999999999997E+98</v>
      </c>
      <c r="H132" s="46">
        <f t="shared" si="7"/>
        <v>9.9999999999999997E+98</v>
      </c>
    </row>
    <row r="133" spans="1:8" x14ac:dyDescent="0.3">
      <c r="A133" s="40" t="str">
        <f>'TO HOP NLAN'!A133</f>
        <v/>
      </c>
      <c r="B133" s="40" t="str">
        <f>'TO HOP NLAN'!L133</f>
        <v>STRENGTH</v>
      </c>
      <c r="C133" s="46">
        <f>IF(A133="",0,MAX(IF('TS-PILE'!$B$56="",-1E+99,'TO HOP NLAN'!D133/ncoc+IF(SUMSQ('TS-PILE'!$E$56:$E$75)=0,0,'TO HOP NLAN'!E133*'TS-PILE'!$E$56/SUMSQ('TS-PILE'!$E$56:$E$75))+IF(SUMSQ('TS-PILE'!$D$56:$D$75)=0,0,'TO HOP NLAN'!F133*'TS-PILE'!$D$56/SUMSQ('TS-PILE'!$D$56:$D$75))),IF('TS-PILE'!$B$57="",-1E+99,'TO HOP NLAN'!D133/ncoc+IF(SUMSQ('TS-PILE'!$E$56:$E$75)=0,0,'TO HOP NLAN'!E133*'TS-PILE'!$E$57/SUMSQ('TS-PILE'!$E$56:$E$75))+IF(SUMSQ('TS-PILE'!$D$56:$D$75)=0,0,'TO HOP NLAN'!F133*'TS-PILE'!$D$57/SUMSQ('TS-PILE'!$D$56:$D$75))),IF('TS-PILE'!$B$58="",-1E+99,'TO HOP NLAN'!D133/ncoc+IF(SUMSQ('TS-PILE'!$E$56:$E$75)=0,0,'TO HOP NLAN'!E133*'TS-PILE'!$E$58/SUMSQ('TS-PILE'!$E$56:$E$75))+IF(SUMSQ('TS-PILE'!$D$56:$D$75)=0,0,'TO HOP NLAN'!F133*'TS-PILE'!$D$58/SUMSQ('TS-PILE'!$D$56:$D$75))),IF('TS-PILE'!$B$59="",-1E+99,'TO HOP NLAN'!D133/ncoc+IF(SUMSQ('TS-PILE'!$E$56:$E$75)=0,0,'TO HOP NLAN'!E133*'TS-PILE'!$E$59/SUMSQ('TS-PILE'!$E$56:$E$75))+IF(SUMSQ('TS-PILE'!$D$56:$D$75)=0,0,'TO HOP NLAN'!F133*'TS-PILE'!$D$59/SUMSQ('TS-PILE'!$D$56:$D$75))),IF('TS-PILE'!$B$60="",-1E+99,'TO HOP NLAN'!D133/ncoc+IF(SUMSQ('TS-PILE'!$E$56:$E$75)=0,0,'TO HOP NLAN'!E133*'TS-PILE'!$E$60/SUMSQ('TS-PILE'!$E$56:$E$75))+IF(SUMSQ('TS-PILE'!$D$56:$D$75)=0,0,'TO HOP NLAN'!F133*'TS-PILE'!$D$60/SUMSQ('TS-PILE'!$D$56:$D$75))),IF('TS-PILE'!$B$61="",-1E+99,'TO HOP NLAN'!D133/ncoc+IF(SUMSQ('TS-PILE'!$E$56:$E$75)=0,0,'TO HOP NLAN'!E133*'TS-PILE'!$E$61/SUMSQ('TS-PILE'!$E$56:$E$75))+IF(SUMSQ('TS-PILE'!$D$56:$D$75)=0,0,'TO HOP NLAN'!F133*'TS-PILE'!$D$61/SUMSQ('TS-PILE'!$D$56:$D$75))),IF('TS-PILE'!$B$62="",-1E+99,'TO HOP NLAN'!D133/ncoc+IF(SUMSQ('TS-PILE'!$E$56:$E$75)=0,0,'TO HOP NLAN'!E133*'TS-PILE'!$E$62/SUMSQ('TS-PILE'!$E$56:$E$75))+IF(SUMSQ('TS-PILE'!$D$56:$D$75)=0,0,'TO HOP NLAN'!F133*'TS-PILE'!$D$62/SUMSQ('TS-PILE'!$D$56:$D$75))),IF('TS-PILE'!$B$63="",-1E+99,'TO HOP NLAN'!D133/ncoc+IF(SUMSQ('TS-PILE'!$E$56:$E$75)=0,0,'TO HOP NLAN'!E133*'TS-PILE'!$E$63/SUMSQ('TS-PILE'!$E$56:$E$75))+IF(SUMSQ('TS-PILE'!$D$56:$D$75)=0,0,'TO HOP NLAN'!F133*'TS-PILE'!$D$63/SUMSQ('TS-PILE'!$D$56:$D$75))),IF('TS-PILE'!$B$64="",-1E+99,'TO HOP NLAN'!D133/ncoc+IF(SUMSQ('TS-PILE'!$E$56:$E$75)=0,0,'TO HOP NLAN'!E133*'TS-PILE'!$E$64/SUMSQ('TS-PILE'!$E$56:$E$75))+IF(SUMSQ('TS-PILE'!$D$56:$D$75)=0,0,'TO HOP NLAN'!F133*'TS-PILE'!$D$64/SUMSQ('TS-PILE'!$D$56:$D$75))),IF('TS-PILE'!$B$65="",-1E+99,'TO HOP NLAN'!D133/ncoc+IF(SUMSQ('TS-PILE'!$E$56:$E$75)=0,0,'TO HOP NLAN'!E133*'TS-PILE'!$E$65/SUMSQ('TS-PILE'!$E$56:$E$75))+IF(SUMSQ('TS-PILE'!$D$56:$D$75)=0,0,'TO HOP NLAN'!F133*'TS-PILE'!$D$65/SUMSQ('TS-PILE'!$D$56:$D$75))),IF('TS-PILE'!$B$66="",-1E+99,'TO HOP NLAN'!D133/ncoc+IF(SUMSQ('TS-PILE'!$E$56:$E$75)=0,0,'TO HOP NLAN'!E133*'TS-PILE'!$E$66/SUMSQ('TS-PILE'!$E$56:$E$75))+IF(SUMSQ('TS-PILE'!$D$56:$D$75)=0,0,'TO HOP NLAN'!F133*'TS-PILE'!$D$66/SUMSQ('TS-PILE'!$D$56:$D$75))),IF('TS-PILE'!$B$67="",-1E+99,'TO HOP NLAN'!D133/ncoc+IF(SUMSQ('TS-PILE'!$E$56:$E$75)=0,0,'TO HOP NLAN'!E133*'TS-PILE'!$E$67/SUMSQ('TS-PILE'!$E$56:$E$75))+IF(SUMSQ('TS-PILE'!$D$56:$D$75)=0,0,'TO HOP NLAN'!F133*'TS-PILE'!$D$67/SUMSQ('TS-PILE'!$D$56:$D$75))),IF('TS-PILE'!$B$68="",-1E+99,'TO HOP NLAN'!D133/ncoc+IF(SUMSQ('TS-PILE'!$E$56:$E$75)=0,0,'TO HOP NLAN'!E133*'TS-PILE'!$E$68/SUMSQ('TS-PILE'!$E$56:$E$75))+IF(SUMSQ('TS-PILE'!$D$56:$D$75)=0,0,'TO HOP NLAN'!F133*'TS-PILE'!$D$68/SUMSQ('TS-PILE'!$D$56:$D$75))),IF('TS-PILE'!$B$69="",-1E+99,'TO HOP NLAN'!D133/ncoc+IF(SUMSQ('TS-PILE'!$E$56:$E$75)=0,0,'TO HOP NLAN'!E133*'TS-PILE'!$E$69/SUMSQ('TS-PILE'!$E$56:$E$75))+IF(SUMSQ('TS-PILE'!$D$56:$D$75)=0,0,'TO HOP NLAN'!F133*'TS-PILE'!$D$69/SUMSQ('TS-PILE'!$D$56:$D$75))),IF('TS-PILE'!$B$70="",-1E+99,'TO HOP NLAN'!D133/ncoc+IF(SUMSQ('TS-PILE'!$E$56:$E$75)=0,0,'TO HOP NLAN'!E133*'TS-PILE'!$E$70/SUMSQ('TS-PILE'!$E$56:$E$75))+IF(SUMSQ('TS-PILE'!$D$56:$D$75)=0,0,'TO HOP NLAN'!F133*'TS-PILE'!$D$70/SUMSQ('TS-PILE'!$D$56:$D$75))),IF('TS-PILE'!$B$71="",-1E+99,'TO HOP NLAN'!D133/ncoc+IF(SUMSQ('TS-PILE'!$E$56:$E$75)=0,0,'TO HOP NLAN'!E133*'TS-PILE'!$E$71/SUMSQ('TS-PILE'!$E$56:$E$75))+IF(SUMSQ('TS-PILE'!$D$56:$D$75)=0,0,'TO HOP NLAN'!F133*'TS-PILE'!$D$71/SUMSQ('TS-PILE'!$D$56:$D$75))),IF('TS-PILE'!$B$72="",-1E+99,'TO HOP NLAN'!D133/ncoc+IF(SUMSQ('TS-PILE'!$E$56:$E$75)=0,0,'TO HOP NLAN'!E133*'TS-PILE'!$E$72/SUMSQ('TS-PILE'!$E$56:$E$75))+IF(SUMSQ('TS-PILE'!$D$56:$D$75)=0,0,'TO HOP NLAN'!F133*'TS-PILE'!$D$72/SUMSQ('TS-PILE'!$D$56:$D$75))),IF('TS-PILE'!$B$73="",-1E+99,'TO HOP NLAN'!D133/ncoc+IF(SUMSQ('TS-PILE'!$E$56:$E$75)=0,0,'TO HOP NLAN'!E133*'TS-PILE'!$E$73/SUMSQ('TS-PILE'!$E$56:$E$75))+IF(SUMSQ('TS-PILE'!$D$56:$D$75)=0,0,'TO HOP NLAN'!F133*'TS-PILE'!$D$73/SUMSQ('TS-PILE'!$D$56:$D$75))),IF('TS-PILE'!$B$74="",-1E+99,'TO HOP NLAN'!D133/ncoc+IF(SUMSQ('TS-PILE'!$E$56:$E$75)=0,0,'TO HOP NLAN'!E133*'TS-PILE'!$E$74/SUMSQ('TS-PILE'!$E$56:$E$75))+IF(SUMSQ('TS-PILE'!$D$56:$D$75)=0,0,'TO HOP NLAN'!F133*'TS-PILE'!$D$74/SUMSQ('TS-PILE'!$D$56:$D$75))),IF('TS-PILE'!$B$75="",-1E+99,'TO HOP NLAN'!D133/ncoc+IF(SUMSQ('TS-PILE'!$E$56:$E$75)=0,0,'TO HOP NLAN'!E133*'TS-PILE'!$E$75/SUMSQ('TS-PILE'!$E$56:$E$75))+IF(SUMSQ('TS-PILE'!$D$56:$D$75)=0,0,'TO HOP NLAN'!F133*'TS-PILE'!$D$75/SUMSQ('TS-PILE'!$D$56:$D$75)))))</f>
        <v>0</v>
      </c>
      <c r="D133" s="46">
        <f>IF(A133="",0,MIN(IF('TS-PILE'!$B$56="",1E+99,'TO HOP NLAN'!D133/ncoc+IF(SUMSQ('TS-PILE'!$E$56:$E$75)=0,0,'TO HOP NLAN'!E133*'TS-PILE'!$E$56/SUMSQ('TS-PILE'!$E$56:$E$75))+IF(SUMSQ('TS-PILE'!$D$56:$D$75)=0,0,'TO HOP NLAN'!F133*'TS-PILE'!$D$56/SUMSQ('TS-PILE'!$D$56:$D$75))),IF('TS-PILE'!$B$57="",1E+99,'TO HOP NLAN'!D133/ncoc+IF(SUMSQ('TS-PILE'!$E$56:$E$75)=0,0,'TO HOP NLAN'!E133*'TS-PILE'!$E$57/SUMSQ('TS-PILE'!$E$56:$E$75))+IF(SUMSQ('TS-PILE'!$D$56:$D$75)=0,0,'TO HOP NLAN'!F133*'TS-PILE'!$D$57/SUMSQ('TS-PILE'!$D$56:$D$75))),IF('TS-PILE'!$B$58="",1E+99,'TO HOP NLAN'!D133/ncoc+IF(SUMSQ('TS-PILE'!$E$56:$E$75)=0,0,'TO HOP NLAN'!E133*'TS-PILE'!$E$58/SUMSQ('TS-PILE'!$E$56:$E$75))+IF(SUMSQ('TS-PILE'!$D$56:$D$75)=0,0,'TO HOP NLAN'!F133*'TS-PILE'!$D$58/SUMSQ('TS-PILE'!$D$56:$D$75))),IF('TS-PILE'!$B$59="",1E+99,'TO HOP NLAN'!D133/ncoc+IF(SUMSQ('TS-PILE'!$E$56:$E$75)=0,0,'TO HOP NLAN'!E133*'TS-PILE'!$E$59/SUMSQ('TS-PILE'!$E$56:$E$75))+IF(SUMSQ('TS-PILE'!$D$56:$D$75)=0,0,'TO HOP NLAN'!F133*'TS-PILE'!$D$59/SUMSQ('TS-PILE'!$D$56:$D$75))),IF('TS-PILE'!$B$60="",1E+99,'TO HOP NLAN'!D133/ncoc+IF(SUMSQ('TS-PILE'!$E$56:$E$75)=0,0,'TO HOP NLAN'!E133*'TS-PILE'!$E$60/SUMSQ('TS-PILE'!$E$56:$E$75))+IF(SUMSQ('TS-PILE'!$D$56:$D$75)=0,0,'TO HOP NLAN'!F133*'TS-PILE'!$D$60/SUMSQ('TS-PILE'!$D$56:$D$75))),IF('TS-PILE'!$B$61="",1E+99,'TO HOP NLAN'!D133/ncoc+IF(SUMSQ('TS-PILE'!$E$56:$E$75)=0,0,'TO HOP NLAN'!E133*'TS-PILE'!$E$61/SUMSQ('TS-PILE'!$E$56:$E$75))+IF(SUMSQ('TS-PILE'!$D$56:$D$75)=0,0,'TO HOP NLAN'!F133*'TS-PILE'!$D$61/SUMSQ('TS-PILE'!$D$56:$D$75))),IF('TS-PILE'!$B$62="",1E+99,'TO HOP NLAN'!D133/ncoc+IF(SUMSQ('TS-PILE'!$E$56:$E$75)=0,0,'TO HOP NLAN'!E133*'TS-PILE'!$E$62/SUMSQ('TS-PILE'!$E$56:$E$75))+IF(SUMSQ('TS-PILE'!$D$56:$D$75)=0,0,'TO HOP NLAN'!F133*'TS-PILE'!$D$62/SUMSQ('TS-PILE'!$D$56:$D$75))),IF('TS-PILE'!$B$63="",1E+99,'TO HOP NLAN'!D133/ncoc+IF(SUMSQ('TS-PILE'!$E$56:$E$75)=0,0,'TO HOP NLAN'!E133*'TS-PILE'!$E$63/SUMSQ('TS-PILE'!$E$56:$E$75))+IF(SUMSQ('TS-PILE'!$D$56:$D$75)=0,0,'TO HOP NLAN'!F133*'TS-PILE'!$D$63/SUMSQ('TS-PILE'!$D$56:$D$75))),IF('TS-PILE'!$B$64="",1E+99,'TO HOP NLAN'!D133/ncoc+IF(SUMSQ('TS-PILE'!$E$56:$E$75)=0,0,'TO HOP NLAN'!E133*'TS-PILE'!$E$64/SUMSQ('TS-PILE'!$E$56:$E$75))+IF(SUMSQ('TS-PILE'!$D$56:$D$75)=0,0,'TO HOP NLAN'!F133*'TS-PILE'!$D$64/SUMSQ('TS-PILE'!$D$56:$D$75))),IF('TS-PILE'!$B$65="",1E+99,'TO HOP NLAN'!D133/ncoc+IF(SUMSQ('TS-PILE'!$E$56:$E$75)=0,0,'TO HOP NLAN'!E133*'TS-PILE'!$E$65/SUMSQ('TS-PILE'!$E$56:$E$75))+IF(SUMSQ('TS-PILE'!$D$56:$D$75)=0,0,'TO HOP NLAN'!F133*'TS-PILE'!$D$65/SUMSQ('TS-PILE'!$D$56:$D$75))),IF('TS-PILE'!$B$66="",1E+99,'TO HOP NLAN'!D133/ncoc+IF(SUMSQ('TS-PILE'!$E$56:$E$75)=0,0,'TO HOP NLAN'!E133*'TS-PILE'!$E$66/SUMSQ('TS-PILE'!$E$56:$E$75))+IF(SUMSQ('TS-PILE'!$D$56:$D$75)=0,0,'TO HOP NLAN'!F133*'TS-PILE'!$D$66/SUMSQ('TS-PILE'!$D$56:$D$75))),IF('TS-PILE'!$B$67="",1E+99,'TO HOP NLAN'!D133/ncoc+IF(SUMSQ('TS-PILE'!$E$56:$E$75)=0,0,'TO HOP NLAN'!E133*'TS-PILE'!$E$67/SUMSQ('TS-PILE'!$E$56:$E$75))+IF(SUMSQ('TS-PILE'!$D$56:$D$75)=0,0,'TO HOP NLAN'!F133*'TS-PILE'!$D$67/SUMSQ('TS-PILE'!$D$56:$D$75))),IF('TS-PILE'!$B$68="",1E+99,'TO HOP NLAN'!D133/ncoc+IF(SUMSQ('TS-PILE'!$E$56:$E$75)=0,0,'TO HOP NLAN'!E133*'TS-PILE'!$E$68/SUMSQ('TS-PILE'!$E$56:$E$75))+IF(SUMSQ('TS-PILE'!$D$56:$D$75)=0,0,'TO HOP NLAN'!F133*'TS-PILE'!$D$68/SUMSQ('TS-PILE'!$D$56:$D$75))),IF('TS-PILE'!$B$69="",1E+99,'TO HOP NLAN'!D133/ncoc+IF(SUMSQ('TS-PILE'!$E$56:$E$75)=0,0,'TO HOP NLAN'!E133*'TS-PILE'!$E$69/SUMSQ('TS-PILE'!$E$56:$E$75))+IF(SUMSQ('TS-PILE'!$D$56:$D$75)=0,0,'TO HOP NLAN'!F133*'TS-PILE'!$D$69/SUMSQ('TS-PILE'!$D$56:$D$75))),IF('TS-PILE'!$B$70="",1E+99,'TO HOP NLAN'!D133/ncoc+IF(SUMSQ('TS-PILE'!$E$56:$E$75)=0,0,'TO HOP NLAN'!E133*'TS-PILE'!$E$70/SUMSQ('TS-PILE'!$E$56:$E$75))+IF(SUMSQ('TS-PILE'!$D$56:$D$75)=0,0,'TO HOP NLAN'!F133*'TS-PILE'!$D$70/SUMSQ('TS-PILE'!$D$56:$D$75))),IF('TS-PILE'!$B$71="",1E+99,'TO HOP NLAN'!D133/ncoc+IF(SUMSQ('TS-PILE'!$E$56:$E$75)=0,0,'TO HOP NLAN'!E133*'TS-PILE'!$E$71/SUMSQ('TS-PILE'!$E$56:$E$75))+IF(SUMSQ('TS-PILE'!$D$56:$D$75)=0,0,'TO HOP NLAN'!F133*'TS-PILE'!$D$71/SUMSQ('TS-PILE'!$D$56:$D$75))),IF('TS-PILE'!$B$72="",1E+99,'TO HOP NLAN'!D133/ncoc+IF(SUMSQ('TS-PILE'!$E$56:$E$75)=0,0,'TO HOP NLAN'!E133*'TS-PILE'!$E$72/SUMSQ('TS-PILE'!$E$56:$E$75))+IF(SUMSQ('TS-PILE'!$D$56:$D$75)=0,0,'TO HOP NLAN'!F133*'TS-PILE'!$D$72/SUMSQ('TS-PILE'!$D$56:$D$75))),IF('TS-PILE'!$B$73="",1E+99,'TO HOP NLAN'!D133/ncoc+IF(SUMSQ('TS-PILE'!$E$56:$E$75)=0,0,'TO HOP NLAN'!E133*'TS-PILE'!$E$73/SUMSQ('TS-PILE'!$E$56:$E$75))+IF(SUMSQ('TS-PILE'!$D$56:$D$75)=0,0,'TO HOP NLAN'!F133*'TS-PILE'!$D$73/SUMSQ('TS-PILE'!$D$56:$D$75))),IF('TS-PILE'!$B$74="",1E+99,'TO HOP NLAN'!D133/ncoc+IF(SUMSQ('TS-PILE'!$E$56:$E$75)=0,0,'TO HOP NLAN'!E133*'TS-PILE'!$E$74/SUMSQ('TS-PILE'!$E$56:$E$75))+IF(SUMSQ('TS-PILE'!$D$56:$D$75)=0,0,'TO HOP NLAN'!F133*'TS-PILE'!$D$74/SUMSQ('TS-PILE'!$D$56:$D$75))),IF('TS-PILE'!$B$75="",1E+99,'TO HOP NLAN'!D133/ncoc+IF(SUMSQ('TS-PILE'!$E$56:$E$75)=0,0,'TO HOP NLAN'!E133*'TS-PILE'!$E$75/SUMSQ('TS-PILE'!$E$56:$E$75))+IF(SUMSQ('TS-PILE'!$D$56:$D$75)=0,0,'TO HOP NLAN'!F133*'TS-PILE'!$D$75/SUMSQ('TS-PILE'!$D$56:$D$75)))))</f>
        <v>0</v>
      </c>
      <c r="E133" s="46">
        <f t="shared" si="4"/>
        <v>-9.9999999999999997E+98</v>
      </c>
      <c r="F133" s="46">
        <f t="shared" si="5"/>
        <v>9.9999999999999997E+98</v>
      </c>
      <c r="G133" s="46">
        <f t="shared" si="6"/>
        <v>-9.9999999999999997E+98</v>
      </c>
      <c r="H133" s="46">
        <f t="shared" si="7"/>
        <v>9.9999999999999997E+98</v>
      </c>
    </row>
    <row r="134" spans="1:8" x14ac:dyDescent="0.3">
      <c r="A134" s="40" t="str">
        <f>'TO HOP NLAN'!A134</f>
        <v/>
      </c>
      <c r="B134" s="40" t="str">
        <f>'TO HOP NLAN'!L134</f>
        <v>STRENGTH</v>
      </c>
      <c r="C134" s="46">
        <f>IF(A134="",0,MAX(IF('TS-PILE'!$B$56="",-1E+99,'TO HOP NLAN'!D134/ncoc+IF(SUMSQ('TS-PILE'!$E$56:$E$75)=0,0,'TO HOP NLAN'!E134*'TS-PILE'!$E$56/SUMSQ('TS-PILE'!$E$56:$E$75))+IF(SUMSQ('TS-PILE'!$D$56:$D$75)=0,0,'TO HOP NLAN'!F134*'TS-PILE'!$D$56/SUMSQ('TS-PILE'!$D$56:$D$75))),IF('TS-PILE'!$B$57="",-1E+99,'TO HOP NLAN'!D134/ncoc+IF(SUMSQ('TS-PILE'!$E$56:$E$75)=0,0,'TO HOP NLAN'!E134*'TS-PILE'!$E$57/SUMSQ('TS-PILE'!$E$56:$E$75))+IF(SUMSQ('TS-PILE'!$D$56:$D$75)=0,0,'TO HOP NLAN'!F134*'TS-PILE'!$D$57/SUMSQ('TS-PILE'!$D$56:$D$75))),IF('TS-PILE'!$B$58="",-1E+99,'TO HOP NLAN'!D134/ncoc+IF(SUMSQ('TS-PILE'!$E$56:$E$75)=0,0,'TO HOP NLAN'!E134*'TS-PILE'!$E$58/SUMSQ('TS-PILE'!$E$56:$E$75))+IF(SUMSQ('TS-PILE'!$D$56:$D$75)=0,0,'TO HOP NLAN'!F134*'TS-PILE'!$D$58/SUMSQ('TS-PILE'!$D$56:$D$75))),IF('TS-PILE'!$B$59="",-1E+99,'TO HOP NLAN'!D134/ncoc+IF(SUMSQ('TS-PILE'!$E$56:$E$75)=0,0,'TO HOP NLAN'!E134*'TS-PILE'!$E$59/SUMSQ('TS-PILE'!$E$56:$E$75))+IF(SUMSQ('TS-PILE'!$D$56:$D$75)=0,0,'TO HOP NLAN'!F134*'TS-PILE'!$D$59/SUMSQ('TS-PILE'!$D$56:$D$75))),IF('TS-PILE'!$B$60="",-1E+99,'TO HOP NLAN'!D134/ncoc+IF(SUMSQ('TS-PILE'!$E$56:$E$75)=0,0,'TO HOP NLAN'!E134*'TS-PILE'!$E$60/SUMSQ('TS-PILE'!$E$56:$E$75))+IF(SUMSQ('TS-PILE'!$D$56:$D$75)=0,0,'TO HOP NLAN'!F134*'TS-PILE'!$D$60/SUMSQ('TS-PILE'!$D$56:$D$75))),IF('TS-PILE'!$B$61="",-1E+99,'TO HOP NLAN'!D134/ncoc+IF(SUMSQ('TS-PILE'!$E$56:$E$75)=0,0,'TO HOP NLAN'!E134*'TS-PILE'!$E$61/SUMSQ('TS-PILE'!$E$56:$E$75))+IF(SUMSQ('TS-PILE'!$D$56:$D$75)=0,0,'TO HOP NLAN'!F134*'TS-PILE'!$D$61/SUMSQ('TS-PILE'!$D$56:$D$75))),IF('TS-PILE'!$B$62="",-1E+99,'TO HOP NLAN'!D134/ncoc+IF(SUMSQ('TS-PILE'!$E$56:$E$75)=0,0,'TO HOP NLAN'!E134*'TS-PILE'!$E$62/SUMSQ('TS-PILE'!$E$56:$E$75))+IF(SUMSQ('TS-PILE'!$D$56:$D$75)=0,0,'TO HOP NLAN'!F134*'TS-PILE'!$D$62/SUMSQ('TS-PILE'!$D$56:$D$75))),IF('TS-PILE'!$B$63="",-1E+99,'TO HOP NLAN'!D134/ncoc+IF(SUMSQ('TS-PILE'!$E$56:$E$75)=0,0,'TO HOP NLAN'!E134*'TS-PILE'!$E$63/SUMSQ('TS-PILE'!$E$56:$E$75))+IF(SUMSQ('TS-PILE'!$D$56:$D$75)=0,0,'TO HOP NLAN'!F134*'TS-PILE'!$D$63/SUMSQ('TS-PILE'!$D$56:$D$75))),IF('TS-PILE'!$B$64="",-1E+99,'TO HOP NLAN'!D134/ncoc+IF(SUMSQ('TS-PILE'!$E$56:$E$75)=0,0,'TO HOP NLAN'!E134*'TS-PILE'!$E$64/SUMSQ('TS-PILE'!$E$56:$E$75))+IF(SUMSQ('TS-PILE'!$D$56:$D$75)=0,0,'TO HOP NLAN'!F134*'TS-PILE'!$D$64/SUMSQ('TS-PILE'!$D$56:$D$75))),IF('TS-PILE'!$B$65="",-1E+99,'TO HOP NLAN'!D134/ncoc+IF(SUMSQ('TS-PILE'!$E$56:$E$75)=0,0,'TO HOP NLAN'!E134*'TS-PILE'!$E$65/SUMSQ('TS-PILE'!$E$56:$E$75))+IF(SUMSQ('TS-PILE'!$D$56:$D$75)=0,0,'TO HOP NLAN'!F134*'TS-PILE'!$D$65/SUMSQ('TS-PILE'!$D$56:$D$75))),IF('TS-PILE'!$B$66="",-1E+99,'TO HOP NLAN'!D134/ncoc+IF(SUMSQ('TS-PILE'!$E$56:$E$75)=0,0,'TO HOP NLAN'!E134*'TS-PILE'!$E$66/SUMSQ('TS-PILE'!$E$56:$E$75))+IF(SUMSQ('TS-PILE'!$D$56:$D$75)=0,0,'TO HOP NLAN'!F134*'TS-PILE'!$D$66/SUMSQ('TS-PILE'!$D$56:$D$75))),IF('TS-PILE'!$B$67="",-1E+99,'TO HOP NLAN'!D134/ncoc+IF(SUMSQ('TS-PILE'!$E$56:$E$75)=0,0,'TO HOP NLAN'!E134*'TS-PILE'!$E$67/SUMSQ('TS-PILE'!$E$56:$E$75))+IF(SUMSQ('TS-PILE'!$D$56:$D$75)=0,0,'TO HOP NLAN'!F134*'TS-PILE'!$D$67/SUMSQ('TS-PILE'!$D$56:$D$75))),IF('TS-PILE'!$B$68="",-1E+99,'TO HOP NLAN'!D134/ncoc+IF(SUMSQ('TS-PILE'!$E$56:$E$75)=0,0,'TO HOP NLAN'!E134*'TS-PILE'!$E$68/SUMSQ('TS-PILE'!$E$56:$E$75))+IF(SUMSQ('TS-PILE'!$D$56:$D$75)=0,0,'TO HOP NLAN'!F134*'TS-PILE'!$D$68/SUMSQ('TS-PILE'!$D$56:$D$75))),IF('TS-PILE'!$B$69="",-1E+99,'TO HOP NLAN'!D134/ncoc+IF(SUMSQ('TS-PILE'!$E$56:$E$75)=0,0,'TO HOP NLAN'!E134*'TS-PILE'!$E$69/SUMSQ('TS-PILE'!$E$56:$E$75))+IF(SUMSQ('TS-PILE'!$D$56:$D$75)=0,0,'TO HOP NLAN'!F134*'TS-PILE'!$D$69/SUMSQ('TS-PILE'!$D$56:$D$75))),IF('TS-PILE'!$B$70="",-1E+99,'TO HOP NLAN'!D134/ncoc+IF(SUMSQ('TS-PILE'!$E$56:$E$75)=0,0,'TO HOP NLAN'!E134*'TS-PILE'!$E$70/SUMSQ('TS-PILE'!$E$56:$E$75))+IF(SUMSQ('TS-PILE'!$D$56:$D$75)=0,0,'TO HOP NLAN'!F134*'TS-PILE'!$D$70/SUMSQ('TS-PILE'!$D$56:$D$75))),IF('TS-PILE'!$B$71="",-1E+99,'TO HOP NLAN'!D134/ncoc+IF(SUMSQ('TS-PILE'!$E$56:$E$75)=0,0,'TO HOP NLAN'!E134*'TS-PILE'!$E$71/SUMSQ('TS-PILE'!$E$56:$E$75))+IF(SUMSQ('TS-PILE'!$D$56:$D$75)=0,0,'TO HOP NLAN'!F134*'TS-PILE'!$D$71/SUMSQ('TS-PILE'!$D$56:$D$75))),IF('TS-PILE'!$B$72="",-1E+99,'TO HOP NLAN'!D134/ncoc+IF(SUMSQ('TS-PILE'!$E$56:$E$75)=0,0,'TO HOP NLAN'!E134*'TS-PILE'!$E$72/SUMSQ('TS-PILE'!$E$56:$E$75))+IF(SUMSQ('TS-PILE'!$D$56:$D$75)=0,0,'TO HOP NLAN'!F134*'TS-PILE'!$D$72/SUMSQ('TS-PILE'!$D$56:$D$75))),IF('TS-PILE'!$B$73="",-1E+99,'TO HOP NLAN'!D134/ncoc+IF(SUMSQ('TS-PILE'!$E$56:$E$75)=0,0,'TO HOP NLAN'!E134*'TS-PILE'!$E$73/SUMSQ('TS-PILE'!$E$56:$E$75))+IF(SUMSQ('TS-PILE'!$D$56:$D$75)=0,0,'TO HOP NLAN'!F134*'TS-PILE'!$D$73/SUMSQ('TS-PILE'!$D$56:$D$75))),IF('TS-PILE'!$B$74="",-1E+99,'TO HOP NLAN'!D134/ncoc+IF(SUMSQ('TS-PILE'!$E$56:$E$75)=0,0,'TO HOP NLAN'!E134*'TS-PILE'!$E$74/SUMSQ('TS-PILE'!$E$56:$E$75))+IF(SUMSQ('TS-PILE'!$D$56:$D$75)=0,0,'TO HOP NLAN'!F134*'TS-PILE'!$D$74/SUMSQ('TS-PILE'!$D$56:$D$75))),IF('TS-PILE'!$B$75="",-1E+99,'TO HOP NLAN'!D134/ncoc+IF(SUMSQ('TS-PILE'!$E$56:$E$75)=0,0,'TO HOP NLAN'!E134*'TS-PILE'!$E$75/SUMSQ('TS-PILE'!$E$56:$E$75))+IF(SUMSQ('TS-PILE'!$D$56:$D$75)=0,0,'TO HOP NLAN'!F134*'TS-PILE'!$D$75/SUMSQ('TS-PILE'!$D$56:$D$75)))))</f>
        <v>0</v>
      </c>
      <c r="D134" s="46">
        <f>IF(A134="",0,MIN(IF('TS-PILE'!$B$56="",1E+99,'TO HOP NLAN'!D134/ncoc+IF(SUMSQ('TS-PILE'!$E$56:$E$75)=0,0,'TO HOP NLAN'!E134*'TS-PILE'!$E$56/SUMSQ('TS-PILE'!$E$56:$E$75))+IF(SUMSQ('TS-PILE'!$D$56:$D$75)=0,0,'TO HOP NLAN'!F134*'TS-PILE'!$D$56/SUMSQ('TS-PILE'!$D$56:$D$75))),IF('TS-PILE'!$B$57="",1E+99,'TO HOP NLAN'!D134/ncoc+IF(SUMSQ('TS-PILE'!$E$56:$E$75)=0,0,'TO HOP NLAN'!E134*'TS-PILE'!$E$57/SUMSQ('TS-PILE'!$E$56:$E$75))+IF(SUMSQ('TS-PILE'!$D$56:$D$75)=0,0,'TO HOP NLAN'!F134*'TS-PILE'!$D$57/SUMSQ('TS-PILE'!$D$56:$D$75))),IF('TS-PILE'!$B$58="",1E+99,'TO HOP NLAN'!D134/ncoc+IF(SUMSQ('TS-PILE'!$E$56:$E$75)=0,0,'TO HOP NLAN'!E134*'TS-PILE'!$E$58/SUMSQ('TS-PILE'!$E$56:$E$75))+IF(SUMSQ('TS-PILE'!$D$56:$D$75)=0,0,'TO HOP NLAN'!F134*'TS-PILE'!$D$58/SUMSQ('TS-PILE'!$D$56:$D$75))),IF('TS-PILE'!$B$59="",1E+99,'TO HOP NLAN'!D134/ncoc+IF(SUMSQ('TS-PILE'!$E$56:$E$75)=0,0,'TO HOP NLAN'!E134*'TS-PILE'!$E$59/SUMSQ('TS-PILE'!$E$56:$E$75))+IF(SUMSQ('TS-PILE'!$D$56:$D$75)=0,0,'TO HOP NLAN'!F134*'TS-PILE'!$D$59/SUMSQ('TS-PILE'!$D$56:$D$75))),IF('TS-PILE'!$B$60="",1E+99,'TO HOP NLAN'!D134/ncoc+IF(SUMSQ('TS-PILE'!$E$56:$E$75)=0,0,'TO HOP NLAN'!E134*'TS-PILE'!$E$60/SUMSQ('TS-PILE'!$E$56:$E$75))+IF(SUMSQ('TS-PILE'!$D$56:$D$75)=0,0,'TO HOP NLAN'!F134*'TS-PILE'!$D$60/SUMSQ('TS-PILE'!$D$56:$D$75))),IF('TS-PILE'!$B$61="",1E+99,'TO HOP NLAN'!D134/ncoc+IF(SUMSQ('TS-PILE'!$E$56:$E$75)=0,0,'TO HOP NLAN'!E134*'TS-PILE'!$E$61/SUMSQ('TS-PILE'!$E$56:$E$75))+IF(SUMSQ('TS-PILE'!$D$56:$D$75)=0,0,'TO HOP NLAN'!F134*'TS-PILE'!$D$61/SUMSQ('TS-PILE'!$D$56:$D$75))),IF('TS-PILE'!$B$62="",1E+99,'TO HOP NLAN'!D134/ncoc+IF(SUMSQ('TS-PILE'!$E$56:$E$75)=0,0,'TO HOP NLAN'!E134*'TS-PILE'!$E$62/SUMSQ('TS-PILE'!$E$56:$E$75))+IF(SUMSQ('TS-PILE'!$D$56:$D$75)=0,0,'TO HOP NLAN'!F134*'TS-PILE'!$D$62/SUMSQ('TS-PILE'!$D$56:$D$75))),IF('TS-PILE'!$B$63="",1E+99,'TO HOP NLAN'!D134/ncoc+IF(SUMSQ('TS-PILE'!$E$56:$E$75)=0,0,'TO HOP NLAN'!E134*'TS-PILE'!$E$63/SUMSQ('TS-PILE'!$E$56:$E$75))+IF(SUMSQ('TS-PILE'!$D$56:$D$75)=0,0,'TO HOP NLAN'!F134*'TS-PILE'!$D$63/SUMSQ('TS-PILE'!$D$56:$D$75))),IF('TS-PILE'!$B$64="",1E+99,'TO HOP NLAN'!D134/ncoc+IF(SUMSQ('TS-PILE'!$E$56:$E$75)=0,0,'TO HOP NLAN'!E134*'TS-PILE'!$E$64/SUMSQ('TS-PILE'!$E$56:$E$75))+IF(SUMSQ('TS-PILE'!$D$56:$D$75)=0,0,'TO HOP NLAN'!F134*'TS-PILE'!$D$64/SUMSQ('TS-PILE'!$D$56:$D$75))),IF('TS-PILE'!$B$65="",1E+99,'TO HOP NLAN'!D134/ncoc+IF(SUMSQ('TS-PILE'!$E$56:$E$75)=0,0,'TO HOP NLAN'!E134*'TS-PILE'!$E$65/SUMSQ('TS-PILE'!$E$56:$E$75))+IF(SUMSQ('TS-PILE'!$D$56:$D$75)=0,0,'TO HOP NLAN'!F134*'TS-PILE'!$D$65/SUMSQ('TS-PILE'!$D$56:$D$75))),IF('TS-PILE'!$B$66="",1E+99,'TO HOP NLAN'!D134/ncoc+IF(SUMSQ('TS-PILE'!$E$56:$E$75)=0,0,'TO HOP NLAN'!E134*'TS-PILE'!$E$66/SUMSQ('TS-PILE'!$E$56:$E$75))+IF(SUMSQ('TS-PILE'!$D$56:$D$75)=0,0,'TO HOP NLAN'!F134*'TS-PILE'!$D$66/SUMSQ('TS-PILE'!$D$56:$D$75))),IF('TS-PILE'!$B$67="",1E+99,'TO HOP NLAN'!D134/ncoc+IF(SUMSQ('TS-PILE'!$E$56:$E$75)=0,0,'TO HOP NLAN'!E134*'TS-PILE'!$E$67/SUMSQ('TS-PILE'!$E$56:$E$75))+IF(SUMSQ('TS-PILE'!$D$56:$D$75)=0,0,'TO HOP NLAN'!F134*'TS-PILE'!$D$67/SUMSQ('TS-PILE'!$D$56:$D$75))),IF('TS-PILE'!$B$68="",1E+99,'TO HOP NLAN'!D134/ncoc+IF(SUMSQ('TS-PILE'!$E$56:$E$75)=0,0,'TO HOP NLAN'!E134*'TS-PILE'!$E$68/SUMSQ('TS-PILE'!$E$56:$E$75))+IF(SUMSQ('TS-PILE'!$D$56:$D$75)=0,0,'TO HOP NLAN'!F134*'TS-PILE'!$D$68/SUMSQ('TS-PILE'!$D$56:$D$75))),IF('TS-PILE'!$B$69="",1E+99,'TO HOP NLAN'!D134/ncoc+IF(SUMSQ('TS-PILE'!$E$56:$E$75)=0,0,'TO HOP NLAN'!E134*'TS-PILE'!$E$69/SUMSQ('TS-PILE'!$E$56:$E$75))+IF(SUMSQ('TS-PILE'!$D$56:$D$75)=0,0,'TO HOP NLAN'!F134*'TS-PILE'!$D$69/SUMSQ('TS-PILE'!$D$56:$D$75))),IF('TS-PILE'!$B$70="",1E+99,'TO HOP NLAN'!D134/ncoc+IF(SUMSQ('TS-PILE'!$E$56:$E$75)=0,0,'TO HOP NLAN'!E134*'TS-PILE'!$E$70/SUMSQ('TS-PILE'!$E$56:$E$75))+IF(SUMSQ('TS-PILE'!$D$56:$D$75)=0,0,'TO HOP NLAN'!F134*'TS-PILE'!$D$70/SUMSQ('TS-PILE'!$D$56:$D$75))),IF('TS-PILE'!$B$71="",1E+99,'TO HOP NLAN'!D134/ncoc+IF(SUMSQ('TS-PILE'!$E$56:$E$75)=0,0,'TO HOP NLAN'!E134*'TS-PILE'!$E$71/SUMSQ('TS-PILE'!$E$56:$E$75))+IF(SUMSQ('TS-PILE'!$D$56:$D$75)=0,0,'TO HOP NLAN'!F134*'TS-PILE'!$D$71/SUMSQ('TS-PILE'!$D$56:$D$75))),IF('TS-PILE'!$B$72="",1E+99,'TO HOP NLAN'!D134/ncoc+IF(SUMSQ('TS-PILE'!$E$56:$E$75)=0,0,'TO HOP NLAN'!E134*'TS-PILE'!$E$72/SUMSQ('TS-PILE'!$E$56:$E$75))+IF(SUMSQ('TS-PILE'!$D$56:$D$75)=0,0,'TO HOP NLAN'!F134*'TS-PILE'!$D$72/SUMSQ('TS-PILE'!$D$56:$D$75))),IF('TS-PILE'!$B$73="",1E+99,'TO HOP NLAN'!D134/ncoc+IF(SUMSQ('TS-PILE'!$E$56:$E$75)=0,0,'TO HOP NLAN'!E134*'TS-PILE'!$E$73/SUMSQ('TS-PILE'!$E$56:$E$75))+IF(SUMSQ('TS-PILE'!$D$56:$D$75)=0,0,'TO HOP NLAN'!F134*'TS-PILE'!$D$73/SUMSQ('TS-PILE'!$D$56:$D$75))),IF('TS-PILE'!$B$74="",1E+99,'TO HOP NLAN'!D134/ncoc+IF(SUMSQ('TS-PILE'!$E$56:$E$75)=0,0,'TO HOP NLAN'!E134*'TS-PILE'!$E$74/SUMSQ('TS-PILE'!$E$56:$E$75))+IF(SUMSQ('TS-PILE'!$D$56:$D$75)=0,0,'TO HOP NLAN'!F134*'TS-PILE'!$D$74/SUMSQ('TS-PILE'!$D$56:$D$75))),IF('TS-PILE'!$B$75="",1E+99,'TO HOP NLAN'!D134/ncoc+IF(SUMSQ('TS-PILE'!$E$56:$E$75)=0,0,'TO HOP NLAN'!E134*'TS-PILE'!$E$75/SUMSQ('TS-PILE'!$E$56:$E$75))+IF(SUMSQ('TS-PILE'!$D$56:$D$75)=0,0,'TO HOP NLAN'!F134*'TS-PILE'!$D$75/SUMSQ('TS-PILE'!$D$56:$D$75)))))</f>
        <v>0</v>
      </c>
      <c r="E134" s="46">
        <f t="shared" ref="E134:E197" si="8">IF(AND(A134&lt;&gt;"",B134="SERVICE"),C134,-1E+99)</f>
        <v>-9.9999999999999997E+98</v>
      </c>
      <c r="F134" s="46">
        <f t="shared" ref="F134:F197" si="9">IF(AND(A134&lt;&gt;"",B134="SERVICE"),D134,1E+99)</f>
        <v>9.9999999999999997E+98</v>
      </c>
      <c r="G134" s="46">
        <f t="shared" ref="G134:G197" si="10">IF(AND(A134&lt;&gt;"",B134="STRENGTH"),C134,-1E+99)</f>
        <v>-9.9999999999999997E+98</v>
      </c>
      <c r="H134" s="46">
        <f t="shared" ref="H134:H197" si="11">IF(AND(A134&lt;&gt;"",B134="STRENGTH"),D134,1E+99)</f>
        <v>9.9999999999999997E+98</v>
      </c>
    </row>
    <row r="135" spans="1:8" x14ac:dyDescent="0.3">
      <c r="A135" s="40" t="str">
        <f>'TO HOP NLAN'!A135</f>
        <v/>
      </c>
      <c r="B135" s="40" t="str">
        <f>'TO HOP NLAN'!L135</f>
        <v>STRENGTH</v>
      </c>
      <c r="C135" s="46">
        <f>IF(A135="",0,MAX(IF('TS-PILE'!$B$56="",-1E+99,'TO HOP NLAN'!D135/ncoc+IF(SUMSQ('TS-PILE'!$E$56:$E$75)=0,0,'TO HOP NLAN'!E135*'TS-PILE'!$E$56/SUMSQ('TS-PILE'!$E$56:$E$75))+IF(SUMSQ('TS-PILE'!$D$56:$D$75)=0,0,'TO HOP NLAN'!F135*'TS-PILE'!$D$56/SUMSQ('TS-PILE'!$D$56:$D$75))),IF('TS-PILE'!$B$57="",-1E+99,'TO HOP NLAN'!D135/ncoc+IF(SUMSQ('TS-PILE'!$E$56:$E$75)=0,0,'TO HOP NLAN'!E135*'TS-PILE'!$E$57/SUMSQ('TS-PILE'!$E$56:$E$75))+IF(SUMSQ('TS-PILE'!$D$56:$D$75)=0,0,'TO HOP NLAN'!F135*'TS-PILE'!$D$57/SUMSQ('TS-PILE'!$D$56:$D$75))),IF('TS-PILE'!$B$58="",-1E+99,'TO HOP NLAN'!D135/ncoc+IF(SUMSQ('TS-PILE'!$E$56:$E$75)=0,0,'TO HOP NLAN'!E135*'TS-PILE'!$E$58/SUMSQ('TS-PILE'!$E$56:$E$75))+IF(SUMSQ('TS-PILE'!$D$56:$D$75)=0,0,'TO HOP NLAN'!F135*'TS-PILE'!$D$58/SUMSQ('TS-PILE'!$D$56:$D$75))),IF('TS-PILE'!$B$59="",-1E+99,'TO HOP NLAN'!D135/ncoc+IF(SUMSQ('TS-PILE'!$E$56:$E$75)=0,0,'TO HOP NLAN'!E135*'TS-PILE'!$E$59/SUMSQ('TS-PILE'!$E$56:$E$75))+IF(SUMSQ('TS-PILE'!$D$56:$D$75)=0,0,'TO HOP NLAN'!F135*'TS-PILE'!$D$59/SUMSQ('TS-PILE'!$D$56:$D$75))),IF('TS-PILE'!$B$60="",-1E+99,'TO HOP NLAN'!D135/ncoc+IF(SUMSQ('TS-PILE'!$E$56:$E$75)=0,0,'TO HOP NLAN'!E135*'TS-PILE'!$E$60/SUMSQ('TS-PILE'!$E$56:$E$75))+IF(SUMSQ('TS-PILE'!$D$56:$D$75)=0,0,'TO HOP NLAN'!F135*'TS-PILE'!$D$60/SUMSQ('TS-PILE'!$D$56:$D$75))),IF('TS-PILE'!$B$61="",-1E+99,'TO HOP NLAN'!D135/ncoc+IF(SUMSQ('TS-PILE'!$E$56:$E$75)=0,0,'TO HOP NLAN'!E135*'TS-PILE'!$E$61/SUMSQ('TS-PILE'!$E$56:$E$75))+IF(SUMSQ('TS-PILE'!$D$56:$D$75)=0,0,'TO HOP NLAN'!F135*'TS-PILE'!$D$61/SUMSQ('TS-PILE'!$D$56:$D$75))),IF('TS-PILE'!$B$62="",-1E+99,'TO HOP NLAN'!D135/ncoc+IF(SUMSQ('TS-PILE'!$E$56:$E$75)=0,0,'TO HOP NLAN'!E135*'TS-PILE'!$E$62/SUMSQ('TS-PILE'!$E$56:$E$75))+IF(SUMSQ('TS-PILE'!$D$56:$D$75)=0,0,'TO HOP NLAN'!F135*'TS-PILE'!$D$62/SUMSQ('TS-PILE'!$D$56:$D$75))),IF('TS-PILE'!$B$63="",-1E+99,'TO HOP NLAN'!D135/ncoc+IF(SUMSQ('TS-PILE'!$E$56:$E$75)=0,0,'TO HOP NLAN'!E135*'TS-PILE'!$E$63/SUMSQ('TS-PILE'!$E$56:$E$75))+IF(SUMSQ('TS-PILE'!$D$56:$D$75)=0,0,'TO HOP NLAN'!F135*'TS-PILE'!$D$63/SUMSQ('TS-PILE'!$D$56:$D$75))),IF('TS-PILE'!$B$64="",-1E+99,'TO HOP NLAN'!D135/ncoc+IF(SUMSQ('TS-PILE'!$E$56:$E$75)=0,0,'TO HOP NLAN'!E135*'TS-PILE'!$E$64/SUMSQ('TS-PILE'!$E$56:$E$75))+IF(SUMSQ('TS-PILE'!$D$56:$D$75)=0,0,'TO HOP NLAN'!F135*'TS-PILE'!$D$64/SUMSQ('TS-PILE'!$D$56:$D$75))),IF('TS-PILE'!$B$65="",-1E+99,'TO HOP NLAN'!D135/ncoc+IF(SUMSQ('TS-PILE'!$E$56:$E$75)=0,0,'TO HOP NLAN'!E135*'TS-PILE'!$E$65/SUMSQ('TS-PILE'!$E$56:$E$75))+IF(SUMSQ('TS-PILE'!$D$56:$D$75)=0,0,'TO HOP NLAN'!F135*'TS-PILE'!$D$65/SUMSQ('TS-PILE'!$D$56:$D$75))),IF('TS-PILE'!$B$66="",-1E+99,'TO HOP NLAN'!D135/ncoc+IF(SUMSQ('TS-PILE'!$E$56:$E$75)=0,0,'TO HOP NLAN'!E135*'TS-PILE'!$E$66/SUMSQ('TS-PILE'!$E$56:$E$75))+IF(SUMSQ('TS-PILE'!$D$56:$D$75)=0,0,'TO HOP NLAN'!F135*'TS-PILE'!$D$66/SUMSQ('TS-PILE'!$D$56:$D$75))),IF('TS-PILE'!$B$67="",-1E+99,'TO HOP NLAN'!D135/ncoc+IF(SUMSQ('TS-PILE'!$E$56:$E$75)=0,0,'TO HOP NLAN'!E135*'TS-PILE'!$E$67/SUMSQ('TS-PILE'!$E$56:$E$75))+IF(SUMSQ('TS-PILE'!$D$56:$D$75)=0,0,'TO HOP NLAN'!F135*'TS-PILE'!$D$67/SUMSQ('TS-PILE'!$D$56:$D$75))),IF('TS-PILE'!$B$68="",-1E+99,'TO HOP NLAN'!D135/ncoc+IF(SUMSQ('TS-PILE'!$E$56:$E$75)=0,0,'TO HOP NLAN'!E135*'TS-PILE'!$E$68/SUMSQ('TS-PILE'!$E$56:$E$75))+IF(SUMSQ('TS-PILE'!$D$56:$D$75)=0,0,'TO HOP NLAN'!F135*'TS-PILE'!$D$68/SUMSQ('TS-PILE'!$D$56:$D$75))),IF('TS-PILE'!$B$69="",-1E+99,'TO HOP NLAN'!D135/ncoc+IF(SUMSQ('TS-PILE'!$E$56:$E$75)=0,0,'TO HOP NLAN'!E135*'TS-PILE'!$E$69/SUMSQ('TS-PILE'!$E$56:$E$75))+IF(SUMSQ('TS-PILE'!$D$56:$D$75)=0,0,'TO HOP NLAN'!F135*'TS-PILE'!$D$69/SUMSQ('TS-PILE'!$D$56:$D$75))),IF('TS-PILE'!$B$70="",-1E+99,'TO HOP NLAN'!D135/ncoc+IF(SUMSQ('TS-PILE'!$E$56:$E$75)=0,0,'TO HOP NLAN'!E135*'TS-PILE'!$E$70/SUMSQ('TS-PILE'!$E$56:$E$75))+IF(SUMSQ('TS-PILE'!$D$56:$D$75)=0,0,'TO HOP NLAN'!F135*'TS-PILE'!$D$70/SUMSQ('TS-PILE'!$D$56:$D$75))),IF('TS-PILE'!$B$71="",-1E+99,'TO HOP NLAN'!D135/ncoc+IF(SUMSQ('TS-PILE'!$E$56:$E$75)=0,0,'TO HOP NLAN'!E135*'TS-PILE'!$E$71/SUMSQ('TS-PILE'!$E$56:$E$75))+IF(SUMSQ('TS-PILE'!$D$56:$D$75)=0,0,'TO HOP NLAN'!F135*'TS-PILE'!$D$71/SUMSQ('TS-PILE'!$D$56:$D$75))),IF('TS-PILE'!$B$72="",-1E+99,'TO HOP NLAN'!D135/ncoc+IF(SUMSQ('TS-PILE'!$E$56:$E$75)=0,0,'TO HOP NLAN'!E135*'TS-PILE'!$E$72/SUMSQ('TS-PILE'!$E$56:$E$75))+IF(SUMSQ('TS-PILE'!$D$56:$D$75)=0,0,'TO HOP NLAN'!F135*'TS-PILE'!$D$72/SUMSQ('TS-PILE'!$D$56:$D$75))),IF('TS-PILE'!$B$73="",-1E+99,'TO HOP NLAN'!D135/ncoc+IF(SUMSQ('TS-PILE'!$E$56:$E$75)=0,0,'TO HOP NLAN'!E135*'TS-PILE'!$E$73/SUMSQ('TS-PILE'!$E$56:$E$75))+IF(SUMSQ('TS-PILE'!$D$56:$D$75)=0,0,'TO HOP NLAN'!F135*'TS-PILE'!$D$73/SUMSQ('TS-PILE'!$D$56:$D$75))),IF('TS-PILE'!$B$74="",-1E+99,'TO HOP NLAN'!D135/ncoc+IF(SUMSQ('TS-PILE'!$E$56:$E$75)=0,0,'TO HOP NLAN'!E135*'TS-PILE'!$E$74/SUMSQ('TS-PILE'!$E$56:$E$75))+IF(SUMSQ('TS-PILE'!$D$56:$D$75)=0,0,'TO HOP NLAN'!F135*'TS-PILE'!$D$74/SUMSQ('TS-PILE'!$D$56:$D$75))),IF('TS-PILE'!$B$75="",-1E+99,'TO HOP NLAN'!D135/ncoc+IF(SUMSQ('TS-PILE'!$E$56:$E$75)=0,0,'TO HOP NLAN'!E135*'TS-PILE'!$E$75/SUMSQ('TS-PILE'!$E$56:$E$75))+IF(SUMSQ('TS-PILE'!$D$56:$D$75)=0,0,'TO HOP NLAN'!F135*'TS-PILE'!$D$75/SUMSQ('TS-PILE'!$D$56:$D$75)))))</f>
        <v>0</v>
      </c>
      <c r="D135" s="46">
        <f>IF(A135="",0,MIN(IF('TS-PILE'!$B$56="",1E+99,'TO HOP NLAN'!D135/ncoc+IF(SUMSQ('TS-PILE'!$E$56:$E$75)=0,0,'TO HOP NLAN'!E135*'TS-PILE'!$E$56/SUMSQ('TS-PILE'!$E$56:$E$75))+IF(SUMSQ('TS-PILE'!$D$56:$D$75)=0,0,'TO HOP NLAN'!F135*'TS-PILE'!$D$56/SUMSQ('TS-PILE'!$D$56:$D$75))),IF('TS-PILE'!$B$57="",1E+99,'TO HOP NLAN'!D135/ncoc+IF(SUMSQ('TS-PILE'!$E$56:$E$75)=0,0,'TO HOP NLAN'!E135*'TS-PILE'!$E$57/SUMSQ('TS-PILE'!$E$56:$E$75))+IF(SUMSQ('TS-PILE'!$D$56:$D$75)=0,0,'TO HOP NLAN'!F135*'TS-PILE'!$D$57/SUMSQ('TS-PILE'!$D$56:$D$75))),IF('TS-PILE'!$B$58="",1E+99,'TO HOP NLAN'!D135/ncoc+IF(SUMSQ('TS-PILE'!$E$56:$E$75)=0,0,'TO HOP NLAN'!E135*'TS-PILE'!$E$58/SUMSQ('TS-PILE'!$E$56:$E$75))+IF(SUMSQ('TS-PILE'!$D$56:$D$75)=0,0,'TO HOP NLAN'!F135*'TS-PILE'!$D$58/SUMSQ('TS-PILE'!$D$56:$D$75))),IF('TS-PILE'!$B$59="",1E+99,'TO HOP NLAN'!D135/ncoc+IF(SUMSQ('TS-PILE'!$E$56:$E$75)=0,0,'TO HOP NLAN'!E135*'TS-PILE'!$E$59/SUMSQ('TS-PILE'!$E$56:$E$75))+IF(SUMSQ('TS-PILE'!$D$56:$D$75)=0,0,'TO HOP NLAN'!F135*'TS-PILE'!$D$59/SUMSQ('TS-PILE'!$D$56:$D$75))),IF('TS-PILE'!$B$60="",1E+99,'TO HOP NLAN'!D135/ncoc+IF(SUMSQ('TS-PILE'!$E$56:$E$75)=0,0,'TO HOP NLAN'!E135*'TS-PILE'!$E$60/SUMSQ('TS-PILE'!$E$56:$E$75))+IF(SUMSQ('TS-PILE'!$D$56:$D$75)=0,0,'TO HOP NLAN'!F135*'TS-PILE'!$D$60/SUMSQ('TS-PILE'!$D$56:$D$75))),IF('TS-PILE'!$B$61="",1E+99,'TO HOP NLAN'!D135/ncoc+IF(SUMSQ('TS-PILE'!$E$56:$E$75)=0,0,'TO HOP NLAN'!E135*'TS-PILE'!$E$61/SUMSQ('TS-PILE'!$E$56:$E$75))+IF(SUMSQ('TS-PILE'!$D$56:$D$75)=0,0,'TO HOP NLAN'!F135*'TS-PILE'!$D$61/SUMSQ('TS-PILE'!$D$56:$D$75))),IF('TS-PILE'!$B$62="",1E+99,'TO HOP NLAN'!D135/ncoc+IF(SUMSQ('TS-PILE'!$E$56:$E$75)=0,0,'TO HOP NLAN'!E135*'TS-PILE'!$E$62/SUMSQ('TS-PILE'!$E$56:$E$75))+IF(SUMSQ('TS-PILE'!$D$56:$D$75)=0,0,'TO HOP NLAN'!F135*'TS-PILE'!$D$62/SUMSQ('TS-PILE'!$D$56:$D$75))),IF('TS-PILE'!$B$63="",1E+99,'TO HOP NLAN'!D135/ncoc+IF(SUMSQ('TS-PILE'!$E$56:$E$75)=0,0,'TO HOP NLAN'!E135*'TS-PILE'!$E$63/SUMSQ('TS-PILE'!$E$56:$E$75))+IF(SUMSQ('TS-PILE'!$D$56:$D$75)=0,0,'TO HOP NLAN'!F135*'TS-PILE'!$D$63/SUMSQ('TS-PILE'!$D$56:$D$75))),IF('TS-PILE'!$B$64="",1E+99,'TO HOP NLAN'!D135/ncoc+IF(SUMSQ('TS-PILE'!$E$56:$E$75)=0,0,'TO HOP NLAN'!E135*'TS-PILE'!$E$64/SUMSQ('TS-PILE'!$E$56:$E$75))+IF(SUMSQ('TS-PILE'!$D$56:$D$75)=0,0,'TO HOP NLAN'!F135*'TS-PILE'!$D$64/SUMSQ('TS-PILE'!$D$56:$D$75))),IF('TS-PILE'!$B$65="",1E+99,'TO HOP NLAN'!D135/ncoc+IF(SUMSQ('TS-PILE'!$E$56:$E$75)=0,0,'TO HOP NLAN'!E135*'TS-PILE'!$E$65/SUMSQ('TS-PILE'!$E$56:$E$75))+IF(SUMSQ('TS-PILE'!$D$56:$D$75)=0,0,'TO HOP NLAN'!F135*'TS-PILE'!$D$65/SUMSQ('TS-PILE'!$D$56:$D$75))),IF('TS-PILE'!$B$66="",1E+99,'TO HOP NLAN'!D135/ncoc+IF(SUMSQ('TS-PILE'!$E$56:$E$75)=0,0,'TO HOP NLAN'!E135*'TS-PILE'!$E$66/SUMSQ('TS-PILE'!$E$56:$E$75))+IF(SUMSQ('TS-PILE'!$D$56:$D$75)=0,0,'TO HOP NLAN'!F135*'TS-PILE'!$D$66/SUMSQ('TS-PILE'!$D$56:$D$75))),IF('TS-PILE'!$B$67="",1E+99,'TO HOP NLAN'!D135/ncoc+IF(SUMSQ('TS-PILE'!$E$56:$E$75)=0,0,'TO HOP NLAN'!E135*'TS-PILE'!$E$67/SUMSQ('TS-PILE'!$E$56:$E$75))+IF(SUMSQ('TS-PILE'!$D$56:$D$75)=0,0,'TO HOP NLAN'!F135*'TS-PILE'!$D$67/SUMSQ('TS-PILE'!$D$56:$D$75))),IF('TS-PILE'!$B$68="",1E+99,'TO HOP NLAN'!D135/ncoc+IF(SUMSQ('TS-PILE'!$E$56:$E$75)=0,0,'TO HOP NLAN'!E135*'TS-PILE'!$E$68/SUMSQ('TS-PILE'!$E$56:$E$75))+IF(SUMSQ('TS-PILE'!$D$56:$D$75)=0,0,'TO HOP NLAN'!F135*'TS-PILE'!$D$68/SUMSQ('TS-PILE'!$D$56:$D$75))),IF('TS-PILE'!$B$69="",1E+99,'TO HOP NLAN'!D135/ncoc+IF(SUMSQ('TS-PILE'!$E$56:$E$75)=0,0,'TO HOP NLAN'!E135*'TS-PILE'!$E$69/SUMSQ('TS-PILE'!$E$56:$E$75))+IF(SUMSQ('TS-PILE'!$D$56:$D$75)=0,0,'TO HOP NLAN'!F135*'TS-PILE'!$D$69/SUMSQ('TS-PILE'!$D$56:$D$75))),IF('TS-PILE'!$B$70="",1E+99,'TO HOP NLAN'!D135/ncoc+IF(SUMSQ('TS-PILE'!$E$56:$E$75)=0,0,'TO HOP NLAN'!E135*'TS-PILE'!$E$70/SUMSQ('TS-PILE'!$E$56:$E$75))+IF(SUMSQ('TS-PILE'!$D$56:$D$75)=0,0,'TO HOP NLAN'!F135*'TS-PILE'!$D$70/SUMSQ('TS-PILE'!$D$56:$D$75))),IF('TS-PILE'!$B$71="",1E+99,'TO HOP NLAN'!D135/ncoc+IF(SUMSQ('TS-PILE'!$E$56:$E$75)=0,0,'TO HOP NLAN'!E135*'TS-PILE'!$E$71/SUMSQ('TS-PILE'!$E$56:$E$75))+IF(SUMSQ('TS-PILE'!$D$56:$D$75)=0,0,'TO HOP NLAN'!F135*'TS-PILE'!$D$71/SUMSQ('TS-PILE'!$D$56:$D$75))),IF('TS-PILE'!$B$72="",1E+99,'TO HOP NLAN'!D135/ncoc+IF(SUMSQ('TS-PILE'!$E$56:$E$75)=0,0,'TO HOP NLAN'!E135*'TS-PILE'!$E$72/SUMSQ('TS-PILE'!$E$56:$E$75))+IF(SUMSQ('TS-PILE'!$D$56:$D$75)=0,0,'TO HOP NLAN'!F135*'TS-PILE'!$D$72/SUMSQ('TS-PILE'!$D$56:$D$75))),IF('TS-PILE'!$B$73="",1E+99,'TO HOP NLAN'!D135/ncoc+IF(SUMSQ('TS-PILE'!$E$56:$E$75)=0,0,'TO HOP NLAN'!E135*'TS-PILE'!$E$73/SUMSQ('TS-PILE'!$E$56:$E$75))+IF(SUMSQ('TS-PILE'!$D$56:$D$75)=0,0,'TO HOP NLAN'!F135*'TS-PILE'!$D$73/SUMSQ('TS-PILE'!$D$56:$D$75))),IF('TS-PILE'!$B$74="",1E+99,'TO HOP NLAN'!D135/ncoc+IF(SUMSQ('TS-PILE'!$E$56:$E$75)=0,0,'TO HOP NLAN'!E135*'TS-PILE'!$E$74/SUMSQ('TS-PILE'!$E$56:$E$75))+IF(SUMSQ('TS-PILE'!$D$56:$D$75)=0,0,'TO HOP NLAN'!F135*'TS-PILE'!$D$74/SUMSQ('TS-PILE'!$D$56:$D$75))),IF('TS-PILE'!$B$75="",1E+99,'TO HOP NLAN'!D135/ncoc+IF(SUMSQ('TS-PILE'!$E$56:$E$75)=0,0,'TO HOP NLAN'!E135*'TS-PILE'!$E$75/SUMSQ('TS-PILE'!$E$56:$E$75))+IF(SUMSQ('TS-PILE'!$D$56:$D$75)=0,0,'TO HOP NLAN'!F135*'TS-PILE'!$D$75/SUMSQ('TS-PILE'!$D$56:$D$75)))))</f>
        <v>0</v>
      </c>
      <c r="E135" s="46">
        <f t="shared" si="8"/>
        <v>-9.9999999999999997E+98</v>
      </c>
      <c r="F135" s="46">
        <f t="shared" si="9"/>
        <v>9.9999999999999997E+98</v>
      </c>
      <c r="G135" s="46">
        <f t="shared" si="10"/>
        <v>-9.9999999999999997E+98</v>
      </c>
      <c r="H135" s="46">
        <f t="shared" si="11"/>
        <v>9.9999999999999997E+98</v>
      </c>
    </row>
    <row r="136" spans="1:8" x14ac:dyDescent="0.3">
      <c r="A136" s="40" t="str">
        <f>'TO HOP NLAN'!A136</f>
        <v/>
      </c>
      <c r="B136" s="40" t="str">
        <f>'TO HOP NLAN'!L136</f>
        <v>STRENGTH</v>
      </c>
      <c r="C136" s="46">
        <f>IF(A136="",0,MAX(IF('TS-PILE'!$B$56="",-1E+99,'TO HOP NLAN'!D136/ncoc+IF(SUMSQ('TS-PILE'!$E$56:$E$75)=0,0,'TO HOP NLAN'!E136*'TS-PILE'!$E$56/SUMSQ('TS-PILE'!$E$56:$E$75))+IF(SUMSQ('TS-PILE'!$D$56:$D$75)=0,0,'TO HOP NLAN'!F136*'TS-PILE'!$D$56/SUMSQ('TS-PILE'!$D$56:$D$75))),IF('TS-PILE'!$B$57="",-1E+99,'TO HOP NLAN'!D136/ncoc+IF(SUMSQ('TS-PILE'!$E$56:$E$75)=0,0,'TO HOP NLAN'!E136*'TS-PILE'!$E$57/SUMSQ('TS-PILE'!$E$56:$E$75))+IF(SUMSQ('TS-PILE'!$D$56:$D$75)=0,0,'TO HOP NLAN'!F136*'TS-PILE'!$D$57/SUMSQ('TS-PILE'!$D$56:$D$75))),IF('TS-PILE'!$B$58="",-1E+99,'TO HOP NLAN'!D136/ncoc+IF(SUMSQ('TS-PILE'!$E$56:$E$75)=0,0,'TO HOP NLAN'!E136*'TS-PILE'!$E$58/SUMSQ('TS-PILE'!$E$56:$E$75))+IF(SUMSQ('TS-PILE'!$D$56:$D$75)=0,0,'TO HOP NLAN'!F136*'TS-PILE'!$D$58/SUMSQ('TS-PILE'!$D$56:$D$75))),IF('TS-PILE'!$B$59="",-1E+99,'TO HOP NLAN'!D136/ncoc+IF(SUMSQ('TS-PILE'!$E$56:$E$75)=0,0,'TO HOP NLAN'!E136*'TS-PILE'!$E$59/SUMSQ('TS-PILE'!$E$56:$E$75))+IF(SUMSQ('TS-PILE'!$D$56:$D$75)=0,0,'TO HOP NLAN'!F136*'TS-PILE'!$D$59/SUMSQ('TS-PILE'!$D$56:$D$75))),IF('TS-PILE'!$B$60="",-1E+99,'TO HOP NLAN'!D136/ncoc+IF(SUMSQ('TS-PILE'!$E$56:$E$75)=0,0,'TO HOP NLAN'!E136*'TS-PILE'!$E$60/SUMSQ('TS-PILE'!$E$56:$E$75))+IF(SUMSQ('TS-PILE'!$D$56:$D$75)=0,0,'TO HOP NLAN'!F136*'TS-PILE'!$D$60/SUMSQ('TS-PILE'!$D$56:$D$75))),IF('TS-PILE'!$B$61="",-1E+99,'TO HOP NLAN'!D136/ncoc+IF(SUMSQ('TS-PILE'!$E$56:$E$75)=0,0,'TO HOP NLAN'!E136*'TS-PILE'!$E$61/SUMSQ('TS-PILE'!$E$56:$E$75))+IF(SUMSQ('TS-PILE'!$D$56:$D$75)=0,0,'TO HOP NLAN'!F136*'TS-PILE'!$D$61/SUMSQ('TS-PILE'!$D$56:$D$75))),IF('TS-PILE'!$B$62="",-1E+99,'TO HOP NLAN'!D136/ncoc+IF(SUMSQ('TS-PILE'!$E$56:$E$75)=0,0,'TO HOP NLAN'!E136*'TS-PILE'!$E$62/SUMSQ('TS-PILE'!$E$56:$E$75))+IF(SUMSQ('TS-PILE'!$D$56:$D$75)=0,0,'TO HOP NLAN'!F136*'TS-PILE'!$D$62/SUMSQ('TS-PILE'!$D$56:$D$75))),IF('TS-PILE'!$B$63="",-1E+99,'TO HOP NLAN'!D136/ncoc+IF(SUMSQ('TS-PILE'!$E$56:$E$75)=0,0,'TO HOP NLAN'!E136*'TS-PILE'!$E$63/SUMSQ('TS-PILE'!$E$56:$E$75))+IF(SUMSQ('TS-PILE'!$D$56:$D$75)=0,0,'TO HOP NLAN'!F136*'TS-PILE'!$D$63/SUMSQ('TS-PILE'!$D$56:$D$75))),IF('TS-PILE'!$B$64="",-1E+99,'TO HOP NLAN'!D136/ncoc+IF(SUMSQ('TS-PILE'!$E$56:$E$75)=0,0,'TO HOP NLAN'!E136*'TS-PILE'!$E$64/SUMSQ('TS-PILE'!$E$56:$E$75))+IF(SUMSQ('TS-PILE'!$D$56:$D$75)=0,0,'TO HOP NLAN'!F136*'TS-PILE'!$D$64/SUMSQ('TS-PILE'!$D$56:$D$75))),IF('TS-PILE'!$B$65="",-1E+99,'TO HOP NLAN'!D136/ncoc+IF(SUMSQ('TS-PILE'!$E$56:$E$75)=0,0,'TO HOP NLAN'!E136*'TS-PILE'!$E$65/SUMSQ('TS-PILE'!$E$56:$E$75))+IF(SUMSQ('TS-PILE'!$D$56:$D$75)=0,0,'TO HOP NLAN'!F136*'TS-PILE'!$D$65/SUMSQ('TS-PILE'!$D$56:$D$75))),IF('TS-PILE'!$B$66="",-1E+99,'TO HOP NLAN'!D136/ncoc+IF(SUMSQ('TS-PILE'!$E$56:$E$75)=0,0,'TO HOP NLAN'!E136*'TS-PILE'!$E$66/SUMSQ('TS-PILE'!$E$56:$E$75))+IF(SUMSQ('TS-PILE'!$D$56:$D$75)=0,0,'TO HOP NLAN'!F136*'TS-PILE'!$D$66/SUMSQ('TS-PILE'!$D$56:$D$75))),IF('TS-PILE'!$B$67="",-1E+99,'TO HOP NLAN'!D136/ncoc+IF(SUMSQ('TS-PILE'!$E$56:$E$75)=0,0,'TO HOP NLAN'!E136*'TS-PILE'!$E$67/SUMSQ('TS-PILE'!$E$56:$E$75))+IF(SUMSQ('TS-PILE'!$D$56:$D$75)=0,0,'TO HOP NLAN'!F136*'TS-PILE'!$D$67/SUMSQ('TS-PILE'!$D$56:$D$75))),IF('TS-PILE'!$B$68="",-1E+99,'TO HOP NLAN'!D136/ncoc+IF(SUMSQ('TS-PILE'!$E$56:$E$75)=0,0,'TO HOP NLAN'!E136*'TS-PILE'!$E$68/SUMSQ('TS-PILE'!$E$56:$E$75))+IF(SUMSQ('TS-PILE'!$D$56:$D$75)=0,0,'TO HOP NLAN'!F136*'TS-PILE'!$D$68/SUMSQ('TS-PILE'!$D$56:$D$75))),IF('TS-PILE'!$B$69="",-1E+99,'TO HOP NLAN'!D136/ncoc+IF(SUMSQ('TS-PILE'!$E$56:$E$75)=0,0,'TO HOP NLAN'!E136*'TS-PILE'!$E$69/SUMSQ('TS-PILE'!$E$56:$E$75))+IF(SUMSQ('TS-PILE'!$D$56:$D$75)=0,0,'TO HOP NLAN'!F136*'TS-PILE'!$D$69/SUMSQ('TS-PILE'!$D$56:$D$75))),IF('TS-PILE'!$B$70="",-1E+99,'TO HOP NLAN'!D136/ncoc+IF(SUMSQ('TS-PILE'!$E$56:$E$75)=0,0,'TO HOP NLAN'!E136*'TS-PILE'!$E$70/SUMSQ('TS-PILE'!$E$56:$E$75))+IF(SUMSQ('TS-PILE'!$D$56:$D$75)=0,0,'TO HOP NLAN'!F136*'TS-PILE'!$D$70/SUMSQ('TS-PILE'!$D$56:$D$75))),IF('TS-PILE'!$B$71="",-1E+99,'TO HOP NLAN'!D136/ncoc+IF(SUMSQ('TS-PILE'!$E$56:$E$75)=0,0,'TO HOP NLAN'!E136*'TS-PILE'!$E$71/SUMSQ('TS-PILE'!$E$56:$E$75))+IF(SUMSQ('TS-PILE'!$D$56:$D$75)=0,0,'TO HOP NLAN'!F136*'TS-PILE'!$D$71/SUMSQ('TS-PILE'!$D$56:$D$75))),IF('TS-PILE'!$B$72="",-1E+99,'TO HOP NLAN'!D136/ncoc+IF(SUMSQ('TS-PILE'!$E$56:$E$75)=0,0,'TO HOP NLAN'!E136*'TS-PILE'!$E$72/SUMSQ('TS-PILE'!$E$56:$E$75))+IF(SUMSQ('TS-PILE'!$D$56:$D$75)=0,0,'TO HOP NLAN'!F136*'TS-PILE'!$D$72/SUMSQ('TS-PILE'!$D$56:$D$75))),IF('TS-PILE'!$B$73="",-1E+99,'TO HOP NLAN'!D136/ncoc+IF(SUMSQ('TS-PILE'!$E$56:$E$75)=0,0,'TO HOP NLAN'!E136*'TS-PILE'!$E$73/SUMSQ('TS-PILE'!$E$56:$E$75))+IF(SUMSQ('TS-PILE'!$D$56:$D$75)=0,0,'TO HOP NLAN'!F136*'TS-PILE'!$D$73/SUMSQ('TS-PILE'!$D$56:$D$75))),IF('TS-PILE'!$B$74="",-1E+99,'TO HOP NLAN'!D136/ncoc+IF(SUMSQ('TS-PILE'!$E$56:$E$75)=0,0,'TO HOP NLAN'!E136*'TS-PILE'!$E$74/SUMSQ('TS-PILE'!$E$56:$E$75))+IF(SUMSQ('TS-PILE'!$D$56:$D$75)=0,0,'TO HOP NLAN'!F136*'TS-PILE'!$D$74/SUMSQ('TS-PILE'!$D$56:$D$75))),IF('TS-PILE'!$B$75="",-1E+99,'TO HOP NLAN'!D136/ncoc+IF(SUMSQ('TS-PILE'!$E$56:$E$75)=0,0,'TO HOP NLAN'!E136*'TS-PILE'!$E$75/SUMSQ('TS-PILE'!$E$56:$E$75))+IF(SUMSQ('TS-PILE'!$D$56:$D$75)=0,0,'TO HOP NLAN'!F136*'TS-PILE'!$D$75/SUMSQ('TS-PILE'!$D$56:$D$75)))))</f>
        <v>0</v>
      </c>
      <c r="D136" s="46">
        <f>IF(A136="",0,MIN(IF('TS-PILE'!$B$56="",1E+99,'TO HOP NLAN'!D136/ncoc+IF(SUMSQ('TS-PILE'!$E$56:$E$75)=0,0,'TO HOP NLAN'!E136*'TS-PILE'!$E$56/SUMSQ('TS-PILE'!$E$56:$E$75))+IF(SUMSQ('TS-PILE'!$D$56:$D$75)=0,0,'TO HOP NLAN'!F136*'TS-PILE'!$D$56/SUMSQ('TS-PILE'!$D$56:$D$75))),IF('TS-PILE'!$B$57="",1E+99,'TO HOP NLAN'!D136/ncoc+IF(SUMSQ('TS-PILE'!$E$56:$E$75)=0,0,'TO HOP NLAN'!E136*'TS-PILE'!$E$57/SUMSQ('TS-PILE'!$E$56:$E$75))+IF(SUMSQ('TS-PILE'!$D$56:$D$75)=0,0,'TO HOP NLAN'!F136*'TS-PILE'!$D$57/SUMSQ('TS-PILE'!$D$56:$D$75))),IF('TS-PILE'!$B$58="",1E+99,'TO HOP NLAN'!D136/ncoc+IF(SUMSQ('TS-PILE'!$E$56:$E$75)=0,0,'TO HOP NLAN'!E136*'TS-PILE'!$E$58/SUMSQ('TS-PILE'!$E$56:$E$75))+IF(SUMSQ('TS-PILE'!$D$56:$D$75)=0,0,'TO HOP NLAN'!F136*'TS-PILE'!$D$58/SUMSQ('TS-PILE'!$D$56:$D$75))),IF('TS-PILE'!$B$59="",1E+99,'TO HOP NLAN'!D136/ncoc+IF(SUMSQ('TS-PILE'!$E$56:$E$75)=0,0,'TO HOP NLAN'!E136*'TS-PILE'!$E$59/SUMSQ('TS-PILE'!$E$56:$E$75))+IF(SUMSQ('TS-PILE'!$D$56:$D$75)=0,0,'TO HOP NLAN'!F136*'TS-PILE'!$D$59/SUMSQ('TS-PILE'!$D$56:$D$75))),IF('TS-PILE'!$B$60="",1E+99,'TO HOP NLAN'!D136/ncoc+IF(SUMSQ('TS-PILE'!$E$56:$E$75)=0,0,'TO HOP NLAN'!E136*'TS-PILE'!$E$60/SUMSQ('TS-PILE'!$E$56:$E$75))+IF(SUMSQ('TS-PILE'!$D$56:$D$75)=0,0,'TO HOP NLAN'!F136*'TS-PILE'!$D$60/SUMSQ('TS-PILE'!$D$56:$D$75))),IF('TS-PILE'!$B$61="",1E+99,'TO HOP NLAN'!D136/ncoc+IF(SUMSQ('TS-PILE'!$E$56:$E$75)=0,0,'TO HOP NLAN'!E136*'TS-PILE'!$E$61/SUMSQ('TS-PILE'!$E$56:$E$75))+IF(SUMSQ('TS-PILE'!$D$56:$D$75)=0,0,'TO HOP NLAN'!F136*'TS-PILE'!$D$61/SUMSQ('TS-PILE'!$D$56:$D$75))),IF('TS-PILE'!$B$62="",1E+99,'TO HOP NLAN'!D136/ncoc+IF(SUMSQ('TS-PILE'!$E$56:$E$75)=0,0,'TO HOP NLAN'!E136*'TS-PILE'!$E$62/SUMSQ('TS-PILE'!$E$56:$E$75))+IF(SUMSQ('TS-PILE'!$D$56:$D$75)=0,0,'TO HOP NLAN'!F136*'TS-PILE'!$D$62/SUMSQ('TS-PILE'!$D$56:$D$75))),IF('TS-PILE'!$B$63="",1E+99,'TO HOP NLAN'!D136/ncoc+IF(SUMSQ('TS-PILE'!$E$56:$E$75)=0,0,'TO HOP NLAN'!E136*'TS-PILE'!$E$63/SUMSQ('TS-PILE'!$E$56:$E$75))+IF(SUMSQ('TS-PILE'!$D$56:$D$75)=0,0,'TO HOP NLAN'!F136*'TS-PILE'!$D$63/SUMSQ('TS-PILE'!$D$56:$D$75))),IF('TS-PILE'!$B$64="",1E+99,'TO HOP NLAN'!D136/ncoc+IF(SUMSQ('TS-PILE'!$E$56:$E$75)=0,0,'TO HOP NLAN'!E136*'TS-PILE'!$E$64/SUMSQ('TS-PILE'!$E$56:$E$75))+IF(SUMSQ('TS-PILE'!$D$56:$D$75)=0,0,'TO HOP NLAN'!F136*'TS-PILE'!$D$64/SUMSQ('TS-PILE'!$D$56:$D$75))),IF('TS-PILE'!$B$65="",1E+99,'TO HOP NLAN'!D136/ncoc+IF(SUMSQ('TS-PILE'!$E$56:$E$75)=0,0,'TO HOP NLAN'!E136*'TS-PILE'!$E$65/SUMSQ('TS-PILE'!$E$56:$E$75))+IF(SUMSQ('TS-PILE'!$D$56:$D$75)=0,0,'TO HOP NLAN'!F136*'TS-PILE'!$D$65/SUMSQ('TS-PILE'!$D$56:$D$75))),IF('TS-PILE'!$B$66="",1E+99,'TO HOP NLAN'!D136/ncoc+IF(SUMSQ('TS-PILE'!$E$56:$E$75)=0,0,'TO HOP NLAN'!E136*'TS-PILE'!$E$66/SUMSQ('TS-PILE'!$E$56:$E$75))+IF(SUMSQ('TS-PILE'!$D$56:$D$75)=0,0,'TO HOP NLAN'!F136*'TS-PILE'!$D$66/SUMSQ('TS-PILE'!$D$56:$D$75))),IF('TS-PILE'!$B$67="",1E+99,'TO HOP NLAN'!D136/ncoc+IF(SUMSQ('TS-PILE'!$E$56:$E$75)=0,0,'TO HOP NLAN'!E136*'TS-PILE'!$E$67/SUMSQ('TS-PILE'!$E$56:$E$75))+IF(SUMSQ('TS-PILE'!$D$56:$D$75)=0,0,'TO HOP NLAN'!F136*'TS-PILE'!$D$67/SUMSQ('TS-PILE'!$D$56:$D$75))),IF('TS-PILE'!$B$68="",1E+99,'TO HOP NLAN'!D136/ncoc+IF(SUMSQ('TS-PILE'!$E$56:$E$75)=0,0,'TO HOP NLAN'!E136*'TS-PILE'!$E$68/SUMSQ('TS-PILE'!$E$56:$E$75))+IF(SUMSQ('TS-PILE'!$D$56:$D$75)=0,0,'TO HOP NLAN'!F136*'TS-PILE'!$D$68/SUMSQ('TS-PILE'!$D$56:$D$75))),IF('TS-PILE'!$B$69="",1E+99,'TO HOP NLAN'!D136/ncoc+IF(SUMSQ('TS-PILE'!$E$56:$E$75)=0,0,'TO HOP NLAN'!E136*'TS-PILE'!$E$69/SUMSQ('TS-PILE'!$E$56:$E$75))+IF(SUMSQ('TS-PILE'!$D$56:$D$75)=0,0,'TO HOP NLAN'!F136*'TS-PILE'!$D$69/SUMSQ('TS-PILE'!$D$56:$D$75))),IF('TS-PILE'!$B$70="",1E+99,'TO HOP NLAN'!D136/ncoc+IF(SUMSQ('TS-PILE'!$E$56:$E$75)=0,0,'TO HOP NLAN'!E136*'TS-PILE'!$E$70/SUMSQ('TS-PILE'!$E$56:$E$75))+IF(SUMSQ('TS-PILE'!$D$56:$D$75)=0,0,'TO HOP NLAN'!F136*'TS-PILE'!$D$70/SUMSQ('TS-PILE'!$D$56:$D$75))),IF('TS-PILE'!$B$71="",1E+99,'TO HOP NLAN'!D136/ncoc+IF(SUMSQ('TS-PILE'!$E$56:$E$75)=0,0,'TO HOP NLAN'!E136*'TS-PILE'!$E$71/SUMSQ('TS-PILE'!$E$56:$E$75))+IF(SUMSQ('TS-PILE'!$D$56:$D$75)=0,0,'TO HOP NLAN'!F136*'TS-PILE'!$D$71/SUMSQ('TS-PILE'!$D$56:$D$75))),IF('TS-PILE'!$B$72="",1E+99,'TO HOP NLAN'!D136/ncoc+IF(SUMSQ('TS-PILE'!$E$56:$E$75)=0,0,'TO HOP NLAN'!E136*'TS-PILE'!$E$72/SUMSQ('TS-PILE'!$E$56:$E$75))+IF(SUMSQ('TS-PILE'!$D$56:$D$75)=0,0,'TO HOP NLAN'!F136*'TS-PILE'!$D$72/SUMSQ('TS-PILE'!$D$56:$D$75))),IF('TS-PILE'!$B$73="",1E+99,'TO HOP NLAN'!D136/ncoc+IF(SUMSQ('TS-PILE'!$E$56:$E$75)=0,0,'TO HOP NLAN'!E136*'TS-PILE'!$E$73/SUMSQ('TS-PILE'!$E$56:$E$75))+IF(SUMSQ('TS-PILE'!$D$56:$D$75)=0,0,'TO HOP NLAN'!F136*'TS-PILE'!$D$73/SUMSQ('TS-PILE'!$D$56:$D$75))),IF('TS-PILE'!$B$74="",1E+99,'TO HOP NLAN'!D136/ncoc+IF(SUMSQ('TS-PILE'!$E$56:$E$75)=0,0,'TO HOP NLAN'!E136*'TS-PILE'!$E$74/SUMSQ('TS-PILE'!$E$56:$E$75))+IF(SUMSQ('TS-PILE'!$D$56:$D$75)=0,0,'TO HOP NLAN'!F136*'TS-PILE'!$D$74/SUMSQ('TS-PILE'!$D$56:$D$75))),IF('TS-PILE'!$B$75="",1E+99,'TO HOP NLAN'!D136/ncoc+IF(SUMSQ('TS-PILE'!$E$56:$E$75)=0,0,'TO HOP NLAN'!E136*'TS-PILE'!$E$75/SUMSQ('TS-PILE'!$E$56:$E$75))+IF(SUMSQ('TS-PILE'!$D$56:$D$75)=0,0,'TO HOP NLAN'!F136*'TS-PILE'!$D$75/SUMSQ('TS-PILE'!$D$56:$D$75)))))</f>
        <v>0</v>
      </c>
      <c r="E136" s="46">
        <f t="shared" si="8"/>
        <v>-9.9999999999999997E+98</v>
      </c>
      <c r="F136" s="46">
        <f t="shared" si="9"/>
        <v>9.9999999999999997E+98</v>
      </c>
      <c r="G136" s="46">
        <f t="shared" si="10"/>
        <v>-9.9999999999999997E+98</v>
      </c>
      <c r="H136" s="46">
        <f t="shared" si="11"/>
        <v>9.9999999999999997E+98</v>
      </c>
    </row>
    <row r="137" spans="1:8" x14ac:dyDescent="0.3">
      <c r="A137" s="40" t="str">
        <f>'TO HOP NLAN'!A137</f>
        <v/>
      </c>
      <c r="B137" s="40" t="str">
        <f>'TO HOP NLAN'!L137</f>
        <v>STRENGTH</v>
      </c>
      <c r="C137" s="46">
        <f>IF(A137="",0,MAX(IF('TS-PILE'!$B$56="",-1E+99,'TO HOP NLAN'!D137/ncoc+IF(SUMSQ('TS-PILE'!$E$56:$E$75)=0,0,'TO HOP NLAN'!E137*'TS-PILE'!$E$56/SUMSQ('TS-PILE'!$E$56:$E$75))+IF(SUMSQ('TS-PILE'!$D$56:$D$75)=0,0,'TO HOP NLAN'!F137*'TS-PILE'!$D$56/SUMSQ('TS-PILE'!$D$56:$D$75))),IF('TS-PILE'!$B$57="",-1E+99,'TO HOP NLAN'!D137/ncoc+IF(SUMSQ('TS-PILE'!$E$56:$E$75)=0,0,'TO HOP NLAN'!E137*'TS-PILE'!$E$57/SUMSQ('TS-PILE'!$E$56:$E$75))+IF(SUMSQ('TS-PILE'!$D$56:$D$75)=0,0,'TO HOP NLAN'!F137*'TS-PILE'!$D$57/SUMSQ('TS-PILE'!$D$56:$D$75))),IF('TS-PILE'!$B$58="",-1E+99,'TO HOP NLAN'!D137/ncoc+IF(SUMSQ('TS-PILE'!$E$56:$E$75)=0,0,'TO HOP NLAN'!E137*'TS-PILE'!$E$58/SUMSQ('TS-PILE'!$E$56:$E$75))+IF(SUMSQ('TS-PILE'!$D$56:$D$75)=0,0,'TO HOP NLAN'!F137*'TS-PILE'!$D$58/SUMSQ('TS-PILE'!$D$56:$D$75))),IF('TS-PILE'!$B$59="",-1E+99,'TO HOP NLAN'!D137/ncoc+IF(SUMSQ('TS-PILE'!$E$56:$E$75)=0,0,'TO HOP NLAN'!E137*'TS-PILE'!$E$59/SUMSQ('TS-PILE'!$E$56:$E$75))+IF(SUMSQ('TS-PILE'!$D$56:$D$75)=0,0,'TO HOP NLAN'!F137*'TS-PILE'!$D$59/SUMSQ('TS-PILE'!$D$56:$D$75))),IF('TS-PILE'!$B$60="",-1E+99,'TO HOP NLAN'!D137/ncoc+IF(SUMSQ('TS-PILE'!$E$56:$E$75)=0,0,'TO HOP NLAN'!E137*'TS-PILE'!$E$60/SUMSQ('TS-PILE'!$E$56:$E$75))+IF(SUMSQ('TS-PILE'!$D$56:$D$75)=0,0,'TO HOP NLAN'!F137*'TS-PILE'!$D$60/SUMSQ('TS-PILE'!$D$56:$D$75))),IF('TS-PILE'!$B$61="",-1E+99,'TO HOP NLAN'!D137/ncoc+IF(SUMSQ('TS-PILE'!$E$56:$E$75)=0,0,'TO HOP NLAN'!E137*'TS-PILE'!$E$61/SUMSQ('TS-PILE'!$E$56:$E$75))+IF(SUMSQ('TS-PILE'!$D$56:$D$75)=0,0,'TO HOP NLAN'!F137*'TS-PILE'!$D$61/SUMSQ('TS-PILE'!$D$56:$D$75))),IF('TS-PILE'!$B$62="",-1E+99,'TO HOP NLAN'!D137/ncoc+IF(SUMSQ('TS-PILE'!$E$56:$E$75)=0,0,'TO HOP NLAN'!E137*'TS-PILE'!$E$62/SUMSQ('TS-PILE'!$E$56:$E$75))+IF(SUMSQ('TS-PILE'!$D$56:$D$75)=0,0,'TO HOP NLAN'!F137*'TS-PILE'!$D$62/SUMSQ('TS-PILE'!$D$56:$D$75))),IF('TS-PILE'!$B$63="",-1E+99,'TO HOP NLAN'!D137/ncoc+IF(SUMSQ('TS-PILE'!$E$56:$E$75)=0,0,'TO HOP NLAN'!E137*'TS-PILE'!$E$63/SUMSQ('TS-PILE'!$E$56:$E$75))+IF(SUMSQ('TS-PILE'!$D$56:$D$75)=0,0,'TO HOP NLAN'!F137*'TS-PILE'!$D$63/SUMSQ('TS-PILE'!$D$56:$D$75))),IF('TS-PILE'!$B$64="",-1E+99,'TO HOP NLAN'!D137/ncoc+IF(SUMSQ('TS-PILE'!$E$56:$E$75)=0,0,'TO HOP NLAN'!E137*'TS-PILE'!$E$64/SUMSQ('TS-PILE'!$E$56:$E$75))+IF(SUMSQ('TS-PILE'!$D$56:$D$75)=0,0,'TO HOP NLAN'!F137*'TS-PILE'!$D$64/SUMSQ('TS-PILE'!$D$56:$D$75))),IF('TS-PILE'!$B$65="",-1E+99,'TO HOP NLAN'!D137/ncoc+IF(SUMSQ('TS-PILE'!$E$56:$E$75)=0,0,'TO HOP NLAN'!E137*'TS-PILE'!$E$65/SUMSQ('TS-PILE'!$E$56:$E$75))+IF(SUMSQ('TS-PILE'!$D$56:$D$75)=0,0,'TO HOP NLAN'!F137*'TS-PILE'!$D$65/SUMSQ('TS-PILE'!$D$56:$D$75))),IF('TS-PILE'!$B$66="",-1E+99,'TO HOP NLAN'!D137/ncoc+IF(SUMSQ('TS-PILE'!$E$56:$E$75)=0,0,'TO HOP NLAN'!E137*'TS-PILE'!$E$66/SUMSQ('TS-PILE'!$E$56:$E$75))+IF(SUMSQ('TS-PILE'!$D$56:$D$75)=0,0,'TO HOP NLAN'!F137*'TS-PILE'!$D$66/SUMSQ('TS-PILE'!$D$56:$D$75))),IF('TS-PILE'!$B$67="",-1E+99,'TO HOP NLAN'!D137/ncoc+IF(SUMSQ('TS-PILE'!$E$56:$E$75)=0,0,'TO HOP NLAN'!E137*'TS-PILE'!$E$67/SUMSQ('TS-PILE'!$E$56:$E$75))+IF(SUMSQ('TS-PILE'!$D$56:$D$75)=0,0,'TO HOP NLAN'!F137*'TS-PILE'!$D$67/SUMSQ('TS-PILE'!$D$56:$D$75))),IF('TS-PILE'!$B$68="",-1E+99,'TO HOP NLAN'!D137/ncoc+IF(SUMSQ('TS-PILE'!$E$56:$E$75)=0,0,'TO HOP NLAN'!E137*'TS-PILE'!$E$68/SUMSQ('TS-PILE'!$E$56:$E$75))+IF(SUMSQ('TS-PILE'!$D$56:$D$75)=0,0,'TO HOP NLAN'!F137*'TS-PILE'!$D$68/SUMSQ('TS-PILE'!$D$56:$D$75))),IF('TS-PILE'!$B$69="",-1E+99,'TO HOP NLAN'!D137/ncoc+IF(SUMSQ('TS-PILE'!$E$56:$E$75)=0,0,'TO HOP NLAN'!E137*'TS-PILE'!$E$69/SUMSQ('TS-PILE'!$E$56:$E$75))+IF(SUMSQ('TS-PILE'!$D$56:$D$75)=0,0,'TO HOP NLAN'!F137*'TS-PILE'!$D$69/SUMSQ('TS-PILE'!$D$56:$D$75))),IF('TS-PILE'!$B$70="",-1E+99,'TO HOP NLAN'!D137/ncoc+IF(SUMSQ('TS-PILE'!$E$56:$E$75)=0,0,'TO HOP NLAN'!E137*'TS-PILE'!$E$70/SUMSQ('TS-PILE'!$E$56:$E$75))+IF(SUMSQ('TS-PILE'!$D$56:$D$75)=0,0,'TO HOP NLAN'!F137*'TS-PILE'!$D$70/SUMSQ('TS-PILE'!$D$56:$D$75))),IF('TS-PILE'!$B$71="",-1E+99,'TO HOP NLAN'!D137/ncoc+IF(SUMSQ('TS-PILE'!$E$56:$E$75)=0,0,'TO HOP NLAN'!E137*'TS-PILE'!$E$71/SUMSQ('TS-PILE'!$E$56:$E$75))+IF(SUMSQ('TS-PILE'!$D$56:$D$75)=0,0,'TO HOP NLAN'!F137*'TS-PILE'!$D$71/SUMSQ('TS-PILE'!$D$56:$D$75))),IF('TS-PILE'!$B$72="",-1E+99,'TO HOP NLAN'!D137/ncoc+IF(SUMSQ('TS-PILE'!$E$56:$E$75)=0,0,'TO HOP NLAN'!E137*'TS-PILE'!$E$72/SUMSQ('TS-PILE'!$E$56:$E$75))+IF(SUMSQ('TS-PILE'!$D$56:$D$75)=0,0,'TO HOP NLAN'!F137*'TS-PILE'!$D$72/SUMSQ('TS-PILE'!$D$56:$D$75))),IF('TS-PILE'!$B$73="",-1E+99,'TO HOP NLAN'!D137/ncoc+IF(SUMSQ('TS-PILE'!$E$56:$E$75)=0,0,'TO HOP NLAN'!E137*'TS-PILE'!$E$73/SUMSQ('TS-PILE'!$E$56:$E$75))+IF(SUMSQ('TS-PILE'!$D$56:$D$75)=0,0,'TO HOP NLAN'!F137*'TS-PILE'!$D$73/SUMSQ('TS-PILE'!$D$56:$D$75))),IF('TS-PILE'!$B$74="",-1E+99,'TO HOP NLAN'!D137/ncoc+IF(SUMSQ('TS-PILE'!$E$56:$E$75)=0,0,'TO HOP NLAN'!E137*'TS-PILE'!$E$74/SUMSQ('TS-PILE'!$E$56:$E$75))+IF(SUMSQ('TS-PILE'!$D$56:$D$75)=0,0,'TO HOP NLAN'!F137*'TS-PILE'!$D$74/SUMSQ('TS-PILE'!$D$56:$D$75))),IF('TS-PILE'!$B$75="",-1E+99,'TO HOP NLAN'!D137/ncoc+IF(SUMSQ('TS-PILE'!$E$56:$E$75)=0,0,'TO HOP NLAN'!E137*'TS-PILE'!$E$75/SUMSQ('TS-PILE'!$E$56:$E$75))+IF(SUMSQ('TS-PILE'!$D$56:$D$75)=0,0,'TO HOP NLAN'!F137*'TS-PILE'!$D$75/SUMSQ('TS-PILE'!$D$56:$D$75)))))</f>
        <v>0</v>
      </c>
      <c r="D137" s="46">
        <f>IF(A137="",0,MIN(IF('TS-PILE'!$B$56="",1E+99,'TO HOP NLAN'!D137/ncoc+IF(SUMSQ('TS-PILE'!$E$56:$E$75)=0,0,'TO HOP NLAN'!E137*'TS-PILE'!$E$56/SUMSQ('TS-PILE'!$E$56:$E$75))+IF(SUMSQ('TS-PILE'!$D$56:$D$75)=0,0,'TO HOP NLAN'!F137*'TS-PILE'!$D$56/SUMSQ('TS-PILE'!$D$56:$D$75))),IF('TS-PILE'!$B$57="",1E+99,'TO HOP NLAN'!D137/ncoc+IF(SUMSQ('TS-PILE'!$E$56:$E$75)=0,0,'TO HOP NLAN'!E137*'TS-PILE'!$E$57/SUMSQ('TS-PILE'!$E$56:$E$75))+IF(SUMSQ('TS-PILE'!$D$56:$D$75)=0,0,'TO HOP NLAN'!F137*'TS-PILE'!$D$57/SUMSQ('TS-PILE'!$D$56:$D$75))),IF('TS-PILE'!$B$58="",1E+99,'TO HOP NLAN'!D137/ncoc+IF(SUMSQ('TS-PILE'!$E$56:$E$75)=0,0,'TO HOP NLAN'!E137*'TS-PILE'!$E$58/SUMSQ('TS-PILE'!$E$56:$E$75))+IF(SUMSQ('TS-PILE'!$D$56:$D$75)=0,0,'TO HOP NLAN'!F137*'TS-PILE'!$D$58/SUMSQ('TS-PILE'!$D$56:$D$75))),IF('TS-PILE'!$B$59="",1E+99,'TO HOP NLAN'!D137/ncoc+IF(SUMSQ('TS-PILE'!$E$56:$E$75)=0,0,'TO HOP NLAN'!E137*'TS-PILE'!$E$59/SUMSQ('TS-PILE'!$E$56:$E$75))+IF(SUMSQ('TS-PILE'!$D$56:$D$75)=0,0,'TO HOP NLAN'!F137*'TS-PILE'!$D$59/SUMSQ('TS-PILE'!$D$56:$D$75))),IF('TS-PILE'!$B$60="",1E+99,'TO HOP NLAN'!D137/ncoc+IF(SUMSQ('TS-PILE'!$E$56:$E$75)=0,0,'TO HOP NLAN'!E137*'TS-PILE'!$E$60/SUMSQ('TS-PILE'!$E$56:$E$75))+IF(SUMSQ('TS-PILE'!$D$56:$D$75)=0,0,'TO HOP NLAN'!F137*'TS-PILE'!$D$60/SUMSQ('TS-PILE'!$D$56:$D$75))),IF('TS-PILE'!$B$61="",1E+99,'TO HOP NLAN'!D137/ncoc+IF(SUMSQ('TS-PILE'!$E$56:$E$75)=0,0,'TO HOP NLAN'!E137*'TS-PILE'!$E$61/SUMSQ('TS-PILE'!$E$56:$E$75))+IF(SUMSQ('TS-PILE'!$D$56:$D$75)=0,0,'TO HOP NLAN'!F137*'TS-PILE'!$D$61/SUMSQ('TS-PILE'!$D$56:$D$75))),IF('TS-PILE'!$B$62="",1E+99,'TO HOP NLAN'!D137/ncoc+IF(SUMSQ('TS-PILE'!$E$56:$E$75)=0,0,'TO HOP NLAN'!E137*'TS-PILE'!$E$62/SUMSQ('TS-PILE'!$E$56:$E$75))+IF(SUMSQ('TS-PILE'!$D$56:$D$75)=0,0,'TO HOP NLAN'!F137*'TS-PILE'!$D$62/SUMSQ('TS-PILE'!$D$56:$D$75))),IF('TS-PILE'!$B$63="",1E+99,'TO HOP NLAN'!D137/ncoc+IF(SUMSQ('TS-PILE'!$E$56:$E$75)=0,0,'TO HOP NLAN'!E137*'TS-PILE'!$E$63/SUMSQ('TS-PILE'!$E$56:$E$75))+IF(SUMSQ('TS-PILE'!$D$56:$D$75)=0,0,'TO HOP NLAN'!F137*'TS-PILE'!$D$63/SUMSQ('TS-PILE'!$D$56:$D$75))),IF('TS-PILE'!$B$64="",1E+99,'TO HOP NLAN'!D137/ncoc+IF(SUMSQ('TS-PILE'!$E$56:$E$75)=0,0,'TO HOP NLAN'!E137*'TS-PILE'!$E$64/SUMSQ('TS-PILE'!$E$56:$E$75))+IF(SUMSQ('TS-PILE'!$D$56:$D$75)=0,0,'TO HOP NLAN'!F137*'TS-PILE'!$D$64/SUMSQ('TS-PILE'!$D$56:$D$75))),IF('TS-PILE'!$B$65="",1E+99,'TO HOP NLAN'!D137/ncoc+IF(SUMSQ('TS-PILE'!$E$56:$E$75)=0,0,'TO HOP NLAN'!E137*'TS-PILE'!$E$65/SUMSQ('TS-PILE'!$E$56:$E$75))+IF(SUMSQ('TS-PILE'!$D$56:$D$75)=0,0,'TO HOP NLAN'!F137*'TS-PILE'!$D$65/SUMSQ('TS-PILE'!$D$56:$D$75))),IF('TS-PILE'!$B$66="",1E+99,'TO HOP NLAN'!D137/ncoc+IF(SUMSQ('TS-PILE'!$E$56:$E$75)=0,0,'TO HOP NLAN'!E137*'TS-PILE'!$E$66/SUMSQ('TS-PILE'!$E$56:$E$75))+IF(SUMSQ('TS-PILE'!$D$56:$D$75)=0,0,'TO HOP NLAN'!F137*'TS-PILE'!$D$66/SUMSQ('TS-PILE'!$D$56:$D$75))),IF('TS-PILE'!$B$67="",1E+99,'TO HOP NLAN'!D137/ncoc+IF(SUMSQ('TS-PILE'!$E$56:$E$75)=0,0,'TO HOP NLAN'!E137*'TS-PILE'!$E$67/SUMSQ('TS-PILE'!$E$56:$E$75))+IF(SUMSQ('TS-PILE'!$D$56:$D$75)=0,0,'TO HOP NLAN'!F137*'TS-PILE'!$D$67/SUMSQ('TS-PILE'!$D$56:$D$75))),IF('TS-PILE'!$B$68="",1E+99,'TO HOP NLAN'!D137/ncoc+IF(SUMSQ('TS-PILE'!$E$56:$E$75)=0,0,'TO HOP NLAN'!E137*'TS-PILE'!$E$68/SUMSQ('TS-PILE'!$E$56:$E$75))+IF(SUMSQ('TS-PILE'!$D$56:$D$75)=0,0,'TO HOP NLAN'!F137*'TS-PILE'!$D$68/SUMSQ('TS-PILE'!$D$56:$D$75))),IF('TS-PILE'!$B$69="",1E+99,'TO HOP NLAN'!D137/ncoc+IF(SUMSQ('TS-PILE'!$E$56:$E$75)=0,0,'TO HOP NLAN'!E137*'TS-PILE'!$E$69/SUMSQ('TS-PILE'!$E$56:$E$75))+IF(SUMSQ('TS-PILE'!$D$56:$D$75)=0,0,'TO HOP NLAN'!F137*'TS-PILE'!$D$69/SUMSQ('TS-PILE'!$D$56:$D$75))),IF('TS-PILE'!$B$70="",1E+99,'TO HOP NLAN'!D137/ncoc+IF(SUMSQ('TS-PILE'!$E$56:$E$75)=0,0,'TO HOP NLAN'!E137*'TS-PILE'!$E$70/SUMSQ('TS-PILE'!$E$56:$E$75))+IF(SUMSQ('TS-PILE'!$D$56:$D$75)=0,0,'TO HOP NLAN'!F137*'TS-PILE'!$D$70/SUMSQ('TS-PILE'!$D$56:$D$75))),IF('TS-PILE'!$B$71="",1E+99,'TO HOP NLAN'!D137/ncoc+IF(SUMSQ('TS-PILE'!$E$56:$E$75)=0,0,'TO HOP NLAN'!E137*'TS-PILE'!$E$71/SUMSQ('TS-PILE'!$E$56:$E$75))+IF(SUMSQ('TS-PILE'!$D$56:$D$75)=0,0,'TO HOP NLAN'!F137*'TS-PILE'!$D$71/SUMSQ('TS-PILE'!$D$56:$D$75))),IF('TS-PILE'!$B$72="",1E+99,'TO HOP NLAN'!D137/ncoc+IF(SUMSQ('TS-PILE'!$E$56:$E$75)=0,0,'TO HOP NLAN'!E137*'TS-PILE'!$E$72/SUMSQ('TS-PILE'!$E$56:$E$75))+IF(SUMSQ('TS-PILE'!$D$56:$D$75)=0,0,'TO HOP NLAN'!F137*'TS-PILE'!$D$72/SUMSQ('TS-PILE'!$D$56:$D$75))),IF('TS-PILE'!$B$73="",1E+99,'TO HOP NLAN'!D137/ncoc+IF(SUMSQ('TS-PILE'!$E$56:$E$75)=0,0,'TO HOP NLAN'!E137*'TS-PILE'!$E$73/SUMSQ('TS-PILE'!$E$56:$E$75))+IF(SUMSQ('TS-PILE'!$D$56:$D$75)=0,0,'TO HOP NLAN'!F137*'TS-PILE'!$D$73/SUMSQ('TS-PILE'!$D$56:$D$75))),IF('TS-PILE'!$B$74="",1E+99,'TO HOP NLAN'!D137/ncoc+IF(SUMSQ('TS-PILE'!$E$56:$E$75)=0,0,'TO HOP NLAN'!E137*'TS-PILE'!$E$74/SUMSQ('TS-PILE'!$E$56:$E$75))+IF(SUMSQ('TS-PILE'!$D$56:$D$75)=0,0,'TO HOP NLAN'!F137*'TS-PILE'!$D$74/SUMSQ('TS-PILE'!$D$56:$D$75))),IF('TS-PILE'!$B$75="",1E+99,'TO HOP NLAN'!D137/ncoc+IF(SUMSQ('TS-PILE'!$E$56:$E$75)=0,0,'TO HOP NLAN'!E137*'TS-PILE'!$E$75/SUMSQ('TS-PILE'!$E$56:$E$75))+IF(SUMSQ('TS-PILE'!$D$56:$D$75)=0,0,'TO HOP NLAN'!F137*'TS-PILE'!$D$75/SUMSQ('TS-PILE'!$D$56:$D$75)))))</f>
        <v>0</v>
      </c>
      <c r="E137" s="46">
        <f t="shared" si="8"/>
        <v>-9.9999999999999997E+98</v>
      </c>
      <c r="F137" s="46">
        <f t="shared" si="9"/>
        <v>9.9999999999999997E+98</v>
      </c>
      <c r="G137" s="46">
        <f t="shared" si="10"/>
        <v>-9.9999999999999997E+98</v>
      </c>
      <c r="H137" s="46">
        <f t="shared" si="11"/>
        <v>9.9999999999999997E+98</v>
      </c>
    </row>
    <row r="138" spans="1:8" x14ac:dyDescent="0.3">
      <c r="A138" s="40" t="str">
        <f>'TO HOP NLAN'!A138</f>
        <v/>
      </c>
      <c r="B138" s="40" t="str">
        <f>'TO HOP NLAN'!L138</f>
        <v>STRENGTH</v>
      </c>
      <c r="C138" s="46">
        <f>IF(A138="",0,MAX(IF('TS-PILE'!$B$56="",-1E+99,'TO HOP NLAN'!D138/ncoc+IF(SUMSQ('TS-PILE'!$E$56:$E$75)=0,0,'TO HOP NLAN'!E138*'TS-PILE'!$E$56/SUMSQ('TS-PILE'!$E$56:$E$75))+IF(SUMSQ('TS-PILE'!$D$56:$D$75)=0,0,'TO HOP NLAN'!F138*'TS-PILE'!$D$56/SUMSQ('TS-PILE'!$D$56:$D$75))),IF('TS-PILE'!$B$57="",-1E+99,'TO HOP NLAN'!D138/ncoc+IF(SUMSQ('TS-PILE'!$E$56:$E$75)=0,0,'TO HOP NLAN'!E138*'TS-PILE'!$E$57/SUMSQ('TS-PILE'!$E$56:$E$75))+IF(SUMSQ('TS-PILE'!$D$56:$D$75)=0,0,'TO HOP NLAN'!F138*'TS-PILE'!$D$57/SUMSQ('TS-PILE'!$D$56:$D$75))),IF('TS-PILE'!$B$58="",-1E+99,'TO HOP NLAN'!D138/ncoc+IF(SUMSQ('TS-PILE'!$E$56:$E$75)=0,0,'TO HOP NLAN'!E138*'TS-PILE'!$E$58/SUMSQ('TS-PILE'!$E$56:$E$75))+IF(SUMSQ('TS-PILE'!$D$56:$D$75)=0,0,'TO HOP NLAN'!F138*'TS-PILE'!$D$58/SUMSQ('TS-PILE'!$D$56:$D$75))),IF('TS-PILE'!$B$59="",-1E+99,'TO HOP NLAN'!D138/ncoc+IF(SUMSQ('TS-PILE'!$E$56:$E$75)=0,0,'TO HOP NLAN'!E138*'TS-PILE'!$E$59/SUMSQ('TS-PILE'!$E$56:$E$75))+IF(SUMSQ('TS-PILE'!$D$56:$D$75)=0,0,'TO HOP NLAN'!F138*'TS-PILE'!$D$59/SUMSQ('TS-PILE'!$D$56:$D$75))),IF('TS-PILE'!$B$60="",-1E+99,'TO HOP NLAN'!D138/ncoc+IF(SUMSQ('TS-PILE'!$E$56:$E$75)=0,0,'TO HOP NLAN'!E138*'TS-PILE'!$E$60/SUMSQ('TS-PILE'!$E$56:$E$75))+IF(SUMSQ('TS-PILE'!$D$56:$D$75)=0,0,'TO HOP NLAN'!F138*'TS-PILE'!$D$60/SUMSQ('TS-PILE'!$D$56:$D$75))),IF('TS-PILE'!$B$61="",-1E+99,'TO HOP NLAN'!D138/ncoc+IF(SUMSQ('TS-PILE'!$E$56:$E$75)=0,0,'TO HOP NLAN'!E138*'TS-PILE'!$E$61/SUMSQ('TS-PILE'!$E$56:$E$75))+IF(SUMSQ('TS-PILE'!$D$56:$D$75)=0,0,'TO HOP NLAN'!F138*'TS-PILE'!$D$61/SUMSQ('TS-PILE'!$D$56:$D$75))),IF('TS-PILE'!$B$62="",-1E+99,'TO HOP NLAN'!D138/ncoc+IF(SUMSQ('TS-PILE'!$E$56:$E$75)=0,0,'TO HOP NLAN'!E138*'TS-PILE'!$E$62/SUMSQ('TS-PILE'!$E$56:$E$75))+IF(SUMSQ('TS-PILE'!$D$56:$D$75)=0,0,'TO HOP NLAN'!F138*'TS-PILE'!$D$62/SUMSQ('TS-PILE'!$D$56:$D$75))),IF('TS-PILE'!$B$63="",-1E+99,'TO HOP NLAN'!D138/ncoc+IF(SUMSQ('TS-PILE'!$E$56:$E$75)=0,0,'TO HOP NLAN'!E138*'TS-PILE'!$E$63/SUMSQ('TS-PILE'!$E$56:$E$75))+IF(SUMSQ('TS-PILE'!$D$56:$D$75)=0,0,'TO HOP NLAN'!F138*'TS-PILE'!$D$63/SUMSQ('TS-PILE'!$D$56:$D$75))),IF('TS-PILE'!$B$64="",-1E+99,'TO HOP NLAN'!D138/ncoc+IF(SUMSQ('TS-PILE'!$E$56:$E$75)=0,0,'TO HOP NLAN'!E138*'TS-PILE'!$E$64/SUMSQ('TS-PILE'!$E$56:$E$75))+IF(SUMSQ('TS-PILE'!$D$56:$D$75)=0,0,'TO HOP NLAN'!F138*'TS-PILE'!$D$64/SUMSQ('TS-PILE'!$D$56:$D$75))),IF('TS-PILE'!$B$65="",-1E+99,'TO HOP NLAN'!D138/ncoc+IF(SUMSQ('TS-PILE'!$E$56:$E$75)=0,0,'TO HOP NLAN'!E138*'TS-PILE'!$E$65/SUMSQ('TS-PILE'!$E$56:$E$75))+IF(SUMSQ('TS-PILE'!$D$56:$D$75)=0,0,'TO HOP NLAN'!F138*'TS-PILE'!$D$65/SUMSQ('TS-PILE'!$D$56:$D$75))),IF('TS-PILE'!$B$66="",-1E+99,'TO HOP NLAN'!D138/ncoc+IF(SUMSQ('TS-PILE'!$E$56:$E$75)=0,0,'TO HOP NLAN'!E138*'TS-PILE'!$E$66/SUMSQ('TS-PILE'!$E$56:$E$75))+IF(SUMSQ('TS-PILE'!$D$56:$D$75)=0,0,'TO HOP NLAN'!F138*'TS-PILE'!$D$66/SUMSQ('TS-PILE'!$D$56:$D$75))),IF('TS-PILE'!$B$67="",-1E+99,'TO HOP NLAN'!D138/ncoc+IF(SUMSQ('TS-PILE'!$E$56:$E$75)=0,0,'TO HOP NLAN'!E138*'TS-PILE'!$E$67/SUMSQ('TS-PILE'!$E$56:$E$75))+IF(SUMSQ('TS-PILE'!$D$56:$D$75)=0,0,'TO HOP NLAN'!F138*'TS-PILE'!$D$67/SUMSQ('TS-PILE'!$D$56:$D$75))),IF('TS-PILE'!$B$68="",-1E+99,'TO HOP NLAN'!D138/ncoc+IF(SUMSQ('TS-PILE'!$E$56:$E$75)=0,0,'TO HOP NLAN'!E138*'TS-PILE'!$E$68/SUMSQ('TS-PILE'!$E$56:$E$75))+IF(SUMSQ('TS-PILE'!$D$56:$D$75)=0,0,'TO HOP NLAN'!F138*'TS-PILE'!$D$68/SUMSQ('TS-PILE'!$D$56:$D$75))),IF('TS-PILE'!$B$69="",-1E+99,'TO HOP NLAN'!D138/ncoc+IF(SUMSQ('TS-PILE'!$E$56:$E$75)=0,0,'TO HOP NLAN'!E138*'TS-PILE'!$E$69/SUMSQ('TS-PILE'!$E$56:$E$75))+IF(SUMSQ('TS-PILE'!$D$56:$D$75)=0,0,'TO HOP NLAN'!F138*'TS-PILE'!$D$69/SUMSQ('TS-PILE'!$D$56:$D$75))),IF('TS-PILE'!$B$70="",-1E+99,'TO HOP NLAN'!D138/ncoc+IF(SUMSQ('TS-PILE'!$E$56:$E$75)=0,0,'TO HOP NLAN'!E138*'TS-PILE'!$E$70/SUMSQ('TS-PILE'!$E$56:$E$75))+IF(SUMSQ('TS-PILE'!$D$56:$D$75)=0,0,'TO HOP NLAN'!F138*'TS-PILE'!$D$70/SUMSQ('TS-PILE'!$D$56:$D$75))),IF('TS-PILE'!$B$71="",-1E+99,'TO HOP NLAN'!D138/ncoc+IF(SUMSQ('TS-PILE'!$E$56:$E$75)=0,0,'TO HOP NLAN'!E138*'TS-PILE'!$E$71/SUMSQ('TS-PILE'!$E$56:$E$75))+IF(SUMSQ('TS-PILE'!$D$56:$D$75)=0,0,'TO HOP NLAN'!F138*'TS-PILE'!$D$71/SUMSQ('TS-PILE'!$D$56:$D$75))),IF('TS-PILE'!$B$72="",-1E+99,'TO HOP NLAN'!D138/ncoc+IF(SUMSQ('TS-PILE'!$E$56:$E$75)=0,0,'TO HOP NLAN'!E138*'TS-PILE'!$E$72/SUMSQ('TS-PILE'!$E$56:$E$75))+IF(SUMSQ('TS-PILE'!$D$56:$D$75)=0,0,'TO HOP NLAN'!F138*'TS-PILE'!$D$72/SUMSQ('TS-PILE'!$D$56:$D$75))),IF('TS-PILE'!$B$73="",-1E+99,'TO HOP NLAN'!D138/ncoc+IF(SUMSQ('TS-PILE'!$E$56:$E$75)=0,0,'TO HOP NLAN'!E138*'TS-PILE'!$E$73/SUMSQ('TS-PILE'!$E$56:$E$75))+IF(SUMSQ('TS-PILE'!$D$56:$D$75)=0,0,'TO HOP NLAN'!F138*'TS-PILE'!$D$73/SUMSQ('TS-PILE'!$D$56:$D$75))),IF('TS-PILE'!$B$74="",-1E+99,'TO HOP NLAN'!D138/ncoc+IF(SUMSQ('TS-PILE'!$E$56:$E$75)=0,0,'TO HOP NLAN'!E138*'TS-PILE'!$E$74/SUMSQ('TS-PILE'!$E$56:$E$75))+IF(SUMSQ('TS-PILE'!$D$56:$D$75)=0,0,'TO HOP NLAN'!F138*'TS-PILE'!$D$74/SUMSQ('TS-PILE'!$D$56:$D$75))),IF('TS-PILE'!$B$75="",-1E+99,'TO HOP NLAN'!D138/ncoc+IF(SUMSQ('TS-PILE'!$E$56:$E$75)=0,0,'TO HOP NLAN'!E138*'TS-PILE'!$E$75/SUMSQ('TS-PILE'!$E$56:$E$75))+IF(SUMSQ('TS-PILE'!$D$56:$D$75)=0,0,'TO HOP NLAN'!F138*'TS-PILE'!$D$75/SUMSQ('TS-PILE'!$D$56:$D$75)))))</f>
        <v>0</v>
      </c>
      <c r="D138" s="46">
        <f>IF(A138="",0,MIN(IF('TS-PILE'!$B$56="",1E+99,'TO HOP NLAN'!D138/ncoc+IF(SUMSQ('TS-PILE'!$E$56:$E$75)=0,0,'TO HOP NLAN'!E138*'TS-PILE'!$E$56/SUMSQ('TS-PILE'!$E$56:$E$75))+IF(SUMSQ('TS-PILE'!$D$56:$D$75)=0,0,'TO HOP NLAN'!F138*'TS-PILE'!$D$56/SUMSQ('TS-PILE'!$D$56:$D$75))),IF('TS-PILE'!$B$57="",1E+99,'TO HOP NLAN'!D138/ncoc+IF(SUMSQ('TS-PILE'!$E$56:$E$75)=0,0,'TO HOP NLAN'!E138*'TS-PILE'!$E$57/SUMSQ('TS-PILE'!$E$56:$E$75))+IF(SUMSQ('TS-PILE'!$D$56:$D$75)=0,0,'TO HOP NLAN'!F138*'TS-PILE'!$D$57/SUMSQ('TS-PILE'!$D$56:$D$75))),IF('TS-PILE'!$B$58="",1E+99,'TO HOP NLAN'!D138/ncoc+IF(SUMSQ('TS-PILE'!$E$56:$E$75)=0,0,'TO HOP NLAN'!E138*'TS-PILE'!$E$58/SUMSQ('TS-PILE'!$E$56:$E$75))+IF(SUMSQ('TS-PILE'!$D$56:$D$75)=0,0,'TO HOP NLAN'!F138*'TS-PILE'!$D$58/SUMSQ('TS-PILE'!$D$56:$D$75))),IF('TS-PILE'!$B$59="",1E+99,'TO HOP NLAN'!D138/ncoc+IF(SUMSQ('TS-PILE'!$E$56:$E$75)=0,0,'TO HOP NLAN'!E138*'TS-PILE'!$E$59/SUMSQ('TS-PILE'!$E$56:$E$75))+IF(SUMSQ('TS-PILE'!$D$56:$D$75)=0,0,'TO HOP NLAN'!F138*'TS-PILE'!$D$59/SUMSQ('TS-PILE'!$D$56:$D$75))),IF('TS-PILE'!$B$60="",1E+99,'TO HOP NLAN'!D138/ncoc+IF(SUMSQ('TS-PILE'!$E$56:$E$75)=0,0,'TO HOP NLAN'!E138*'TS-PILE'!$E$60/SUMSQ('TS-PILE'!$E$56:$E$75))+IF(SUMSQ('TS-PILE'!$D$56:$D$75)=0,0,'TO HOP NLAN'!F138*'TS-PILE'!$D$60/SUMSQ('TS-PILE'!$D$56:$D$75))),IF('TS-PILE'!$B$61="",1E+99,'TO HOP NLAN'!D138/ncoc+IF(SUMSQ('TS-PILE'!$E$56:$E$75)=0,0,'TO HOP NLAN'!E138*'TS-PILE'!$E$61/SUMSQ('TS-PILE'!$E$56:$E$75))+IF(SUMSQ('TS-PILE'!$D$56:$D$75)=0,0,'TO HOP NLAN'!F138*'TS-PILE'!$D$61/SUMSQ('TS-PILE'!$D$56:$D$75))),IF('TS-PILE'!$B$62="",1E+99,'TO HOP NLAN'!D138/ncoc+IF(SUMSQ('TS-PILE'!$E$56:$E$75)=0,0,'TO HOP NLAN'!E138*'TS-PILE'!$E$62/SUMSQ('TS-PILE'!$E$56:$E$75))+IF(SUMSQ('TS-PILE'!$D$56:$D$75)=0,0,'TO HOP NLAN'!F138*'TS-PILE'!$D$62/SUMSQ('TS-PILE'!$D$56:$D$75))),IF('TS-PILE'!$B$63="",1E+99,'TO HOP NLAN'!D138/ncoc+IF(SUMSQ('TS-PILE'!$E$56:$E$75)=0,0,'TO HOP NLAN'!E138*'TS-PILE'!$E$63/SUMSQ('TS-PILE'!$E$56:$E$75))+IF(SUMSQ('TS-PILE'!$D$56:$D$75)=0,0,'TO HOP NLAN'!F138*'TS-PILE'!$D$63/SUMSQ('TS-PILE'!$D$56:$D$75))),IF('TS-PILE'!$B$64="",1E+99,'TO HOP NLAN'!D138/ncoc+IF(SUMSQ('TS-PILE'!$E$56:$E$75)=0,0,'TO HOP NLAN'!E138*'TS-PILE'!$E$64/SUMSQ('TS-PILE'!$E$56:$E$75))+IF(SUMSQ('TS-PILE'!$D$56:$D$75)=0,0,'TO HOP NLAN'!F138*'TS-PILE'!$D$64/SUMSQ('TS-PILE'!$D$56:$D$75))),IF('TS-PILE'!$B$65="",1E+99,'TO HOP NLAN'!D138/ncoc+IF(SUMSQ('TS-PILE'!$E$56:$E$75)=0,0,'TO HOP NLAN'!E138*'TS-PILE'!$E$65/SUMSQ('TS-PILE'!$E$56:$E$75))+IF(SUMSQ('TS-PILE'!$D$56:$D$75)=0,0,'TO HOP NLAN'!F138*'TS-PILE'!$D$65/SUMSQ('TS-PILE'!$D$56:$D$75))),IF('TS-PILE'!$B$66="",1E+99,'TO HOP NLAN'!D138/ncoc+IF(SUMSQ('TS-PILE'!$E$56:$E$75)=0,0,'TO HOP NLAN'!E138*'TS-PILE'!$E$66/SUMSQ('TS-PILE'!$E$56:$E$75))+IF(SUMSQ('TS-PILE'!$D$56:$D$75)=0,0,'TO HOP NLAN'!F138*'TS-PILE'!$D$66/SUMSQ('TS-PILE'!$D$56:$D$75))),IF('TS-PILE'!$B$67="",1E+99,'TO HOP NLAN'!D138/ncoc+IF(SUMSQ('TS-PILE'!$E$56:$E$75)=0,0,'TO HOP NLAN'!E138*'TS-PILE'!$E$67/SUMSQ('TS-PILE'!$E$56:$E$75))+IF(SUMSQ('TS-PILE'!$D$56:$D$75)=0,0,'TO HOP NLAN'!F138*'TS-PILE'!$D$67/SUMSQ('TS-PILE'!$D$56:$D$75))),IF('TS-PILE'!$B$68="",1E+99,'TO HOP NLAN'!D138/ncoc+IF(SUMSQ('TS-PILE'!$E$56:$E$75)=0,0,'TO HOP NLAN'!E138*'TS-PILE'!$E$68/SUMSQ('TS-PILE'!$E$56:$E$75))+IF(SUMSQ('TS-PILE'!$D$56:$D$75)=0,0,'TO HOP NLAN'!F138*'TS-PILE'!$D$68/SUMSQ('TS-PILE'!$D$56:$D$75))),IF('TS-PILE'!$B$69="",1E+99,'TO HOP NLAN'!D138/ncoc+IF(SUMSQ('TS-PILE'!$E$56:$E$75)=0,0,'TO HOP NLAN'!E138*'TS-PILE'!$E$69/SUMSQ('TS-PILE'!$E$56:$E$75))+IF(SUMSQ('TS-PILE'!$D$56:$D$75)=0,0,'TO HOP NLAN'!F138*'TS-PILE'!$D$69/SUMSQ('TS-PILE'!$D$56:$D$75))),IF('TS-PILE'!$B$70="",1E+99,'TO HOP NLAN'!D138/ncoc+IF(SUMSQ('TS-PILE'!$E$56:$E$75)=0,0,'TO HOP NLAN'!E138*'TS-PILE'!$E$70/SUMSQ('TS-PILE'!$E$56:$E$75))+IF(SUMSQ('TS-PILE'!$D$56:$D$75)=0,0,'TO HOP NLAN'!F138*'TS-PILE'!$D$70/SUMSQ('TS-PILE'!$D$56:$D$75))),IF('TS-PILE'!$B$71="",1E+99,'TO HOP NLAN'!D138/ncoc+IF(SUMSQ('TS-PILE'!$E$56:$E$75)=0,0,'TO HOP NLAN'!E138*'TS-PILE'!$E$71/SUMSQ('TS-PILE'!$E$56:$E$75))+IF(SUMSQ('TS-PILE'!$D$56:$D$75)=0,0,'TO HOP NLAN'!F138*'TS-PILE'!$D$71/SUMSQ('TS-PILE'!$D$56:$D$75))),IF('TS-PILE'!$B$72="",1E+99,'TO HOP NLAN'!D138/ncoc+IF(SUMSQ('TS-PILE'!$E$56:$E$75)=0,0,'TO HOP NLAN'!E138*'TS-PILE'!$E$72/SUMSQ('TS-PILE'!$E$56:$E$75))+IF(SUMSQ('TS-PILE'!$D$56:$D$75)=0,0,'TO HOP NLAN'!F138*'TS-PILE'!$D$72/SUMSQ('TS-PILE'!$D$56:$D$75))),IF('TS-PILE'!$B$73="",1E+99,'TO HOP NLAN'!D138/ncoc+IF(SUMSQ('TS-PILE'!$E$56:$E$75)=0,0,'TO HOP NLAN'!E138*'TS-PILE'!$E$73/SUMSQ('TS-PILE'!$E$56:$E$75))+IF(SUMSQ('TS-PILE'!$D$56:$D$75)=0,0,'TO HOP NLAN'!F138*'TS-PILE'!$D$73/SUMSQ('TS-PILE'!$D$56:$D$75))),IF('TS-PILE'!$B$74="",1E+99,'TO HOP NLAN'!D138/ncoc+IF(SUMSQ('TS-PILE'!$E$56:$E$75)=0,0,'TO HOP NLAN'!E138*'TS-PILE'!$E$74/SUMSQ('TS-PILE'!$E$56:$E$75))+IF(SUMSQ('TS-PILE'!$D$56:$D$75)=0,0,'TO HOP NLAN'!F138*'TS-PILE'!$D$74/SUMSQ('TS-PILE'!$D$56:$D$75))),IF('TS-PILE'!$B$75="",1E+99,'TO HOP NLAN'!D138/ncoc+IF(SUMSQ('TS-PILE'!$E$56:$E$75)=0,0,'TO HOP NLAN'!E138*'TS-PILE'!$E$75/SUMSQ('TS-PILE'!$E$56:$E$75))+IF(SUMSQ('TS-PILE'!$D$56:$D$75)=0,0,'TO HOP NLAN'!F138*'TS-PILE'!$D$75/SUMSQ('TS-PILE'!$D$56:$D$75)))))</f>
        <v>0</v>
      </c>
      <c r="E138" s="46">
        <f t="shared" si="8"/>
        <v>-9.9999999999999997E+98</v>
      </c>
      <c r="F138" s="46">
        <f t="shared" si="9"/>
        <v>9.9999999999999997E+98</v>
      </c>
      <c r="G138" s="46">
        <f t="shared" si="10"/>
        <v>-9.9999999999999997E+98</v>
      </c>
      <c r="H138" s="46">
        <f t="shared" si="11"/>
        <v>9.9999999999999997E+98</v>
      </c>
    </row>
    <row r="139" spans="1:8" x14ac:dyDescent="0.3">
      <c r="A139" s="40" t="str">
        <f>'TO HOP NLAN'!A139</f>
        <v/>
      </c>
      <c r="B139" s="40" t="str">
        <f>'TO HOP NLAN'!L139</f>
        <v>STRENGTH</v>
      </c>
      <c r="C139" s="46">
        <f>IF(A139="",0,MAX(IF('TS-PILE'!$B$56="",-1E+99,'TO HOP NLAN'!D139/ncoc+IF(SUMSQ('TS-PILE'!$E$56:$E$75)=0,0,'TO HOP NLAN'!E139*'TS-PILE'!$E$56/SUMSQ('TS-PILE'!$E$56:$E$75))+IF(SUMSQ('TS-PILE'!$D$56:$D$75)=0,0,'TO HOP NLAN'!F139*'TS-PILE'!$D$56/SUMSQ('TS-PILE'!$D$56:$D$75))),IF('TS-PILE'!$B$57="",-1E+99,'TO HOP NLAN'!D139/ncoc+IF(SUMSQ('TS-PILE'!$E$56:$E$75)=0,0,'TO HOP NLAN'!E139*'TS-PILE'!$E$57/SUMSQ('TS-PILE'!$E$56:$E$75))+IF(SUMSQ('TS-PILE'!$D$56:$D$75)=0,0,'TO HOP NLAN'!F139*'TS-PILE'!$D$57/SUMSQ('TS-PILE'!$D$56:$D$75))),IF('TS-PILE'!$B$58="",-1E+99,'TO HOP NLAN'!D139/ncoc+IF(SUMSQ('TS-PILE'!$E$56:$E$75)=0,0,'TO HOP NLAN'!E139*'TS-PILE'!$E$58/SUMSQ('TS-PILE'!$E$56:$E$75))+IF(SUMSQ('TS-PILE'!$D$56:$D$75)=0,0,'TO HOP NLAN'!F139*'TS-PILE'!$D$58/SUMSQ('TS-PILE'!$D$56:$D$75))),IF('TS-PILE'!$B$59="",-1E+99,'TO HOP NLAN'!D139/ncoc+IF(SUMSQ('TS-PILE'!$E$56:$E$75)=0,0,'TO HOP NLAN'!E139*'TS-PILE'!$E$59/SUMSQ('TS-PILE'!$E$56:$E$75))+IF(SUMSQ('TS-PILE'!$D$56:$D$75)=0,0,'TO HOP NLAN'!F139*'TS-PILE'!$D$59/SUMSQ('TS-PILE'!$D$56:$D$75))),IF('TS-PILE'!$B$60="",-1E+99,'TO HOP NLAN'!D139/ncoc+IF(SUMSQ('TS-PILE'!$E$56:$E$75)=0,0,'TO HOP NLAN'!E139*'TS-PILE'!$E$60/SUMSQ('TS-PILE'!$E$56:$E$75))+IF(SUMSQ('TS-PILE'!$D$56:$D$75)=0,0,'TO HOP NLAN'!F139*'TS-PILE'!$D$60/SUMSQ('TS-PILE'!$D$56:$D$75))),IF('TS-PILE'!$B$61="",-1E+99,'TO HOP NLAN'!D139/ncoc+IF(SUMSQ('TS-PILE'!$E$56:$E$75)=0,0,'TO HOP NLAN'!E139*'TS-PILE'!$E$61/SUMSQ('TS-PILE'!$E$56:$E$75))+IF(SUMSQ('TS-PILE'!$D$56:$D$75)=0,0,'TO HOP NLAN'!F139*'TS-PILE'!$D$61/SUMSQ('TS-PILE'!$D$56:$D$75))),IF('TS-PILE'!$B$62="",-1E+99,'TO HOP NLAN'!D139/ncoc+IF(SUMSQ('TS-PILE'!$E$56:$E$75)=0,0,'TO HOP NLAN'!E139*'TS-PILE'!$E$62/SUMSQ('TS-PILE'!$E$56:$E$75))+IF(SUMSQ('TS-PILE'!$D$56:$D$75)=0,0,'TO HOP NLAN'!F139*'TS-PILE'!$D$62/SUMSQ('TS-PILE'!$D$56:$D$75))),IF('TS-PILE'!$B$63="",-1E+99,'TO HOP NLAN'!D139/ncoc+IF(SUMSQ('TS-PILE'!$E$56:$E$75)=0,0,'TO HOP NLAN'!E139*'TS-PILE'!$E$63/SUMSQ('TS-PILE'!$E$56:$E$75))+IF(SUMSQ('TS-PILE'!$D$56:$D$75)=0,0,'TO HOP NLAN'!F139*'TS-PILE'!$D$63/SUMSQ('TS-PILE'!$D$56:$D$75))),IF('TS-PILE'!$B$64="",-1E+99,'TO HOP NLAN'!D139/ncoc+IF(SUMSQ('TS-PILE'!$E$56:$E$75)=0,0,'TO HOP NLAN'!E139*'TS-PILE'!$E$64/SUMSQ('TS-PILE'!$E$56:$E$75))+IF(SUMSQ('TS-PILE'!$D$56:$D$75)=0,0,'TO HOP NLAN'!F139*'TS-PILE'!$D$64/SUMSQ('TS-PILE'!$D$56:$D$75))),IF('TS-PILE'!$B$65="",-1E+99,'TO HOP NLAN'!D139/ncoc+IF(SUMSQ('TS-PILE'!$E$56:$E$75)=0,0,'TO HOP NLAN'!E139*'TS-PILE'!$E$65/SUMSQ('TS-PILE'!$E$56:$E$75))+IF(SUMSQ('TS-PILE'!$D$56:$D$75)=0,0,'TO HOP NLAN'!F139*'TS-PILE'!$D$65/SUMSQ('TS-PILE'!$D$56:$D$75))),IF('TS-PILE'!$B$66="",-1E+99,'TO HOP NLAN'!D139/ncoc+IF(SUMSQ('TS-PILE'!$E$56:$E$75)=0,0,'TO HOP NLAN'!E139*'TS-PILE'!$E$66/SUMSQ('TS-PILE'!$E$56:$E$75))+IF(SUMSQ('TS-PILE'!$D$56:$D$75)=0,0,'TO HOP NLAN'!F139*'TS-PILE'!$D$66/SUMSQ('TS-PILE'!$D$56:$D$75))),IF('TS-PILE'!$B$67="",-1E+99,'TO HOP NLAN'!D139/ncoc+IF(SUMSQ('TS-PILE'!$E$56:$E$75)=0,0,'TO HOP NLAN'!E139*'TS-PILE'!$E$67/SUMSQ('TS-PILE'!$E$56:$E$75))+IF(SUMSQ('TS-PILE'!$D$56:$D$75)=0,0,'TO HOP NLAN'!F139*'TS-PILE'!$D$67/SUMSQ('TS-PILE'!$D$56:$D$75))),IF('TS-PILE'!$B$68="",-1E+99,'TO HOP NLAN'!D139/ncoc+IF(SUMSQ('TS-PILE'!$E$56:$E$75)=0,0,'TO HOP NLAN'!E139*'TS-PILE'!$E$68/SUMSQ('TS-PILE'!$E$56:$E$75))+IF(SUMSQ('TS-PILE'!$D$56:$D$75)=0,0,'TO HOP NLAN'!F139*'TS-PILE'!$D$68/SUMSQ('TS-PILE'!$D$56:$D$75))),IF('TS-PILE'!$B$69="",-1E+99,'TO HOP NLAN'!D139/ncoc+IF(SUMSQ('TS-PILE'!$E$56:$E$75)=0,0,'TO HOP NLAN'!E139*'TS-PILE'!$E$69/SUMSQ('TS-PILE'!$E$56:$E$75))+IF(SUMSQ('TS-PILE'!$D$56:$D$75)=0,0,'TO HOP NLAN'!F139*'TS-PILE'!$D$69/SUMSQ('TS-PILE'!$D$56:$D$75))),IF('TS-PILE'!$B$70="",-1E+99,'TO HOP NLAN'!D139/ncoc+IF(SUMSQ('TS-PILE'!$E$56:$E$75)=0,0,'TO HOP NLAN'!E139*'TS-PILE'!$E$70/SUMSQ('TS-PILE'!$E$56:$E$75))+IF(SUMSQ('TS-PILE'!$D$56:$D$75)=0,0,'TO HOP NLAN'!F139*'TS-PILE'!$D$70/SUMSQ('TS-PILE'!$D$56:$D$75))),IF('TS-PILE'!$B$71="",-1E+99,'TO HOP NLAN'!D139/ncoc+IF(SUMSQ('TS-PILE'!$E$56:$E$75)=0,0,'TO HOP NLAN'!E139*'TS-PILE'!$E$71/SUMSQ('TS-PILE'!$E$56:$E$75))+IF(SUMSQ('TS-PILE'!$D$56:$D$75)=0,0,'TO HOP NLAN'!F139*'TS-PILE'!$D$71/SUMSQ('TS-PILE'!$D$56:$D$75))),IF('TS-PILE'!$B$72="",-1E+99,'TO HOP NLAN'!D139/ncoc+IF(SUMSQ('TS-PILE'!$E$56:$E$75)=0,0,'TO HOP NLAN'!E139*'TS-PILE'!$E$72/SUMSQ('TS-PILE'!$E$56:$E$75))+IF(SUMSQ('TS-PILE'!$D$56:$D$75)=0,0,'TO HOP NLAN'!F139*'TS-PILE'!$D$72/SUMSQ('TS-PILE'!$D$56:$D$75))),IF('TS-PILE'!$B$73="",-1E+99,'TO HOP NLAN'!D139/ncoc+IF(SUMSQ('TS-PILE'!$E$56:$E$75)=0,0,'TO HOP NLAN'!E139*'TS-PILE'!$E$73/SUMSQ('TS-PILE'!$E$56:$E$75))+IF(SUMSQ('TS-PILE'!$D$56:$D$75)=0,0,'TO HOP NLAN'!F139*'TS-PILE'!$D$73/SUMSQ('TS-PILE'!$D$56:$D$75))),IF('TS-PILE'!$B$74="",-1E+99,'TO HOP NLAN'!D139/ncoc+IF(SUMSQ('TS-PILE'!$E$56:$E$75)=0,0,'TO HOP NLAN'!E139*'TS-PILE'!$E$74/SUMSQ('TS-PILE'!$E$56:$E$75))+IF(SUMSQ('TS-PILE'!$D$56:$D$75)=0,0,'TO HOP NLAN'!F139*'TS-PILE'!$D$74/SUMSQ('TS-PILE'!$D$56:$D$75))),IF('TS-PILE'!$B$75="",-1E+99,'TO HOP NLAN'!D139/ncoc+IF(SUMSQ('TS-PILE'!$E$56:$E$75)=0,0,'TO HOP NLAN'!E139*'TS-PILE'!$E$75/SUMSQ('TS-PILE'!$E$56:$E$75))+IF(SUMSQ('TS-PILE'!$D$56:$D$75)=0,0,'TO HOP NLAN'!F139*'TS-PILE'!$D$75/SUMSQ('TS-PILE'!$D$56:$D$75)))))</f>
        <v>0</v>
      </c>
      <c r="D139" s="46">
        <f>IF(A139="",0,MIN(IF('TS-PILE'!$B$56="",1E+99,'TO HOP NLAN'!D139/ncoc+IF(SUMSQ('TS-PILE'!$E$56:$E$75)=0,0,'TO HOP NLAN'!E139*'TS-PILE'!$E$56/SUMSQ('TS-PILE'!$E$56:$E$75))+IF(SUMSQ('TS-PILE'!$D$56:$D$75)=0,0,'TO HOP NLAN'!F139*'TS-PILE'!$D$56/SUMSQ('TS-PILE'!$D$56:$D$75))),IF('TS-PILE'!$B$57="",1E+99,'TO HOP NLAN'!D139/ncoc+IF(SUMSQ('TS-PILE'!$E$56:$E$75)=0,0,'TO HOP NLAN'!E139*'TS-PILE'!$E$57/SUMSQ('TS-PILE'!$E$56:$E$75))+IF(SUMSQ('TS-PILE'!$D$56:$D$75)=0,0,'TO HOP NLAN'!F139*'TS-PILE'!$D$57/SUMSQ('TS-PILE'!$D$56:$D$75))),IF('TS-PILE'!$B$58="",1E+99,'TO HOP NLAN'!D139/ncoc+IF(SUMSQ('TS-PILE'!$E$56:$E$75)=0,0,'TO HOP NLAN'!E139*'TS-PILE'!$E$58/SUMSQ('TS-PILE'!$E$56:$E$75))+IF(SUMSQ('TS-PILE'!$D$56:$D$75)=0,0,'TO HOP NLAN'!F139*'TS-PILE'!$D$58/SUMSQ('TS-PILE'!$D$56:$D$75))),IF('TS-PILE'!$B$59="",1E+99,'TO HOP NLAN'!D139/ncoc+IF(SUMSQ('TS-PILE'!$E$56:$E$75)=0,0,'TO HOP NLAN'!E139*'TS-PILE'!$E$59/SUMSQ('TS-PILE'!$E$56:$E$75))+IF(SUMSQ('TS-PILE'!$D$56:$D$75)=0,0,'TO HOP NLAN'!F139*'TS-PILE'!$D$59/SUMSQ('TS-PILE'!$D$56:$D$75))),IF('TS-PILE'!$B$60="",1E+99,'TO HOP NLAN'!D139/ncoc+IF(SUMSQ('TS-PILE'!$E$56:$E$75)=0,0,'TO HOP NLAN'!E139*'TS-PILE'!$E$60/SUMSQ('TS-PILE'!$E$56:$E$75))+IF(SUMSQ('TS-PILE'!$D$56:$D$75)=0,0,'TO HOP NLAN'!F139*'TS-PILE'!$D$60/SUMSQ('TS-PILE'!$D$56:$D$75))),IF('TS-PILE'!$B$61="",1E+99,'TO HOP NLAN'!D139/ncoc+IF(SUMSQ('TS-PILE'!$E$56:$E$75)=0,0,'TO HOP NLAN'!E139*'TS-PILE'!$E$61/SUMSQ('TS-PILE'!$E$56:$E$75))+IF(SUMSQ('TS-PILE'!$D$56:$D$75)=0,0,'TO HOP NLAN'!F139*'TS-PILE'!$D$61/SUMSQ('TS-PILE'!$D$56:$D$75))),IF('TS-PILE'!$B$62="",1E+99,'TO HOP NLAN'!D139/ncoc+IF(SUMSQ('TS-PILE'!$E$56:$E$75)=0,0,'TO HOP NLAN'!E139*'TS-PILE'!$E$62/SUMSQ('TS-PILE'!$E$56:$E$75))+IF(SUMSQ('TS-PILE'!$D$56:$D$75)=0,0,'TO HOP NLAN'!F139*'TS-PILE'!$D$62/SUMSQ('TS-PILE'!$D$56:$D$75))),IF('TS-PILE'!$B$63="",1E+99,'TO HOP NLAN'!D139/ncoc+IF(SUMSQ('TS-PILE'!$E$56:$E$75)=0,0,'TO HOP NLAN'!E139*'TS-PILE'!$E$63/SUMSQ('TS-PILE'!$E$56:$E$75))+IF(SUMSQ('TS-PILE'!$D$56:$D$75)=0,0,'TO HOP NLAN'!F139*'TS-PILE'!$D$63/SUMSQ('TS-PILE'!$D$56:$D$75))),IF('TS-PILE'!$B$64="",1E+99,'TO HOP NLAN'!D139/ncoc+IF(SUMSQ('TS-PILE'!$E$56:$E$75)=0,0,'TO HOP NLAN'!E139*'TS-PILE'!$E$64/SUMSQ('TS-PILE'!$E$56:$E$75))+IF(SUMSQ('TS-PILE'!$D$56:$D$75)=0,0,'TO HOP NLAN'!F139*'TS-PILE'!$D$64/SUMSQ('TS-PILE'!$D$56:$D$75))),IF('TS-PILE'!$B$65="",1E+99,'TO HOP NLAN'!D139/ncoc+IF(SUMSQ('TS-PILE'!$E$56:$E$75)=0,0,'TO HOP NLAN'!E139*'TS-PILE'!$E$65/SUMSQ('TS-PILE'!$E$56:$E$75))+IF(SUMSQ('TS-PILE'!$D$56:$D$75)=0,0,'TO HOP NLAN'!F139*'TS-PILE'!$D$65/SUMSQ('TS-PILE'!$D$56:$D$75))),IF('TS-PILE'!$B$66="",1E+99,'TO HOP NLAN'!D139/ncoc+IF(SUMSQ('TS-PILE'!$E$56:$E$75)=0,0,'TO HOP NLAN'!E139*'TS-PILE'!$E$66/SUMSQ('TS-PILE'!$E$56:$E$75))+IF(SUMSQ('TS-PILE'!$D$56:$D$75)=0,0,'TO HOP NLAN'!F139*'TS-PILE'!$D$66/SUMSQ('TS-PILE'!$D$56:$D$75))),IF('TS-PILE'!$B$67="",1E+99,'TO HOP NLAN'!D139/ncoc+IF(SUMSQ('TS-PILE'!$E$56:$E$75)=0,0,'TO HOP NLAN'!E139*'TS-PILE'!$E$67/SUMSQ('TS-PILE'!$E$56:$E$75))+IF(SUMSQ('TS-PILE'!$D$56:$D$75)=0,0,'TO HOP NLAN'!F139*'TS-PILE'!$D$67/SUMSQ('TS-PILE'!$D$56:$D$75))),IF('TS-PILE'!$B$68="",1E+99,'TO HOP NLAN'!D139/ncoc+IF(SUMSQ('TS-PILE'!$E$56:$E$75)=0,0,'TO HOP NLAN'!E139*'TS-PILE'!$E$68/SUMSQ('TS-PILE'!$E$56:$E$75))+IF(SUMSQ('TS-PILE'!$D$56:$D$75)=0,0,'TO HOP NLAN'!F139*'TS-PILE'!$D$68/SUMSQ('TS-PILE'!$D$56:$D$75))),IF('TS-PILE'!$B$69="",1E+99,'TO HOP NLAN'!D139/ncoc+IF(SUMSQ('TS-PILE'!$E$56:$E$75)=0,0,'TO HOP NLAN'!E139*'TS-PILE'!$E$69/SUMSQ('TS-PILE'!$E$56:$E$75))+IF(SUMSQ('TS-PILE'!$D$56:$D$75)=0,0,'TO HOP NLAN'!F139*'TS-PILE'!$D$69/SUMSQ('TS-PILE'!$D$56:$D$75))),IF('TS-PILE'!$B$70="",1E+99,'TO HOP NLAN'!D139/ncoc+IF(SUMSQ('TS-PILE'!$E$56:$E$75)=0,0,'TO HOP NLAN'!E139*'TS-PILE'!$E$70/SUMSQ('TS-PILE'!$E$56:$E$75))+IF(SUMSQ('TS-PILE'!$D$56:$D$75)=0,0,'TO HOP NLAN'!F139*'TS-PILE'!$D$70/SUMSQ('TS-PILE'!$D$56:$D$75))),IF('TS-PILE'!$B$71="",1E+99,'TO HOP NLAN'!D139/ncoc+IF(SUMSQ('TS-PILE'!$E$56:$E$75)=0,0,'TO HOP NLAN'!E139*'TS-PILE'!$E$71/SUMSQ('TS-PILE'!$E$56:$E$75))+IF(SUMSQ('TS-PILE'!$D$56:$D$75)=0,0,'TO HOP NLAN'!F139*'TS-PILE'!$D$71/SUMSQ('TS-PILE'!$D$56:$D$75))),IF('TS-PILE'!$B$72="",1E+99,'TO HOP NLAN'!D139/ncoc+IF(SUMSQ('TS-PILE'!$E$56:$E$75)=0,0,'TO HOP NLAN'!E139*'TS-PILE'!$E$72/SUMSQ('TS-PILE'!$E$56:$E$75))+IF(SUMSQ('TS-PILE'!$D$56:$D$75)=0,0,'TO HOP NLAN'!F139*'TS-PILE'!$D$72/SUMSQ('TS-PILE'!$D$56:$D$75))),IF('TS-PILE'!$B$73="",1E+99,'TO HOP NLAN'!D139/ncoc+IF(SUMSQ('TS-PILE'!$E$56:$E$75)=0,0,'TO HOP NLAN'!E139*'TS-PILE'!$E$73/SUMSQ('TS-PILE'!$E$56:$E$75))+IF(SUMSQ('TS-PILE'!$D$56:$D$75)=0,0,'TO HOP NLAN'!F139*'TS-PILE'!$D$73/SUMSQ('TS-PILE'!$D$56:$D$75))),IF('TS-PILE'!$B$74="",1E+99,'TO HOP NLAN'!D139/ncoc+IF(SUMSQ('TS-PILE'!$E$56:$E$75)=0,0,'TO HOP NLAN'!E139*'TS-PILE'!$E$74/SUMSQ('TS-PILE'!$E$56:$E$75))+IF(SUMSQ('TS-PILE'!$D$56:$D$75)=0,0,'TO HOP NLAN'!F139*'TS-PILE'!$D$74/SUMSQ('TS-PILE'!$D$56:$D$75))),IF('TS-PILE'!$B$75="",1E+99,'TO HOP NLAN'!D139/ncoc+IF(SUMSQ('TS-PILE'!$E$56:$E$75)=0,0,'TO HOP NLAN'!E139*'TS-PILE'!$E$75/SUMSQ('TS-PILE'!$E$56:$E$75))+IF(SUMSQ('TS-PILE'!$D$56:$D$75)=0,0,'TO HOP NLAN'!F139*'TS-PILE'!$D$75/SUMSQ('TS-PILE'!$D$56:$D$75)))))</f>
        <v>0</v>
      </c>
      <c r="E139" s="46">
        <f t="shared" si="8"/>
        <v>-9.9999999999999997E+98</v>
      </c>
      <c r="F139" s="46">
        <f t="shared" si="9"/>
        <v>9.9999999999999997E+98</v>
      </c>
      <c r="G139" s="46">
        <f t="shared" si="10"/>
        <v>-9.9999999999999997E+98</v>
      </c>
      <c r="H139" s="46">
        <f t="shared" si="11"/>
        <v>9.9999999999999997E+98</v>
      </c>
    </row>
    <row r="140" spans="1:8" x14ac:dyDescent="0.3">
      <c r="A140" s="40" t="str">
        <f>'TO HOP NLAN'!A140</f>
        <v/>
      </c>
      <c r="B140" s="40" t="str">
        <f>'TO HOP NLAN'!L140</f>
        <v>STRENGTH</v>
      </c>
      <c r="C140" s="46">
        <f>IF(A140="",0,MAX(IF('TS-PILE'!$B$56="",-1E+99,'TO HOP NLAN'!D140/ncoc+IF(SUMSQ('TS-PILE'!$E$56:$E$75)=0,0,'TO HOP NLAN'!E140*'TS-PILE'!$E$56/SUMSQ('TS-PILE'!$E$56:$E$75))+IF(SUMSQ('TS-PILE'!$D$56:$D$75)=0,0,'TO HOP NLAN'!F140*'TS-PILE'!$D$56/SUMSQ('TS-PILE'!$D$56:$D$75))),IF('TS-PILE'!$B$57="",-1E+99,'TO HOP NLAN'!D140/ncoc+IF(SUMSQ('TS-PILE'!$E$56:$E$75)=0,0,'TO HOP NLAN'!E140*'TS-PILE'!$E$57/SUMSQ('TS-PILE'!$E$56:$E$75))+IF(SUMSQ('TS-PILE'!$D$56:$D$75)=0,0,'TO HOP NLAN'!F140*'TS-PILE'!$D$57/SUMSQ('TS-PILE'!$D$56:$D$75))),IF('TS-PILE'!$B$58="",-1E+99,'TO HOP NLAN'!D140/ncoc+IF(SUMSQ('TS-PILE'!$E$56:$E$75)=0,0,'TO HOP NLAN'!E140*'TS-PILE'!$E$58/SUMSQ('TS-PILE'!$E$56:$E$75))+IF(SUMSQ('TS-PILE'!$D$56:$D$75)=0,0,'TO HOP NLAN'!F140*'TS-PILE'!$D$58/SUMSQ('TS-PILE'!$D$56:$D$75))),IF('TS-PILE'!$B$59="",-1E+99,'TO HOP NLAN'!D140/ncoc+IF(SUMSQ('TS-PILE'!$E$56:$E$75)=0,0,'TO HOP NLAN'!E140*'TS-PILE'!$E$59/SUMSQ('TS-PILE'!$E$56:$E$75))+IF(SUMSQ('TS-PILE'!$D$56:$D$75)=0,0,'TO HOP NLAN'!F140*'TS-PILE'!$D$59/SUMSQ('TS-PILE'!$D$56:$D$75))),IF('TS-PILE'!$B$60="",-1E+99,'TO HOP NLAN'!D140/ncoc+IF(SUMSQ('TS-PILE'!$E$56:$E$75)=0,0,'TO HOP NLAN'!E140*'TS-PILE'!$E$60/SUMSQ('TS-PILE'!$E$56:$E$75))+IF(SUMSQ('TS-PILE'!$D$56:$D$75)=0,0,'TO HOP NLAN'!F140*'TS-PILE'!$D$60/SUMSQ('TS-PILE'!$D$56:$D$75))),IF('TS-PILE'!$B$61="",-1E+99,'TO HOP NLAN'!D140/ncoc+IF(SUMSQ('TS-PILE'!$E$56:$E$75)=0,0,'TO HOP NLAN'!E140*'TS-PILE'!$E$61/SUMSQ('TS-PILE'!$E$56:$E$75))+IF(SUMSQ('TS-PILE'!$D$56:$D$75)=0,0,'TO HOP NLAN'!F140*'TS-PILE'!$D$61/SUMSQ('TS-PILE'!$D$56:$D$75))),IF('TS-PILE'!$B$62="",-1E+99,'TO HOP NLAN'!D140/ncoc+IF(SUMSQ('TS-PILE'!$E$56:$E$75)=0,0,'TO HOP NLAN'!E140*'TS-PILE'!$E$62/SUMSQ('TS-PILE'!$E$56:$E$75))+IF(SUMSQ('TS-PILE'!$D$56:$D$75)=0,0,'TO HOP NLAN'!F140*'TS-PILE'!$D$62/SUMSQ('TS-PILE'!$D$56:$D$75))),IF('TS-PILE'!$B$63="",-1E+99,'TO HOP NLAN'!D140/ncoc+IF(SUMSQ('TS-PILE'!$E$56:$E$75)=0,0,'TO HOP NLAN'!E140*'TS-PILE'!$E$63/SUMSQ('TS-PILE'!$E$56:$E$75))+IF(SUMSQ('TS-PILE'!$D$56:$D$75)=0,0,'TO HOP NLAN'!F140*'TS-PILE'!$D$63/SUMSQ('TS-PILE'!$D$56:$D$75))),IF('TS-PILE'!$B$64="",-1E+99,'TO HOP NLAN'!D140/ncoc+IF(SUMSQ('TS-PILE'!$E$56:$E$75)=0,0,'TO HOP NLAN'!E140*'TS-PILE'!$E$64/SUMSQ('TS-PILE'!$E$56:$E$75))+IF(SUMSQ('TS-PILE'!$D$56:$D$75)=0,0,'TO HOP NLAN'!F140*'TS-PILE'!$D$64/SUMSQ('TS-PILE'!$D$56:$D$75))),IF('TS-PILE'!$B$65="",-1E+99,'TO HOP NLAN'!D140/ncoc+IF(SUMSQ('TS-PILE'!$E$56:$E$75)=0,0,'TO HOP NLAN'!E140*'TS-PILE'!$E$65/SUMSQ('TS-PILE'!$E$56:$E$75))+IF(SUMSQ('TS-PILE'!$D$56:$D$75)=0,0,'TO HOP NLAN'!F140*'TS-PILE'!$D$65/SUMSQ('TS-PILE'!$D$56:$D$75))),IF('TS-PILE'!$B$66="",-1E+99,'TO HOP NLAN'!D140/ncoc+IF(SUMSQ('TS-PILE'!$E$56:$E$75)=0,0,'TO HOP NLAN'!E140*'TS-PILE'!$E$66/SUMSQ('TS-PILE'!$E$56:$E$75))+IF(SUMSQ('TS-PILE'!$D$56:$D$75)=0,0,'TO HOP NLAN'!F140*'TS-PILE'!$D$66/SUMSQ('TS-PILE'!$D$56:$D$75))),IF('TS-PILE'!$B$67="",-1E+99,'TO HOP NLAN'!D140/ncoc+IF(SUMSQ('TS-PILE'!$E$56:$E$75)=0,0,'TO HOP NLAN'!E140*'TS-PILE'!$E$67/SUMSQ('TS-PILE'!$E$56:$E$75))+IF(SUMSQ('TS-PILE'!$D$56:$D$75)=0,0,'TO HOP NLAN'!F140*'TS-PILE'!$D$67/SUMSQ('TS-PILE'!$D$56:$D$75))),IF('TS-PILE'!$B$68="",-1E+99,'TO HOP NLAN'!D140/ncoc+IF(SUMSQ('TS-PILE'!$E$56:$E$75)=0,0,'TO HOP NLAN'!E140*'TS-PILE'!$E$68/SUMSQ('TS-PILE'!$E$56:$E$75))+IF(SUMSQ('TS-PILE'!$D$56:$D$75)=0,0,'TO HOP NLAN'!F140*'TS-PILE'!$D$68/SUMSQ('TS-PILE'!$D$56:$D$75))),IF('TS-PILE'!$B$69="",-1E+99,'TO HOP NLAN'!D140/ncoc+IF(SUMSQ('TS-PILE'!$E$56:$E$75)=0,0,'TO HOP NLAN'!E140*'TS-PILE'!$E$69/SUMSQ('TS-PILE'!$E$56:$E$75))+IF(SUMSQ('TS-PILE'!$D$56:$D$75)=0,0,'TO HOP NLAN'!F140*'TS-PILE'!$D$69/SUMSQ('TS-PILE'!$D$56:$D$75))),IF('TS-PILE'!$B$70="",-1E+99,'TO HOP NLAN'!D140/ncoc+IF(SUMSQ('TS-PILE'!$E$56:$E$75)=0,0,'TO HOP NLAN'!E140*'TS-PILE'!$E$70/SUMSQ('TS-PILE'!$E$56:$E$75))+IF(SUMSQ('TS-PILE'!$D$56:$D$75)=0,0,'TO HOP NLAN'!F140*'TS-PILE'!$D$70/SUMSQ('TS-PILE'!$D$56:$D$75))),IF('TS-PILE'!$B$71="",-1E+99,'TO HOP NLAN'!D140/ncoc+IF(SUMSQ('TS-PILE'!$E$56:$E$75)=0,0,'TO HOP NLAN'!E140*'TS-PILE'!$E$71/SUMSQ('TS-PILE'!$E$56:$E$75))+IF(SUMSQ('TS-PILE'!$D$56:$D$75)=0,0,'TO HOP NLAN'!F140*'TS-PILE'!$D$71/SUMSQ('TS-PILE'!$D$56:$D$75))),IF('TS-PILE'!$B$72="",-1E+99,'TO HOP NLAN'!D140/ncoc+IF(SUMSQ('TS-PILE'!$E$56:$E$75)=0,0,'TO HOP NLAN'!E140*'TS-PILE'!$E$72/SUMSQ('TS-PILE'!$E$56:$E$75))+IF(SUMSQ('TS-PILE'!$D$56:$D$75)=0,0,'TO HOP NLAN'!F140*'TS-PILE'!$D$72/SUMSQ('TS-PILE'!$D$56:$D$75))),IF('TS-PILE'!$B$73="",-1E+99,'TO HOP NLAN'!D140/ncoc+IF(SUMSQ('TS-PILE'!$E$56:$E$75)=0,0,'TO HOP NLAN'!E140*'TS-PILE'!$E$73/SUMSQ('TS-PILE'!$E$56:$E$75))+IF(SUMSQ('TS-PILE'!$D$56:$D$75)=0,0,'TO HOP NLAN'!F140*'TS-PILE'!$D$73/SUMSQ('TS-PILE'!$D$56:$D$75))),IF('TS-PILE'!$B$74="",-1E+99,'TO HOP NLAN'!D140/ncoc+IF(SUMSQ('TS-PILE'!$E$56:$E$75)=0,0,'TO HOP NLAN'!E140*'TS-PILE'!$E$74/SUMSQ('TS-PILE'!$E$56:$E$75))+IF(SUMSQ('TS-PILE'!$D$56:$D$75)=0,0,'TO HOP NLAN'!F140*'TS-PILE'!$D$74/SUMSQ('TS-PILE'!$D$56:$D$75))),IF('TS-PILE'!$B$75="",-1E+99,'TO HOP NLAN'!D140/ncoc+IF(SUMSQ('TS-PILE'!$E$56:$E$75)=0,0,'TO HOP NLAN'!E140*'TS-PILE'!$E$75/SUMSQ('TS-PILE'!$E$56:$E$75))+IF(SUMSQ('TS-PILE'!$D$56:$D$75)=0,0,'TO HOP NLAN'!F140*'TS-PILE'!$D$75/SUMSQ('TS-PILE'!$D$56:$D$75)))))</f>
        <v>0</v>
      </c>
      <c r="D140" s="46">
        <f>IF(A140="",0,MIN(IF('TS-PILE'!$B$56="",1E+99,'TO HOP NLAN'!D140/ncoc+IF(SUMSQ('TS-PILE'!$E$56:$E$75)=0,0,'TO HOP NLAN'!E140*'TS-PILE'!$E$56/SUMSQ('TS-PILE'!$E$56:$E$75))+IF(SUMSQ('TS-PILE'!$D$56:$D$75)=0,0,'TO HOP NLAN'!F140*'TS-PILE'!$D$56/SUMSQ('TS-PILE'!$D$56:$D$75))),IF('TS-PILE'!$B$57="",1E+99,'TO HOP NLAN'!D140/ncoc+IF(SUMSQ('TS-PILE'!$E$56:$E$75)=0,0,'TO HOP NLAN'!E140*'TS-PILE'!$E$57/SUMSQ('TS-PILE'!$E$56:$E$75))+IF(SUMSQ('TS-PILE'!$D$56:$D$75)=0,0,'TO HOP NLAN'!F140*'TS-PILE'!$D$57/SUMSQ('TS-PILE'!$D$56:$D$75))),IF('TS-PILE'!$B$58="",1E+99,'TO HOP NLAN'!D140/ncoc+IF(SUMSQ('TS-PILE'!$E$56:$E$75)=0,0,'TO HOP NLAN'!E140*'TS-PILE'!$E$58/SUMSQ('TS-PILE'!$E$56:$E$75))+IF(SUMSQ('TS-PILE'!$D$56:$D$75)=0,0,'TO HOP NLAN'!F140*'TS-PILE'!$D$58/SUMSQ('TS-PILE'!$D$56:$D$75))),IF('TS-PILE'!$B$59="",1E+99,'TO HOP NLAN'!D140/ncoc+IF(SUMSQ('TS-PILE'!$E$56:$E$75)=0,0,'TO HOP NLAN'!E140*'TS-PILE'!$E$59/SUMSQ('TS-PILE'!$E$56:$E$75))+IF(SUMSQ('TS-PILE'!$D$56:$D$75)=0,0,'TO HOP NLAN'!F140*'TS-PILE'!$D$59/SUMSQ('TS-PILE'!$D$56:$D$75))),IF('TS-PILE'!$B$60="",1E+99,'TO HOP NLAN'!D140/ncoc+IF(SUMSQ('TS-PILE'!$E$56:$E$75)=0,0,'TO HOP NLAN'!E140*'TS-PILE'!$E$60/SUMSQ('TS-PILE'!$E$56:$E$75))+IF(SUMSQ('TS-PILE'!$D$56:$D$75)=0,0,'TO HOP NLAN'!F140*'TS-PILE'!$D$60/SUMSQ('TS-PILE'!$D$56:$D$75))),IF('TS-PILE'!$B$61="",1E+99,'TO HOP NLAN'!D140/ncoc+IF(SUMSQ('TS-PILE'!$E$56:$E$75)=0,0,'TO HOP NLAN'!E140*'TS-PILE'!$E$61/SUMSQ('TS-PILE'!$E$56:$E$75))+IF(SUMSQ('TS-PILE'!$D$56:$D$75)=0,0,'TO HOP NLAN'!F140*'TS-PILE'!$D$61/SUMSQ('TS-PILE'!$D$56:$D$75))),IF('TS-PILE'!$B$62="",1E+99,'TO HOP NLAN'!D140/ncoc+IF(SUMSQ('TS-PILE'!$E$56:$E$75)=0,0,'TO HOP NLAN'!E140*'TS-PILE'!$E$62/SUMSQ('TS-PILE'!$E$56:$E$75))+IF(SUMSQ('TS-PILE'!$D$56:$D$75)=0,0,'TO HOP NLAN'!F140*'TS-PILE'!$D$62/SUMSQ('TS-PILE'!$D$56:$D$75))),IF('TS-PILE'!$B$63="",1E+99,'TO HOP NLAN'!D140/ncoc+IF(SUMSQ('TS-PILE'!$E$56:$E$75)=0,0,'TO HOP NLAN'!E140*'TS-PILE'!$E$63/SUMSQ('TS-PILE'!$E$56:$E$75))+IF(SUMSQ('TS-PILE'!$D$56:$D$75)=0,0,'TO HOP NLAN'!F140*'TS-PILE'!$D$63/SUMSQ('TS-PILE'!$D$56:$D$75))),IF('TS-PILE'!$B$64="",1E+99,'TO HOP NLAN'!D140/ncoc+IF(SUMSQ('TS-PILE'!$E$56:$E$75)=0,0,'TO HOP NLAN'!E140*'TS-PILE'!$E$64/SUMSQ('TS-PILE'!$E$56:$E$75))+IF(SUMSQ('TS-PILE'!$D$56:$D$75)=0,0,'TO HOP NLAN'!F140*'TS-PILE'!$D$64/SUMSQ('TS-PILE'!$D$56:$D$75))),IF('TS-PILE'!$B$65="",1E+99,'TO HOP NLAN'!D140/ncoc+IF(SUMSQ('TS-PILE'!$E$56:$E$75)=0,0,'TO HOP NLAN'!E140*'TS-PILE'!$E$65/SUMSQ('TS-PILE'!$E$56:$E$75))+IF(SUMSQ('TS-PILE'!$D$56:$D$75)=0,0,'TO HOP NLAN'!F140*'TS-PILE'!$D$65/SUMSQ('TS-PILE'!$D$56:$D$75))),IF('TS-PILE'!$B$66="",1E+99,'TO HOP NLAN'!D140/ncoc+IF(SUMSQ('TS-PILE'!$E$56:$E$75)=0,0,'TO HOP NLAN'!E140*'TS-PILE'!$E$66/SUMSQ('TS-PILE'!$E$56:$E$75))+IF(SUMSQ('TS-PILE'!$D$56:$D$75)=0,0,'TO HOP NLAN'!F140*'TS-PILE'!$D$66/SUMSQ('TS-PILE'!$D$56:$D$75))),IF('TS-PILE'!$B$67="",1E+99,'TO HOP NLAN'!D140/ncoc+IF(SUMSQ('TS-PILE'!$E$56:$E$75)=0,0,'TO HOP NLAN'!E140*'TS-PILE'!$E$67/SUMSQ('TS-PILE'!$E$56:$E$75))+IF(SUMSQ('TS-PILE'!$D$56:$D$75)=0,0,'TO HOP NLAN'!F140*'TS-PILE'!$D$67/SUMSQ('TS-PILE'!$D$56:$D$75))),IF('TS-PILE'!$B$68="",1E+99,'TO HOP NLAN'!D140/ncoc+IF(SUMSQ('TS-PILE'!$E$56:$E$75)=0,0,'TO HOP NLAN'!E140*'TS-PILE'!$E$68/SUMSQ('TS-PILE'!$E$56:$E$75))+IF(SUMSQ('TS-PILE'!$D$56:$D$75)=0,0,'TO HOP NLAN'!F140*'TS-PILE'!$D$68/SUMSQ('TS-PILE'!$D$56:$D$75))),IF('TS-PILE'!$B$69="",1E+99,'TO HOP NLAN'!D140/ncoc+IF(SUMSQ('TS-PILE'!$E$56:$E$75)=0,0,'TO HOP NLAN'!E140*'TS-PILE'!$E$69/SUMSQ('TS-PILE'!$E$56:$E$75))+IF(SUMSQ('TS-PILE'!$D$56:$D$75)=0,0,'TO HOP NLAN'!F140*'TS-PILE'!$D$69/SUMSQ('TS-PILE'!$D$56:$D$75))),IF('TS-PILE'!$B$70="",1E+99,'TO HOP NLAN'!D140/ncoc+IF(SUMSQ('TS-PILE'!$E$56:$E$75)=0,0,'TO HOP NLAN'!E140*'TS-PILE'!$E$70/SUMSQ('TS-PILE'!$E$56:$E$75))+IF(SUMSQ('TS-PILE'!$D$56:$D$75)=0,0,'TO HOP NLAN'!F140*'TS-PILE'!$D$70/SUMSQ('TS-PILE'!$D$56:$D$75))),IF('TS-PILE'!$B$71="",1E+99,'TO HOP NLAN'!D140/ncoc+IF(SUMSQ('TS-PILE'!$E$56:$E$75)=0,0,'TO HOP NLAN'!E140*'TS-PILE'!$E$71/SUMSQ('TS-PILE'!$E$56:$E$75))+IF(SUMSQ('TS-PILE'!$D$56:$D$75)=0,0,'TO HOP NLAN'!F140*'TS-PILE'!$D$71/SUMSQ('TS-PILE'!$D$56:$D$75))),IF('TS-PILE'!$B$72="",1E+99,'TO HOP NLAN'!D140/ncoc+IF(SUMSQ('TS-PILE'!$E$56:$E$75)=0,0,'TO HOP NLAN'!E140*'TS-PILE'!$E$72/SUMSQ('TS-PILE'!$E$56:$E$75))+IF(SUMSQ('TS-PILE'!$D$56:$D$75)=0,0,'TO HOP NLAN'!F140*'TS-PILE'!$D$72/SUMSQ('TS-PILE'!$D$56:$D$75))),IF('TS-PILE'!$B$73="",1E+99,'TO HOP NLAN'!D140/ncoc+IF(SUMSQ('TS-PILE'!$E$56:$E$75)=0,0,'TO HOP NLAN'!E140*'TS-PILE'!$E$73/SUMSQ('TS-PILE'!$E$56:$E$75))+IF(SUMSQ('TS-PILE'!$D$56:$D$75)=0,0,'TO HOP NLAN'!F140*'TS-PILE'!$D$73/SUMSQ('TS-PILE'!$D$56:$D$75))),IF('TS-PILE'!$B$74="",1E+99,'TO HOP NLAN'!D140/ncoc+IF(SUMSQ('TS-PILE'!$E$56:$E$75)=0,0,'TO HOP NLAN'!E140*'TS-PILE'!$E$74/SUMSQ('TS-PILE'!$E$56:$E$75))+IF(SUMSQ('TS-PILE'!$D$56:$D$75)=0,0,'TO HOP NLAN'!F140*'TS-PILE'!$D$74/SUMSQ('TS-PILE'!$D$56:$D$75))),IF('TS-PILE'!$B$75="",1E+99,'TO HOP NLAN'!D140/ncoc+IF(SUMSQ('TS-PILE'!$E$56:$E$75)=0,0,'TO HOP NLAN'!E140*'TS-PILE'!$E$75/SUMSQ('TS-PILE'!$E$56:$E$75))+IF(SUMSQ('TS-PILE'!$D$56:$D$75)=0,0,'TO HOP NLAN'!F140*'TS-PILE'!$D$75/SUMSQ('TS-PILE'!$D$56:$D$75)))))</f>
        <v>0</v>
      </c>
      <c r="E140" s="46">
        <f t="shared" si="8"/>
        <v>-9.9999999999999997E+98</v>
      </c>
      <c r="F140" s="46">
        <f t="shared" si="9"/>
        <v>9.9999999999999997E+98</v>
      </c>
      <c r="G140" s="46">
        <f t="shared" si="10"/>
        <v>-9.9999999999999997E+98</v>
      </c>
      <c r="H140" s="46">
        <f t="shared" si="11"/>
        <v>9.9999999999999997E+98</v>
      </c>
    </row>
    <row r="141" spans="1:8" x14ac:dyDescent="0.3">
      <c r="A141" s="40" t="str">
        <f>'TO HOP NLAN'!A141</f>
        <v/>
      </c>
      <c r="B141" s="40" t="str">
        <f>'TO HOP NLAN'!L141</f>
        <v>STRENGTH</v>
      </c>
      <c r="C141" s="46">
        <f>IF(A141="",0,MAX(IF('TS-PILE'!$B$56="",-1E+99,'TO HOP NLAN'!D141/ncoc+IF(SUMSQ('TS-PILE'!$E$56:$E$75)=0,0,'TO HOP NLAN'!E141*'TS-PILE'!$E$56/SUMSQ('TS-PILE'!$E$56:$E$75))+IF(SUMSQ('TS-PILE'!$D$56:$D$75)=0,0,'TO HOP NLAN'!F141*'TS-PILE'!$D$56/SUMSQ('TS-PILE'!$D$56:$D$75))),IF('TS-PILE'!$B$57="",-1E+99,'TO HOP NLAN'!D141/ncoc+IF(SUMSQ('TS-PILE'!$E$56:$E$75)=0,0,'TO HOP NLAN'!E141*'TS-PILE'!$E$57/SUMSQ('TS-PILE'!$E$56:$E$75))+IF(SUMSQ('TS-PILE'!$D$56:$D$75)=0,0,'TO HOP NLAN'!F141*'TS-PILE'!$D$57/SUMSQ('TS-PILE'!$D$56:$D$75))),IF('TS-PILE'!$B$58="",-1E+99,'TO HOP NLAN'!D141/ncoc+IF(SUMSQ('TS-PILE'!$E$56:$E$75)=0,0,'TO HOP NLAN'!E141*'TS-PILE'!$E$58/SUMSQ('TS-PILE'!$E$56:$E$75))+IF(SUMSQ('TS-PILE'!$D$56:$D$75)=0,0,'TO HOP NLAN'!F141*'TS-PILE'!$D$58/SUMSQ('TS-PILE'!$D$56:$D$75))),IF('TS-PILE'!$B$59="",-1E+99,'TO HOP NLAN'!D141/ncoc+IF(SUMSQ('TS-PILE'!$E$56:$E$75)=0,0,'TO HOP NLAN'!E141*'TS-PILE'!$E$59/SUMSQ('TS-PILE'!$E$56:$E$75))+IF(SUMSQ('TS-PILE'!$D$56:$D$75)=0,0,'TO HOP NLAN'!F141*'TS-PILE'!$D$59/SUMSQ('TS-PILE'!$D$56:$D$75))),IF('TS-PILE'!$B$60="",-1E+99,'TO HOP NLAN'!D141/ncoc+IF(SUMSQ('TS-PILE'!$E$56:$E$75)=0,0,'TO HOP NLAN'!E141*'TS-PILE'!$E$60/SUMSQ('TS-PILE'!$E$56:$E$75))+IF(SUMSQ('TS-PILE'!$D$56:$D$75)=0,0,'TO HOP NLAN'!F141*'TS-PILE'!$D$60/SUMSQ('TS-PILE'!$D$56:$D$75))),IF('TS-PILE'!$B$61="",-1E+99,'TO HOP NLAN'!D141/ncoc+IF(SUMSQ('TS-PILE'!$E$56:$E$75)=0,0,'TO HOP NLAN'!E141*'TS-PILE'!$E$61/SUMSQ('TS-PILE'!$E$56:$E$75))+IF(SUMSQ('TS-PILE'!$D$56:$D$75)=0,0,'TO HOP NLAN'!F141*'TS-PILE'!$D$61/SUMSQ('TS-PILE'!$D$56:$D$75))),IF('TS-PILE'!$B$62="",-1E+99,'TO HOP NLAN'!D141/ncoc+IF(SUMSQ('TS-PILE'!$E$56:$E$75)=0,0,'TO HOP NLAN'!E141*'TS-PILE'!$E$62/SUMSQ('TS-PILE'!$E$56:$E$75))+IF(SUMSQ('TS-PILE'!$D$56:$D$75)=0,0,'TO HOP NLAN'!F141*'TS-PILE'!$D$62/SUMSQ('TS-PILE'!$D$56:$D$75))),IF('TS-PILE'!$B$63="",-1E+99,'TO HOP NLAN'!D141/ncoc+IF(SUMSQ('TS-PILE'!$E$56:$E$75)=0,0,'TO HOP NLAN'!E141*'TS-PILE'!$E$63/SUMSQ('TS-PILE'!$E$56:$E$75))+IF(SUMSQ('TS-PILE'!$D$56:$D$75)=0,0,'TO HOP NLAN'!F141*'TS-PILE'!$D$63/SUMSQ('TS-PILE'!$D$56:$D$75))),IF('TS-PILE'!$B$64="",-1E+99,'TO HOP NLAN'!D141/ncoc+IF(SUMSQ('TS-PILE'!$E$56:$E$75)=0,0,'TO HOP NLAN'!E141*'TS-PILE'!$E$64/SUMSQ('TS-PILE'!$E$56:$E$75))+IF(SUMSQ('TS-PILE'!$D$56:$D$75)=0,0,'TO HOP NLAN'!F141*'TS-PILE'!$D$64/SUMSQ('TS-PILE'!$D$56:$D$75))),IF('TS-PILE'!$B$65="",-1E+99,'TO HOP NLAN'!D141/ncoc+IF(SUMSQ('TS-PILE'!$E$56:$E$75)=0,0,'TO HOP NLAN'!E141*'TS-PILE'!$E$65/SUMSQ('TS-PILE'!$E$56:$E$75))+IF(SUMSQ('TS-PILE'!$D$56:$D$75)=0,0,'TO HOP NLAN'!F141*'TS-PILE'!$D$65/SUMSQ('TS-PILE'!$D$56:$D$75))),IF('TS-PILE'!$B$66="",-1E+99,'TO HOP NLAN'!D141/ncoc+IF(SUMSQ('TS-PILE'!$E$56:$E$75)=0,0,'TO HOP NLAN'!E141*'TS-PILE'!$E$66/SUMSQ('TS-PILE'!$E$56:$E$75))+IF(SUMSQ('TS-PILE'!$D$56:$D$75)=0,0,'TO HOP NLAN'!F141*'TS-PILE'!$D$66/SUMSQ('TS-PILE'!$D$56:$D$75))),IF('TS-PILE'!$B$67="",-1E+99,'TO HOP NLAN'!D141/ncoc+IF(SUMSQ('TS-PILE'!$E$56:$E$75)=0,0,'TO HOP NLAN'!E141*'TS-PILE'!$E$67/SUMSQ('TS-PILE'!$E$56:$E$75))+IF(SUMSQ('TS-PILE'!$D$56:$D$75)=0,0,'TO HOP NLAN'!F141*'TS-PILE'!$D$67/SUMSQ('TS-PILE'!$D$56:$D$75))),IF('TS-PILE'!$B$68="",-1E+99,'TO HOP NLAN'!D141/ncoc+IF(SUMSQ('TS-PILE'!$E$56:$E$75)=0,0,'TO HOP NLAN'!E141*'TS-PILE'!$E$68/SUMSQ('TS-PILE'!$E$56:$E$75))+IF(SUMSQ('TS-PILE'!$D$56:$D$75)=0,0,'TO HOP NLAN'!F141*'TS-PILE'!$D$68/SUMSQ('TS-PILE'!$D$56:$D$75))),IF('TS-PILE'!$B$69="",-1E+99,'TO HOP NLAN'!D141/ncoc+IF(SUMSQ('TS-PILE'!$E$56:$E$75)=0,0,'TO HOP NLAN'!E141*'TS-PILE'!$E$69/SUMSQ('TS-PILE'!$E$56:$E$75))+IF(SUMSQ('TS-PILE'!$D$56:$D$75)=0,0,'TO HOP NLAN'!F141*'TS-PILE'!$D$69/SUMSQ('TS-PILE'!$D$56:$D$75))),IF('TS-PILE'!$B$70="",-1E+99,'TO HOP NLAN'!D141/ncoc+IF(SUMSQ('TS-PILE'!$E$56:$E$75)=0,0,'TO HOP NLAN'!E141*'TS-PILE'!$E$70/SUMSQ('TS-PILE'!$E$56:$E$75))+IF(SUMSQ('TS-PILE'!$D$56:$D$75)=0,0,'TO HOP NLAN'!F141*'TS-PILE'!$D$70/SUMSQ('TS-PILE'!$D$56:$D$75))),IF('TS-PILE'!$B$71="",-1E+99,'TO HOP NLAN'!D141/ncoc+IF(SUMSQ('TS-PILE'!$E$56:$E$75)=0,0,'TO HOP NLAN'!E141*'TS-PILE'!$E$71/SUMSQ('TS-PILE'!$E$56:$E$75))+IF(SUMSQ('TS-PILE'!$D$56:$D$75)=0,0,'TO HOP NLAN'!F141*'TS-PILE'!$D$71/SUMSQ('TS-PILE'!$D$56:$D$75))),IF('TS-PILE'!$B$72="",-1E+99,'TO HOP NLAN'!D141/ncoc+IF(SUMSQ('TS-PILE'!$E$56:$E$75)=0,0,'TO HOP NLAN'!E141*'TS-PILE'!$E$72/SUMSQ('TS-PILE'!$E$56:$E$75))+IF(SUMSQ('TS-PILE'!$D$56:$D$75)=0,0,'TO HOP NLAN'!F141*'TS-PILE'!$D$72/SUMSQ('TS-PILE'!$D$56:$D$75))),IF('TS-PILE'!$B$73="",-1E+99,'TO HOP NLAN'!D141/ncoc+IF(SUMSQ('TS-PILE'!$E$56:$E$75)=0,0,'TO HOP NLAN'!E141*'TS-PILE'!$E$73/SUMSQ('TS-PILE'!$E$56:$E$75))+IF(SUMSQ('TS-PILE'!$D$56:$D$75)=0,0,'TO HOP NLAN'!F141*'TS-PILE'!$D$73/SUMSQ('TS-PILE'!$D$56:$D$75))),IF('TS-PILE'!$B$74="",-1E+99,'TO HOP NLAN'!D141/ncoc+IF(SUMSQ('TS-PILE'!$E$56:$E$75)=0,0,'TO HOP NLAN'!E141*'TS-PILE'!$E$74/SUMSQ('TS-PILE'!$E$56:$E$75))+IF(SUMSQ('TS-PILE'!$D$56:$D$75)=0,0,'TO HOP NLAN'!F141*'TS-PILE'!$D$74/SUMSQ('TS-PILE'!$D$56:$D$75))),IF('TS-PILE'!$B$75="",-1E+99,'TO HOP NLAN'!D141/ncoc+IF(SUMSQ('TS-PILE'!$E$56:$E$75)=0,0,'TO HOP NLAN'!E141*'TS-PILE'!$E$75/SUMSQ('TS-PILE'!$E$56:$E$75))+IF(SUMSQ('TS-PILE'!$D$56:$D$75)=0,0,'TO HOP NLAN'!F141*'TS-PILE'!$D$75/SUMSQ('TS-PILE'!$D$56:$D$75)))))</f>
        <v>0</v>
      </c>
      <c r="D141" s="46">
        <f>IF(A141="",0,MIN(IF('TS-PILE'!$B$56="",1E+99,'TO HOP NLAN'!D141/ncoc+IF(SUMSQ('TS-PILE'!$E$56:$E$75)=0,0,'TO HOP NLAN'!E141*'TS-PILE'!$E$56/SUMSQ('TS-PILE'!$E$56:$E$75))+IF(SUMSQ('TS-PILE'!$D$56:$D$75)=0,0,'TO HOP NLAN'!F141*'TS-PILE'!$D$56/SUMSQ('TS-PILE'!$D$56:$D$75))),IF('TS-PILE'!$B$57="",1E+99,'TO HOP NLAN'!D141/ncoc+IF(SUMSQ('TS-PILE'!$E$56:$E$75)=0,0,'TO HOP NLAN'!E141*'TS-PILE'!$E$57/SUMSQ('TS-PILE'!$E$56:$E$75))+IF(SUMSQ('TS-PILE'!$D$56:$D$75)=0,0,'TO HOP NLAN'!F141*'TS-PILE'!$D$57/SUMSQ('TS-PILE'!$D$56:$D$75))),IF('TS-PILE'!$B$58="",1E+99,'TO HOP NLAN'!D141/ncoc+IF(SUMSQ('TS-PILE'!$E$56:$E$75)=0,0,'TO HOP NLAN'!E141*'TS-PILE'!$E$58/SUMSQ('TS-PILE'!$E$56:$E$75))+IF(SUMSQ('TS-PILE'!$D$56:$D$75)=0,0,'TO HOP NLAN'!F141*'TS-PILE'!$D$58/SUMSQ('TS-PILE'!$D$56:$D$75))),IF('TS-PILE'!$B$59="",1E+99,'TO HOP NLAN'!D141/ncoc+IF(SUMSQ('TS-PILE'!$E$56:$E$75)=0,0,'TO HOP NLAN'!E141*'TS-PILE'!$E$59/SUMSQ('TS-PILE'!$E$56:$E$75))+IF(SUMSQ('TS-PILE'!$D$56:$D$75)=0,0,'TO HOP NLAN'!F141*'TS-PILE'!$D$59/SUMSQ('TS-PILE'!$D$56:$D$75))),IF('TS-PILE'!$B$60="",1E+99,'TO HOP NLAN'!D141/ncoc+IF(SUMSQ('TS-PILE'!$E$56:$E$75)=0,0,'TO HOP NLAN'!E141*'TS-PILE'!$E$60/SUMSQ('TS-PILE'!$E$56:$E$75))+IF(SUMSQ('TS-PILE'!$D$56:$D$75)=0,0,'TO HOP NLAN'!F141*'TS-PILE'!$D$60/SUMSQ('TS-PILE'!$D$56:$D$75))),IF('TS-PILE'!$B$61="",1E+99,'TO HOP NLAN'!D141/ncoc+IF(SUMSQ('TS-PILE'!$E$56:$E$75)=0,0,'TO HOP NLAN'!E141*'TS-PILE'!$E$61/SUMSQ('TS-PILE'!$E$56:$E$75))+IF(SUMSQ('TS-PILE'!$D$56:$D$75)=0,0,'TO HOP NLAN'!F141*'TS-PILE'!$D$61/SUMSQ('TS-PILE'!$D$56:$D$75))),IF('TS-PILE'!$B$62="",1E+99,'TO HOP NLAN'!D141/ncoc+IF(SUMSQ('TS-PILE'!$E$56:$E$75)=0,0,'TO HOP NLAN'!E141*'TS-PILE'!$E$62/SUMSQ('TS-PILE'!$E$56:$E$75))+IF(SUMSQ('TS-PILE'!$D$56:$D$75)=0,0,'TO HOP NLAN'!F141*'TS-PILE'!$D$62/SUMSQ('TS-PILE'!$D$56:$D$75))),IF('TS-PILE'!$B$63="",1E+99,'TO HOP NLAN'!D141/ncoc+IF(SUMSQ('TS-PILE'!$E$56:$E$75)=0,0,'TO HOP NLAN'!E141*'TS-PILE'!$E$63/SUMSQ('TS-PILE'!$E$56:$E$75))+IF(SUMSQ('TS-PILE'!$D$56:$D$75)=0,0,'TO HOP NLAN'!F141*'TS-PILE'!$D$63/SUMSQ('TS-PILE'!$D$56:$D$75))),IF('TS-PILE'!$B$64="",1E+99,'TO HOP NLAN'!D141/ncoc+IF(SUMSQ('TS-PILE'!$E$56:$E$75)=0,0,'TO HOP NLAN'!E141*'TS-PILE'!$E$64/SUMSQ('TS-PILE'!$E$56:$E$75))+IF(SUMSQ('TS-PILE'!$D$56:$D$75)=0,0,'TO HOP NLAN'!F141*'TS-PILE'!$D$64/SUMSQ('TS-PILE'!$D$56:$D$75))),IF('TS-PILE'!$B$65="",1E+99,'TO HOP NLAN'!D141/ncoc+IF(SUMSQ('TS-PILE'!$E$56:$E$75)=0,0,'TO HOP NLAN'!E141*'TS-PILE'!$E$65/SUMSQ('TS-PILE'!$E$56:$E$75))+IF(SUMSQ('TS-PILE'!$D$56:$D$75)=0,0,'TO HOP NLAN'!F141*'TS-PILE'!$D$65/SUMSQ('TS-PILE'!$D$56:$D$75))),IF('TS-PILE'!$B$66="",1E+99,'TO HOP NLAN'!D141/ncoc+IF(SUMSQ('TS-PILE'!$E$56:$E$75)=0,0,'TO HOP NLAN'!E141*'TS-PILE'!$E$66/SUMSQ('TS-PILE'!$E$56:$E$75))+IF(SUMSQ('TS-PILE'!$D$56:$D$75)=0,0,'TO HOP NLAN'!F141*'TS-PILE'!$D$66/SUMSQ('TS-PILE'!$D$56:$D$75))),IF('TS-PILE'!$B$67="",1E+99,'TO HOP NLAN'!D141/ncoc+IF(SUMSQ('TS-PILE'!$E$56:$E$75)=0,0,'TO HOP NLAN'!E141*'TS-PILE'!$E$67/SUMSQ('TS-PILE'!$E$56:$E$75))+IF(SUMSQ('TS-PILE'!$D$56:$D$75)=0,0,'TO HOP NLAN'!F141*'TS-PILE'!$D$67/SUMSQ('TS-PILE'!$D$56:$D$75))),IF('TS-PILE'!$B$68="",1E+99,'TO HOP NLAN'!D141/ncoc+IF(SUMSQ('TS-PILE'!$E$56:$E$75)=0,0,'TO HOP NLAN'!E141*'TS-PILE'!$E$68/SUMSQ('TS-PILE'!$E$56:$E$75))+IF(SUMSQ('TS-PILE'!$D$56:$D$75)=0,0,'TO HOP NLAN'!F141*'TS-PILE'!$D$68/SUMSQ('TS-PILE'!$D$56:$D$75))),IF('TS-PILE'!$B$69="",1E+99,'TO HOP NLAN'!D141/ncoc+IF(SUMSQ('TS-PILE'!$E$56:$E$75)=0,0,'TO HOP NLAN'!E141*'TS-PILE'!$E$69/SUMSQ('TS-PILE'!$E$56:$E$75))+IF(SUMSQ('TS-PILE'!$D$56:$D$75)=0,0,'TO HOP NLAN'!F141*'TS-PILE'!$D$69/SUMSQ('TS-PILE'!$D$56:$D$75))),IF('TS-PILE'!$B$70="",1E+99,'TO HOP NLAN'!D141/ncoc+IF(SUMSQ('TS-PILE'!$E$56:$E$75)=0,0,'TO HOP NLAN'!E141*'TS-PILE'!$E$70/SUMSQ('TS-PILE'!$E$56:$E$75))+IF(SUMSQ('TS-PILE'!$D$56:$D$75)=0,0,'TO HOP NLAN'!F141*'TS-PILE'!$D$70/SUMSQ('TS-PILE'!$D$56:$D$75))),IF('TS-PILE'!$B$71="",1E+99,'TO HOP NLAN'!D141/ncoc+IF(SUMSQ('TS-PILE'!$E$56:$E$75)=0,0,'TO HOP NLAN'!E141*'TS-PILE'!$E$71/SUMSQ('TS-PILE'!$E$56:$E$75))+IF(SUMSQ('TS-PILE'!$D$56:$D$75)=0,0,'TO HOP NLAN'!F141*'TS-PILE'!$D$71/SUMSQ('TS-PILE'!$D$56:$D$75))),IF('TS-PILE'!$B$72="",1E+99,'TO HOP NLAN'!D141/ncoc+IF(SUMSQ('TS-PILE'!$E$56:$E$75)=0,0,'TO HOP NLAN'!E141*'TS-PILE'!$E$72/SUMSQ('TS-PILE'!$E$56:$E$75))+IF(SUMSQ('TS-PILE'!$D$56:$D$75)=0,0,'TO HOP NLAN'!F141*'TS-PILE'!$D$72/SUMSQ('TS-PILE'!$D$56:$D$75))),IF('TS-PILE'!$B$73="",1E+99,'TO HOP NLAN'!D141/ncoc+IF(SUMSQ('TS-PILE'!$E$56:$E$75)=0,0,'TO HOP NLAN'!E141*'TS-PILE'!$E$73/SUMSQ('TS-PILE'!$E$56:$E$75))+IF(SUMSQ('TS-PILE'!$D$56:$D$75)=0,0,'TO HOP NLAN'!F141*'TS-PILE'!$D$73/SUMSQ('TS-PILE'!$D$56:$D$75))),IF('TS-PILE'!$B$74="",1E+99,'TO HOP NLAN'!D141/ncoc+IF(SUMSQ('TS-PILE'!$E$56:$E$75)=0,0,'TO HOP NLAN'!E141*'TS-PILE'!$E$74/SUMSQ('TS-PILE'!$E$56:$E$75))+IF(SUMSQ('TS-PILE'!$D$56:$D$75)=0,0,'TO HOP NLAN'!F141*'TS-PILE'!$D$74/SUMSQ('TS-PILE'!$D$56:$D$75))),IF('TS-PILE'!$B$75="",1E+99,'TO HOP NLAN'!D141/ncoc+IF(SUMSQ('TS-PILE'!$E$56:$E$75)=0,0,'TO HOP NLAN'!E141*'TS-PILE'!$E$75/SUMSQ('TS-PILE'!$E$56:$E$75))+IF(SUMSQ('TS-PILE'!$D$56:$D$75)=0,0,'TO HOP NLAN'!F141*'TS-PILE'!$D$75/SUMSQ('TS-PILE'!$D$56:$D$75)))))</f>
        <v>0</v>
      </c>
      <c r="E141" s="46">
        <f t="shared" si="8"/>
        <v>-9.9999999999999997E+98</v>
      </c>
      <c r="F141" s="46">
        <f t="shared" si="9"/>
        <v>9.9999999999999997E+98</v>
      </c>
      <c r="G141" s="46">
        <f t="shared" si="10"/>
        <v>-9.9999999999999997E+98</v>
      </c>
      <c r="H141" s="46">
        <f t="shared" si="11"/>
        <v>9.9999999999999997E+98</v>
      </c>
    </row>
    <row r="142" spans="1:8" x14ac:dyDescent="0.3">
      <c r="A142" s="40" t="str">
        <f>'TO HOP NLAN'!A142</f>
        <v/>
      </c>
      <c r="B142" s="40" t="str">
        <f>'TO HOP NLAN'!L142</f>
        <v>STRENGTH</v>
      </c>
      <c r="C142" s="46">
        <f>IF(A142="",0,MAX(IF('TS-PILE'!$B$56="",-1E+99,'TO HOP NLAN'!D142/ncoc+IF(SUMSQ('TS-PILE'!$E$56:$E$75)=0,0,'TO HOP NLAN'!E142*'TS-PILE'!$E$56/SUMSQ('TS-PILE'!$E$56:$E$75))+IF(SUMSQ('TS-PILE'!$D$56:$D$75)=0,0,'TO HOP NLAN'!F142*'TS-PILE'!$D$56/SUMSQ('TS-PILE'!$D$56:$D$75))),IF('TS-PILE'!$B$57="",-1E+99,'TO HOP NLAN'!D142/ncoc+IF(SUMSQ('TS-PILE'!$E$56:$E$75)=0,0,'TO HOP NLAN'!E142*'TS-PILE'!$E$57/SUMSQ('TS-PILE'!$E$56:$E$75))+IF(SUMSQ('TS-PILE'!$D$56:$D$75)=0,0,'TO HOP NLAN'!F142*'TS-PILE'!$D$57/SUMSQ('TS-PILE'!$D$56:$D$75))),IF('TS-PILE'!$B$58="",-1E+99,'TO HOP NLAN'!D142/ncoc+IF(SUMSQ('TS-PILE'!$E$56:$E$75)=0,0,'TO HOP NLAN'!E142*'TS-PILE'!$E$58/SUMSQ('TS-PILE'!$E$56:$E$75))+IF(SUMSQ('TS-PILE'!$D$56:$D$75)=0,0,'TO HOP NLAN'!F142*'TS-PILE'!$D$58/SUMSQ('TS-PILE'!$D$56:$D$75))),IF('TS-PILE'!$B$59="",-1E+99,'TO HOP NLAN'!D142/ncoc+IF(SUMSQ('TS-PILE'!$E$56:$E$75)=0,0,'TO HOP NLAN'!E142*'TS-PILE'!$E$59/SUMSQ('TS-PILE'!$E$56:$E$75))+IF(SUMSQ('TS-PILE'!$D$56:$D$75)=0,0,'TO HOP NLAN'!F142*'TS-PILE'!$D$59/SUMSQ('TS-PILE'!$D$56:$D$75))),IF('TS-PILE'!$B$60="",-1E+99,'TO HOP NLAN'!D142/ncoc+IF(SUMSQ('TS-PILE'!$E$56:$E$75)=0,0,'TO HOP NLAN'!E142*'TS-PILE'!$E$60/SUMSQ('TS-PILE'!$E$56:$E$75))+IF(SUMSQ('TS-PILE'!$D$56:$D$75)=0,0,'TO HOP NLAN'!F142*'TS-PILE'!$D$60/SUMSQ('TS-PILE'!$D$56:$D$75))),IF('TS-PILE'!$B$61="",-1E+99,'TO HOP NLAN'!D142/ncoc+IF(SUMSQ('TS-PILE'!$E$56:$E$75)=0,0,'TO HOP NLAN'!E142*'TS-PILE'!$E$61/SUMSQ('TS-PILE'!$E$56:$E$75))+IF(SUMSQ('TS-PILE'!$D$56:$D$75)=0,0,'TO HOP NLAN'!F142*'TS-PILE'!$D$61/SUMSQ('TS-PILE'!$D$56:$D$75))),IF('TS-PILE'!$B$62="",-1E+99,'TO HOP NLAN'!D142/ncoc+IF(SUMSQ('TS-PILE'!$E$56:$E$75)=0,0,'TO HOP NLAN'!E142*'TS-PILE'!$E$62/SUMSQ('TS-PILE'!$E$56:$E$75))+IF(SUMSQ('TS-PILE'!$D$56:$D$75)=0,0,'TO HOP NLAN'!F142*'TS-PILE'!$D$62/SUMSQ('TS-PILE'!$D$56:$D$75))),IF('TS-PILE'!$B$63="",-1E+99,'TO HOP NLAN'!D142/ncoc+IF(SUMSQ('TS-PILE'!$E$56:$E$75)=0,0,'TO HOP NLAN'!E142*'TS-PILE'!$E$63/SUMSQ('TS-PILE'!$E$56:$E$75))+IF(SUMSQ('TS-PILE'!$D$56:$D$75)=0,0,'TO HOP NLAN'!F142*'TS-PILE'!$D$63/SUMSQ('TS-PILE'!$D$56:$D$75))),IF('TS-PILE'!$B$64="",-1E+99,'TO HOP NLAN'!D142/ncoc+IF(SUMSQ('TS-PILE'!$E$56:$E$75)=0,0,'TO HOP NLAN'!E142*'TS-PILE'!$E$64/SUMSQ('TS-PILE'!$E$56:$E$75))+IF(SUMSQ('TS-PILE'!$D$56:$D$75)=0,0,'TO HOP NLAN'!F142*'TS-PILE'!$D$64/SUMSQ('TS-PILE'!$D$56:$D$75))),IF('TS-PILE'!$B$65="",-1E+99,'TO HOP NLAN'!D142/ncoc+IF(SUMSQ('TS-PILE'!$E$56:$E$75)=0,0,'TO HOP NLAN'!E142*'TS-PILE'!$E$65/SUMSQ('TS-PILE'!$E$56:$E$75))+IF(SUMSQ('TS-PILE'!$D$56:$D$75)=0,0,'TO HOP NLAN'!F142*'TS-PILE'!$D$65/SUMSQ('TS-PILE'!$D$56:$D$75))),IF('TS-PILE'!$B$66="",-1E+99,'TO HOP NLAN'!D142/ncoc+IF(SUMSQ('TS-PILE'!$E$56:$E$75)=0,0,'TO HOP NLAN'!E142*'TS-PILE'!$E$66/SUMSQ('TS-PILE'!$E$56:$E$75))+IF(SUMSQ('TS-PILE'!$D$56:$D$75)=0,0,'TO HOP NLAN'!F142*'TS-PILE'!$D$66/SUMSQ('TS-PILE'!$D$56:$D$75))),IF('TS-PILE'!$B$67="",-1E+99,'TO HOP NLAN'!D142/ncoc+IF(SUMSQ('TS-PILE'!$E$56:$E$75)=0,0,'TO HOP NLAN'!E142*'TS-PILE'!$E$67/SUMSQ('TS-PILE'!$E$56:$E$75))+IF(SUMSQ('TS-PILE'!$D$56:$D$75)=0,0,'TO HOP NLAN'!F142*'TS-PILE'!$D$67/SUMSQ('TS-PILE'!$D$56:$D$75))),IF('TS-PILE'!$B$68="",-1E+99,'TO HOP NLAN'!D142/ncoc+IF(SUMSQ('TS-PILE'!$E$56:$E$75)=0,0,'TO HOP NLAN'!E142*'TS-PILE'!$E$68/SUMSQ('TS-PILE'!$E$56:$E$75))+IF(SUMSQ('TS-PILE'!$D$56:$D$75)=0,0,'TO HOP NLAN'!F142*'TS-PILE'!$D$68/SUMSQ('TS-PILE'!$D$56:$D$75))),IF('TS-PILE'!$B$69="",-1E+99,'TO HOP NLAN'!D142/ncoc+IF(SUMSQ('TS-PILE'!$E$56:$E$75)=0,0,'TO HOP NLAN'!E142*'TS-PILE'!$E$69/SUMSQ('TS-PILE'!$E$56:$E$75))+IF(SUMSQ('TS-PILE'!$D$56:$D$75)=0,0,'TO HOP NLAN'!F142*'TS-PILE'!$D$69/SUMSQ('TS-PILE'!$D$56:$D$75))),IF('TS-PILE'!$B$70="",-1E+99,'TO HOP NLAN'!D142/ncoc+IF(SUMSQ('TS-PILE'!$E$56:$E$75)=0,0,'TO HOP NLAN'!E142*'TS-PILE'!$E$70/SUMSQ('TS-PILE'!$E$56:$E$75))+IF(SUMSQ('TS-PILE'!$D$56:$D$75)=0,0,'TO HOP NLAN'!F142*'TS-PILE'!$D$70/SUMSQ('TS-PILE'!$D$56:$D$75))),IF('TS-PILE'!$B$71="",-1E+99,'TO HOP NLAN'!D142/ncoc+IF(SUMSQ('TS-PILE'!$E$56:$E$75)=0,0,'TO HOP NLAN'!E142*'TS-PILE'!$E$71/SUMSQ('TS-PILE'!$E$56:$E$75))+IF(SUMSQ('TS-PILE'!$D$56:$D$75)=0,0,'TO HOP NLAN'!F142*'TS-PILE'!$D$71/SUMSQ('TS-PILE'!$D$56:$D$75))),IF('TS-PILE'!$B$72="",-1E+99,'TO HOP NLAN'!D142/ncoc+IF(SUMSQ('TS-PILE'!$E$56:$E$75)=0,0,'TO HOP NLAN'!E142*'TS-PILE'!$E$72/SUMSQ('TS-PILE'!$E$56:$E$75))+IF(SUMSQ('TS-PILE'!$D$56:$D$75)=0,0,'TO HOP NLAN'!F142*'TS-PILE'!$D$72/SUMSQ('TS-PILE'!$D$56:$D$75))),IF('TS-PILE'!$B$73="",-1E+99,'TO HOP NLAN'!D142/ncoc+IF(SUMSQ('TS-PILE'!$E$56:$E$75)=0,0,'TO HOP NLAN'!E142*'TS-PILE'!$E$73/SUMSQ('TS-PILE'!$E$56:$E$75))+IF(SUMSQ('TS-PILE'!$D$56:$D$75)=0,0,'TO HOP NLAN'!F142*'TS-PILE'!$D$73/SUMSQ('TS-PILE'!$D$56:$D$75))),IF('TS-PILE'!$B$74="",-1E+99,'TO HOP NLAN'!D142/ncoc+IF(SUMSQ('TS-PILE'!$E$56:$E$75)=0,0,'TO HOP NLAN'!E142*'TS-PILE'!$E$74/SUMSQ('TS-PILE'!$E$56:$E$75))+IF(SUMSQ('TS-PILE'!$D$56:$D$75)=0,0,'TO HOP NLAN'!F142*'TS-PILE'!$D$74/SUMSQ('TS-PILE'!$D$56:$D$75))),IF('TS-PILE'!$B$75="",-1E+99,'TO HOP NLAN'!D142/ncoc+IF(SUMSQ('TS-PILE'!$E$56:$E$75)=0,0,'TO HOP NLAN'!E142*'TS-PILE'!$E$75/SUMSQ('TS-PILE'!$E$56:$E$75))+IF(SUMSQ('TS-PILE'!$D$56:$D$75)=0,0,'TO HOP NLAN'!F142*'TS-PILE'!$D$75/SUMSQ('TS-PILE'!$D$56:$D$75)))))</f>
        <v>0</v>
      </c>
      <c r="D142" s="46">
        <f>IF(A142="",0,MIN(IF('TS-PILE'!$B$56="",1E+99,'TO HOP NLAN'!D142/ncoc+IF(SUMSQ('TS-PILE'!$E$56:$E$75)=0,0,'TO HOP NLAN'!E142*'TS-PILE'!$E$56/SUMSQ('TS-PILE'!$E$56:$E$75))+IF(SUMSQ('TS-PILE'!$D$56:$D$75)=0,0,'TO HOP NLAN'!F142*'TS-PILE'!$D$56/SUMSQ('TS-PILE'!$D$56:$D$75))),IF('TS-PILE'!$B$57="",1E+99,'TO HOP NLAN'!D142/ncoc+IF(SUMSQ('TS-PILE'!$E$56:$E$75)=0,0,'TO HOP NLAN'!E142*'TS-PILE'!$E$57/SUMSQ('TS-PILE'!$E$56:$E$75))+IF(SUMSQ('TS-PILE'!$D$56:$D$75)=0,0,'TO HOP NLAN'!F142*'TS-PILE'!$D$57/SUMSQ('TS-PILE'!$D$56:$D$75))),IF('TS-PILE'!$B$58="",1E+99,'TO HOP NLAN'!D142/ncoc+IF(SUMSQ('TS-PILE'!$E$56:$E$75)=0,0,'TO HOP NLAN'!E142*'TS-PILE'!$E$58/SUMSQ('TS-PILE'!$E$56:$E$75))+IF(SUMSQ('TS-PILE'!$D$56:$D$75)=0,0,'TO HOP NLAN'!F142*'TS-PILE'!$D$58/SUMSQ('TS-PILE'!$D$56:$D$75))),IF('TS-PILE'!$B$59="",1E+99,'TO HOP NLAN'!D142/ncoc+IF(SUMSQ('TS-PILE'!$E$56:$E$75)=0,0,'TO HOP NLAN'!E142*'TS-PILE'!$E$59/SUMSQ('TS-PILE'!$E$56:$E$75))+IF(SUMSQ('TS-PILE'!$D$56:$D$75)=0,0,'TO HOP NLAN'!F142*'TS-PILE'!$D$59/SUMSQ('TS-PILE'!$D$56:$D$75))),IF('TS-PILE'!$B$60="",1E+99,'TO HOP NLAN'!D142/ncoc+IF(SUMSQ('TS-PILE'!$E$56:$E$75)=0,0,'TO HOP NLAN'!E142*'TS-PILE'!$E$60/SUMSQ('TS-PILE'!$E$56:$E$75))+IF(SUMSQ('TS-PILE'!$D$56:$D$75)=0,0,'TO HOP NLAN'!F142*'TS-PILE'!$D$60/SUMSQ('TS-PILE'!$D$56:$D$75))),IF('TS-PILE'!$B$61="",1E+99,'TO HOP NLAN'!D142/ncoc+IF(SUMSQ('TS-PILE'!$E$56:$E$75)=0,0,'TO HOP NLAN'!E142*'TS-PILE'!$E$61/SUMSQ('TS-PILE'!$E$56:$E$75))+IF(SUMSQ('TS-PILE'!$D$56:$D$75)=0,0,'TO HOP NLAN'!F142*'TS-PILE'!$D$61/SUMSQ('TS-PILE'!$D$56:$D$75))),IF('TS-PILE'!$B$62="",1E+99,'TO HOP NLAN'!D142/ncoc+IF(SUMSQ('TS-PILE'!$E$56:$E$75)=0,0,'TO HOP NLAN'!E142*'TS-PILE'!$E$62/SUMSQ('TS-PILE'!$E$56:$E$75))+IF(SUMSQ('TS-PILE'!$D$56:$D$75)=0,0,'TO HOP NLAN'!F142*'TS-PILE'!$D$62/SUMSQ('TS-PILE'!$D$56:$D$75))),IF('TS-PILE'!$B$63="",1E+99,'TO HOP NLAN'!D142/ncoc+IF(SUMSQ('TS-PILE'!$E$56:$E$75)=0,0,'TO HOP NLAN'!E142*'TS-PILE'!$E$63/SUMSQ('TS-PILE'!$E$56:$E$75))+IF(SUMSQ('TS-PILE'!$D$56:$D$75)=0,0,'TO HOP NLAN'!F142*'TS-PILE'!$D$63/SUMSQ('TS-PILE'!$D$56:$D$75))),IF('TS-PILE'!$B$64="",1E+99,'TO HOP NLAN'!D142/ncoc+IF(SUMSQ('TS-PILE'!$E$56:$E$75)=0,0,'TO HOP NLAN'!E142*'TS-PILE'!$E$64/SUMSQ('TS-PILE'!$E$56:$E$75))+IF(SUMSQ('TS-PILE'!$D$56:$D$75)=0,0,'TO HOP NLAN'!F142*'TS-PILE'!$D$64/SUMSQ('TS-PILE'!$D$56:$D$75))),IF('TS-PILE'!$B$65="",1E+99,'TO HOP NLAN'!D142/ncoc+IF(SUMSQ('TS-PILE'!$E$56:$E$75)=0,0,'TO HOP NLAN'!E142*'TS-PILE'!$E$65/SUMSQ('TS-PILE'!$E$56:$E$75))+IF(SUMSQ('TS-PILE'!$D$56:$D$75)=0,0,'TO HOP NLAN'!F142*'TS-PILE'!$D$65/SUMSQ('TS-PILE'!$D$56:$D$75))),IF('TS-PILE'!$B$66="",1E+99,'TO HOP NLAN'!D142/ncoc+IF(SUMSQ('TS-PILE'!$E$56:$E$75)=0,0,'TO HOP NLAN'!E142*'TS-PILE'!$E$66/SUMSQ('TS-PILE'!$E$56:$E$75))+IF(SUMSQ('TS-PILE'!$D$56:$D$75)=0,0,'TO HOP NLAN'!F142*'TS-PILE'!$D$66/SUMSQ('TS-PILE'!$D$56:$D$75))),IF('TS-PILE'!$B$67="",1E+99,'TO HOP NLAN'!D142/ncoc+IF(SUMSQ('TS-PILE'!$E$56:$E$75)=0,0,'TO HOP NLAN'!E142*'TS-PILE'!$E$67/SUMSQ('TS-PILE'!$E$56:$E$75))+IF(SUMSQ('TS-PILE'!$D$56:$D$75)=0,0,'TO HOP NLAN'!F142*'TS-PILE'!$D$67/SUMSQ('TS-PILE'!$D$56:$D$75))),IF('TS-PILE'!$B$68="",1E+99,'TO HOP NLAN'!D142/ncoc+IF(SUMSQ('TS-PILE'!$E$56:$E$75)=0,0,'TO HOP NLAN'!E142*'TS-PILE'!$E$68/SUMSQ('TS-PILE'!$E$56:$E$75))+IF(SUMSQ('TS-PILE'!$D$56:$D$75)=0,0,'TO HOP NLAN'!F142*'TS-PILE'!$D$68/SUMSQ('TS-PILE'!$D$56:$D$75))),IF('TS-PILE'!$B$69="",1E+99,'TO HOP NLAN'!D142/ncoc+IF(SUMSQ('TS-PILE'!$E$56:$E$75)=0,0,'TO HOP NLAN'!E142*'TS-PILE'!$E$69/SUMSQ('TS-PILE'!$E$56:$E$75))+IF(SUMSQ('TS-PILE'!$D$56:$D$75)=0,0,'TO HOP NLAN'!F142*'TS-PILE'!$D$69/SUMSQ('TS-PILE'!$D$56:$D$75))),IF('TS-PILE'!$B$70="",1E+99,'TO HOP NLAN'!D142/ncoc+IF(SUMSQ('TS-PILE'!$E$56:$E$75)=0,0,'TO HOP NLAN'!E142*'TS-PILE'!$E$70/SUMSQ('TS-PILE'!$E$56:$E$75))+IF(SUMSQ('TS-PILE'!$D$56:$D$75)=0,0,'TO HOP NLAN'!F142*'TS-PILE'!$D$70/SUMSQ('TS-PILE'!$D$56:$D$75))),IF('TS-PILE'!$B$71="",1E+99,'TO HOP NLAN'!D142/ncoc+IF(SUMSQ('TS-PILE'!$E$56:$E$75)=0,0,'TO HOP NLAN'!E142*'TS-PILE'!$E$71/SUMSQ('TS-PILE'!$E$56:$E$75))+IF(SUMSQ('TS-PILE'!$D$56:$D$75)=0,0,'TO HOP NLAN'!F142*'TS-PILE'!$D$71/SUMSQ('TS-PILE'!$D$56:$D$75))),IF('TS-PILE'!$B$72="",1E+99,'TO HOP NLAN'!D142/ncoc+IF(SUMSQ('TS-PILE'!$E$56:$E$75)=0,0,'TO HOP NLAN'!E142*'TS-PILE'!$E$72/SUMSQ('TS-PILE'!$E$56:$E$75))+IF(SUMSQ('TS-PILE'!$D$56:$D$75)=0,0,'TO HOP NLAN'!F142*'TS-PILE'!$D$72/SUMSQ('TS-PILE'!$D$56:$D$75))),IF('TS-PILE'!$B$73="",1E+99,'TO HOP NLAN'!D142/ncoc+IF(SUMSQ('TS-PILE'!$E$56:$E$75)=0,0,'TO HOP NLAN'!E142*'TS-PILE'!$E$73/SUMSQ('TS-PILE'!$E$56:$E$75))+IF(SUMSQ('TS-PILE'!$D$56:$D$75)=0,0,'TO HOP NLAN'!F142*'TS-PILE'!$D$73/SUMSQ('TS-PILE'!$D$56:$D$75))),IF('TS-PILE'!$B$74="",1E+99,'TO HOP NLAN'!D142/ncoc+IF(SUMSQ('TS-PILE'!$E$56:$E$75)=0,0,'TO HOP NLAN'!E142*'TS-PILE'!$E$74/SUMSQ('TS-PILE'!$E$56:$E$75))+IF(SUMSQ('TS-PILE'!$D$56:$D$75)=0,0,'TO HOP NLAN'!F142*'TS-PILE'!$D$74/SUMSQ('TS-PILE'!$D$56:$D$75))),IF('TS-PILE'!$B$75="",1E+99,'TO HOP NLAN'!D142/ncoc+IF(SUMSQ('TS-PILE'!$E$56:$E$75)=0,0,'TO HOP NLAN'!E142*'TS-PILE'!$E$75/SUMSQ('TS-PILE'!$E$56:$E$75))+IF(SUMSQ('TS-PILE'!$D$56:$D$75)=0,0,'TO HOP NLAN'!F142*'TS-PILE'!$D$75/SUMSQ('TS-PILE'!$D$56:$D$75)))))</f>
        <v>0</v>
      </c>
      <c r="E142" s="46">
        <f t="shared" si="8"/>
        <v>-9.9999999999999997E+98</v>
      </c>
      <c r="F142" s="46">
        <f t="shared" si="9"/>
        <v>9.9999999999999997E+98</v>
      </c>
      <c r="G142" s="46">
        <f t="shared" si="10"/>
        <v>-9.9999999999999997E+98</v>
      </c>
      <c r="H142" s="46">
        <f t="shared" si="11"/>
        <v>9.9999999999999997E+98</v>
      </c>
    </row>
    <row r="143" spans="1:8" x14ac:dyDescent="0.3">
      <c r="A143" s="40" t="str">
        <f>'TO HOP NLAN'!A143</f>
        <v/>
      </c>
      <c r="B143" s="40" t="str">
        <f>'TO HOP NLAN'!L143</f>
        <v>STRENGTH</v>
      </c>
      <c r="C143" s="46">
        <f>IF(A143="",0,MAX(IF('TS-PILE'!$B$56="",-1E+99,'TO HOP NLAN'!D143/ncoc+IF(SUMSQ('TS-PILE'!$E$56:$E$75)=0,0,'TO HOP NLAN'!E143*'TS-PILE'!$E$56/SUMSQ('TS-PILE'!$E$56:$E$75))+IF(SUMSQ('TS-PILE'!$D$56:$D$75)=0,0,'TO HOP NLAN'!F143*'TS-PILE'!$D$56/SUMSQ('TS-PILE'!$D$56:$D$75))),IF('TS-PILE'!$B$57="",-1E+99,'TO HOP NLAN'!D143/ncoc+IF(SUMSQ('TS-PILE'!$E$56:$E$75)=0,0,'TO HOP NLAN'!E143*'TS-PILE'!$E$57/SUMSQ('TS-PILE'!$E$56:$E$75))+IF(SUMSQ('TS-PILE'!$D$56:$D$75)=0,0,'TO HOP NLAN'!F143*'TS-PILE'!$D$57/SUMSQ('TS-PILE'!$D$56:$D$75))),IF('TS-PILE'!$B$58="",-1E+99,'TO HOP NLAN'!D143/ncoc+IF(SUMSQ('TS-PILE'!$E$56:$E$75)=0,0,'TO HOP NLAN'!E143*'TS-PILE'!$E$58/SUMSQ('TS-PILE'!$E$56:$E$75))+IF(SUMSQ('TS-PILE'!$D$56:$D$75)=0,0,'TO HOP NLAN'!F143*'TS-PILE'!$D$58/SUMSQ('TS-PILE'!$D$56:$D$75))),IF('TS-PILE'!$B$59="",-1E+99,'TO HOP NLAN'!D143/ncoc+IF(SUMSQ('TS-PILE'!$E$56:$E$75)=0,0,'TO HOP NLAN'!E143*'TS-PILE'!$E$59/SUMSQ('TS-PILE'!$E$56:$E$75))+IF(SUMSQ('TS-PILE'!$D$56:$D$75)=0,0,'TO HOP NLAN'!F143*'TS-PILE'!$D$59/SUMSQ('TS-PILE'!$D$56:$D$75))),IF('TS-PILE'!$B$60="",-1E+99,'TO HOP NLAN'!D143/ncoc+IF(SUMSQ('TS-PILE'!$E$56:$E$75)=0,0,'TO HOP NLAN'!E143*'TS-PILE'!$E$60/SUMSQ('TS-PILE'!$E$56:$E$75))+IF(SUMSQ('TS-PILE'!$D$56:$D$75)=0,0,'TO HOP NLAN'!F143*'TS-PILE'!$D$60/SUMSQ('TS-PILE'!$D$56:$D$75))),IF('TS-PILE'!$B$61="",-1E+99,'TO HOP NLAN'!D143/ncoc+IF(SUMSQ('TS-PILE'!$E$56:$E$75)=0,0,'TO HOP NLAN'!E143*'TS-PILE'!$E$61/SUMSQ('TS-PILE'!$E$56:$E$75))+IF(SUMSQ('TS-PILE'!$D$56:$D$75)=0,0,'TO HOP NLAN'!F143*'TS-PILE'!$D$61/SUMSQ('TS-PILE'!$D$56:$D$75))),IF('TS-PILE'!$B$62="",-1E+99,'TO HOP NLAN'!D143/ncoc+IF(SUMSQ('TS-PILE'!$E$56:$E$75)=0,0,'TO HOP NLAN'!E143*'TS-PILE'!$E$62/SUMSQ('TS-PILE'!$E$56:$E$75))+IF(SUMSQ('TS-PILE'!$D$56:$D$75)=0,0,'TO HOP NLAN'!F143*'TS-PILE'!$D$62/SUMSQ('TS-PILE'!$D$56:$D$75))),IF('TS-PILE'!$B$63="",-1E+99,'TO HOP NLAN'!D143/ncoc+IF(SUMSQ('TS-PILE'!$E$56:$E$75)=0,0,'TO HOP NLAN'!E143*'TS-PILE'!$E$63/SUMSQ('TS-PILE'!$E$56:$E$75))+IF(SUMSQ('TS-PILE'!$D$56:$D$75)=0,0,'TO HOP NLAN'!F143*'TS-PILE'!$D$63/SUMSQ('TS-PILE'!$D$56:$D$75))),IF('TS-PILE'!$B$64="",-1E+99,'TO HOP NLAN'!D143/ncoc+IF(SUMSQ('TS-PILE'!$E$56:$E$75)=0,0,'TO HOP NLAN'!E143*'TS-PILE'!$E$64/SUMSQ('TS-PILE'!$E$56:$E$75))+IF(SUMSQ('TS-PILE'!$D$56:$D$75)=0,0,'TO HOP NLAN'!F143*'TS-PILE'!$D$64/SUMSQ('TS-PILE'!$D$56:$D$75))),IF('TS-PILE'!$B$65="",-1E+99,'TO HOP NLAN'!D143/ncoc+IF(SUMSQ('TS-PILE'!$E$56:$E$75)=0,0,'TO HOP NLAN'!E143*'TS-PILE'!$E$65/SUMSQ('TS-PILE'!$E$56:$E$75))+IF(SUMSQ('TS-PILE'!$D$56:$D$75)=0,0,'TO HOP NLAN'!F143*'TS-PILE'!$D$65/SUMSQ('TS-PILE'!$D$56:$D$75))),IF('TS-PILE'!$B$66="",-1E+99,'TO HOP NLAN'!D143/ncoc+IF(SUMSQ('TS-PILE'!$E$56:$E$75)=0,0,'TO HOP NLAN'!E143*'TS-PILE'!$E$66/SUMSQ('TS-PILE'!$E$56:$E$75))+IF(SUMSQ('TS-PILE'!$D$56:$D$75)=0,0,'TO HOP NLAN'!F143*'TS-PILE'!$D$66/SUMSQ('TS-PILE'!$D$56:$D$75))),IF('TS-PILE'!$B$67="",-1E+99,'TO HOP NLAN'!D143/ncoc+IF(SUMSQ('TS-PILE'!$E$56:$E$75)=0,0,'TO HOP NLAN'!E143*'TS-PILE'!$E$67/SUMSQ('TS-PILE'!$E$56:$E$75))+IF(SUMSQ('TS-PILE'!$D$56:$D$75)=0,0,'TO HOP NLAN'!F143*'TS-PILE'!$D$67/SUMSQ('TS-PILE'!$D$56:$D$75))),IF('TS-PILE'!$B$68="",-1E+99,'TO HOP NLAN'!D143/ncoc+IF(SUMSQ('TS-PILE'!$E$56:$E$75)=0,0,'TO HOP NLAN'!E143*'TS-PILE'!$E$68/SUMSQ('TS-PILE'!$E$56:$E$75))+IF(SUMSQ('TS-PILE'!$D$56:$D$75)=0,0,'TO HOP NLAN'!F143*'TS-PILE'!$D$68/SUMSQ('TS-PILE'!$D$56:$D$75))),IF('TS-PILE'!$B$69="",-1E+99,'TO HOP NLAN'!D143/ncoc+IF(SUMSQ('TS-PILE'!$E$56:$E$75)=0,0,'TO HOP NLAN'!E143*'TS-PILE'!$E$69/SUMSQ('TS-PILE'!$E$56:$E$75))+IF(SUMSQ('TS-PILE'!$D$56:$D$75)=0,0,'TO HOP NLAN'!F143*'TS-PILE'!$D$69/SUMSQ('TS-PILE'!$D$56:$D$75))),IF('TS-PILE'!$B$70="",-1E+99,'TO HOP NLAN'!D143/ncoc+IF(SUMSQ('TS-PILE'!$E$56:$E$75)=0,0,'TO HOP NLAN'!E143*'TS-PILE'!$E$70/SUMSQ('TS-PILE'!$E$56:$E$75))+IF(SUMSQ('TS-PILE'!$D$56:$D$75)=0,0,'TO HOP NLAN'!F143*'TS-PILE'!$D$70/SUMSQ('TS-PILE'!$D$56:$D$75))),IF('TS-PILE'!$B$71="",-1E+99,'TO HOP NLAN'!D143/ncoc+IF(SUMSQ('TS-PILE'!$E$56:$E$75)=0,0,'TO HOP NLAN'!E143*'TS-PILE'!$E$71/SUMSQ('TS-PILE'!$E$56:$E$75))+IF(SUMSQ('TS-PILE'!$D$56:$D$75)=0,0,'TO HOP NLAN'!F143*'TS-PILE'!$D$71/SUMSQ('TS-PILE'!$D$56:$D$75))),IF('TS-PILE'!$B$72="",-1E+99,'TO HOP NLAN'!D143/ncoc+IF(SUMSQ('TS-PILE'!$E$56:$E$75)=0,0,'TO HOP NLAN'!E143*'TS-PILE'!$E$72/SUMSQ('TS-PILE'!$E$56:$E$75))+IF(SUMSQ('TS-PILE'!$D$56:$D$75)=0,0,'TO HOP NLAN'!F143*'TS-PILE'!$D$72/SUMSQ('TS-PILE'!$D$56:$D$75))),IF('TS-PILE'!$B$73="",-1E+99,'TO HOP NLAN'!D143/ncoc+IF(SUMSQ('TS-PILE'!$E$56:$E$75)=0,0,'TO HOP NLAN'!E143*'TS-PILE'!$E$73/SUMSQ('TS-PILE'!$E$56:$E$75))+IF(SUMSQ('TS-PILE'!$D$56:$D$75)=0,0,'TO HOP NLAN'!F143*'TS-PILE'!$D$73/SUMSQ('TS-PILE'!$D$56:$D$75))),IF('TS-PILE'!$B$74="",-1E+99,'TO HOP NLAN'!D143/ncoc+IF(SUMSQ('TS-PILE'!$E$56:$E$75)=0,0,'TO HOP NLAN'!E143*'TS-PILE'!$E$74/SUMSQ('TS-PILE'!$E$56:$E$75))+IF(SUMSQ('TS-PILE'!$D$56:$D$75)=0,0,'TO HOP NLAN'!F143*'TS-PILE'!$D$74/SUMSQ('TS-PILE'!$D$56:$D$75))),IF('TS-PILE'!$B$75="",-1E+99,'TO HOP NLAN'!D143/ncoc+IF(SUMSQ('TS-PILE'!$E$56:$E$75)=0,0,'TO HOP NLAN'!E143*'TS-PILE'!$E$75/SUMSQ('TS-PILE'!$E$56:$E$75))+IF(SUMSQ('TS-PILE'!$D$56:$D$75)=0,0,'TO HOP NLAN'!F143*'TS-PILE'!$D$75/SUMSQ('TS-PILE'!$D$56:$D$75)))))</f>
        <v>0</v>
      </c>
      <c r="D143" s="46">
        <f>IF(A143="",0,MIN(IF('TS-PILE'!$B$56="",1E+99,'TO HOP NLAN'!D143/ncoc+IF(SUMSQ('TS-PILE'!$E$56:$E$75)=0,0,'TO HOP NLAN'!E143*'TS-PILE'!$E$56/SUMSQ('TS-PILE'!$E$56:$E$75))+IF(SUMSQ('TS-PILE'!$D$56:$D$75)=0,0,'TO HOP NLAN'!F143*'TS-PILE'!$D$56/SUMSQ('TS-PILE'!$D$56:$D$75))),IF('TS-PILE'!$B$57="",1E+99,'TO HOP NLAN'!D143/ncoc+IF(SUMSQ('TS-PILE'!$E$56:$E$75)=0,0,'TO HOP NLAN'!E143*'TS-PILE'!$E$57/SUMSQ('TS-PILE'!$E$56:$E$75))+IF(SUMSQ('TS-PILE'!$D$56:$D$75)=0,0,'TO HOP NLAN'!F143*'TS-PILE'!$D$57/SUMSQ('TS-PILE'!$D$56:$D$75))),IF('TS-PILE'!$B$58="",1E+99,'TO HOP NLAN'!D143/ncoc+IF(SUMSQ('TS-PILE'!$E$56:$E$75)=0,0,'TO HOP NLAN'!E143*'TS-PILE'!$E$58/SUMSQ('TS-PILE'!$E$56:$E$75))+IF(SUMSQ('TS-PILE'!$D$56:$D$75)=0,0,'TO HOP NLAN'!F143*'TS-PILE'!$D$58/SUMSQ('TS-PILE'!$D$56:$D$75))),IF('TS-PILE'!$B$59="",1E+99,'TO HOP NLAN'!D143/ncoc+IF(SUMSQ('TS-PILE'!$E$56:$E$75)=0,0,'TO HOP NLAN'!E143*'TS-PILE'!$E$59/SUMSQ('TS-PILE'!$E$56:$E$75))+IF(SUMSQ('TS-PILE'!$D$56:$D$75)=0,0,'TO HOP NLAN'!F143*'TS-PILE'!$D$59/SUMSQ('TS-PILE'!$D$56:$D$75))),IF('TS-PILE'!$B$60="",1E+99,'TO HOP NLAN'!D143/ncoc+IF(SUMSQ('TS-PILE'!$E$56:$E$75)=0,0,'TO HOP NLAN'!E143*'TS-PILE'!$E$60/SUMSQ('TS-PILE'!$E$56:$E$75))+IF(SUMSQ('TS-PILE'!$D$56:$D$75)=0,0,'TO HOP NLAN'!F143*'TS-PILE'!$D$60/SUMSQ('TS-PILE'!$D$56:$D$75))),IF('TS-PILE'!$B$61="",1E+99,'TO HOP NLAN'!D143/ncoc+IF(SUMSQ('TS-PILE'!$E$56:$E$75)=0,0,'TO HOP NLAN'!E143*'TS-PILE'!$E$61/SUMSQ('TS-PILE'!$E$56:$E$75))+IF(SUMSQ('TS-PILE'!$D$56:$D$75)=0,0,'TO HOP NLAN'!F143*'TS-PILE'!$D$61/SUMSQ('TS-PILE'!$D$56:$D$75))),IF('TS-PILE'!$B$62="",1E+99,'TO HOP NLAN'!D143/ncoc+IF(SUMSQ('TS-PILE'!$E$56:$E$75)=0,0,'TO HOP NLAN'!E143*'TS-PILE'!$E$62/SUMSQ('TS-PILE'!$E$56:$E$75))+IF(SUMSQ('TS-PILE'!$D$56:$D$75)=0,0,'TO HOP NLAN'!F143*'TS-PILE'!$D$62/SUMSQ('TS-PILE'!$D$56:$D$75))),IF('TS-PILE'!$B$63="",1E+99,'TO HOP NLAN'!D143/ncoc+IF(SUMSQ('TS-PILE'!$E$56:$E$75)=0,0,'TO HOP NLAN'!E143*'TS-PILE'!$E$63/SUMSQ('TS-PILE'!$E$56:$E$75))+IF(SUMSQ('TS-PILE'!$D$56:$D$75)=0,0,'TO HOP NLAN'!F143*'TS-PILE'!$D$63/SUMSQ('TS-PILE'!$D$56:$D$75))),IF('TS-PILE'!$B$64="",1E+99,'TO HOP NLAN'!D143/ncoc+IF(SUMSQ('TS-PILE'!$E$56:$E$75)=0,0,'TO HOP NLAN'!E143*'TS-PILE'!$E$64/SUMSQ('TS-PILE'!$E$56:$E$75))+IF(SUMSQ('TS-PILE'!$D$56:$D$75)=0,0,'TO HOP NLAN'!F143*'TS-PILE'!$D$64/SUMSQ('TS-PILE'!$D$56:$D$75))),IF('TS-PILE'!$B$65="",1E+99,'TO HOP NLAN'!D143/ncoc+IF(SUMSQ('TS-PILE'!$E$56:$E$75)=0,0,'TO HOP NLAN'!E143*'TS-PILE'!$E$65/SUMSQ('TS-PILE'!$E$56:$E$75))+IF(SUMSQ('TS-PILE'!$D$56:$D$75)=0,0,'TO HOP NLAN'!F143*'TS-PILE'!$D$65/SUMSQ('TS-PILE'!$D$56:$D$75))),IF('TS-PILE'!$B$66="",1E+99,'TO HOP NLAN'!D143/ncoc+IF(SUMSQ('TS-PILE'!$E$56:$E$75)=0,0,'TO HOP NLAN'!E143*'TS-PILE'!$E$66/SUMSQ('TS-PILE'!$E$56:$E$75))+IF(SUMSQ('TS-PILE'!$D$56:$D$75)=0,0,'TO HOP NLAN'!F143*'TS-PILE'!$D$66/SUMSQ('TS-PILE'!$D$56:$D$75))),IF('TS-PILE'!$B$67="",1E+99,'TO HOP NLAN'!D143/ncoc+IF(SUMSQ('TS-PILE'!$E$56:$E$75)=0,0,'TO HOP NLAN'!E143*'TS-PILE'!$E$67/SUMSQ('TS-PILE'!$E$56:$E$75))+IF(SUMSQ('TS-PILE'!$D$56:$D$75)=0,0,'TO HOP NLAN'!F143*'TS-PILE'!$D$67/SUMSQ('TS-PILE'!$D$56:$D$75))),IF('TS-PILE'!$B$68="",1E+99,'TO HOP NLAN'!D143/ncoc+IF(SUMSQ('TS-PILE'!$E$56:$E$75)=0,0,'TO HOP NLAN'!E143*'TS-PILE'!$E$68/SUMSQ('TS-PILE'!$E$56:$E$75))+IF(SUMSQ('TS-PILE'!$D$56:$D$75)=0,0,'TO HOP NLAN'!F143*'TS-PILE'!$D$68/SUMSQ('TS-PILE'!$D$56:$D$75))),IF('TS-PILE'!$B$69="",1E+99,'TO HOP NLAN'!D143/ncoc+IF(SUMSQ('TS-PILE'!$E$56:$E$75)=0,0,'TO HOP NLAN'!E143*'TS-PILE'!$E$69/SUMSQ('TS-PILE'!$E$56:$E$75))+IF(SUMSQ('TS-PILE'!$D$56:$D$75)=0,0,'TO HOP NLAN'!F143*'TS-PILE'!$D$69/SUMSQ('TS-PILE'!$D$56:$D$75))),IF('TS-PILE'!$B$70="",1E+99,'TO HOP NLAN'!D143/ncoc+IF(SUMSQ('TS-PILE'!$E$56:$E$75)=0,0,'TO HOP NLAN'!E143*'TS-PILE'!$E$70/SUMSQ('TS-PILE'!$E$56:$E$75))+IF(SUMSQ('TS-PILE'!$D$56:$D$75)=0,0,'TO HOP NLAN'!F143*'TS-PILE'!$D$70/SUMSQ('TS-PILE'!$D$56:$D$75))),IF('TS-PILE'!$B$71="",1E+99,'TO HOP NLAN'!D143/ncoc+IF(SUMSQ('TS-PILE'!$E$56:$E$75)=0,0,'TO HOP NLAN'!E143*'TS-PILE'!$E$71/SUMSQ('TS-PILE'!$E$56:$E$75))+IF(SUMSQ('TS-PILE'!$D$56:$D$75)=0,0,'TO HOP NLAN'!F143*'TS-PILE'!$D$71/SUMSQ('TS-PILE'!$D$56:$D$75))),IF('TS-PILE'!$B$72="",1E+99,'TO HOP NLAN'!D143/ncoc+IF(SUMSQ('TS-PILE'!$E$56:$E$75)=0,0,'TO HOP NLAN'!E143*'TS-PILE'!$E$72/SUMSQ('TS-PILE'!$E$56:$E$75))+IF(SUMSQ('TS-PILE'!$D$56:$D$75)=0,0,'TO HOP NLAN'!F143*'TS-PILE'!$D$72/SUMSQ('TS-PILE'!$D$56:$D$75))),IF('TS-PILE'!$B$73="",1E+99,'TO HOP NLAN'!D143/ncoc+IF(SUMSQ('TS-PILE'!$E$56:$E$75)=0,0,'TO HOP NLAN'!E143*'TS-PILE'!$E$73/SUMSQ('TS-PILE'!$E$56:$E$75))+IF(SUMSQ('TS-PILE'!$D$56:$D$75)=0,0,'TO HOP NLAN'!F143*'TS-PILE'!$D$73/SUMSQ('TS-PILE'!$D$56:$D$75))),IF('TS-PILE'!$B$74="",1E+99,'TO HOP NLAN'!D143/ncoc+IF(SUMSQ('TS-PILE'!$E$56:$E$75)=0,0,'TO HOP NLAN'!E143*'TS-PILE'!$E$74/SUMSQ('TS-PILE'!$E$56:$E$75))+IF(SUMSQ('TS-PILE'!$D$56:$D$75)=0,0,'TO HOP NLAN'!F143*'TS-PILE'!$D$74/SUMSQ('TS-PILE'!$D$56:$D$75))),IF('TS-PILE'!$B$75="",1E+99,'TO HOP NLAN'!D143/ncoc+IF(SUMSQ('TS-PILE'!$E$56:$E$75)=0,0,'TO HOP NLAN'!E143*'TS-PILE'!$E$75/SUMSQ('TS-PILE'!$E$56:$E$75))+IF(SUMSQ('TS-PILE'!$D$56:$D$75)=0,0,'TO HOP NLAN'!F143*'TS-PILE'!$D$75/SUMSQ('TS-PILE'!$D$56:$D$75)))))</f>
        <v>0</v>
      </c>
      <c r="E143" s="46">
        <f t="shared" si="8"/>
        <v>-9.9999999999999997E+98</v>
      </c>
      <c r="F143" s="46">
        <f t="shared" si="9"/>
        <v>9.9999999999999997E+98</v>
      </c>
      <c r="G143" s="46">
        <f t="shared" si="10"/>
        <v>-9.9999999999999997E+98</v>
      </c>
      <c r="H143" s="46">
        <f t="shared" si="11"/>
        <v>9.9999999999999997E+98</v>
      </c>
    </row>
    <row r="144" spans="1:8" x14ac:dyDescent="0.3">
      <c r="A144" s="40" t="str">
        <f>'TO HOP NLAN'!A144</f>
        <v/>
      </c>
      <c r="B144" s="40" t="str">
        <f>'TO HOP NLAN'!L144</f>
        <v>STRENGTH</v>
      </c>
      <c r="C144" s="46">
        <f>IF(A144="",0,MAX(IF('TS-PILE'!$B$56="",-1E+99,'TO HOP NLAN'!D144/ncoc+IF(SUMSQ('TS-PILE'!$E$56:$E$75)=0,0,'TO HOP NLAN'!E144*'TS-PILE'!$E$56/SUMSQ('TS-PILE'!$E$56:$E$75))+IF(SUMSQ('TS-PILE'!$D$56:$D$75)=0,0,'TO HOP NLAN'!F144*'TS-PILE'!$D$56/SUMSQ('TS-PILE'!$D$56:$D$75))),IF('TS-PILE'!$B$57="",-1E+99,'TO HOP NLAN'!D144/ncoc+IF(SUMSQ('TS-PILE'!$E$56:$E$75)=0,0,'TO HOP NLAN'!E144*'TS-PILE'!$E$57/SUMSQ('TS-PILE'!$E$56:$E$75))+IF(SUMSQ('TS-PILE'!$D$56:$D$75)=0,0,'TO HOP NLAN'!F144*'TS-PILE'!$D$57/SUMSQ('TS-PILE'!$D$56:$D$75))),IF('TS-PILE'!$B$58="",-1E+99,'TO HOP NLAN'!D144/ncoc+IF(SUMSQ('TS-PILE'!$E$56:$E$75)=0,0,'TO HOP NLAN'!E144*'TS-PILE'!$E$58/SUMSQ('TS-PILE'!$E$56:$E$75))+IF(SUMSQ('TS-PILE'!$D$56:$D$75)=0,0,'TO HOP NLAN'!F144*'TS-PILE'!$D$58/SUMSQ('TS-PILE'!$D$56:$D$75))),IF('TS-PILE'!$B$59="",-1E+99,'TO HOP NLAN'!D144/ncoc+IF(SUMSQ('TS-PILE'!$E$56:$E$75)=0,0,'TO HOP NLAN'!E144*'TS-PILE'!$E$59/SUMSQ('TS-PILE'!$E$56:$E$75))+IF(SUMSQ('TS-PILE'!$D$56:$D$75)=0,0,'TO HOP NLAN'!F144*'TS-PILE'!$D$59/SUMSQ('TS-PILE'!$D$56:$D$75))),IF('TS-PILE'!$B$60="",-1E+99,'TO HOP NLAN'!D144/ncoc+IF(SUMSQ('TS-PILE'!$E$56:$E$75)=0,0,'TO HOP NLAN'!E144*'TS-PILE'!$E$60/SUMSQ('TS-PILE'!$E$56:$E$75))+IF(SUMSQ('TS-PILE'!$D$56:$D$75)=0,0,'TO HOP NLAN'!F144*'TS-PILE'!$D$60/SUMSQ('TS-PILE'!$D$56:$D$75))),IF('TS-PILE'!$B$61="",-1E+99,'TO HOP NLAN'!D144/ncoc+IF(SUMSQ('TS-PILE'!$E$56:$E$75)=0,0,'TO HOP NLAN'!E144*'TS-PILE'!$E$61/SUMSQ('TS-PILE'!$E$56:$E$75))+IF(SUMSQ('TS-PILE'!$D$56:$D$75)=0,0,'TO HOP NLAN'!F144*'TS-PILE'!$D$61/SUMSQ('TS-PILE'!$D$56:$D$75))),IF('TS-PILE'!$B$62="",-1E+99,'TO HOP NLAN'!D144/ncoc+IF(SUMSQ('TS-PILE'!$E$56:$E$75)=0,0,'TO HOP NLAN'!E144*'TS-PILE'!$E$62/SUMSQ('TS-PILE'!$E$56:$E$75))+IF(SUMSQ('TS-PILE'!$D$56:$D$75)=0,0,'TO HOP NLAN'!F144*'TS-PILE'!$D$62/SUMSQ('TS-PILE'!$D$56:$D$75))),IF('TS-PILE'!$B$63="",-1E+99,'TO HOP NLAN'!D144/ncoc+IF(SUMSQ('TS-PILE'!$E$56:$E$75)=0,0,'TO HOP NLAN'!E144*'TS-PILE'!$E$63/SUMSQ('TS-PILE'!$E$56:$E$75))+IF(SUMSQ('TS-PILE'!$D$56:$D$75)=0,0,'TO HOP NLAN'!F144*'TS-PILE'!$D$63/SUMSQ('TS-PILE'!$D$56:$D$75))),IF('TS-PILE'!$B$64="",-1E+99,'TO HOP NLAN'!D144/ncoc+IF(SUMSQ('TS-PILE'!$E$56:$E$75)=0,0,'TO HOP NLAN'!E144*'TS-PILE'!$E$64/SUMSQ('TS-PILE'!$E$56:$E$75))+IF(SUMSQ('TS-PILE'!$D$56:$D$75)=0,0,'TO HOP NLAN'!F144*'TS-PILE'!$D$64/SUMSQ('TS-PILE'!$D$56:$D$75))),IF('TS-PILE'!$B$65="",-1E+99,'TO HOP NLAN'!D144/ncoc+IF(SUMSQ('TS-PILE'!$E$56:$E$75)=0,0,'TO HOP NLAN'!E144*'TS-PILE'!$E$65/SUMSQ('TS-PILE'!$E$56:$E$75))+IF(SUMSQ('TS-PILE'!$D$56:$D$75)=0,0,'TO HOP NLAN'!F144*'TS-PILE'!$D$65/SUMSQ('TS-PILE'!$D$56:$D$75))),IF('TS-PILE'!$B$66="",-1E+99,'TO HOP NLAN'!D144/ncoc+IF(SUMSQ('TS-PILE'!$E$56:$E$75)=0,0,'TO HOP NLAN'!E144*'TS-PILE'!$E$66/SUMSQ('TS-PILE'!$E$56:$E$75))+IF(SUMSQ('TS-PILE'!$D$56:$D$75)=0,0,'TO HOP NLAN'!F144*'TS-PILE'!$D$66/SUMSQ('TS-PILE'!$D$56:$D$75))),IF('TS-PILE'!$B$67="",-1E+99,'TO HOP NLAN'!D144/ncoc+IF(SUMSQ('TS-PILE'!$E$56:$E$75)=0,0,'TO HOP NLAN'!E144*'TS-PILE'!$E$67/SUMSQ('TS-PILE'!$E$56:$E$75))+IF(SUMSQ('TS-PILE'!$D$56:$D$75)=0,0,'TO HOP NLAN'!F144*'TS-PILE'!$D$67/SUMSQ('TS-PILE'!$D$56:$D$75))),IF('TS-PILE'!$B$68="",-1E+99,'TO HOP NLAN'!D144/ncoc+IF(SUMSQ('TS-PILE'!$E$56:$E$75)=0,0,'TO HOP NLAN'!E144*'TS-PILE'!$E$68/SUMSQ('TS-PILE'!$E$56:$E$75))+IF(SUMSQ('TS-PILE'!$D$56:$D$75)=0,0,'TO HOP NLAN'!F144*'TS-PILE'!$D$68/SUMSQ('TS-PILE'!$D$56:$D$75))),IF('TS-PILE'!$B$69="",-1E+99,'TO HOP NLAN'!D144/ncoc+IF(SUMSQ('TS-PILE'!$E$56:$E$75)=0,0,'TO HOP NLAN'!E144*'TS-PILE'!$E$69/SUMSQ('TS-PILE'!$E$56:$E$75))+IF(SUMSQ('TS-PILE'!$D$56:$D$75)=0,0,'TO HOP NLAN'!F144*'TS-PILE'!$D$69/SUMSQ('TS-PILE'!$D$56:$D$75))),IF('TS-PILE'!$B$70="",-1E+99,'TO HOP NLAN'!D144/ncoc+IF(SUMSQ('TS-PILE'!$E$56:$E$75)=0,0,'TO HOP NLAN'!E144*'TS-PILE'!$E$70/SUMSQ('TS-PILE'!$E$56:$E$75))+IF(SUMSQ('TS-PILE'!$D$56:$D$75)=0,0,'TO HOP NLAN'!F144*'TS-PILE'!$D$70/SUMSQ('TS-PILE'!$D$56:$D$75))),IF('TS-PILE'!$B$71="",-1E+99,'TO HOP NLAN'!D144/ncoc+IF(SUMSQ('TS-PILE'!$E$56:$E$75)=0,0,'TO HOP NLAN'!E144*'TS-PILE'!$E$71/SUMSQ('TS-PILE'!$E$56:$E$75))+IF(SUMSQ('TS-PILE'!$D$56:$D$75)=0,0,'TO HOP NLAN'!F144*'TS-PILE'!$D$71/SUMSQ('TS-PILE'!$D$56:$D$75))),IF('TS-PILE'!$B$72="",-1E+99,'TO HOP NLAN'!D144/ncoc+IF(SUMSQ('TS-PILE'!$E$56:$E$75)=0,0,'TO HOP NLAN'!E144*'TS-PILE'!$E$72/SUMSQ('TS-PILE'!$E$56:$E$75))+IF(SUMSQ('TS-PILE'!$D$56:$D$75)=0,0,'TO HOP NLAN'!F144*'TS-PILE'!$D$72/SUMSQ('TS-PILE'!$D$56:$D$75))),IF('TS-PILE'!$B$73="",-1E+99,'TO HOP NLAN'!D144/ncoc+IF(SUMSQ('TS-PILE'!$E$56:$E$75)=0,0,'TO HOP NLAN'!E144*'TS-PILE'!$E$73/SUMSQ('TS-PILE'!$E$56:$E$75))+IF(SUMSQ('TS-PILE'!$D$56:$D$75)=0,0,'TO HOP NLAN'!F144*'TS-PILE'!$D$73/SUMSQ('TS-PILE'!$D$56:$D$75))),IF('TS-PILE'!$B$74="",-1E+99,'TO HOP NLAN'!D144/ncoc+IF(SUMSQ('TS-PILE'!$E$56:$E$75)=0,0,'TO HOP NLAN'!E144*'TS-PILE'!$E$74/SUMSQ('TS-PILE'!$E$56:$E$75))+IF(SUMSQ('TS-PILE'!$D$56:$D$75)=0,0,'TO HOP NLAN'!F144*'TS-PILE'!$D$74/SUMSQ('TS-PILE'!$D$56:$D$75))),IF('TS-PILE'!$B$75="",-1E+99,'TO HOP NLAN'!D144/ncoc+IF(SUMSQ('TS-PILE'!$E$56:$E$75)=0,0,'TO HOP NLAN'!E144*'TS-PILE'!$E$75/SUMSQ('TS-PILE'!$E$56:$E$75))+IF(SUMSQ('TS-PILE'!$D$56:$D$75)=0,0,'TO HOP NLAN'!F144*'TS-PILE'!$D$75/SUMSQ('TS-PILE'!$D$56:$D$75)))))</f>
        <v>0</v>
      </c>
      <c r="D144" s="46">
        <f>IF(A144="",0,MIN(IF('TS-PILE'!$B$56="",1E+99,'TO HOP NLAN'!D144/ncoc+IF(SUMSQ('TS-PILE'!$E$56:$E$75)=0,0,'TO HOP NLAN'!E144*'TS-PILE'!$E$56/SUMSQ('TS-PILE'!$E$56:$E$75))+IF(SUMSQ('TS-PILE'!$D$56:$D$75)=0,0,'TO HOP NLAN'!F144*'TS-PILE'!$D$56/SUMSQ('TS-PILE'!$D$56:$D$75))),IF('TS-PILE'!$B$57="",1E+99,'TO HOP NLAN'!D144/ncoc+IF(SUMSQ('TS-PILE'!$E$56:$E$75)=0,0,'TO HOP NLAN'!E144*'TS-PILE'!$E$57/SUMSQ('TS-PILE'!$E$56:$E$75))+IF(SUMSQ('TS-PILE'!$D$56:$D$75)=0,0,'TO HOP NLAN'!F144*'TS-PILE'!$D$57/SUMSQ('TS-PILE'!$D$56:$D$75))),IF('TS-PILE'!$B$58="",1E+99,'TO HOP NLAN'!D144/ncoc+IF(SUMSQ('TS-PILE'!$E$56:$E$75)=0,0,'TO HOP NLAN'!E144*'TS-PILE'!$E$58/SUMSQ('TS-PILE'!$E$56:$E$75))+IF(SUMSQ('TS-PILE'!$D$56:$D$75)=0,0,'TO HOP NLAN'!F144*'TS-PILE'!$D$58/SUMSQ('TS-PILE'!$D$56:$D$75))),IF('TS-PILE'!$B$59="",1E+99,'TO HOP NLAN'!D144/ncoc+IF(SUMSQ('TS-PILE'!$E$56:$E$75)=0,0,'TO HOP NLAN'!E144*'TS-PILE'!$E$59/SUMSQ('TS-PILE'!$E$56:$E$75))+IF(SUMSQ('TS-PILE'!$D$56:$D$75)=0,0,'TO HOP NLAN'!F144*'TS-PILE'!$D$59/SUMSQ('TS-PILE'!$D$56:$D$75))),IF('TS-PILE'!$B$60="",1E+99,'TO HOP NLAN'!D144/ncoc+IF(SUMSQ('TS-PILE'!$E$56:$E$75)=0,0,'TO HOP NLAN'!E144*'TS-PILE'!$E$60/SUMSQ('TS-PILE'!$E$56:$E$75))+IF(SUMSQ('TS-PILE'!$D$56:$D$75)=0,0,'TO HOP NLAN'!F144*'TS-PILE'!$D$60/SUMSQ('TS-PILE'!$D$56:$D$75))),IF('TS-PILE'!$B$61="",1E+99,'TO HOP NLAN'!D144/ncoc+IF(SUMSQ('TS-PILE'!$E$56:$E$75)=0,0,'TO HOP NLAN'!E144*'TS-PILE'!$E$61/SUMSQ('TS-PILE'!$E$56:$E$75))+IF(SUMSQ('TS-PILE'!$D$56:$D$75)=0,0,'TO HOP NLAN'!F144*'TS-PILE'!$D$61/SUMSQ('TS-PILE'!$D$56:$D$75))),IF('TS-PILE'!$B$62="",1E+99,'TO HOP NLAN'!D144/ncoc+IF(SUMSQ('TS-PILE'!$E$56:$E$75)=0,0,'TO HOP NLAN'!E144*'TS-PILE'!$E$62/SUMSQ('TS-PILE'!$E$56:$E$75))+IF(SUMSQ('TS-PILE'!$D$56:$D$75)=0,0,'TO HOP NLAN'!F144*'TS-PILE'!$D$62/SUMSQ('TS-PILE'!$D$56:$D$75))),IF('TS-PILE'!$B$63="",1E+99,'TO HOP NLAN'!D144/ncoc+IF(SUMSQ('TS-PILE'!$E$56:$E$75)=0,0,'TO HOP NLAN'!E144*'TS-PILE'!$E$63/SUMSQ('TS-PILE'!$E$56:$E$75))+IF(SUMSQ('TS-PILE'!$D$56:$D$75)=0,0,'TO HOP NLAN'!F144*'TS-PILE'!$D$63/SUMSQ('TS-PILE'!$D$56:$D$75))),IF('TS-PILE'!$B$64="",1E+99,'TO HOP NLAN'!D144/ncoc+IF(SUMSQ('TS-PILE'!$E$56:$E$75)=0,0,'TO HOP NLAN'!E144*'TS-PILE'!$E$64/SUMSQ('TS-PILE'!$E$56:$E$75))+IF(SUMSQ('TS-PILE'!$D$56:$D$75)=0,0,'TO HOP NLAN'!F144*'TS-PILE'!$D$64/SUMSQ('TS-PILE'!$D$56:$D$75))),IF('TS-PILE'!$B$65="",1E+99,'TO HOP NLAN'!D144/ncoc+IF(SUMSQ('TS-PILE'!$E$56:$E$75)=0,0,'TO HOP NLAN'!E144*'TS-PILE'!$E$65/SUMSQ('TS-PILE'!$E$56:$E$75))+IF(SUMSQ('TS-PILE'!$D$56:$D$75)=0,0,'TO HOP NLAN'!F144*'TS-PILE'!$D$65/SUMSQ('TS-PILE'!$D$56:$D$75))),IF('TS-PILE'!$B$66="",1E+99,'TO HOP NLAN'!D144/ncoc+IF(SUMSQ('TS-PILE'!$E$56:$E$75)=0,0,'TO HOP NLAN'!E144*'TS-PILE'!$E$66/SUMSQ('TS-PILE'!$E$56:$E$75))+IF(SUMSQ('TS-PILE'!$D$56:$D$75)=0,0,'TO HOP NLAN'!F144*'TS-PILE'!$D$66/SUMSQ('TS-PILE'!$D$56:$D$75))),IF('TS-PILE'!$B$67="",1E+99,'TO HOP NLAN'!D144/ncoc+IF(SUMSQ('TS-PILE'!$E$56:$E$75)=0,0,'TO HOP NLAN'!E144*'TS-PILE'!$E$67/SUMSQ('TS-PILE'!$E$56:$E$75))+IF(SUMSQ('TS-PILE'!$D$56:$D$75)=0,0,'TO HOP NLAN'!F144*'TS-PILE'!$D$67/SUMSQ('TS-PILE'!$D$56:$D$75))),IF('TS-PILE'!$B$68="",1E+99,'TO HOP NLAN'!D144/ncoc+IF(SUMSQ('TS-PILE'!$E$56:$E$75)=0,0,'TO HOP NLAN'!E144*'TS-PILE'!$E$68/SUMSQ('TS-PILE'!$E$56:$E$75))+IF(SUMSQ('TS-PILE'!$D$56:$D$75)=0,0,'TO HOP NLAN'!F144*'TS-PILE'!$D$68/SUMSQ('TS-PILE'!$D$56:$D$75))),IF('TS-PILE'!$B$69="",1E+99,'TO HOP NLAN'!D144/ncoc+IF(SUMSQ('TS-PILE'!$E$56:$E$75)=0,0,'TO HOP NLAN'!E144*'TS-PILE'!$E$69/SUMSQ('TS-PILE'!$E$56:$E$75))+IF(SUMSQ('TS-PILE'!$D$56:$D$75)=0,0,'TO HOP NLAN'!F144*'TS-PILE'!$D$69/SUMSQ('TS-PILE'!$D$56:$D$75))),IF('TS-PILE'!$B$70="",1E+99,'TO HOP NLAN'!D144/ncoc+IF(SUMSQ('TS-PILE'!$E$56:$E$75)=0,0,'TO HOP NLAN'!E144*'TS-PILE'!$E$70/SUMSQ('TS-PILE'!$E$56:$E$75))+IF(SUMSQ('TS-PILE'!$D$56:$D$75)=0,0,'TO HOP NLAN'!F144*'TS-PILE'!$D$70/SUMSQ('TS-PILE'!$D$56:$D$75))),IF('TS-PILE'!$B$71="",1E+99,'TO HOP NLAN'!D144/ncoc+IF(SUMSQ('TS-PILE'!$E$56:$E$75)=0,0,'TO HOP NLAN'!E144*'TS-PILE'!$E$71/SUMSQ('TS-PILE'!$E$56:$E$75))+IF(SUMSQ('TS-PILE'!$D$56:$D$75)=0,0,'TO HOP NLAN'!F144*'TS-PILE'!$D$71/SUMSQ('TS-PILE'!$D$56:$D$75))),IF('TS-PILE'!$B$72="",1E+99,'TO HOP NLAN'!D144/ncoc+IF(SUMSQ('TS-PILE'!$E$56:$E$75)=0,0,'TO HOP NLAN'!E144*'TS-PILE'!$E$72/SUMSQ('TS-PILE'!$E$56:$E$75))+IF(SUMSQ('TS-PILE'!$D$56:$D$75)=0,0,'TO HOP NLAN'!F144*'TS-PILE'!$D$72/SUMSQ('TS-PILE'!$D$56:$D$75))),IF('TS-PILE'!$B$73="",1E+99,'TO HOP NLAN'!D144/ncoc+IF(SUMSQ('TS-PILE'!$E$56:$E$75)=0,0,'TO HOP NLAN'!E144*'TS-PILE'!$E$73/SUMSQ('TS-PILE'!$E$56:$E$75))+IF(SUMSQ('TS-PILE'!$D$56:$D$75)=0,0,'TO HOP NLAN'!F144*'TS-PILE'!$D$73/SUMSQ('TS-PILE'!$D$56:$D$75))),IF('TS-PILE'!$B$74="",1E+99,'TO HOP NLAN'!D144/ncoc+IF(SUMSQ('TS-PILE'!$E$56:$E$75)=0,0,'TO HOP NLAN'!E144*'TS-PILE'!$E$74/SUMSQ('TS-PILE'!$E$56:$E$75))+IF(SUMSQ('TS-PILE'!$D$56:$D$75)=0,0,'TO HOP NLAN'!F144*'TS-PILE'!$D$74/SUMSQ('TS-PILE'!$D$56:$D$75))),IF('TS-PILE'!$B$75="",1E+99,'TO HOP NLAN'!D144/ncoc+IF(SUMSQ('TS-PILE'!$E$56:$E$75)=0,0,'TO HOP NLAN'!E144*'TS-PILE'!$E$75/SUMSQ('TS-PILE'!$E$56:$E$75))+IF(SUMSQ('TS-PILE'!$D$56:$D$75)=0,0,'TO HOP NLAN'!F144*'TS-PILE'!$D$75/SUMSQ('TS-PILE'!$D$56:$D$75)))))</f>
        <v>0</v>
      </c>
      <c r="E144" s="46">
        <f t="shared" si="8"/>
        <v>-9.9999999999999997E+98</v>
      </c>
      <c r="F144" s="46">
        <f t="shared" si="9"/>
        <v>9.9999999999999997E+98</v>
      </c>
      <c r="G144" s="46">
        <f t="shared" si="10"/>
        <v>-9.9999999999999997E+98</v>
      </c>
      <c r="H144" s="46">
        <f t="shared" si="11"/>
        <v>9.9999999999999997E+98</v>
      </c>
    </row>
    <row r="145" spans="1:8" x14ac:dyDescent="0.3">
      <c r="A145" s="40" t="str">
        <f>'TO HOP NLAN'!A145</f>
        <v/>
      </c>
      <c r="B145" s="40" t="str">
        <f>'TO HOP NLAN'!L145</f>
        <v>STRENGTH</v>
      </c>
      <c r="C145" s="46">
        <f>IF(A145="",0,MAX(IF('TS-PILE'!$B$56="",-1E+99,'TO HOP NLAN'!D145/ncoc+IF(SUMSQ('TS-PILE'!$E$56:$E$75)=0,0,'TO HOP NLAN'!E145*'TS-PILE'!$E$56/SUMSQ('TS-PILE'!$E$56:$E$75))+IF(SUMSQ('TS-PILE'!$D$56:$D$75)=0,0,'TO HOP NLAN'!F145*'TS-PILE'!$D$56/SUMSQ('TS-PILE'!$D$56:$D$75))),IF('TS-PILE'!$B$57="",-1E+99,'TO HOP NLAN'!D145/ncoc+IF(SUMSQ('TS-PILE'!$E$56:$E$75)=0,0,'TO HOP NLAN'!E145*'TS-PILE'!$E$57/SUMSQ('TS-PILE'!$E$56:$E$75))+IF(SUMSQ('TS-PILE'!$D$56:$D$75)=0,0,'TO HOP NLAN'!F145*'TS-PILE'!$D$57/SUMSQ('TS-PILE'!$D$56:$D$75))),IF('TS-PILE'!$B$58="",-1E+99,'TO HOP NLAN'!D145/ncoc+IF(SUMSQ('TS-PILE'!$E$56:$E$75)=0,0,'TO HOP NLAN'!E145*'TS-PILE'!$E$58/SUMSQ('TS-PILE'!$E$56:$E$75))+IF(SUMSQ('TS-PILE'!$D$56:$D$75)=0,0,'TO HOP NLAN'!F145*'TS-PILE'!$D$58/SUMSQ('TS-PILE'!$D$56:$D$75))),IF('TS-PILE'!$B$59="",-1E+99,'TO HOP NLAN'!D145/ncoc+IF(SUMSQ('TS-PILE'!$E$56:$E$75)=0,0,'TO HOP NLAN'!E145*'TS-PILE'!$E$59/SUMSQ('TS-PILE'!$E$56:$E$75))+IF(SUMSQ('TS-PILE'!$D$56:$D$75)=0,0,'TO HOP NLAN'!F145*'TS-PILE'!$D$59/SUMSQ('TS-PILE'!$D$56:$D$75))),IF('TS-PILE'!$B$60="",-1E+99,'TO HOP NLAN'!D145/ncoc+IF(SUMSQ('TS-PILE'!$E$56:$E$75)=0,0,'TO HOP NLAN'!E145*'TS-PILE'!$E$60/SUMSQ('TS-PILE'!$E$56:$E$75))+IF(SUMSQ('TS-PILE'!$D$56:$D$75)=0,0,'TO HOP NLAN'!F145*'TS-PILE'!$D$60/SUMSQ('TS-PILE'!$D$56:$D$75))),IF('TS-PILE'!$B$61="",-1E+99,'TO HOP NLAN'!D145/ncoc+IF(SUMSQ('TS-PILE'!$E$56:$E$75)=0,0,'TO HOP NLAN'!E145*'TS-PILE'!$E$61/SUMSQ('TS-PILE'!$E$56:$E$75))+IF(SUMSQ('TS-PILE'!$D$56:$D$75)=0,0,'TO HOP NLAN'!F145*'TS-PILE'!$D$61/SUMSQ('TS-PILE'!$D$56:$D$75))),IF('TS-PILE'!$B$62="",-1E+99,'TO HOP NLAN'!D145/ncoc+IF(SUMSQ('TS-PILE'!$E$56:$E$75)=0,0,'TO HOP NLAN'!E145*'TS-PILE'!$E$62/SUMSQ('TS-PILE'!$E$56:$E$75))+IF(SUMSQ('TS-PILE'!$D$56:$D$75)=0,0,'TO HOP NLAN'!F145*'TS-PILE'!$D$62/SUMSQ('TS-PILE'!$D$56:$D$75))),IF('TS-PILE'!$B$63="",-1E+99,'TO HOP NLAN'!D145/ncoc+IF(SUMSQ('TS-PILE'!$E$56:$E$75)=0,0,'TO HOP NLAN'!E145*'TS-PILE'!$E$63/SUMSQ('TS-PILE'!$E$56:$E$75))+IF(SUMSQ('TS-PILE'!$D$56:$D$75)=0,0,'TO HOP NLAN'!F145*'TS-PILE'!$D$63/SUMSQ('TS-PILE'!$D$56:$D$75))),IF('TS-PILE'!$B$64="",-1E+99,'TO HOP NLAN'!D145/ncoc+IF(SUMSQ('TS-PILE'!$E$56:$E$75)=0,0,'TO HOP NLAN'!E145*'TS-PILE'!$E$64/SUMSQ('TS-PILE'!$E$56:$E$75))+IF(SUMSQ('TS-PILE'!$D$56:$D$75)=0,0,'TO HOP NLAN'!F145*'TS-PILE'!$D$64/SUMSQ('TS-PILE'!$D$56:$D$75))),IF('TS-PILE'!$B$65="",-1E+99,'TO HOP NLAN'!D145/ncoc+IF(SUMSQ('TS-PILE'!$E$56:$E$75)=0,0,'TO HOP NLAN'!E145*'TS-PILE'!$E$65/SUMSQ('TS-PILE'!$E$56:$E$75))+IF(SUMSQ('TS-PILE'!$D$56:$D$75)=0,0,'TO HOP NLAN'!F145*'TS-PILE'!$D$65/SUMSQ('TS-PILE'!$D$56:$D$75))),IF('TS-PILE'!$B$66="",-1E+99,'TO HOP NLAN'!D145/ncoc+IF(SUMSQ('TS-PILE'!$E$56:$E$75)=0,0,'TO HOP NLAN'!E145*'TS-PILE'!$E$66/SUMSQ('TS-PILE'!$E$56:$E$75))+IF(SUMSQ('TS-PILE'!$D$56:$D$75)=0,0,'TO HOP NLAN'!F145*'TS-PILE'!$D$66/SUMSQ('TS-PILE'!$D$56:$D$75))),IF('TS-PILE'!$B$67="",-1E+99,'TO HOP NLAN'!D145/ncoc+IF(SUMSQ('TS-PILE'!$E$56:$E$75)=0,0,'TO HOP NLAN'!E145*'TS-PILE'!$E$67/SUMSQ('TS-PILE'!$E$56:$E$75))+IF(SUMSQ('TS-PILE'!$D$56:$D$75)=0,0,'TO HOP NLAN'!F145*'TS-PILE'!$D$67/SUMSQ('TS-PILE'!$D$56:$D$75))),IF('TS-PILE'!$B$68="",-1E+99,'TO HOP NLAN'!D145/ncoc+IF(SUMSQ('TS-PILE'!$E$56:$E$75)=0,0,'TO HOP NLAN'!E145*'TS-PILE'!$E$68/SUMSQ('TS-PILE'!$E$56:$E$75))+IF(SUMSQ('TS-PILE'!$D$56:$D$75)=0,0,'TO HOP NLAN'!F145*'TS-PILE'!$D$68/SUMSQ('TS-PILE'!$D$56:$D$75))),IF('TS-PILE'!$B$69="",-1E+99,'TO HOP NLAN'!D145/ncoc+IF(SUMSQ('TS-PILE'!$E$56:$E$75)=0,0,'TO HOP NLAN'!E145*'TS-PILE'!$E$69/SUMSQ('TS-PILE'!$E$56:$E$75))+IF(SUMSQ('TS-PILE'!$D$56:$D$75)=0,0,'TO HOP NLAN'!F145*'TS-PILE'!$D$69/SUMSQ('TS-PILE'!$D$56:$D$75))),IF('TS-PILE'!$B$70="",-1E+99,'TO HOP NLAN'!D145/ncoc+IF(SUMSQ('TS-PILE'!$E$56:$E$75)=0,0,'TO HOP NLAN'!E145*'TS-PILE'!$E$70/SUMSQ('TS-PILE'!$E$56:$E$75))+IF(SUMSQ('TS-PILE'!$D$56:$D$75)=0,0,'TO HOP NLAN'!F145*'TS-PILE'!$D$70/SUMSQ('TS-PILE'!$D$56:$D$75))),IF('TS-PILE'!$B$71="",-1E+99,'TO HOP NLAN'!D145/ncoc+IF(SUMSQ('TS-PILE'!$E$56:$E$75)=0,0,'TO HOP NLAN'!E145*'TS-PILE'!$E$71/SUMSQ('TS-PILE'!$E$56:$E$75))+IF(SUMSQ('TS-PILE'!$D$56:$D$75)=0,0,'TO HOP NLAN'!F145*'TS-PILE'!$D$71/SUMSQ('TS-PILE'!$D$56:$D$75))),IF('TS-PILE'!$B$72="",-1E+99,'TO HOP NLAN'!D145/ncoc+IF(SUMSQ('TS-PILE'!$E$56:$E$75)=0,0,'TO HOP NLAN'!E145*'TS-PILE'!$E$72/SUMSQ('TS-PILE'!$E$56:$E$75))+IF(SUMSQ('TS-PILE'!$D$56:$D$75)=0,0,'TO HOP NLAN'!F145*'TS-PILE'!$D$72/SUMSQ('TS-PILE'!$D$56:$D$75))),IF('TS-PILE'!$B$73="",-1E+99,'TO HOP NLAN'!D145/ncoc+IF(SUMSQ('TS-PILE'!$E$56:$E$75)=0,0,'TO HOP NLAN'!E145*'TS-PILE'!$E$73/SUMSQ('TS-PILE'!$E$56:$E$75))+IF(SUMSQ('TS-PILE'!$D$56:$D$75)=0,0,'TO HOP NLAN'!F145*'TS-PILE'!$D$73/SUMSQ('TS-PILE'!$D$56:$D$75))),IF('TS-PILE'!$B$74="",-1E+99,'TO HOP NLAN'!D145/ncoc+IF(SUMSQ('TS-PILE'!$E$56:$E$75)=0,0,'TO HOP NLAN'!E145*'TS-PILE'!$E$74/SUMSQ('TS-PILE'!$E$56:$E$75))+IF(SUMSQ('TS-PILE'!$D$56:$D$75)=0,0,'TO HOP NLAN'!F145*'TS-PILE'!$D$74/SUMSQ('TS-PILE'!$D$56:$D$75))),IF('TS-PILE'!$B$75="",-1E+99,'TO HOP NLAN'!D145/ncoc+IF(SUMSQ('TS-PILE'!$E$56:$E$75)=0,0,'TO HOP NLAN'!E145*'TS-PILE'!$E$75/SUMSQ('TS-PILE'!$E$56:$E$75))+IF(SUMSQ('TS-PILE'!$D$56:$D$75)=0,0,'TO HOP NLAN'!F145*'TS-PILE'!$D$75/SUMSQ('TS-PILE'!$D$56:$D$75)))))</f>
        <v>0</v>
      </c>
      <c r="D145" s="46">
        <f>IF(A145="",0,MIN(IF('TS-PILE'!$B$56="",1E+99,'TO HOP NLAN'!D145/ncoc+IF(SUMSQ('TS-PILE'!$E$56:$E$75)=0,0,'TO HOP NLAN'!E145*'TS-PILE'!$E$56/SUMSQ('TS-PILE'!$E$56:$E$75))+IF(SUMSQ('TS-PILE'!$D$56:$D$75)=0,0,'TO HOP NLAN'!F145*'TS-PILE'!$D$56/SUMSQ('TS-PILE'!$D$56:$D$75))),IF('TS-PILE'!$B$57="",1E+99,'TO HOP NLAN'!D145/ncoc+IF(SUMSQ('TS-PILE'!$E$56:$E$75)=0,0,'TO HOP NLAN'!E145*'TS-PILE'!$E$57/SUMSQ('TS-PILE'!$E$56:$E$75))+IF(SUMSQ('TS-PILE'!$D$56:$D$75)=0,0,'TO HOP NLAN'!F145*'TS-PILE'!$D$57/SUMSQ('TS-PILE'!$D$56:$D$75))),IF('TS-PILE'!$B$58="",1E+99,'TO HOP NLAN'!D145/ncoc+IF(SUMSQ('TS-PILE'!$E$56:$E$75)=0,0,'TO HOP NLAN'!E145*'TS-PILE'!$E$58/SUMSQ('TS-PILE'!$E$56:$E$75))+IF(SUMSQ('TS-PILE'!$D$56:$D$75)=0,0,'TO HOP NLAN'!F145*'TS-PILE'!$D$58/SUMSQ('TS-PILE'!$D$56:$D$75))),IF('TS-PILE'!$B$59="",1E+99,'TO HOP NLAN'!D145/ncoc+IF(SUMSQ('TS-PILE'!$E$56:$E$75)=0,0,'TO HOP NLAN'!E145*'TS-PILE'!$E$59/SUMSQ('TS-PILE'!$E$56:$E$75))+IF(SUMSQ('TS-PILE'!$D$56:$D$75)=0,0,'TO HOP NLAN'!F145*'TS-PILE'!$D$59/SUMSQ('TS-PILE'!$D$56:$D$75))),IF('TS-PILE'!$B$60="",1E+99,'TO HOP NLAN'!D145/ncoc+IF(SUMSQ('TS-PILE'!$E$56:$E$75)=0,0,'TO HOP NLAN'!E145*'TS-PILE'!$E$60/SUMSQ('TS-PILE'!$E$56:$E$75))+IF(SUMSQ('TS-PILE'!$D$56:$D$75)=0,0,'TO HOP NLAN'!F145*'TS-PILE'!$D$60/SUMSQ('TS-PILE'!$D$56:$D$75))),IF('TS-PILE'!$B$61="",1E+99,'TO HOP NLAN'!D145/ncoc+IF(SUMSQ('TS-PILE'!$E$56:$E$75)=0,0,'TO HOP NLAN'!E145*'TS-PILE'!$E$61/SUMSQ('TS-PILE'!$E$56:$E$75))+IF(SUMSQ('TS-PILE'!$D$56:$D$75)=0,0,'TO HOP NLAN'!F145*'TS-PILE'!$D$61/SUMSQ('TS-PILE'!$D$56:$D$75))),IF('TS-PILE'!$B$62="",1E+99,'TO HOP NLAN'!D145/ncoc+IF(SUMSQ('TS-PILE'!$E$56:$E$75)=0,0,'TO HOP NLAN'!E145*'TS-PILE'!$E$62/SUMSQ('TS-PILE'!$E$56:$E$75))+IF(SUMSQ('TS-PILE'!$D$56:$D$75)=0,0,'TO HOP NLAN'!F145*'TS-PILE'!$D$62/SUMSQ('TS-PILE'!$D$56:$D$75))),IF('TS-PILE'!$B$63="",1E+99,'TO HOP NLAN'!D145/ncoc+IF(SUMSQ('TS-PILE'!$E$56:$E$75)=0,0,'TO HOP NLAN'!E145*'TS-PILE'!$E$63/SUMSQ('TS-PILE'!$E$56:$E$75))+IF(SUMSQ('TS-PILE'!$D$56:$D$75)=0,0,'TO HOP NLAN'!F145*'TS-PILE'!$D$63/SUMSQ('TS-PILE'!$D$56:$D$75))),IF('TS-PILE'!$B$64="",1E+99,'TO HOP NLAN'!D145/ncoc+IF(SUMSQ('TS-PILE'!$E$56:$E$75)=0,0,'TO HOP NLAN'!E145*'TS-PILE'!$E$64/SUMSQ('TS-PILE'!$E$56:$E$75))+IF(SUMSQ('TS-PILE'!$D$56:$D$75)=0,0,'TO HOP NLAN'!F145*'TS-PILE'!$D$64/SUMSQ('TS-PILE'!$D$56:$D$75))),IF('TS-PILE'!$B$65="",1E+99,'TO HOP NLAN'!D145/ncoc+IF(SUMSQ('TS-PILE'!$E$56:$E$75)=0,0,'TO HOP NLAN'!E145*'TS-PILE'!$E$65/SUMSQ('TS-PILE'!$E$56:$E$75))+IF(SUMSQ('TS-PILE'!$D$56:$D$75)=0,0,'TO HOP NLAN'!F145*'TS-PILE'!$D$65/SUMSQ('TS-PILE'!$D$56:$D$75))),IF('TS-PILE'!$B$66="",1E+99,'TO HOP NLAN'!D145/ncoc+IF(SUMSQ('TS-PILE'!$E$56:$E$75)=0,0,'TO HOP NLAN'!E145*'TS-PILE'!$E$66/SUMSQ('TS-PILE'!$E$56:$E$75))+IF(SUMSQ('TS-PILE'!$D$56:$D$75)=0,0,'TO HOP NLAN'!F145*'TS-PILE'!$D$66/SUMSQ('TS-PILE'!$D$56:$D$75))),IF('TS-PILE'!$B$67="",1E+99,'TO HOP NLAN'!D145/ncoc+IF(SUMSQ('TS-PILE'!$E$56:$E$75)=0,0,'TO HOP NLAN'!E145*'TS-PILE'!$E$67/SUMSQ('TS-PILE'!$E$56:$E$75))+IF(SUMSQ('TS-PILE'!$D$56:$D$75)=0,0,'TO HOP NLAN'!F145*'TS-PILE'!$D$67/SUMSQ('TS-PILE'!$D$56:$D$75))),IF('TS-PILE'!$B$68="",1E+99,'TO HOP NLAN'!D145/ncoc+IF(SUMSQ('TS-PILE'!$E$56:$E$75)=0,0,'TO HOP NLAN'!E145*'TS-PILE'!$E$68/SUMSQ('TS-PILE'!$E$56:$E$75))+IF(SUMSQ('TS-PILE'!$D$56:$D$75)=0,0,'TO HOP NLAN'!F145*'TS-PILE'!$D$68/SUMSQ('TS-PILE'!$D$56:$D$75))),IF('TS-PILE'!$B$69="",1E+99,'TO HOP NLAN'!D145/ncoc+IF(SUMSQ('TS-PILE'!$E$56:$E$75)=0,0,'TO HOP NLAN'!E145*'TS-PILE'!$E$69/SUMSQ('TS-PILE'!$E$56:$E$75))+IF(SUMSQ('TS-PILE'!$D$56:$D$75)=0,0,'TO HOP NLAN'!F145*'TS-PILE'!$D$69/SUMSQ('TS-PILE'!$D$56:$D$75))),IF('TS-PILE'!$B$70="",1E+99,'TO HOP NLAN'!D145/ncoc+IF(SUMSQ('TS-PILE'!$E$56:$E$75)=0,0,'TO HOP NLAN'!E145*'TS-PILE'!$E$70/SUMSQ('TS-PILE'!$E$56:$E$75))+IF(SUMSQ('TS-PILE'!$D$56:$D$75)=0,0,'TO HOP NLAN'!F145*'TS-PILE'!$D$70/SUMSQ('TS-PILE'!$D$56:$D$75))),IF('TS-PILE'!$B$71="",1E+99,'TO HOP NLAN'!D145/ncoc+IF(SUMSQ('TS-PILE'!$E$56:$E$75)=0,0,'TO HOP NLAN'!E145*'TS-PILE'!$E$71/SUMSQ('TS-PILE'!$E$56:$E$75))+IF(SUMSQ('TS-PILE'!$D$56:$D$75)=0,0,'TO HOP NLAN'!F145*'TS-PILE'!$D$71/SUMSQ('TS-PILE'!$D$56:$D$75))),IF('TS-PILE'!$B$72="",1E+99,'TO HOP NLAN'!D145/ncoc+IF(SUMSQ('TS-PILE'!$E$56:$E$75)=0,0,'TO HOP NLAN'!E145*'TS-PILE'!$E$72/SUMSQ('TS-PILE'!$E$56:$E$75))+IF(SUMSQ('TS-PILE'!$D$56:$D$75)=0,0,'TO HOP NLAN'!F145*'TS-PILE'!$D$72/SUMSQ('TS-PILE'!$D$56:$D$75))),IF('TS-PILE'!$B$73="",1E+99,'TO HOP NLAN'!D145/ncoc+IF(SUMSQ('TS-PILE'!$E$56:$E$75)=0,0,'TO HOP NLAN'!E145*'TS-PILE'!$E$73/SUMSQ('TS-PILE'!$E$56:$E$75))+IF(SUMSQ('TS-PILE'!$D$56:$D$75)=0,0,'TO HOP NLAN'!F145*'TS-PILE'!$D$73/SUMSQ('TS-PILE'!$D$56:$D$75))),IF('TS-PILE'!$B$74="",1E+99,'TO HOP NLAN'!D145/ncoc+IF(SUMSQ('TS-PILE'!$E$56:$E$75)=0,0,'TO HOP NLAN'!E145*'TS-PILE'!$E$74/SUMSQ('TS-PILE'!$E$56:$E$75))+IF(SUMSQ('TS-PILE'!$D$56:$D$75)=0,0,'TO HOP NLAN'!F145*'TS-PILE'!$D$74/SUMSQ('TS-PILE'!$D$56:$D$75))),IF('TS-PILE'!$B$75="",1E+99,'TO HOP NLAN'!D145/ncoc+IF(SUMSQ('TS-PILE'!$E$56:$E$75)=0,0,'TO HOP NLAN'!E145*'TS-PILE'!$E$75/SUMSQ('TS-PILE'!$E$56:$E$75))+IF(SUMSQ('TS-PILE'!$D$56:$D$75)=0,0,'TO HOP NLAN'!F145*'TS-PILE'!$D$75/SUMSQ('TS-PILE'!$D$56:$D$75)))))</f>
        <v>0</v>
      </c>
      <c r="E145" s="46">
        <f t="shared" si="8"/>
        <v>-9.9999999999999997E+98</v>
      </c>
      <c r="F145" s="46">
        <f t="shared" si="9"/>
        <v>9.9999999999999997E+98</v>
      </c>
      <c r="G145" s="46">
        <f t="shared" si="10"/>
        <v>-9.9999999999999997E+98</v>
      </c>
      <c r="H145" s="46">
        <f t="shared" si="11"/>
        <v>9.9999999999999997E+98</v>
      </c>
    </row>
    <row r="146" spans="1:8" x14ac:dyDescent="0.3">
      <c r="A146" s="40" t="str">
        <f>'TO HOP NLAN'!A146</f>
        <v/>
      </c>
      <c r="B146" s="40" t="str">
        <f>'TO HOP NLAN'!L146</f>
        <v>STRENGTH</v>
      </c>
      <c r="C146" s="46">
        <f>IF(A146="",0,MAX(IF('TS-PILE'!$B$56="",-1E+99,'TO HOP NLAN'!D146/ncoc+IF(SUMSQ('TS-PILE'!$E$56:$E$75)=0,0,'TO HOP NLAN'!E146*'TS-PILE'!$E$56/SUMSQ('TS-PILE'!$E$56:$E$75))+IF(SUMSQ('TS-PILE'!$D$56:$D$75)=0,0,'TO HOP NLAN'!F146*'TS-PILE'!$D$56/SUMSQ('TS-PILE'!$D$56:$D$75))),IF('TS-PILE'!$B$57="",-1E+99,'TO HOP NLAN'!D146/ncoc+IF(SUMSQ('TS-PILE'!$E$56:$E$75)=0,0,'TO HOP NLAN'!E146*'TS-PILE'!$E$57/SUMSQ('TS-PILE'!$E$56:$E$75))+IF(SUMSQ('TS-PILE'!$D$56:$D$75)=0,0,'TO HOP NLAN'!F146*'TS-PILE'!$D$57/SUMSQ('TS-PILE'!$D$56:$D$75))),IF('TS-PILE'!$B$58="",-1E+99,'TO HOP NLAN'!D146/ncoc+IF(SUMSQ('TS-PILE'!$E$56:$E$75)=0,0,'TO HOP NLAN'!E146*'TS-PILE'!$E$58/SUMSQ('TS-PILE'!$E$56:$E$75))+IF(SUMSQ('TS-PILE'!$D$56:$D$75)=0,0,'TO HOP NLAN'!F146*'TS-PILE'!$D$58/SUMSQ('TS-PILE'!$D$56:$D$75))),IF('TS-PILE'!$B$59="",-1E+99,'TO HOP NLAN'!D146/ncoc+IF(SUMSQ('TS-PILE'!$E$56:$E$75)=0,0,'TO HOP NLAN'!E146*'TS-PILE'!$E$59/SUMSQ('TS-PILE'!$E$56:$E$75))+IF(SUMSQ('TS-PILE'!$D$56:$D$75)=0,0,'TO HOP NLAN'!F146*'TS-PILE'!$D$59/SUMSQ('TS-PILE'!$D$56:$D$75))),IF('TS-PILE'!$B$60="",-1E+99,'TO HOP NLAN'!D146/ncoc+IF(SUMSQ('TS-PILE'!$E$56:$E$75)=0,0,'TO HOP NLAN'!E146*'TS-PILE'!$E$60/SUMSQ('TS-PILE'!$E$56:$E$75))+IF(SUMSQ('TS-PILE'!$D$56:$D$75)=0,0,'TO HOP NLAN'!F146*'TS-PILE'!$D$60/SUMSQ('TS-PILE'!$D$56:$D$75))),IF('TS-PILE'!$B$61="",-1E+99,'TO HOP NLAN'!D146/ncoc+IF(SUMSQ('TS-PILE'!$E$56:$E$75)=0,0,'TO HOP NLAN'!E146*'TS-PILE'!$E$61/SUMSQ('TS-PILE'!$E$56:$E$75))+IF(SUMSQ('TS-PILE'!$D$56:$D$75)=0,0,'TO HOP NLAN'!F146*'TS-PILE'!$D$61/SUMSQ('TS-PILE'!$D$56:$D$75))),IF('TS-PILE'!$B$62="",-1E+99,'TO HOP NLAN'!D146/ncoc+IF(SUMSQ('TS-PILE'!$E$56:$E$75)=0,0,'TO HOP NLAN'!E146*'TS-PILE'!$E$62/SUMSQ('TS-PILE'!$E$56:$E$75))+IF(SUMSQ('TS-PILE'!$D$56:$D$75)=0,0,'TO HOP NLAN'!F146*'TS-PILE'!$D$62/SUMSQ('TS-PILE'!$D$56:$D$75))),IF('TS-PILE'!$B$63="",-1E+99,'TO HOP NLAN'!D146/ncoc+IF(SUMSQ('TS-PILE'!$E$56:$E$75)=0,0,'TO HOP NLAN'!E146*'TS-PILE'!$E$63/SUMSQ('TS-PILE'!$E$56:$E$75))+IF(SUMSQ('TS-PILE'!$D$56:$D$75)=0,0,'TO HOP NLAN'!F146*'TS-PILE'!$D$63/SUMSQ('TS-PILE'!$D$56:$D$75))),IF('TS-PILE'!$B$64="",-1E+99,'TO HOP NLAN'!D146/ncoc+IF(SUMSQ('TS-PILE'!$E$56:$E$75)=0,0,'TO HOP NLAN'!E146*'TS-PILE'!$E$64/SUMSQ('TS-PILE'!$E$56:$E$75))+IF(SUMSQ('TS-PILE'!$D$56:$D$75)=0,0,'TO HOP NLAN'!F146*'TS-PILE'!$D$64/SUMSQ('TS-PILE'!$D$56:$D$75))),IF('TS-PILE'!$B$65="",-1E+99,'TO HOP NLAN'!D146/ncoc+IF(SUMSQ('TS-PILE'!$E$56:$E$75)=0,0,'TO HOP NLAN'!E146*'TS-PILE'!$E$65/SUMSQ('TS-PILE'!$E$56:$E$75))+IF(SUMSQ('TS-PILE'!$D$56:$D$75)=0,0,'TO HOP NLAN'!F146*'TS-PILE'!$D$65/SUMSQ('TS-PILE'!$D$56:$D$75))),IF('TS-PILE'!$B$66="",-1E+99,'TO HOP NLAN'!D146/ncoc+IF(SUMSQ('TS-PILE'!$E$56:$E$75)=0,0,'TO HOP NLAN'!E146*'TS-PILE'!$E$66/SUMSQ('TS-PILE'!$E$56:$E$75))+IF(SUMSQ('TS-PILE'!$D$56:$D$75)=0,0,'TO HOP NLAN'!F146*'TS-PILE'!$D$66/SUMSQ('TS-PILE'!$D$56:$D$75))),IF('TS-PILE'!$B$67="",-1E+99,'TO HOP NLAN'!D146/ncoc+IF(SUMSQ('TS-PILE'!$E$56:$E$75)=0,0,'TO HOP NLAN'!E146*'TS-PILE'!$E$67/SUMSQ('TS-PILE'!$E$56:$E$75))+IF(SUMSQ('TS-PILE'!$D$56:$D$75)=0,0,'TO HOP NLAN'!F146*'TS-PILE'!$D$67/SUMSQ('TS-PILE'!$D$56:$D$75))),IF('TS-PILE'!$B$68="",-1E+99,'TO HOP NLAN'!D146/ncoc+IF(SUMSQ('TS-PILE'!$E$56:$E$75)=0,0,'TO HOP NLAN'!E146*'TS-PILE'!$E$68/SUMSQ('TS-PILE'!$E$56:$E$75))+IF(SUMSQ('TS-PILE'!$D$56:$D$75)=0,0,'TO HOP NLAN'!F146*'TS-PILE'!$D$68/SUMSQ('TS-PILE'!$D$56:$D$75))),IF('TS-PILE'!$B$69="",-1E+99,'TO HOP NLAN'!D146/ncoc+IF(SUMSQ('TS-PILE'!$E$56:$E$75)=0,0,'TO HOP NLAN'!E146*'TS-PILE'!$E$69/SUMSQ('TS-PILE'!$E$56:$E$75))+IF(SUMSQ('TS-PILE'!$D$56:$D$75)=0,0,'TO HOP NLAN'!F146*'TS-PILE'!$D$69/SUMSQ('TS-PILE'!$D$56:$D$75))),IF('TS-PILE'!$B$70="",-1E+99,'TO HOP NLAN'!D146/ncoc+IF(SUMSQ('TS-PILE'!$E$56:$E$75)=0,0,'TO HOP NLAN'!E146*'TS-PILE'!$E$70/SUMSQ('TS-PILE'!$E$56:$E$75))+IF(SUMSQ('TS-PILE'!$D$56:$D$75)=0,0,'TO HOP NLAN'!F146*'TS-PILE'!$D$70/SUMSQ('TS-PILE'!$D$56:$D$75))),IF('TS-PILE'!$B$71="",-1E+99,'TO HOP NLAN'!D146/ncoc+IF(SUMSQ('TS-PILE'!$E$56:$E$75)=0,0,'TO HOP NLAN'!E146*'TS-PILE'!$E$71/SUMSQ('TS-PILE'!$E$56:$E$75))+IF(SUMSQ('TS-PILE'!$D$56:$D$75)=0,0,'TO HOP NLAN'!F146*'TS-PILE'!$D$71/SUMSQ('TS-PILE'!$D$56:$D$75))),IF('TS-PILE'!$B$72="",-1E+99,'TO HOP NLAN'!D146/ncoc+IF(SUMSQ('TS-PILE'!$E$56:$E$75)=0,0,'TO HOP NLAN'!E146*'TS-PILE'!$E$72/SUMSQ('TS-PILE'!$E$56:$E$75))+IF(SUMSQ('TS-PILE'!$D$56:$D$75)=0,0,'TO HOP NLAN'!F146*'TS-PILE'!$D$72/SUMSQ('TS-PILE'!$D$56:$D$75))),IF('TS-PILE'!$B$73="",-1E+99,'TO HOP NLAN'!D146/ncoc+IF(SUMSQ('TS-PILE'!$E$56:$E$75)=0,0,'TO HOP NLAN'!E146*'TS-PILE'!$E$73/SUMSQ('TS-PILE'!$E$56:$E$75))+IF(SUMSQ('TS-PILE'!$D$56:$D$75)=0,0,'TO HOP NLAN'!F146*'TS-PILE'!$D$73/SUMSQ('TS-PILE'!$D$56:$D$75))),IF('TS-PILE'!$B$74="",-1E+99,'TO HOP NLAN'!D146/ncoc+IF(SUMSQ('TS-PILE'!$E$56:$E$75)=0,0,'TO HOP NLAN'!E146*'TS-PILE'!$E$74/SUMSQ('TS-PILE'!$E$56:$E$75))+IF(SUMSQ('TS-PILE'!$D$56:$D$75)=0,0,'TO HOP NLAN'!F146*'TS-PILE'!$D$74/SUMSQ('TS-PILE'!$D$56:$D$75))),IF('TS-PILE'!$B$75="",-1E+99,'TO HOP NLAN'!D146/ncoc+IF(SUMSQ('TS-PILE'!$E$56:$E$75)=0,0,'TO HOP NLAN'!E146*'TS-PILE'!$E$75/SUMSQ('TS-PILE'!$E$56:$E$75))+IF(SUMSQ('TS-PILE'!$D$56:$D$75)=0,0,'TO HOP NLAN'!F146*'TS-PILE'!$D$75/SUMSQ('TS-PILE'!$D$56:$D$75)))))</f>
        <v>0</v>
      </c>
      <c r="D146" s="46">
        <f>IF(A146="",0,MIN(IF('TS-PILE'!$B$56="",1E+99,'TO HOP NLAN'!D146/ncoc+IF(SUMSQ('TS-PILE'!$E$56:$E$75)=0,0,'TO HOP NLAN'!E146*'TS-PILE'!$E$56/SUMSQ('TS-PILE'!$E$56:$E$75))+IF(SUMSQ('TS-PILE'!$D$56:$D$75)=0,0,'TO HOP NLAN'!F146*'TS-PILE'!$D$56/SUMSQ('TS-PILE'!$D$56:$D$75))),IF('TS-PILE'!$B$57="",1E+99,'TO HOP NLAN'!D146/ncoc+IF(SUMSQ('TS-PILE'!$E$56:$E$75)=0,0,'TO HOP NLAN'!E146*'TS-PILE'!$E$57/SUMSQ('TS-PILE'!$E$56:$E$75))+IF(SUMSQ('TS-PILE'!$D$56:$D$75)=0,0,'TO HOP NLAN'!F146*'TS-PILE'!$D$57/SUMSQ('TS-PILE'!$D$56:$D$75))),IF('TS-PILE'!$B$58="",1E+99,'TO HOP NLAN'!D146/ncoc+IF(SUMSQ('TS-PILE'!$E$56:$E$75)=0,0,'TO HOP NLAN'!E146*'TS-PILE'!$E$58/SUMSQ('TS-PILE'!$E$56:$E$75))+IF(SUMSQ('TS-PILE'!$D$56:$D$75)=0,0,'TO HOP NLAN'!F146*'TS-PILE'!$D$58/SUMSQ('TS-PILE'!$D$56:$D$75))),IF('TS-PILE'!$B$59="",1E+99,'TO HOP NLAN'!D146/ncoc+IF(SUMSQ('TS-PILE'!$E$56:$E$75)=0,0,'TO HOP NLAN'!E146*'TS-PILE'!$E$59/SUMSQ('TS-PILE'!$E$56:$E$75))+IF(SUMSQ('TS-PILE'!$D$56:$D$75)=0,0,'TO HOP NLAN'!F146*'TS-PILE'!$D$59/SUMSQ('TS-PILE'!$D$56:$D$75))),IF('TS-PILE'!$B$60="",1E+99,'TO HOP NLAN'!D146/ncoc+IF(SUMSQ('TS-PILE'!$E$56:$E$75)=0,0,'TO HOP NLAN'!E146*'TS-PILE'!$E$60/SUMSQ('TS-PILE'!$E$56:$E$75))+IF(SUMSQ('TS-PILE'!$D$56:$D$75)=0,0,'TO HOP NLAN'!F146*'TS-PILE'!$D$60/SUMSQ('TS-PILE'!$D$56:$D$75))),IF('TS-PILE'!$B$61="",1E+99,'TO HOP NLAN'!D146/ncoc+IF(SUMSQ('TS-PILE'!$E$56:$E$75)=0,0,'TO HOP NLAN'!E146*'TS-PILE'!$E$61/SUMSQ('TS-PILE'!$E$56:$E$75))+IF(SUMSQ('TS-PILE'!$D$56:$D$75)=0,0,'TO HOP NLAN'!F146*'TS-PILE'!$D$61/SUMSQ('TS-PILE'!$D$56:$D$75))),IF('TS-PILE'!$B$62="",1E+99,'TO HOP NLAN'!D146/ncoc+IF(SUMSQ('TS-PILE'!$E$56:$E$75)=0,0,'TO HOP NLAN'!E146*'TS-PILE'!$E$62/SUMSQ('TS-PILE'!$E$56:$E$75))+IF(SUMSQ('TS-PILE'!$D$56:$D$75)=0,0,'TO HOP NLAN'!F146*'TS-PILE'!$D$62/SUMSQ('TS-PILE'!$D$56:$D$75))),IF('TS-PILE'!$B$63="",1E+99,'TO HOP NLAN'!D146/ncoc+IF(SUMSQ('TS-PILE'!$E$56:$E$75)=0,0,'TO HOP NLAN'!E146*'TS-PILE'!$E$63/SUMSQ('TS-PILE'!$E$56:$E$75))+IF(SUMSQ('TS-PILE'!$D$56:$D$75)=0,0,'TO HOP NLAN'!F146*'TS-PILE'!$D$63/SUMSQ('TS-PILE'!$D$56:$D$75))),IF('TS-PILE'!$B$64="",1E+99,'TO HOP NLAN'!D146/ncoc+IF(SUMSQ('TS-PILE'!$E$56:$E$75)=0,0,'TO HOP NLAN'!E146*'TS-PILE'!$E$64/SUMSQ('TS-PILE'!$E$56:$E$75))+IF(SUMSQ('TS-PILE'!$D$56:$D$75)=0,0,'TO HOP NLAN'!F146*'TS-PILE'!$D$64/SUMSQ('TS-PILE'!$D$56:$D$75))),IF('TS-PILE'!$B$65="",1E+99,'TO HOP NLAN'!D146/ncoc+IF(SUMSQ('TS-PILE'!$E$56:$E$75)=0,0,'TO HOP NLAN'!E146*'TS-PILE'!$E$65/SUMSQ('TS-PILE'!$E$56:$E$75))+IF(SUMSQ('TS-PILE'!$D$56:$D$75)=0,0,'TO HOP NLAN'!F146*'TS-PILE'!$D$65/SUMSQ('TS-PILE'!$D$56:$D$75))),IF('TS-PILE'!$B$66="",1E+99,'TO HOP NLAN'!D146/ncoc+IF(SUMSQ('TS-PILE'!$E$56:$E$75)=0,0,'TO HOP NLAN'!E146*'TS-PILE'!$E$66/SUMSQ('TS-PILE'!$E$56:$E$75))+IF(SUMSQ('TS-PILE'!$D$56:$D$75)=0,0,'TO HOP NLAN'!F146*'TS-PILE'!$D$66/SUMSQ('TS-PILE'!$D$56:$D$75))),IF('TS-PILE'!$B$67="",1E+99,'TO HOP NLAN'!D146/ncoc+IF(SUMSQ('TS-PILE'!$E$56:$E$75)=0,0,'TO HOP NLAN'!E146*'TS-PILE'!$E$67/SUMSQ('TS-PILE'!$E$56:$E$75))+IF(SUMSQ('TS-PILE'!$D$56:$D$75)=0,0,'TO HOP NLAN'!F146*'TS-PILE'!$D$67/SUMSQ('TS-PILE'!$D$56:$D$75))),IF('TS-PILE'!$B$68="",1E+99,'TO HOP NLAN'!D146/ncoc+IF(SUMSQ('TS-PILE'!$E$56:$E$75)=0,0,'TO HOP NLAN'!E146*'TS-PILE'!$E$68/SUMSQ('TS-PILE'!$E$56:$E$75))+IF(SUMSQ('TS-PILE'!$D$56:$D$75)=0,0,'TO HOP NLAN'!F146*'TS-PILE'!$D$68/SUMSQ('TS-PILE'!$D$56:$D$75))),IF('TS-PILE'!$B$69="",1E+99,'TO HOP NLAN'!D146/ncoc+IF(SUMSQ('TS-PILE'!$E$56:$E$75)=0,0,'TO HOP NLAN'!E146*'TS-PILE'!$E$69/SUMSQ('TS-PILE'!$E$56:$E$75))+IF(SUMSQ('TS-PILE'!$D$56:$D$75)=0,0,'TO HOP NLAN'!F146*'TS-PILE'!$D$69/SUMSQ('TS-PILE'!$D$56:$D$75))),IF('TS-PILE'!$B$70="",1E+99,'TO HOP NLAN'!D146/ncoc+IF(SUMSQ('TS-PILE'!$E$56:$E$75)=0,0,'TO HOP NLAN'!E146*'TS-PILE'!$E$70/SUMSQ('TS-PILE'!$E$56:$E$75))+IF(SUMSQ('TS-PILE'!$D$56:$D$75)=0,0,'TO HOP NLAN'!F146*'TS-PILE'!$D$70/SUMSQ('TS-PILE'!$D$56:$D$75))),IF('TS-PILE'!$B$71="",1E+99,'TO HOP NLAN'!D146/ncoc+IF(SUMSQ('TS-PILE'!$E$56:$E$75)=0,0,'TO HOP NLAN'!E146*'TS-PILE'!$E$71/SUMSQ('TS-PILE'!$E$56:$E$75))+IF(SUMSQ('TS-PILE'!$D$56:$D$75)=0,0,'TO HOP NLAN'!F146*'TS-PILE'!$D$71/SUMSQ('TS-PILE'!$D$56:$D$75))),IF('TS-PILE'!$B$72="",1E+99,'TO HOP NLAN'!D146/ncoc+IF(SUMSQ('TS-PILE'!$E$56:$E$75)=0,0,'TO HOP NLAN'!E146*'TS-PILE'!$E$72/SUMSQ('TS-PILE'!$E$56:$E$75))+IF(SUMSQ('TS-PILE'!$D$56:$D$75)=0,0,'TO HOP NLAN'!F146*'TS-PILE'!$D$72/SUMSQ('TS-PILE'!$D$56:$D$75))),IF('TS-PILE'!$B$73="",1E+99,'TO HOP NLAN'!D146/ncoc+IF(SUMSQ('TS-PILE'!$E$56:$E$75)=0,0,'TO HOP NLAN'!E146*'TS-PILE'!$E$73/SUMSQ('TS-PILE'!$E$56:$E$75))+IF(SUMSQ('TS-PILE'!$D$56:$D$75)=0,0,'TO HOP NLAN'!F146*'TS-PILE'!$D$73/SUMSQ('TS-PILE'!$D$56:$D$75))),IF('TS-PILE'!$B$74="",1E+99,'TO HOP NLAN'!D146/ncoc+IF(SUMSQ('TS-PILE'!$E$56:$E$75)=0,0,'TO HOP NLAN'!E146*'TS-PILE'!$E$74/SUMSQ('TS-PILE'!$E$56:$E$75))+IF(SUMSQ('TS-PILE'!$D$56:$D$75)=0,0,'TO HOP NLAN'!F146*'TS-PILE'!$D$74/SUMSQ('TS-PILE'!$D$56:$D$75))),IF('TS-PILE'!$B$75="",1E+99,'TO HOP NLAN'!D146/ncoc+IF(SUMSQ('TS-PILE'!$E$56:$E$75)=0,0,'TO HOP NLAN'!E146*'TS-PILE'!$E$75/SUMSQ('TS-PILE'!$E$56:$E$75))+IF(SUMSQ('TS-PILE'!$D$56:$D$75)=0,0,'TO HOP NLAN'!F146*'TS-PILE'!$D$75/SUMSQ('TS-PILE'!$D$56:$D$75)))))</f>
        <v>0</v>
      </c>
      <c r="E146" s="46">
        <f t="shared" si="8"/>
        <v>-9.9999999999999997E+98</v>
      </c>
      <c r="F146" s="46">
        <f t="shared" si="9"/>
        <v>9.9999999999999997E+98</v>
      </c>
      <c r="G146" s="46">
        <f t="shared" si="10"/>
        <v>-9.9999999999999997E+98</v>
      </c>
      <c r="H146" s="46">
        <f t="shared" si="11"/>
        <v>9.9999999999999997E+98</v>
      </c>
    </row>
    <row r="147" spans="1:8" x14ac:dyDescent="0.3">
      <c r="A147" s="40" t="str">
        <f>'TO HOP NLAN'!A147</f>
        <v/>
      </c>
      <c r="B147" s="40" t="str">
        <f>'TO HOP NLAN'!L147</f>
        <v>STRENGTH</v>
      </c>
      <c r="C147" s="46">
        <f>IF(A147="",0,MAX(IF('TS-PILE'!$B$56="",-1E+99,'TO HOP NLAN'!D147/ncoc+IF(SUMSQ('TS-PILE'!$E$56:$E$75)=0,0,'TO HOP NLAN'!E147*'TS-PILE'!$E$56/SUMSQ('TS-PILE'!$E$56:$E$75))+IF(SUMSQ('TS-PILE'!$D$56:$D$75)=0,0,'TO HOP NLAN'!F147*'TS-PILE'!$D$56/SUMSQ('TS-PILE'!$D$56:$D$75))),IF('TS-PILE'!$B$57="",-1E+99,'TO HOP NLAN'!D147/ncoc+IF(SUMSQ('TS-PILE'!$E$56:$E$75)=0,0,'TO HOP NLAN'!E147*'TS-PILE'!$E$57/SUMSQ('TS-PILE'!$E$56:$E$75))+IF(SUMSQ('TS-PILE'!$D$56:$D$75)=0,0,'TO HOP NLAN'!F147*'TS-PILE'!$D$57/SUMSQ('TS-PILE'!$D$56:$D$75))),IF('TS-PILE'!$B$58="",-1E+99,'TO HOP NLAN'!D147/ncoc+IF(SUMSQ('TS-PILE'!$E$56:$E$75)=0,0,'TO HOP NLAN'!E147*'TS-PILE'!$E$58/SUMSQ('TS-PILE'!$E$56:$E$75))+IF(SUMSQ('TS-PILE'!$D$56:$D$75)=0,0,'TO HOP NLAN'!F147*'TS-PILE'!$D$58/SUMSQ('TS-PILE'!$D$56:$D$75))),IF('TS-PILE'!$B$59="",-1E+99,'TO HOP NLAN'!D147/ncoc+IF(SUMSQ('TS-PILE'!$E$56:$E$75)=0,0,'TO HOP NLAN'!E147*'TS-PILE'!$E$59/SUMSQ('TS-PILE'!$E$56:$E$75))+IF(SUMSQ('TS-PILE'!$D$56:$D$75)=0,0,'TO HOP NLAN'!F147*'TS-PILE'!$D$59/SUMSQ('TS-PILE'!$D$56:$D$75))),IF('TS-PILE'!$B$60="",-1E+99,'TO HOP NLAN'!D147/ncoc+IF(SUMSQ('TS-PILE'!$E$56:$E$75)=0,0,'TO HOP NLAN'!E147*'TS-PILE'!$E$60/SUMSQ('TS-PILE'!$E$56:$E$75))+IF(SUMSQ('TS-PILE'!$D$56:$D$75)=0,0,'TO HOP NLAN'!F147*'TS-PILE'!$D$60/SUMSQ('TS-PILE'!$D$56:$D$75))),IF('TS-PILE'!$B$61="",-1E+99,'TO HOP NLAN'!D147/ncoc+IF(SUMSQ('TS-PILE'!$E$56:$E$75)=0,0,'TO HOP NLAN'!E147*'TS-PILE'!$E$61/SUMSQ('TS-PILE'!$E$56:$E$75))+IF(SUMSQ('TS-PILE'!$D$56:$D$75)=0,0,'TO HOP NLAN'!F147*'TS-PILE'!$D$61/SUMSQ('TS-PILE'!$D$56:$D$75))),IF('TS-PILE'!$B$62="",-1E+99,'TO HOP NLAN'!D147/ncoc+IF(SUMSQ('TS-PILE'!$E$56:$E$75)=0,0,'TO HOP NLAN'!E147*'TS-PILE'!$E$62/SUMSQ('TS-PILE'!$E$56:$E$75))+IF(SUMSQ('TS-PILE'!$D$56:$D$75)=0,0,'TO HOP NLAN'!F147*'TS-PILE'!$D$62/SUMSQ('TS-PILE'!$D$56:$D$75))),IF('TS-PILE'!$B$63="",-1E+99,'TO HOP NLAN'!D147/ncoc+IF(SUMSQ('TS-PILE'!$E$56:$E$75)=0,0,'TO HOP NLAN'!E147*'TS-PILE'!$E$63/SUMSQ('TS-PILE'!$E$56:$E$75))+IF(SUMSQ('TS-PILE'!$D$56:$D$75)=0,0,'TO HOP NLAN'!F147*'TS-PILE'!$D$63/SUMSQ('TS-PILE'!$D$56:$D$75))),IF('TS-PILE'!$B$64="",-1E+99,'TO HOP NLAN'!D147/ncoc+IF(SUMSQ('TS-PILE'!$E$56:$E$75)=0,0,'TO HOP NLAN'!E147*'TS-PILE'!$E$64/SUMSQ('TS-PILE'!$E$56:$E$75))+IF(SUMSQ('TS-PILE'!$D$56:$D$75)=0,0,'TO HOP NLAN'!F147*'TS-PILE'!$D$64/SUMSQ('TS-PILE'!$D$56:$D$75))),IF('TS-PILE'!$B$65="",-1E+99,'TO HOP NLAN'!D147/ncoc+IF(SUMSQ('TS-PILE'!$E$56:$E$75)=0,0,'TO HOP NLAN'!E147*'TS-PILE'!$E$65/SUMSQ('TS-PILE'!$E$56:$E$75))+IF(SUMSQ('TS-PILE'!$D$56:$D$75)=0,0,'TO HOP NLAN'!F147*'TS-PILE'!$D$65/SUMSQ('TS-PILE'!$D$56:$D$75))),IF('TS-PILE'!$B$66="",-1E+99,'TO HOP NLAN'!D147/ncoc+IF(SUMSQ('TS-PILE'!$E$56:$E$75)=0,0,'TO HOP NLAN'!E147*'TS-PILE'!$E$66/SUMSQ('TS-PILE'!$E$56:$E$75))+IF(SUMSQ('TS-PILE'!$D$56:$D$75)=0,0,'TO HOP NLAN'!F147*'TS-PILE'!$D$66/SUMSQ('TS-PILE'!$D$56:$D$75))),IF('TS-PILE'!$B$67="",-1E+99,'TO HOP NLAN'!D147/ncoc+IF(SUMSQ('TS-PILE'!$E$56:$E$75)=0,0,'TO HOP NLAN'!E147*'TS-PILE'!$E$67/SUMSQ('TS-PILE'!$E$56:$E$75))+IF(SUMSQ('TS-PILE'!$D$56:$D$75)=0,0,'TO HOP NLAN'!F147*'TS-PILE'!$D$67/SUMSQ('TS-PILE'!$D$56:$D$75))),IF('TS-PILE'!$B$68="",-1E+99,'TO HOP NLAN'!D147/ncoc+IF(SUMSQ('TS-PILE'!$E$56:$E$75)=0,0,'TO HOP NLAN'!E147*'TS-PILE'!$E$68/SUMSQ('TS-PILE'!$E$56:$E$75))+IF(SUMSQ('TS-PILE'!$D$56:$D$75)=0,0,'TO HOP NLAN'!F147*'TS-PILE'!$D$68/SUMSQ('TS-PILE'!$D$56:$D$75))),IF('TS-PILE'!$B$69="",-1E+99,'TO HOP NLAN'!D147/ncoc+IF(SUMSQ('TS-PILE'!$E$56:$E$75)=0,0,'TO HOP NLAN'!E147*'TS-PILE'!$E$69/SUMSQ('TS-PILE'!$E$56:$E$75))+IF(SUMSQ('TS-PILE'!$D$56:$D$75)=0,0,'TO HOP NLAN'!F147*'TS-PILE'!$D$69/SUMSQ('TS-PILE'!$D$56:$D$75))),IF('TS-PILE'!$B$70="",-1E+99,'TO HOP NLAN'!D147/ncoc+IF(SUMSQ('TS-PILE'!$E$56:$E$75)=0,0,'TO HOP NLAN'!E147*'TS-PILE'!$E$70/SUMSQ('TS-PILE'!$E$56:$E$75))+IF(SUMSQ('TS-PILE'!$D$56:$D$75)=0,0,'TO HOP NLAN'!F147*'TS-PILE'!$D$70/SUMSQ('TS-PILE'!$D$56:$D$75))),IF('TS-PILE'!$B$71="",-1E+99,'TO HOP NLAN'!D147/ncoc+IF(SUMSQ('TS-PILE'!$E$56:$E$75)=0,0,'TO HOP NLAN'!E147*'TS-PILE'!$E$71/SUMSQ('TS-PILE'!$E$56:$E$75))+IF(SUMSQ('TS-PILE'!$D$56:$D$75)=0,0,'TO HOP NLAN'!F147*'TS-PILE'!$D$71/SUMSQ('TS-PILE'!$D$56:$D$75))),IF('TS-PILE'!$B$72="",-1E+99,'TO HOP NLAN'!D147/ncoc+IF(SUMSQ('TS-PILE'!$E$56:$E$75)=0,0,'TO HOP NLAN'!E147*'TS-PILE'!$E$72/SUMSQ('TS-PILE'!$E$56:$E$75))+IF(SUMSQ('TS-PILE'!$D$56:$D$75)=0,0,'TO HOP NLAN'!F147*'TS-PILE'!$D$72/SUMSQ('TS-PILE'!$D$56:$D$75))),IF('TS-PILE'!$B$73="",-1E+99,'TO HOP NLAN'!D147/ncoc+IF(SUMSQ('TS-PILE'!$E$56:$E$75)=0,0,'TO HOP NLAN'!E147*'TS-PILE'!$E$73/SUMSQ('TS-PILE'!$E$56:$E$75))+IF(SUMSQ('TS-PILE'!$D$56:$D$75)=0,0,'TO HOP NLAN'!F147*'TS-PILE'!$D$73/SUMSQ('TS-PILE'!$D$56:$D$75))),IF('TS-PILE'!$B$74="",-1E+99,'TO HOP NLAN'!D147/ncoc+IF(SUMSQ('TS-PILE'!$E$56:$E$75)=0,0,'TO HOP NLAN'!E147*'TS-PILE'!$E$74/SUMSQ('TS-PILE'!$E$56:$E$75))+IF(SUMSQ('TS-PILE'!$D$56:$D$75)=0,0,'TO HOP NLAN'!F147*'TS-PILE'!$D$74/SUMSQ('TS-PILE'!$D$56:$D$75))),IF('TS-PILE'!$B$75="",-1E+99,'TO HOP NLAN'!D147/ncoc+IF(SUMSQ('TS-PILE'!$E$56:$E$75)=0,0,'TO HOP NLAN'!E147*'TS-PILE'!$E$75/SUMSQ('TS-PILE'!$E$56:$E$75))+IF(SUMSQ('TS-PILE'!$D$56:$D$75)=0,0,'TO HOP NLAN'!F147*'TS-PILE'!$D$75/SUMSQ('TS-PILE'!$D$56:$D$75)))))</f>
        <v>0</v>
      </c>
      <c r="D147" s="46">
        <f>IF(A147="",0,MIN(IF('TS-PILE'!$B$56="",1E+99,'TO HOP NLAN'!D147/ncoc+IF(SUMSQ('TS-PILE'!$E$56:$E$75)=0,0,'TO HOP NLAN'!E147*'TS-PILE'!$E$56/SUMSQ('TS-PILE'!$E$56:$E$75))+IF(SUMSQ('TS-PILE'!$D$56:$D$75)=0,0,'TO HOP NLAN'!F147*'TS-PILE'!$D$56/SUMSQ('TS-PILE'!$D$56:$D$75))),IF('TS-PILE'!$B$57="",1E+99,'TO HOP NLAN'!D147/ncoc+IF(SUMSQ('TS-PILE'!$E$56:$E$75)=0,0,'TO HOP NLAN'!E147*'TS-PILE'!$E$57/SUMSQ('TS-PILE'!$E$56:$E$75))+IF(SUMSQ('TS-PILE'!$D$56:$D$75)=0,0,'TO HOP NLAN'!F147*'TS-PILE'!$D$57/SUMSQ('TS-PILE'!$D$56:$D$75))),IF('TS-PILE'!$B$58="",1E+99,'TO HOP NLAN'!D147/ncoc+IF(SUMSQ('TS-PILE'!$E$56:$E$75)=0,0,'TO HOP NLAN'!E147*'TS-PILE'!$E$58/SUMSQ('TS-PILE'!$E$56:$E$75))+IF(SUMSQ('TS-PILE'!$D$56:$D$75)=0,0,'TO HOP NLAN'!F147*'TS-PILE'!$D$58/SUMSQ('TS-PILE'!$D$56:$D$75))),IF('TS-PILE'!$B$59="",1E+99,'TO HOP NLAN'!D147/ncoc+IF(SUMSQ('TS-PILE'!$E$56:$E$75)=0,0,'TO HOP NLAN'!E147*'TS-PILE'!$E$59/SUMSQ('TS-PILE'!$E$56:$E$75))+IF(SUMSQ('TS-PILE'!$D$56:$D$75)=0,0,'TO HOP NLAN'!F147*'TS-PILE'!$D$59/SUMSQ('TS-PILE'!$D$56:$D$75))),IF('TS-PILE'!$B$60="",1E+99,'TO HOP NLAN'!D147/ncoc+IF(SUMSQ('TS-PILE'!$E$56:$E$75)=0,0,'TO HOP NLAN'!E147*'TS-PILE'!$E$60/SUMSQ('TS-PILE'!$E$56:$E$75))+IF(SUMSQ('TS-PILE'!$D$56:$D$75)=0,0,'TO HOP NLAN'!F147*'TS-PILE'!$D$60/SUMSQ('TS-PILE'!$D$56:$D$75))),IF('TS-PILE'!$B$61="",1E+99,'TO HOP NLAN'!D147/ncoc+IF(SUMSQ('TS-PILE'!$E$56:$E$75)=0,0,'TO HOP NLAN'!E147*'TS-PILE'!$E$61/SUMSQ('TS-PILE'!$E$56:$E$75))+IF(SUMSQ('TS-PILE'!$D$56:$D$75)=0,0,'TO HOP NLAN'!F147*'TS-PILE'!$D$61/SUMSQ('TS-PILE'!$D$56:$D$75))),IF('TS-PILE'!$B$62="",1E+99,'TO HOP NLAN'!D147/ncoc+IF(SUMSQ('TS-PILE'!$E$56:$E$75)=0,0,'TO HOP NLAN'!E147*'TS-PILE'!$E$62/SUMSQ('TS-PILE'!$E$56:$E$75))+IF(SUMSQ('TS-PILE'!$D$56:$D$75)=0,0,'TO HOP NLAN'!F147*'TS-PILE'!$D$62/SUMSQ('TS-PILE'!$D$56:$D$75))),IF('TS-PILE'!$B$63="",1E+99,'TO HOP NLAN'!D147/ncoc+IF(SUMSQ('TS-PILE'!$E$56:$E$75)=0,0,'TO HOP NLAN'!E147*'TS-PILE'!$E$63/SUMSQ('TS-PILE'!$E$56:$E$75))+IF(SUMSQ('TS-PILE'!$D$56:$D$75)=0,0,'TO HOP NLAN'!F147*'TS-PILE'!$D$63/SUMSQ('TS-PILE'!$D$56:$D$75))),IF('TS-PILE'!$B$64="",1E+99,'TO HOP NLAN'!D147/ncoc+IF(SUMSQ('TS-PILE'!$E$56:$E$75)=0,0,'TO HOP NLAN'!E147*'TS-PILE'!$E$64/SUMSQ('TS-PILE'!$E$56:$E$75))+IF(SUMSQ('TS-PILE'!$D$56:$D$75)=0,0,'TO HOP NLAN'!F147*'TS-PILE'!$D$64/SUMSQ('TS-PILE'!$D$56:$D$75))),IF('TS-PILE'!$B$65="",1E+99,'TO HOP NLAN'!D147/ncoc+IF(SUMSQ('TS-PILE'!$E$56:$E$75)=0,0,'TO HOP NLAN'!E147*'TS-PILE'!$E$65/SUMSQ('TS-PILE'!$E$56:$E$75))+IF(SUMSQ('TS-PILE'!$D$56:$D$75)=0,0,'TO HOP NLAN'!F147*'TS-PILE'!$D$65/SUMSQ('TS-PILE'!$D$56:$D$75))),IF('TS-PILE'!$B$66="",1E+99,'TO HOP NLAN'!D147/ncoc+IF(SUMSQ('TS-PILE'!$E$56:$E$75)=0,0,'TO HOP NLAN'!E147*'TS-PILE'!$E$66/SUMSQ('TS-PILE'!$E$56:$E$75))+IF(SUMSQ('TS-PILE'!$D$56:$D$75)=0,0,'TO HOP NLAN'!F147*'TS-PILE'!$D$66/SUMSQ('TS-PILE'!$D$56:$D$75))),IF('TS-PILE'!$B$67="",1E+99,'TO HOP NLAN'!D147/ncoc+IF(SUMSQ('TS-PILE'!$E$56:$E$75)=0,0,'TO HOP NLAN'!E147*'TS-PILE'!$E$67/SUMSQ('TS-PILE'!$E$56:$E$75))+IF(SUMSQ('TS-PILE'!$D$56:$D$75)=0,0,'TO HOP NLAN'!F147*'TS-PILE'!$D$67/SUMSQ('TS-PILE'!$D$56:$D$75))),IF('TS-PILE'!$B$68="",1E+99,'TO HOP NLAN'!D147/ncoc+IF(SUMSQ('TS-PILE'!$E$56:$E$75)=0,0,'TO HOP NLAN'!E147*'TS-PILE'!$E$68/SUMSQ('TS-PILE'!$E$56:$E$75))+IF(SUMSQ('TS-PILE'!$D$56:$D$75)=0,0,'TO HOP NLAN'!F147*'TS-PILE'!$D$68/SUMSQ('TS-PILE'!$D$56:$D$75))),IF('TS-PILE'!$B$69="",1E+99,'TO HOP NLAN'!D147/ncoc+IF(SUMSQ('TS-PILE'!$E$56:$E$75)=0,0,'TO HOP NLAN'!E147*'TS-PILE'!$E$69/SUMSQ('TS-PILE'!$E$56:$E$75))+IF(SUMSQ('TS-PILE'!$D$56:$D$75)=0,0,'TO HOP NLAN'!F147*'TS-PILE'!$D$69/SUMSQ('TS-PILE'!$D$56:$D$75))),IF('TS-PILE'!$B$70="",1E+99,'TO HOP NLAN'!D147/ncoc+IF(SUMSQ('TS-PILE'!$E$56:$E$75)=0,0,'TO HOP NLAN'!E147*'TS-PILE'!$E$70/SUMSQ('TS-PILE'!$E$56:$E$75))+IF(SUMSQ('TS-PILE'!$D$56:$D$75)=0,0,'TO HOP NLAN'!F147*'TS-PILE'!$D$70/SUMSQ('TS-PILE'!$D$56:$D$75))),IF('TS-PILE'!$B$71="",1E+99,'TO HOP NLAN'!D147/ncoc+IF(SUMSQ('TS-PILE'!$E$56:$E$75)=0,0,'TO HOP NLAN'!E147*'TS-PILE'!$E$71/SUMSQ('TS-PILE'!$E$56:$E$75))+IF(SUMSQ('TS-PILE'!$D$56:$D$75)=0,0,'TO HOP NLAN'!F147*'TS-PILE'!$D$71/SUMSQ('TS-PILE'!$D$56:$D$75))),IF('TS-PILE'!$B$72="",1E+99,'TO HOP NLAN'!D147/ncoc+IF(SUMSQ('TS-PILE'!$E$56:$E$75)=0,0,'TO HOP NLAN'!E147*'TS-PILE'!$E$72/SUMSQ('TS-PILE'!$E$56:$E$75))+IF(SUMSQ('TS-PILE'!$D$56:$D$75)=0,0,'TO HOP NLAN'!F147*'TS-PILE'!$D$72/SUMSQ('TS-PILE'!$D$56:$D$75))),IF('TS-PILE'!$B$73="",1E+99,'TO HOP NLAN'!D147/ncoc+IF(SUMSQ('TS-PILE'!$E$56:$E$75)=0,0,'TO HOP NLAN'!E147*'TS-PILE'!$E$73/SUMSQ('TS-PILE'!$E$56:$E$75))+IF(SUMSQ('TS-PILE'!$D$56:$D$75)=0,0,'TO HOP NLAN'!F147*'TS-PILE'!$D$73/SUMSQ('TS-PILE'!$D$56:$D$75))),IF('TS-PILE'!$B$74="",1E+99,'TO HOP NLAN'!D147/ncoc+IF(SUMSQ('TS-PILE'!$E$56:$E$75)=0,0,'TO HOP NLAN'!E147*'TS-PILE'!$E$74/SUMSQ('TS-PILE'!$E$56:$E$75))+IF(SUMSQ('TS-PILE'!$D$56:$D$75)=0,0,'TO HOP NLAN'!F147*'TS-PILE'!$D$74/SUMSQ('TS-PILE'!$D$56:$D$75))),IF('TS-PILE'!$B$75="",1E+99,'TO HOP NLAN'!D147/ncoc+IF(SUMSQ('TS-PILE'!$E$56:$E$75)=0,0,'TO HOP NLAN'!E147*'TS-PILE'!$E$75/SUMSQ('TS-PILE'!$E$56:$E$75))+IF(SUMSQ('TS-PILE'!$D$56:$D$75)=0,0,'TO HOP NLAN'!F147*'TS-PILE'!$D$75/SUMSQ('TS-PILE'!$D$56:$D$75)))))</f>
        <v>0</v>
      </c>
      <c r="E147" s="46">
        <f t="shared" si="8"/>
        <v>-9.9999999999999997E+98</v>
      </c>
      <c r="F147" s="46">
        <f t="shared" si="9"/>
        <v>9.9999999999999997E+98</v>
      </c>
      <c r="G147" s="46">
        <f t="shared" si="10"/>
        <v>-9.9999999999999997E+98</v>
      </c>
      <c r="H147" s="46">
        <f t="shared" si="11"/>
        <v>9.9999999999999997E+98</v>
      </c>
    </row>
    <row r="148" spans="1:8" x14ac:dyDescent="0.3">
      <c r="A148" s="40" t="str">
        <f>'TO HOP NLAN'!A148</f>
        <v/>
      </c>
      <c r="B148" s="40" t="str">
        <f>'TO HOP NLAN'!L148</f>
        <v>STRENGTH</v>
      </c>
      <c r="C148" s="46">
        <f>IF(A148="",0,MAX(IF('TS-PILE'!$B$56="",-1E+99,'TO HOP NLAN'!D148/ncoc+IF(SUMSQ('TS-PILE'!$E$56:$E$75)=0,0,'TO HOP NLAN'!E148*'TS-PILE'!$E$56/SUMSQ('TS-PILE'!$E$56:$E$75))+IF(SUMSQ('TS-PILE'!$D$56:$D$75)=0,0,'TO HOP NLAN'!F148*'TS-PILE'!$D$56/SUMSQ('TS-PILE'!$D$56:$D$75))),IF('TS-PILE'!$B$57="",-1E+99,'TO HOP NLAN'!D148/ncoc+IF(SUMSQ('TS-PILE'!$E$56:$E$75)=0,0,'TO HOP NLAN'!E148*'TS-PILE'!$E$57/SUMSQ('TS-PILE'!$E$56:$E$75))+IF(SUMSQ('TS-PILE'!$D$56:$D$75)=0,0,'TO HOP NLAN'!F148*'TS-PILE'!$D$57/SUMSQ('TS-PILE'!$D$56:$D$75))),IF('TS-PILE'!$B$58="",-1E+99,'TO HOP NLAN'!D148/ncoc+IF(SUMSQ('TS-PILE'!$E$56:$E$75)=0,0,'TO HOP NLAN'!E148*'TS-PILE'!$E$58/SUMSQ('TS-PILE'!$E$56:$E$75))+IF(SUMSQ('TS-PILE'!$D$56:$D$75)=0,0,'TO HOP NLAN'!F148*'TS-PILE'!$D$58/SUMSQ('TS-PILE'!$D$56:$D$75))),IF('TS-PILE'!$B$59="",-1E+99,'TO HOP NLAN'!D148/ncoc+IF(SUMSQ('TS-PILE'!$E$56:$E$75)=0,0,'TO HOP NLAN'!E148*'TS-PILE'!$E$59/SUMSQ('TS-PILE'!$E$56:$E$75))+IF(SUMSQ('TS-PILE'!$D$56:$D$75)=0,0,'TO HOP NLAN'!F148*'TS-PILE'!$D$59/SUMSQ('TS-PILE'!$D$56:$D$75))),IF('TS-PILE'!$B$60="",-1E+99,'TO HOP NLAN'!D148/ncoc+IF(SUMSQ('TS-PILE'!$E$56:$E$75)=0,0,'TO HOP NLAN'!E148*'TS-PILE'!$E$60/SUMSQ('TS-PILE'!$E$56:$E$75))+IF(SUMSQ('TS-PILE'!$D$56:$D$75)=0,0,'TO HOP NLAN'!F148*'TS-PILE'!$D$60/SUMSQ('TS-PILE'!$D$56:$D$75))),IF('TS-PILE'!$B$61="",-1E+99,'TO HOP NLAN'!D148/ncoc+IF(SUMSQ('TS-PILE'!$E$56:$E$75)=0,0,'TO HOP NLAN'!E148*'TS-PILE'!$E$61/SUMSQ('TS-PILE'!$E$56:$E$75))+IF(SUMSQ('TS-PILE'!$D$56:$D$75)=0,0,'TO HOP NLAN'!F148*'TS-PILE'!$D$61/SUMSQ('TS-PILE'!$D$56:$D$75))),IF('TS-PILE'!$B$62="",-1E+99,'TO HOP NLAN'!D148/ncoc+IF(SUMSQ('TS-PILE'!$E$56:$E$75)=0,0,'TO HOP NLAN'!E148*'TS-PILE'!$E$62/SUMSQ('TS-PILE'!$E$56:$E$75))+IF(SUMSQ('TS-PILE'!$D$56:$D$75)=0,0,'TO HOP NLAN'!F148*'TS-PILE'!$D$62/SUMSQ('TS-PILE'!$D$56:$D$75))),IF('TS-PILE'!$B$63="",-1E+99,'TO HOP NLAN'!D148/ncoc+IF(SUMSQ('TS-PILE'!$E$56:$E$75)=0,0,'TO HOP NLAN'!E148*'TS-PILE'!$E$63/SUMSQ('TS-PILE'!$E$56:$E$75))+IF(SUMSQ('TS-PILE'!$D$56:$D$75)=0,0,'TO HOP NLAN'!F148*'TS-PILE'!$D$63/SUMSQ('TS-PILE'!$D$56:$D$75))),IF('TS-PILE'!$B$64="",-1E+99,'TO HOP NLAN'!D148/ncoc+IF(SUMSQ('TS-PILE'!$E$56:$E$75)=0,0,'TO HOP NLAN'!E148*'TS-PILE'!$E$64/SUMSQ('TS-PILE'!$E$56:$E$75))+IF(SUMSQ('TS-PILE'!$D$56:$D$75)=0,0,'TO HOP NLAN'!F148*'TS-PILE'!$D$64/SUMSQ('TS-PILE'!$D$56:$D$75))),IF('TS-PILE'!$B$65="",-1E+99,'TO HOP NLAN'!D148/ncoc+IF(SUMSQ('TS-PILE'!$E$56:$E$75)=0,0,'TO HOP NLAN'!E148*'TS-PILE'!$E$65/SUMSQ('TS-PILE'!$E$56:$E$75))+IF(SUMSQ('TS-PILE'!$D$56:$D$75)=0,0,'TO HOP NLAN'!F148*'TS-PILE'!$D$65/SUMSQ('TS-PILE'!$D$56:$D$75))),IF('TS-PILE'!$B$66="",-1E+99,'TO HOP NLAN'!D148/ncoc+IF(SUMSQ('TS-PILE'!$E$56:$E$75)=0,0,'TO HOP NLAN'!E148*'TS-PILE'!$E$66/SUMSQ('TS-PILE'!$E$56:$E$75))+IF(SUMSQ('TS-PILE'!$D$56:$D$75)=0,0,'TO HOP NLAN'!F148*'TS-PILE'!$D$66/SUMSQ('TS-PILE'!$D$56:$D$75))),IF('TS-PILE'!$B$67="",-1E+99,'TO HOP NLAN'!D148/ncoc+IF(SUMSQ('TS-PILE'!$E$56:$E$75)=0,0,'TO HOP NLAN'!E148*'TS-PILE'!$E$67/SUMSQ('TS-PILE'!$E$56:$E$75))+IF(SUMSQ('TS-PILE'!$D$56:$D$75)=0,0,'TO HOP NLAN'!F148*'TS-PILE'!$D$67/SUMSQ('TS-PILE'!$D$56:$D$75))),IF('TS-PILE'!$B$68="",-1E+99,'TO HOP NLAN'!D148/ncoc+IF(SUMSQ('TS-PILE'!$E$56:$E$75)=0,0,'TO HOP NLAN'!E148*'TS-PILE'!$E$68/SUMSQ('TS-PILE'!$E$56:$E$75))+IF(SUMSQ('TS-PILE'!$D$56:$D$75)=0,0,'TO HOP NLAN'!F148*'TS-PILE'!$D$68/SUMSQ('TS-PILE'!$D$56:$D$75))),IF('TS-PILE'!$B$69="",-1E+99,'TO HOP NLAN'!D148/ncoc+IF(SUMSQ('TS-PILE'!$E$56:$E$75)=0,0,'TO HOP NLAN'!E148*'TS-PILE'!$E$69/SUMSQ('TS-PILE'!$E$56:$E$75))+IF(SUMSQ('TS-PILE'!$D$56:$D$75)=0,0,'TO HOP NLAN'!F148*'TS-PILE'!$D$69/SUMSQ('TS-PILE'!$D$56:$D$75))),IF('TS-PILE'!$B$70="",-1E+99,'TO HOP NLAN'!D148/ncoc+IF(SUMSQ('TS-PILE'!$E$56:$E$75)=0,0,'TO HOP NLAN'!E148*'TS-PILE'!$E$70/SUMSQ('TS-PILE'!$E$56:$E$75))+IF(SUMSQ('TS-PILE'!$D$56:$D$75)=0,0,'TO HOP NLAN'!F148*'TS-PILE'!$D$70/SUMSQ('TS-PILE'!$D$56:$D$75))),IF('TS-PILE'!$B$71="",-1E+99,'TO HOP NLAN'!D148/ncoc+IF(SUMSQ('TS-PILE'!$E$56:$E$75)=0,0,'TO HOP NLAN'!E148*'TS-PILE'!$E$71/SUMSQ('TS-PILE'!$E$56:$E$75))+IF(SUMSQ('TS-PILE'!$D$56:$D$75)=0,0,'TO HOP NLAN'!F148*'TS-PILE'!$D$71/SUMSQ('TS-PILE'!$D$56:$D$75))),IF('TS-PILE'!$B$72="",-1E+99,'TO HOP NLAN'!D148/ncoc+IF(SUMSQ('TS-PILE'!$E$56:$E$75)=0,0,'TO HOP NLAN'!E148*'TS-PILE'!$E$72/SUMSQ('TS-PILE'!$E$56:$E$75))+IF(SUMSQ('TS-PILE'!$D$56:$D$75)=0,0,'TO HOP NLAN'!F148*'TS-PILE'!$D$72/SUMSQ('TS-PILE'!$D$56:$D$75))),IF('TS-PILE'!$B$73="",-1E+99,'TO HOP NLAN'!D148/ncoc+IF(SUMSQ('TS-PILE'!$E$56:$E$75)=0,0,'TO HOP NLAN'!E148*'TS-PILE'!$E$73/SUMSQ('TS-PILE'!$E$56:$E$75))+IF(SUMSQ('TS-PILE'!$D$56:$D$75)=0,0,'TO HOP NLAN'!F148*'TS-PILE'!$D$73/SUMSQ('TS-PILE'!$D$56:$D$75))),IF('TS-PILE'!$B$74="",-1E+99,'TO HOP NLAN'!D148/ncoc+IF(SUMSQ('TS-PILE'!$E$56:$E$75)=0,0,'TO HOP NLAN'!E148*'TS-PILE'!$E$74/SUMSQ('TS-PILE'!$E$56:$E$75))+IF(SUMSQ('TS-PILE'!$D$56:$D$75)=0,0,'TO HOP NLAN'!F148*'TS-PILE'!$D$74/SUMSQ('TS-PILE'!$D$56:$D$75))),IF('TS-PILE'!$B$75="",-1E+99,'TO HOP NLAN'!D148/ncoc+IF(SUMSQ('TS-PILE'!$E$56:$E$75)=0,0,'TO HOP NLAN'!E148*'TS-PILE'!$E$75/SUMSQ('TS-PILE'!$E$56:$E$75))+IF(SUMSQ('TS-PILE'!$D$56:$D$75)=0,0,'TO HOP NLAN'!F148*'TS-PILE'!$D$75/SUMSQ('TS-PILE'!$D$56:$D$75)))))</f>
        <v>0</v>
      </c>
      <c r="D148" s="46">
        <f>IF(A148="",0,MIN(IF('TS-PILE'!$B$56="",1E+99,'TO HOP NLAN'!D148/ncoc+IF(SUMSQ('TS-PILE'!$E$56:$E$75)=0,0,'TO HOP NLAN'!E148*'TS-PILE'!$E$56/SUMSQ('TS-PILE'!$E$56:$E$75))+IF(SUMSQ('TS-PILE'!$D$56:$D$75)=0,0,'TO HOP NLAN'!F148*'TS-PILE'!$D$56/SUMSQ('TS-PILE'!$D$56:$D$75))),IF('TS-PILE'!$B$57="",1E+99,'TO HOP NLAN'!D148/ncoc+IF(SUMSQ('TS-PILE'!$E$56:$E$75)=0,0,'TO HOP NLAN'!E148*'TS-PILE'!$E$57/SUMSQ('TS-PILE'!$E$56:$E$75))+IF(SUMSQ('TS-PILE'!$D$56:$D$75)=0,0,'TO HOP NLAN'!F148*'TS-PILE'!$D$57/SUMSQ('TS-PILE'!$D$56:$D$75))),IF('TS-PILE'!$B$58="",1E+99,'TO HOP NLAN'!D148/ncoc+IF(SUMSQ('TS-PILE'!$E$56:$E$75)=0,0,'TO HOP NLAN'!E148*'TS-PILE'!$E$58/SUMSQ('TS-PILE'!$E$56:$E$75))+IF(SUMSQ('TS-PILE'!$D$56:$D$75)=0,0,'TO HOP NLAN'!F148*'TS-PILE'!$D$58/SUMSQ('TS-PILE'!$D$56:$D$75))),IF('TS-PILE'!$B$59="",1E+99,'TO HOP NLAN'!D148/ncoc+IF(SUMSQ('TS-PILE'!$E$56:$E$75)=0,0,'TO HOP NLAN'!E148*'TS-PILE'!$E$59/SUMSQ('TS-PILE'!$E$56:$E$75))+IF(SUMSQ('TS-PILE'!$D$56:$D$75)=0,0,'TO HOP NLAN'!F148*'TS-PILE'!$D$59/SUMSQ('TS-PILE'!$D$56:$D$75))),IF('TS-PILE'!$B$60="",1E+99,'TO HOP NLAN'!D148/ncoc+IF(SUMSQ('TS-PILE'!$E$56:$E$75)=0,0,'TO HOP NLAN'!E148*'TS-PILE'!$E$60/SUMSQ('TS-PILE'!$E$56:$E$75))+IF(SUMSQ('TS-PILE'!$D$56:$D$75)=0,0,'TO HOP NLAN'!F148*'TS-PILE'!$D$60/SUMSQ('TS-PILE'!$D$56:$D$75))),IF('TS-PILE'!$B$61="",1E+99,'TO HOP NLAN'!D148/ncoc+IF(SUMSQ('TS-PILE'!$E$56:$E$75)=0,0,'TO HOP NLAN'!E148*'TS-PILE'!$E$61/SUMSQ('TS-PILE'!$E$56:$E$75))+IF(SUMSQ('TS-PILE'!$D$56:$D$75)=0,0,'TO HOP NLAN'!F148*'TS-PILE'!$D$61/SUMSQ('TS-PILE'!$D$56:$D$75))),IF('TS-PILE'!$B$62="",1E+99,'TO HOP NLAN'!D148/ncoc+IF(SUMSQ('TS-PILE'!$E$56:$E$75)=0,0,'TO HOP NLAN'!E148*'TS-PILE'!$E$62/SUMSQ('TS-PILE'!$E$56:$E$75))+IF(SUMSQ('TS-PILE'!$D$56:$D$75)=0,0,'TO HOP NLAN'!F148*'TS-PILE'!$D$62/SUMSQ('TS-PILE'!$D$56:$D$75))),IF('TS-PILE'!$B$63="",1E+99,'TO HOP NLAN'!D148/ncoc+IF(SUMSQ('TS-PILE'!$E$56:$E$75)=0,0,'TO HOP NLAN'!E148*'TS-PILE'!$E$63/SUMSQ('TS-PILE'!$E$56:$E$75))+IF(SUMSQ('TS-PILE'!$D$56:$D$75)=0,0,'TO HOP NLAN'!F148*'TS-PILE'!$D$63/SUMSQ('TS-PILE'!$D$56:$D$75))),IF('TS-PILE'!$B$64="",1E+99,'TO HOP NLAN'!D148/ncoc+IF(SUMSQ('TS-PILE'!$E$56:$E$75)=0,0,'TO HOP NLAN'!E148*'TS-PILE'!$E$64/SUMSQ('TS-PILE'!$E$56:$E$75))+IF(SUMSQ('TS-PILE'!$D$56:$D$75)=0,0,'TO HOP NLAN'!F148*'TS-PILE'!$D$64/SUMSQ('TS-PILE'!$D$56:$D$75))),IF('TS-PILE'!$B$65="",1E+99,'TO HOP NLAN'!D148/ncoc+IF(SUMSQ('TS-PILE'!$E$56:$E$75)=0,0,'TO HOP NLAN'!E148*'TS-PILE'!$E$65/SUMSQ('TS-PILE'!$E$56:$E$75))+IF(SUMSQ('TS-PILE'!$D$56:$D$75)=0,0,'TO HOP NLAN'!F148*'TS-PILE'!$D$65/SUMSQ('TS-PILE'!$D$56:$D$75))),IF('TS-PILE'!$B$66="",1E+99,'TO HOP NLAN'!D148/ncoc+IF(SUMSQ('TS-PILE'!$E$56:$E$75)=0,0,'TO HOP NLAN'!E148*'TS-PILE'!$E$66/SUMSQ('TS-PILE'!$E$56:$E$75))+IF(SUMSQ('TS-PILE'!$D$56:$D$75)=0,0,'TO HOP NLAN'!F148*'TS-PILE'!$D$66/SUMSQ('TS-PILE'!$D$56:$D$75))),IF('TS-PILE'!$B$67="",1E+99,'TO HOP NLAN'!D148/ncoc+IF(SUMSQ('TS-PILE'!$E$56:$E$75)=0,0,'TO HOP NLAN'!E148*'TS-PILE'!$E$67/SUMSQ('TS-PILE'!$E$56:$E$75))+IF(SUMSQ('TS-PILE'!$D$56:$D$75)=0,0,'TO HOP NLAN'!F148*'TS-PILE'!$D$67/SUMSQ('TS-PILE'!$D$56:$D$75))),IF('TS-PILE'!$B$68="",1E+99,'TO HOP NLAN'!D148/ncoc+IF(SUMSQ('TS-PILE'!$E$56:$E$75)=0,0,'TO HOP NLAN'!E148*'TS-PILE'!$E$68/SUMSQ('TS-PILE'!$E$56:$E$75))+IF(SUMSQ('TS-PILE'!$D$56:$D$75)=0,0,'TO HOP NLAN'!F148*'TS-PILE'!$D$68/SUMSQ('TS-PILE'!$D$56:$D$75))),IF('TS-PILE'!$B$69="",1E+99,'TO HOP NLAN'!D148/ncoc+IF(SUMSQ('TS-PILE'!$E$56:$E$75)=0,0,'TO HOP NLAN'!E148*'TS-PILE'!$E$69/SUMSQ('TS-PILE'!$E$56:$E$75))+IF(SUMSQ('TS-PILE'!$D$56:$D$75)=0,0,'TO HOP NLAN'!F148*'TS-PILE'!$D$69/SUMSQ('TS-PILE'!$D$56:$D$75))),IF('TS-PILE'!$B$70="",1E+99,'TO HOP NLAN'!D148/ncoc+IF(SUMSQ('TS-PILE'!$E$56:$E$75)=0,0,'TO HOP NLAN'!E148*'TS-PILE'!$E$70/SUMSQ('TS-PILE'!$E$56:$E$75))+IF(SUMSQ('TS-PILE'!$D$56:$D$75)=0,0,'TO HOP NLAN'!F148*'TS-PILE'!$D$70/SUMSQ('TS-PILE'!$D$56:$D$75))),IF('TS-PILE'!$B$71="",1E+99,'TO HOP NLAN'!D148/ncoc+IF(SUMSQ('TS-PILE'!$E$56:$E$75)=0,0,'TO HOP NLAN'!E148*'TS-PILE'!$E$71/SUMSQ('TS-PILE'!$E$56:$E$75))+IF(SUMSQ('TS-PILE'!$D$56:$D$75)=0,0,'TO HOP NLAN'!F148*'TS-PILE'!$D$71/SUMSQ('TS-PILE'!$D$56:$D$75))),IF('TS-PILE'!$B$72="",1E+99,'TO HOP NLAN'!D148/ncoc+IF(SUMSQ('TS-PILE'!$E$56:$E$75)=0,0,'TO HOP NLAN'!E148*'TS-PILE'!$E$72/SUMSQ('TS-PILE'!$E$56:$E$75))+IF(SUMSQ('TS-PILE'!$D$56:$D$75)=0,0,'TO HOP NLAN'!F148*'TS-PILE'!$D$72/SUMSQ('TS-PILE'!$D$56:$D$75))),IF('TS-PILE'!$B$73="",1E+99,'TO HOP NLAN'!D148/ncoc+IF(SUMSQ('TS-PILE'!$E$56:$E$75)=0,0,'TO HOP NLAN'!E148*'TS-PILE'!$E$73/SUMSQ('TS-PILE'!$E$56:$E$75))+IF(SUMSQ('TS-PILE'!$D$56:$D$75)=0,0,'TO HOP NLAN'!F148*'TS-PILE'!$D$73/SUMSQ('TS-PILE'!$D$56:$D$75))),IF('TS-PILE'!$B$74="",1E+99,'TO HOP NLAN'!D148/ncoc+IF(SUMSQ('TS-PILE'!$E$56:$E$75)=0,0,'TO HOP NLAN'!E148*'TS-PILE'!$E$74/SUMSQ('TS-PILE'!$E$56:$E$75))+IF(SUMSQ('TS-PILE'!$D$56:$D$75)=0,0,'TO HOP NLAN'!F148*'TS-PILE'!$D$74/SUMSQ('TS-PILE'!$D$56:$D$75))),IF('TS-PILE'!$B$75="",1E+99,'TO HOP NLAN'!D148/ncoc+IF(SUMSQ('TS-PILE'!$E$56:$E$75)=0,0,'TO HOP NLAN'!E148*'TS-PILE'!$E$75/SUMSQ('TS-PILE'!$E$56:$E$75))+IF(SUMSQ('TS-PILE'!$D$56:$D$75)=0,0,'TO HOP NLAN'!F148*'TS-PILE'!$D$75/SUMSQ('TS-PILE'!$D$56:$D$75)))))</f>
        <v>0</v>
      </c>
      <c r="E148" s="46">
        <f t="shared" si="8"/>
        <v>-9.9999999999999997E+98</v>
      </c>
      <c r="F148" s="46">
        <f t="shared" si="9"/>
        <v>9.9999999999999997E+98</v>
      </c>
      <c r="G148" s="46">
        <f t="shared" si="10"/>
        <v>-9.9999999999999997E+98</v>
      </c>
      <c r="H148" s="46">
        <f t="shared" si="11"/>
        <v>9.9999999999999997E+98</v>
      </c>
    </row>
    <row r="149" spans="1:8" x14ac:dyDescent="0.3">
      <c r="A149" s="40" t="str">
        <f>'TO HOP NLAN'!A149</f>
        <v/>
      </c>
      <c r="B149" s="40" t="str">
        <f>'TO HOP NLAN'!L149</f>
        <v>STRENGTH</v>
      </c>
      <c r="C149" s="46">
        <f>IF(A149="",0,MAX(IF('TS-PILE'!$B$56="",-1E+99,'TO HOP NLAN'!D149/ncoc+IF(SUMSQ('TS-PILE'!$E$56:$E$75)=0,0,'TO HOP NLAN'!E149*'TS-PILE'!$E$56/SUMSQ('TS-PILE'!$E$56:$E$75))+IF(SUMSQ('TS-PILE'!$D$56:$D$75)=0,0,'TO HOP NLAN'!F149*'TS-PILE'!$D$56/SUMSQ('TS-PILE'!$D$56:$D$75))),IF('TS-PILE'!$B$57="",-1E+99,'TO HOP NLAN'!D149/ncoc+IF(SUMSQ('TS-PILE'!$E$56:$E$75)=0,0,'TO HOP NLAN'!E149*'TS-PILE'!$E$57/SUMSQ('TS-PILE'!$E$56:$E$75))+IF(SUMSQ('TS-PILE'!$D$56:$D$75)=0,0,'TO HOP NLAN'!F149*'TS-PILE'!$D$57/SUMSQ('TS-PILE'!$D$56:$D$75))),IF('TS-PILE'!$B$58="",-1E+99,'TO HOP NLAN'!D149/ncoc+IF(SUMSQ('TS-PILE'!$E$56:$E$75)=0,0,'TO HOP NLAN'!E149*'TS-PILE'!$E$58/SUMSQ('TS-PILE'!$E$56:$E$75))+IF(SUMSQ('TS-PILE'!$D$56:$D$75)=0,0,'TO HOP NLAN'!F149*'TS-PILE'!$D$58/SUMSQ('TS-PILE'!$D$56:$D$75))),IF('TS-PILE'!$B$59="",-1E+99,'TO HOP NLAN'!D149/ncoc+IF(SUMSQ('TS-PILE'!$E$56:$E$75)=0,0,'TO HOP NLAN'!E149*'TS-PILE'!$E$59/SUMSQ('TS-PILE'!$E$56:$E$75))+IF(SUMSQ('TS-PILE'!$D$56:$D$75)=0,0,'TO HOP NLAN'!F149*'TS-PILE'!$D$59/SUMSQ('TS-PILE'!$D$56:$D$75))),IF('TS-PILE'!$B$60="",-1E+99,'TO HOP NLAN'!D149/ncoc+IF(SUMSQ('TS-PILE'!$E$56:$E$75)=0,0,'TO HOP NLAN'!E149*'TS-PILE'!$E$60/SUMSQ('TS-PILE'!$E$56:$E$75))+IF(SUMSQ('TS-PILE'!$D$56:$D$75)=0,0,'TO HOP NLAN'!F149*'TS-PILE'!$D$60/SUMSQ('TS-PILE'!$D$56:$D$75))),IF('TS-PILE'!$B$61="",-1E+99,'TO HOP NLAN'!D149/ncoc+IF(SUMSQ('TS-PILE'!$E$56:$E$75)=0,0,'TO HOP NLAN'!E149*'TS-PILE'!$E$61/SUMSQ('TS-PILE'!$E$56:$E$75))+IF(SUMSQ('TS-PILE'!$D$56:$D$75)=0,0,'TO HOP NLAN'!F149*'TS-PILE'!$D$61/SUMSQ('TS-PILE'!$D$56:$D$75))),IF('TS-PILE'!$B$62="",-1E+99,'TO HOP NLAN'!D149/ncoc+IF(SUMSQ('TS-PILE'!$E$56:$E$75)=0,0,'TO HOP NLAN'!E149*'TS-PILE'!$E$62/SUMSQ('TS-PILE'!$E$56:$E$75))+IF(SUMSQ('TS-PILE'!$D$56:$D$75)=0,0,'TO HOP NLAN'!F149*'TS-PILE'!$D$62/SUMSQ('TS-PILE'!$D$56:$D$75))),IF('TS-PILE'!$B$63="",-1E+99,'TO HOP NLAN'!D149/ncoc+IF(SUMSQ('TS-PILE'!$E$56:$E$75)=0,0,'TO HOP NLAN'!E149*'TS-PILE'!$E$63/SUMSQ('TS-PILE'!$E$56:$E$75))+IF(SUMSQ('TS-PILE'!$D$56:$D$75)=0,0,'TO HOP NLAN'!F149*'TS-PILE'!$D$63/SUMSQ('TS-PILE'!$D$56:$D$75))),IF('TS-PILE'!$B$64="",-1E+99,'TO HOP NLAN'!D149/ncoc+IF(SUMSQ('TS-PILE'!$E$56:$E$75)=0,0,'TO HOP NLAN'!E149*'TS-PILE'!$E$64/SUMSQ('TS-PILE'!$E$56:$E$75))+IF(SUMSQ('TS-PILE'!$D$56:$D$75)=0,0,'TO HOP NLAN'!F149*'TS-PILE'!$D$64/SUMSQ('TS-PILE'!$D$56:$D$75))),IF('TS-PILE'!$B$65="",-1E+99,'TO HOP NLAN'!D149/ncoc+IF(SUMSQ('TS-PILE'!$E$56:$E$75)=0,0,'TO HOP NLAN'!E149*'TS-PILE'!$E$65/SUMSQ('TS-PILE'!$E$56:$E$75))+IF(SUMSQ('TS-PILE'!$D$56:$D$75)=0,0,'TO HOP NLAN'!F149*'TS-PILE'!$D$65/SUMSQ('TS-PILE'!$D$56:$D$75))),IF('TS-PILE'!$B$66="",-1E+99,'TO HOP NLAN'!D149/ncoc+IF(SUMSQ('TS-PILE'!$E$56:$E$75)=0,0,'TO HOP NLAN'!E149*'TS-PILE'!$E$66/SUMSQ('TS-PILE'!$E$56:$E$75))+IF(SUMSQ('TS-PILE'!$D$56:$D$75)=0,0,'TO HOP NLAN'!F149*'TS-PILE'!$D$66/SUMSQ('TS-PILE'!$D$56:$D$75))),IF('TS-PILE'!$B$67="",-1E+99,'TO HOP NLAN'!D149/ncoc+IF(SUMSQ('TS-PILE'!$E$56:$E$75)=0,0,'TO HOP NLAN'!E149*'TS-PILE'!$E$67/SUMSQ('TS-PILE'!$E$56:$E$75))+IF(SUMSQ('TS-PILE'!$D$56:$D$75)=0,0,'TO HOP NLAN'!F149*'TS-PILE'!$D$67/SUMSQ('TS-PILE'!$D$56:$D$75))),IF('TS-PILE'!$B$68="",-1E+99,'TO HOP NLAN'!D149/ncoc+IF(SUMSQ('TS-PILE'!$E$56:$E$75)=0,0,'TO HOP NLAN'!E149*'TS-PILE'!$E$68/SUMSQ('TS-PILE'!$E$56:$E$75))+IF(SUMSQ('TS-PILE'!$D$56:$D$75)=0,0,'TO HOP NLAN'!F149*'TS-PILE'!$D$68/SUMSQ('TS-PILE'!$D$56:$D$75))),IF('TS-PILE'!$B$69="",-1E+99,'TO HOP NLAN'!D149/ncoc+IF(SUMSQ('TS-PILE'!$E$56:$E$75)=0,0,'TO HOP NLAN'!E149*'TS-PILE'!$E$69/SUMSQ('TS-PILE'!$E$56:$E$75))+IF(SUMSQ('TS-PILE'!$D$56:$D$75)=0,0,'TO HOP NLAN'!F149*'TS-PILE'!$D$69/SUMSQ('TS-PILE'!$D$56:$D$75))),IF('TS-PILE'!$B$70="",-1E+99,'TO HOP NLAN'!D149/ncoc+IF(SUMSQ('TS-PILE'!$E$56:$E$75)=0,0,'TO HOP NLAN'!E149*'TS-PILE'!$E$70/SUMSQ('TS-PILE'!$E$56:$E$75))+IF(SUMSQ('TS-PILE'!$D$56:$D$75)=0,0,'TO HOP NLAN'!F149*'TS-PILE'!$D$70/SUMSQ('TS-PILE'!$D$56:$D$75))),IF('TS-PILE'!$B$71="",-1E+99,'TO HOP NLAN'!D149/ncoc+IF(SUMSQ('TS-PILE'!$E$56:$E$75)=0,0,'TO HOP NLAN'!E149*'TS-PILE'!$E$71/SUMSQ('TS-PILE'!$E$56:$E$75))+IF(SUMSQ('TS-PILE'!$D$56:$D$75)=0,0,'TO HOP NLAN'!F149*'TS-PILE'!$D$71/SUMSQ('TS-PILE'!$D$56:$D$75))),IF('TS-PILE'!$B$72="",-1E+99,'TO HOP NLAN'!D149/ncoc+IF(SUMSQ('TS-PILE'!$E$56:$E$75)=0,0,'TO HOP NLAN'!E149*'TS-PILE'!$E$72/SUMSQ('TS-PILE'!$E$56:$E$75))+IF(SUMSQ('TS-PILE'!$D$56:$D$75)=0,0,'TO HOP NLAN'!F149*'TS-PILE'!$D$72/SUMSQ('TS-PILE'!$D$56:$D$75))),IF('TS-PILE'!$B$73="",-1E+99,'TO HOP NLAN'!D149/ncoc+IF(SUMSQ('TS-PILE'!$E$56:$E$75)=0,0,'TO HOP NLAN'!E149*'TS-PILE'!$E$73/SUMSQ('TS-PILE'!$E$56:$E$75))+IF(SUMSQ('TS-PILE'!$D$56:$D$75)=0,0,'TO HOP NLAN'!F149*'TS-PILE'!$D$73/SUMSQ('TS-PILE'!$D$56:$D$75))),IF('TS-PILE'!$B$74="",-1E+99,'TO HOP NLAN'!D149/ncoc+IF(SUMSQ('TS-PILE'!$E$56:$E$75)=0,0,'TO HOP NLAN'!E149*'TS-PILE'!$E$74/SUMSQ('TS-PILE'!$E$56:$E$75))+IF(SUMSQ('TS-PILE'!$D$56:$D$75)=0,0,'TO HOP NLAN'!F149*'TS-PILE'!$D$74/SUMSQ('TS-PILE'!$D$56:$D$75))),IF('TS-PILE'!$B$75="",-1E+99,'TO HOP NLAN'!D149/ncoc+IF(SUMSQ('TS-PILE'!$E$56:$E$75)=0,0,'TO HOP NLAN'!E149*'TS-PILE'!$E$75/SUMSQ('TS-PILE'!$E$56:$E$75))+IF(SUMSQ('TS-PILE'!$D$56:$D$75)=0,0,'TO HOP NLAN'!F149*'TS-PILE'!$D$75/SUMSQ('TS-PILE'!$D$56:$D$75)))))</f>
        <v>0</v>
      </c>
      <c r="D149" s="46">
        <f>IF(A149="",0,MIN(IF('TS-PILE'!$B$56="",1E+99,'TO HOP NLAN'!D149/ncoc+IF(SUMSQ('TS-PILE'!$E$56:$E$75)=0,0,'TO HOP NLAN'!E149*'TS-PILE'!$E$56/SUMSQ('TS-PILE'!$E$56:$E$75))+IF(SUMSQ('TS-PILE'!$D$56:$D$75)=0,0,'TO HOP NLAN'!F149*'TS-PILE'!$D$56/SUMSQ('TS-PILE'!$D$56:$D$75))),IF('TS-PILE'!$B$57="",1E+99,'TO HOP NLAN'!D149/ncoc+IF(SUMSQ('TS-PILE'!$E$56:$E$75)=0,0,'TO HOP NLAN'!E149*'TS-PILE'!$E$57/SUMSQ('TS-PILE'!$E$56:$E$75))+IF(SUMSQ('TS-PILE'!$D$56:$D$75)=0,0,'TO HOP NLAN'!F149*'TS-PILE'!$D$57/SUMSQ('TS-PILE'!$D$56:$D$75))),IF('TS-PILE'!$B$58="",1E+99,'TO HOP NLAN'!D149/ncoc+IF(SUMSQ('TS-PILE'!$E$56:$E$75)=0,0,'TO HOP NLAN'!E149*'TS-PILE'!$E$58/SUMSQ('TS-PILE'!$E$56:$E$75))+IF(SUMSQ('TS-PILE'!$D$56:$D$75)=0,0,'TO HOP NLAN'!F149*'TS-PILE'!$D$58/SUMSQ('TS-PILE'!$D$56:$D$75))),IF('TS-PILE'!$B$59="",1E+99,'TO HOP NLAN'!D149/ncoc+IF(SUMSQ('TS-PILE'!$E$56:$E$75)=0,0,'TO HOP NLAN'!E149*'TS-PILE'!$E$59/SUMSQ('TS-PILE'!$E$56:$E$75))+IF(SUMSQ('TS-PILE'!$D$56:$D$75)=0,0,'TO HOP NLAN'!F149*'TS-PILE'!$D$59/SUMSQ('TS-PILE'!$D$56:$D$75))),IF('TS-PILE'!$B$60="",1E+99,'TO HOP NLAN'!D149/ncoc+IF(SUMSQ('TS-PILE'!$E$56:$E$75)=0,0,'TO HOP NLAN'!E149*'TS-PILE'!$E$60/SUMSQ('TS-PILE'!$E$56:$E$75))+IF(SUMSQ('TS-PILE'!$D$56:$D$75)=0,0,'TO HOP NLAN'!F149*'TS-PILE'!$D$60/SUMSQ('TS-PILE'!$D$56:$D$75))),IF('TS-PILE'!$B$61="",1E+99,'TO HOP NLAN'!D149/ncoc+IF(SUMSQ('TS-PILE'!$E$56:$E$75)=0,0,'TO HOP NLAN'!E149*'TS-PILE'!$E$61/SUMSQ('TS-PILE'!$E$56:$E$75))+IF(SUMSQ('TS-PILE'!$D$56:$D$75)=0,0,'TO HOP NLAN'!F149*'TS-PILE'!$D$61/SUMSQ('TS-PILE'!$D$56:$D$75))),IF('TS-PILE'!$B$62="",1E+99,'TO HOP NLAN'!D149/ncoc+IF(SUMSQ('TS-PILE'!$E$56:$E$75)=0,0,'TO HOP NLAN'!E149*'TS-PILE'!$E$62/SUMSQ('TS-PILE'!$E$56:$E$75))+IF(SUMSQ('TS-PILE'!$D$56:$D$75)=0,0,'TO HOP NLAN'!F149*'TS-PILE'!$D$62/SUMSQ('TS-PILE'!$D$56:$D$75))),IF('TS-PILE'!$B$63="",1E+99,'TO HOP NLAN'!D149/ncoc+IF(SUMSQ('TS-PILE'!$E$56:$E$75)=0,0,'TO HOP NLAN'!E149*'TS-PILE'!$E$63/SUMSQ('TS-PILE'!$E$56:$E$75))+IF(SUMSQ('TS-PILE'!$D$56:$D$75)=0,0,'TO HOP NLAN'!F149*'TS-PILE'!$D$63/SUMSQ('TS-PILE'!$D$56:$D$75))),IF('TS-PILE'!$B$64="",1E+99,'TO HOP NLAN'!D149/ncoc+IF(SUMSQ('TS-PILE'!$E$56:$E$75)=0,0,'TO HOP NLAN'!E149*'TS-PILE'!$E$64/SUMSQ('TS-PILE'!$E$56:$E$75))+IF(SUMSQ('TS-PILE'!$D$56:$D$75)=0,0,'TO HOP NLAN'!F149*'TS-PILE'!$D$64/SUMSQ('TS-PILE'!$D$56:$D$75))),IF('TS-PILE'!$B$65="",1E+99,'TO HOP NLAN'!D149/ncoc+IF(SUMSQ('TS-PILE'!$E$56:$E$75)=0,0,'TO HOP NLAN'!E149*'TS-PILE'!$E$65/SUMSQ('TS-PILE'!$E$56:$E$75))+IF(SUMSQ('TS-PILE'!$D$56:$D$75)=0,0,'TO HOP NLAN'!F149*'TS-PILE'!$D$65/SUMSQ('TS-PILE'!$D$56:$D$75))),IF('TS-PILE'!$B$66="",1E+99,'TO HOP NLAN'!D149/ncoc+IF(SUMSQ('TS-PILE'!$E$56:$E$75)=0,0,'TO HOP NLAN'!E149*'TS-PILE'!$E$66/SUMSQ('TS-PILE'!$E$56:$E$75))+IF(SUMSQ('TS-PILE'!$D$56:$D$75)=0,0,'TO HOP NLAN'!F149*'TS-PILE'!$D$66/SUMSQ('TS-PILE'!$D$56:$D$75))),IF('TS-PILE'!$B$67="",1E+99,'TO HOP NLAN'!D149/ncoc+IF(SUMSQ('TS-PILE'!$E$56:$E$75)=0,0,'TO HOP NLAN'!E149*'TS-PILE'!$E$67/SUMSQ('TS-PILE'!$E$56:$E$75))+IF(SUMSQ('TS-PILE'!$D$56:$D$75)=0,0,'TO HOP NLAN'!F149*'TS-PILE'!$D$67/SUMSQ('TS-PILE'!$D$56:$D$75))),IF('TS-PILE'!$B$68="",1E+99,'TO HOP NLAN'!D149/ncoc+IF(SUMSQ('TS-PILE'!$E$56:$E$75)=0,0,'TO HOP NLAN'!E149*'TS-PILE'!$E$68/SUMSQ('TS-PILE'!$E$56:$E$75))+IF(SUMSQ('TS-PILE'!$D$56:$D$75)=0,0,'TO HOP NLAN'!F149*'TS-PILE'!$D$68/SUMSQ('TS-PILE'!$D$56:$D$75))),IF('TS-PILE'!$B$69="",1E+99,'TO HOP NLAN'!D149/ncoc+IF(SUMSQ('TS-PILE'!$E$56:$E$75)=0,0,'TO HOP NLAN'!E149*'TS-PILE'!$E$69/SUMSQ('TS-PILE'!$E$56:$E$75))+IF(SUMSQ('TS-PILE'!$D$56:$D$75)=0,0,'TO HOP NLAN'!F149*'TS-PILE'!$D$69/SUMSQ('TS-PILE'!$D$56:$D$75))),IF('TS-PILE'!$B$70="",1E+99,'TO HOP NLAN'!D149/ncoc+IF(SUMSQ('TS-PILE'!$E$56:$E$75)=0,0,'TO HOP NLAN'!E149*'TS-PILE'!$E$70/SUMSQ('TS-PILE'!$E$56:$E$75))+IF(SUMSQ('TS-PILE'!$D$56:$D$75)=0,0,'TO HOP NLAN'!F149*'TS-PILE'!$D$70/SUMSQ('TS-PILE'!$D$56:$D$75))),IF('TS-PILE'!$B$71="",1E+99,'TO HOP NLAN'!D149/ncoc+IF(SUMSQ('TS-PILE'!$E$56:$E$75)=0,0,'TO HOP NLAN'!E149*'TS-PILE'!$E$71/SUMSQ('TS-PILE'!$E$56:$E$75))+IF(SUMSQ('TS-PILE'!$D$56:$D$75)=0,0,'TO HOP NLAN'!F149*'TS-PILE'!$D$71/SUMSQ('TS-PILE'!$D$56:$D$75))),IF('TS-PILE'!$B$72="",1E+99,'TO HOP NLAN'!D149/ncoc+IF(SUMSQ('TS-PILE'!$E$56:$E$75)=0,0,'TO HOP NLAN'!E149*'TS-PILE'!$E$72/SUMSQ('TS-PILE'!$E$56:$E$75))+IF(SUMSQ('TS-PILE'!$D$56:$D$75)=0,0,'TO HOP NLAN'!F149*'TS-PILE'!$D$72/SUMSQ('TS-PILE'!$D$56:$D$75))),IF('TS-PILE'!$B$73="",1E+99,'TO HOP NLAN'!D149/ncoc+IF(SUMSQ('TS-PILE'!$E$56:$E$75)=0,0,'TO HOP NLAN'!E149*'TS-PILE'!$E$73/SUMSQ('TS-PILE'!$E$56:$E$75))+IF(SUMSQ('TS-PILE'!$D$56:$D$75)=0,0,'TO HOP NLAN'!F149*'TS-PILE'!$D$73/SUMSQ('TS-PILE'!$D$56:$D$75))),IF('TS-PILE'!$B$74="",1E+99,'TO HOP NLAN'!D149/ncoc+IF(SUMSQ('TS-PILE'!$E$56:$E$75)=0,0,'TO HOP NLAN'!E149*'TS-PILE'!$E$74/SUMSQ('TS-PILE'!$E$56:$E$75))+IF(SUMSQ('TS-PILE'!$D$56:$D$75)=0,0,'TO HOP NLAN'!F149*'TS-PILE'!$D$74/SUMSQ('TS-PILE'!$D$56:$D$75))),IF('TS-PILE'!$B$75="",1E+99,'TO HOP NLAN'!D149/ncoc+IF(SUMSQ('TS-PILE'!$E$56:$E$75)=0,0,'TO HOP NLAN'!E149*'TS-PILE'!$E$75/SUMSQ('TS-PILE'!$E$56:$E$75))+IF(SUMSQ('TS-PILE'!$D$56:$D$75)=0,0,'TO HOP NLAN'!F149*'TS-PILE'!$D$75/SUMSQ('TS-PILE'!$D$56:$D$75)))))</f>
        <v>0</v>
      </c>
      <c r="E149" s="46">
        <f t="shared" si="8"/>
        <v>-9.9999999999999997E+98</v>
      </c>
      <c r="F149" s="46">
        <f t="shared" si="9"/>
        <v>9.9999999999999997E+98</v>
      </c>
      <c r="G149" s="46">
        <f t="shared" si="10"/>
        <v>-9.9999999999999997E+98</v>
      </c>
      <c r="H149" s="46">
        <f t="shared" si="11"/>
        <v>9.9999999999999997E+98</v>
      </c>
    </row>
    <row r="150" spans="1:8" x14ac:dyDescent="0.3">
      <c r="A150" s="40" t="str">
        <f>'TO HOP NLAN'!A150</f>
        <v/>
      </c>
      <c r="B150" s="40" t="str">
        <f>'TO HOP NLAN'!L150</f>
        <v>STRENGTH</v>
      </c>
      <c r="C150" s="46">
        <f>IF(A150="",0,MAX(IF('TS-PILE'!$B$56="",-1E+99,'TO HOP NLAN'!D150/ncoc+IF(SUMSQ('TS-PILE'!$E$56:$E$75)=0,0,'TO HOP NLAN'!E150*'TS-PILE'!$E$56/SUMSQ('TS-PILE'!$E$56:$E$75))+IF(SUMSQ('TS-PILE'!$D$56:$D$75)=0,0,'TO HOP NLAN'!F150*'TS-PILE'!$D$56/SUMSQ('TS-PILE'!$D$56:$D$75))),IF('TS-PILE'!$B$57="",-1E+99,'TO HOP NLAN'!D150/ncoc+IF(SUMSQ('TS-PILE'!$E$56:$E$75)=0,0,'TO HOP NLAN'!E150*'TS-PILE'!$E$57/SUMSQ('TS-PILE'!$E$56:$E$75))+IF(SUMSQ('TS-PILE'!$D$56:$D$75)=0,0,'TO HOP NLAN'!F150*'TS-PILE'!$D$57/SUMSQ('TS-PILE'!$D$56:$D$75))),IF('TS-PILE'!$B$58="",-1E+99,'TO HOP NLAN'!D150/ncoc+IF(SUMSQ('TS-PILE'!$E$56:$E$75)=0,0,'TO HOP NLAN'!E150*'TS-PILE'!$E$58/SUMSQ('TS-PILE'!$E$56:$E$75))+IF(SUMSQ('TS-PILE'!$D$56:$D$75)=0,0,'TO HOP NLAN'!F150*'TS-PILE'!$D$58/SUMSQ('TS-PILE'!$D$56:$D$75))),IF('TS-PILE'!$B$59="",-1E+99,'TO HOP NLAN'!D150/ncoc+IF(SUMSQ('TS-PILE'!$E$56:$E$75)=0,0,'TO HOP NLAN'!E150*'TS-PILE'!$E$59/SUMSQ('TS-PILE'!$E$56:$E$75))+IF(SUMSQ('TS-PILE'!$D$56:$D$75)=0,0,'TO HOP NLAN'!F150*'TS-PILE'!$D$59/SUMSQ('TS-PILE'!$D$56:$D$75))),IF('TS-PILE'!$B$60="",-1E+99,'TO HOP NLAN'!D150/ncoc+IF(SUMSQ('TS-PILE'!$E$56:$E$75)=0,0,'TO HOP NLAN'!E150*'TS-PILE'!$E$60/SUMSQ('TS-PILE'!$E$56:$E$75))+IF(SUMSQ('TS-PILE'!$D$56:$D$75)=0,0,'TO HOP NLAN'!F150*'TS-PILE'!$D$60/SUMSQ('TS-PILE'!$D$56:$D$75))),IF('TS-PILE'!$B$61="",-1E+99,'TO HOP NLAN'!D150/ncoc+IF(SUMSQ('TS-PILE'!$E$56:$E$75)=0,0,'TO HOP NLAN'!E150*'TS-PILE'!$E$61/SUMSQ('TS-PILE'!$E$56:$E$75))+IF(SUMSQ('TS-PILE'!$D$56:$D$75)=0,0,'TO HOP NLAN'!F150*'TS-PILE'!$D$61/SUMSQ('TS-PILE'!$D$56:$D$75))),IF('TS-PILE'!$B$62="",-1E+99,'TO HOP NLAN'!D150/ncoc+IF(SUMSQ('TS-PILE'!$E$56:$E$75)=0,0,'TO HOP NLAN'!E150*'TS-PILE'!$E$62/SUMSQ('TS-PILE'!$E$56:$E$75))+IF(SUMSQ('TS-PILE'!$D$56:$D$75)=0,0,'TO HOP NLAN'!F150*'TS-PILE'!$D$62/SUMSQ('TS-PILE'!$D$56:$D$75))),IF('TS-PILE'!$B$63="",-1E+99,'TO HOP NLAN'!D150/ncoc+IF(SUMSQ('TS-PILE'!$E$56:$E$75)=0,0,'TO HOP NLAN'!E150*'TS-PILE'!$E$63/SUMSQ('TS-PILE'!$E$56:$E$75))+IF(SUMSQ('TS-PILE'!$D$56:$D$75)=0,0,'TO HOP NLAN'!F150*'TS-PILE'!$D$63/SUMSQ('TS-PILE'!$D$56:$D$75))),IF('TS-PILE'!$B$64="",-1E+99,'TO HOP NLAN'!D150/ncoc+IF(SUMSQ('TS-PILE'!$E$56:$E$75)=0,0,'TO HOP NLAN'!E150*'TS-PILE'!$E$64/SUMSQ('TS-PILE'!$E$56:$E$75))+IF(SUMSQ('TS-PILE'!$D$56:$D$75)=0,0,'TO HOP NLAN'!F150*'TS-PILE'!$D$64/SUMSQ('TS-PILE'!$D$56:$D$75))),IF('TS-PILE'!$B$65="",-1E+99,'TO HOP NLAN'!D150/ncoc+IF(SUMSQ('TS-PILE'!$E$56:$E$75)=0,0,'TO HOP NLAN'!E150*'TS-PILE'!$E$65/SUMSQ('TS-PILE'!$E$56:$E$75))+IF(SUMSQ('TS-PILE'!$D$56:$D$75)=0,0,'TO HOP NLAN'!F150*'TS-PILE'!$D$65/SUMSQ('TS-PILE'!$D$56:$D$75))),IF('TS-PILE'!$B$66="",-1E+99,'TO HOP NLAN'!D150/ncoc+IF(SUMSQ('TS-PILE'!$E$56:$E$75)=0,0,'TO HOP NLAN'!E150*'TS-PILE'!$E$66/SUMSQ('TS-PILE'!$E$56:$E$75))+IF(SUMSQ('TS-PILE'!$D$56:$D$75)=0,0,'TO HOP NLAN'!F150*'TS-PILE'!$D$66/SUMSQ('TS-PILE'!$D$56:$D$75))),IF('TS-PILE'!$B$67="",-1E+99,'TO HOP NLAN'!D150/ncoc+IF(SUMSQ('TS-PILE'!$E$56:$E$75)=0,0,'TO HOP NLAN'!E150*'TS-PILE'!$E$67/SUMSQ('TS-PILE'!$E$56:$E$75))+IF(SUMSQ('TS-PILE'!$D$56:$D$75)=0,0,'TO HOP NLAN'!F150*'TS-PILE'!$D$67/SUMSQ('TS-PILE'!$D$56:$D$75))),IF('TS-PILE'!$B$68="",-1E+99,'TO HOP NLAN'!D150/ncoc+IF(SUMSQ('TS-PILE'!$E$56:$E$75)=0,0,'TO HOP NLAN'!E150*'TS-PILE'!$E$68/SUMSQ('TS-PILE'!$E$56:$E$75))+IF(SUMSQ('TS-PILE'!$D$56:$D$75)=0,0,'TO HOP NLAN'!F150*'TS-PILE'!$D$68/SUMSQ('TS-PILE'!$D$56:$D$75))),IF('TS-PILE'!$B$69="",-1E+99,'TO HOP NLAN'!D150/ncoc+IF(SUMSQ('TS-PILE'!$E$56:$E$75)=0,0,'TO HOP NLAN'!E150*'TS-PILE'!$E$69/SUMSQ('TS-PILE'!$E$56:$E$75))+IF(SUMSQ('TS-PILE'!$D$56:$D$75)=0,0,'TO HOP NLAN'!F150*'TS-PILE'!$D$69/SUMSQ('TS-PILE'!$D$56:$D$75))),IF('TS-PILE'!$B$70="",-1E+99,'TO HOP NLAN'!D150/ncoc+IF(SUMSQ('TS-PILE'!$E$56:$E$75)=0,0,'TO HOP NLAN'!E150*'TS-PILE'!$E$70/SUMSQ('TS-PILE'!$E$56:$E$75))+IF(SUMSQ('TS-PILE'!$D$56:$D$75)=0,0,'TO HOP NLAN'!F150*'TS-PILE'!$D$70/SUMSQ('TS-PILE'!$D$56:$D$75))),IF('TS-PILE'!$B$71="",-1E+99,'TO HOP NLAN'!D150/ncoc+IF(SUMSQ('TS-PILE'!$E$56:$E$75)=0,0,'TO HOP NLAN'!E150*'TS-PILE'!$E$71/SUMSQ('TS-PILE'!$E$56:$E$75))+IF(SUMSQ('TS-PILE'!$D$56:$D$75)=0,0,'TO HOP NLAN'!F150*'TS-PILE'!$D$71/SUMSQ('TS-PILE'!$D$56:$D$75))),IF('TS-PILE'!$B$72="",-1E+99,'TO HOP NLAN'!D150/ncoc+IF(SUMSQ('TS-PILE'!$E$56:$E$75)=0,0,'TO HOP NLAN'!E150*'TS-PILE'!$E$72/SUMSQ('TS-PILE'!$E$56:$E$75))+IF(SUMSQ('TS-PILE'!$D$56:$D$75)=0,0,'TO HOP NLAN'!F150*'TS-PILE'!$D$72/SUMSQ('TS-PILE'!$D$56:$D$75))),IF('TS-PILE'!$B$73="",-1E+99,'TO HOP NLAN'!D150/ncoc+IF(SUMSQ('TS-PILE'!$E$56:$E$75)=0,0,'TO HOP NLAN'!E150*'TS-PILE'!$E$73/SUMSQ('TS-PILE'!$E$56:$E$75))+IF(SUMSQ('TS-PILE'!$D$56:$D$75)=0,0,'TO HOP NLAN'!F150*'TS-PILE'!$D$73/SUMSQ('TS-PILE'!$D$56:$D$75))),IF('TS-PILE'!$B$74="",-1E+99,'TO HOP NLAN'!D150/ncoc+IF(SUMSQ('TS-PILE'!$E$56:$E$75)=0,0,'TO HOP NLAN'!E150*'TS-PILE'!$E$74/SUMSQ('TS-PILE'!$E$56:$E$75))+IF(SUMSQ('TS-PILE'!$D$56:$D$75)=0,0,'TO HOP NLAN'!F150*'TS-PILE'!$D$74/SUMSQ('TS-PILE'!$D$56:$D$75))),IF('TS-PILE'!$B$75="",-1E+99,'TO HOP NLAN'!D150/ncoc+IF(SUMSQ('TS-PILE'!$E$56:$E$75)=0,0,'TO HOP NLAN'!E150*'TS-PILE'!$E$75/SUMSQ('TS-PILE'!$E$56:$E$75))+IF(SUMSQ('TS-PILE'!$D$56:$D$75)=0,0,'TO HOP NLAN'!F150*'TS-PILE'!$D$75/SUMSQ('TS-PILE'!$D$56:$D$75)))))</f>
        <v>0</v>
      </c>
      <c r="D150" s="46">
        <f>IF(A150="",0,MIN(IF('TS-PILE'!$B$56="",1E+99,'TO HOP NLAN'!D150/ncoc+IF(SUMSQ('TS-PILE'!$E$56:$E$75)=0,0,'TO HOP NLAN'!E150*'TS-PILE'!$E$56/SUMSQ('TS-PILE'!$E$56:$E$75))+IF(SUMSQ('TS-PILE'!$D$56:$D$75)=0,0,'TO HOP NLAN'!F150*'TS-PILE'!$D$56/SUMSQ('TS-PILE'!$D$56:$D$75))),IF('TS-PILE'!$B$57="",1E+99,'TO HOP NLAN'!D150/ncoc+IF(SUMSQ('TS-PILE'!$E$56:$E$75)=0,0,'TO HOP NLAN'!E150*'TS-PILE'!$E$57/SUMSQ('TS-PILE'!$E$56:$E$75))+IF(SUMSQ('TS-PILE'!$D$56:$D$75)=0,0,'TO HOP NLAN'!F150*'TS-PILE'!$D$57/SUMSQ('TS-PILE'!$D$56:$D$75))),IF('TS-PILE'!$B$58="",1E+99,'TO HOP NLAN'!D150/ncoc+IF(SUMSQ('TS-PILE'!$E$56:$E$75)=0,0,'TO HOP NLAN'!E150*'TS-PILE'!$E$58/SUMSQ('TS-PILE'!$E$56:$E$75))+IF(SUMSQ('TS-PILE'!$D$56:$D$75)=0,0,'TO HOP NLAN'!F150*'TS-PILE'!$D$58/SUMSQ('TS-PILE'!$D$56:$D$75))),IF('TS-PILE'!$B$59="",1E+99,'TO HOP NLAN'!D150/ncoc+IF(SUMSQ('TS-PILE'!$E$56:$E$75)=0,0,'TO HOP NLAN'!E150*'TS-PILE'!$E$59/SUMSQ('TS-PILE'!$E$56:$E$75))+IF(SUMSQ('TS-PILE'!$D$56:$D$75)=0,0,'TO HOP NLAN'!F150*'TS-PILE'!$D$59/SUMSQ('TS-PILE'!$D$56:$D$75))),IF('TS-PILE'!$B$60="",1E+99,'TO HOP NLAN'!D150/ncoc+IF(SUMSQ('TS-PILE'!$E$56:$E$75)=0,0,'TO HOP NLAN'!E150*'TS-PILE'!$E$60/SUMSQ('TS-PILE'!$E$56:$E$75))+IF(SUMSQ('TS-PILE'!$D$56:$D$75)=0,0,'TO HOP NLAN'!F150*'TS-PILE'!$D$60/SUMSQ('TS-PILE'!$D$56:$D$75))),IF('TS-PILE'!$B$61="",1E+99,'TO HOP NLAN'!D150/ncoc+IF(SUMSQ('TS-PILE'!$E$56:$E$75)=0,0,'TO HOP NLAN'!E150*'TS-PILE'!$E$61/SUMSQ('TS-PILE'!$E$56:$E$75))+IF(SUMSQ('TS-PILE'!$D$56:$D$75)=0,0,'TO HOP NLAN'!F150*'TS-PILE'!$D$61/SUMSQ('TS-PILE'!$D$56:$D$75))),IF('TS-PILE'!$B$62="",1E+99,'TO HOP NLAN'!D150/ncoc+IF(SUMSQ('TS-PILE'!$E$56:$E$75)=0,0,'TO HOP NLAN'!E150*'TS-PILE'!$E$62/SUMSQ('TS-PILE'!$E$56:$E$75))+IF(SUMSQ('TS-PILE'!$D$56:$D$75)=0,0,'TO HOP NLAN'!F150*'TS-PILE'!$D$62/SUMSQ('TS-PILE'!$D$56:$D$75))),IF('TS-PILE'!$B$63="",1E+99,'TO HOP NLAN'!D150/ncoc+IF(SUMSQ('TS-PILE'!$E$56:$E$75)=0,0,'TO HOP NLAN'!E150*'TS-PILE'!$E$63/SUMSQ('TS-PILE'!$E$56:$E$75))+IF(SUMSQ('TS-PILE'!$D$56:$D$75)=0,0,'TO HOP NLAN'!F150*'TS-PILE'!$D$63/SUMSQ('TS-PILE'!$D$56:$D$75))),IF('TS-PILE'!$B$64="",1E+99,'TO HOP NLAN'!D150/ncoc+IF(SUMSQ('TS-PILE'!$E$56:$E$75)=0,0,'TO HOP NLAN'!E150*'TS-PILE'!$E$64/SUMSQ('TS-PILE'!$E$56:$E$75))+IF(SUMSQ('TS-PILE'!$D$56:$D$75)=0,0,'TO HOP NLAN'!F150*'TS-PILE'!$D$64/SUMSQ('TS-PILE'!$D$56:$D$75))),IF('TS-PILE'!$B$65="",1E+99,'TO HOP NLAN'!D150/ncoc+IF(SUMSQ('TS-PILE'!$E$56:$E$75)=0,0,'TO HOP NLAN'!E150*'TS-PILE'!$E$65/SUMSQ('TS-PILE'!$E$56:$E$75))+IF(SUMSQ('TS-PILE'!$D$56:$D$75)=0,0,'TO HOP NLAN'!F150*'TS-PILE'!$D$65/SUMSQ('TS-PILE'!$D$56:$D$75))),IF('TS-PILE'!$B$66="",1E+99,'TO HOP NLAN'!D150/ncoc+IF(SUMSQ('TS-PILE'!$E$56:$E$75)=0,0,'TO HOP NLAN'!E150*'TS-PILE'!$E$66/SUMSQ('TS-PILE'!$E$56:$E$75))+IF(SUMSQ('TS-PILE'!$D$56:$D$75)=0,0,'TO HOP NLAN'!F150*'TS-PILE'!$D$66/SUMSQ('TS-PILE'!$D$56:$D$75))),IF('TS-PILE'!$B$67="",1E+99,'TO HOP NLAN'!D150/ncoc+IF(SUMSQ('TS-PILE'!$E$56:$E$75)=0,0,'TO HOP NLAN'!E150*'TS-PILE'!$E$67/SUMSQ('TS-PILE'!$E$56:$E$75))+IF(SUMSQ('TS-PILE'!$D$56:$D$75)=0,0,'TO HOP NLAN'!F150*'TS-PILE'!$D$67/SUMSQ('TS-PILE'!$D$56:$D$75))),IF('TS-PILE'!$B$68="",1E+99,'TO HOP NLAN'!D150/ncoc+IF(SUMSQ('TS-PILE'!$E$56:$E$75)=0,0,'TO HOP NLAN'!E150*'TS-PILE'!$E$68/SUMSQ('TS-PILE'!$E$56:$E$75))+IF(SUMSQ('TS-PILE'!$D$56:$D$75)=0,0,'TO HOP NLAN'!F150*'TS-PILE'!$D$68/SUMSQ('TS-PILE'!$D$56:$D$75))),IF('TS-PILE'!$B$69="",1E+99,'TO HOP NLAN'!D150/ncoc+IF(SUMSQ('TS-PILE'!$E$56:$E$75)=0,0,'TO HOP NLAN'!E150*'TS-PILE'!$E$69/SUMSQ('TS-PILE'!$E$56:$E$75))+IF(SUMSQ('TS-PILE'!$D$56:$D$75)=0,0,'TO HOP NLAN'!F150*'TS-PILE'!$D$69/SUMSQ('TS-PILE'!$D$56:$D$75))),IF('TS-PILE'!$B$70="",1E+99,'TO HOP NLAN'!D150/ncoc+IF(SUMSQ('TS-PILE'!$E$56:$E$75)=0,0,'TO HOP NLAN'!E150*'TS-PILE'!$E$70/SUMSQ('TS-PILE'!$E$56:$E$75))+IF(SUMSQ('TS-PILE'!$D$56:$D$75)=0,0,'TO HOP NLAN'!F150*'TS-PILE'!$D$70/SUMSQ('TS-PILE'!$D$56:$D$75))),IF('TS-PILE'!$B$71="",1E+99,'TO HOP NLAN'!D150/ncoc+IF(SUMSQ('TS-PILE'!$E$56:$E$75)=0,0,'TO HOP NLAN'!E150*'TS-PILE'!$E$71/SUMSQ('TS-PILE'!$E$56:$E$75))+IF(SUMSQ('TS-PILE'!$D$56:$D$75)=0,0,'TO HOP NLAN'!F150*'TS-PILE'!$D$71/SUMSQ('TS-PILE'!$D$56:$D$75))),IF('TS-PILE'!$B$72="",1E+99,'TO HOP NLAN'!D150/ncoc+IF(SUMSQ('TS-PILE'!$E$56:$E$75)=0,0,'TO HOP NLAN'!E150*'TS-PILE'!$E$72/SUMSQ('TS-PILE'!$E$56:$E$75))+IF(SUMSQ('TS-PILE'!$D$56:$D$75)=0,0,'TO HOP NLAN'!F150*'TS-PILE'!$D$72/SUMSQ('TS-PILE'!$D$56:$D$75))),IF('TS-PILE'!$B$73="",1E+99,'TO HOP NLAN'!D150/ncoc+IF(SUMSQ('TS-PILE'!$E$56:$E$75)=0,0,'TO HOP NLAN'!E150*'TS-PILE'!$E$73/SUMSQ('TS-PILE'!$E$56:$E$75))+IF(SUMSQ('TS-PILE'!$D$56:$D$75)=0,0,'TO HOP NLAN'!F150*'TS-PILE'!$D$73/SUMSQ('TS-PILE'!$D$56:$D$75))),IF('TS-PILE'!$B$74="",1E+99,'TO HOP NLAN'!D150/ncoc+IF(SUMSQ('TS-PILE'!$E$56:$E$75)=0,0,'TO HOP NLAN'!E150*'TS-PILE'!$E$74/SUMSQ('TS-PILE'!$E$56:$E$75))+IF(SUMSQ('TS-PILE'!$D$56:$D$75)=0,0,'TO HOP NLAN'!F150*'TS-PILE'!$D$74/SUMSQ('TS-PILE'!$D$56:$D$75))),IF('TS-PILE'!$B$75="",1E+99,'TO HOP NLAN'!D150/ncoc+IF(SUMSQ('TS-PILE'!$E$56:$E$75)=0,0,'TO HOP NLAN'!E150*'TS-PILE'!$E$75/SUMSQ('TS-PILE'!$E$56:$E$75))+IF(SUMSQ('TS-PILE'!$D$56:$D$75)=0,0,'TO HOP NLAN'!F150*'TS-PILE'!$D$75/SUMSQ('TS-PILE'!$D$56:$D$75)))))</f>
        <v>0</v>
      </c>
      <c r="E150" s="46">
        <f t="shared" si="8"/>
        <v>-9.9999999999999997E+98</v>
      </c>
      <c r="F150" s="46">
        <f t="shared" si="9"/>
        <v>9.9999999999999997E+98</v>
      </c>
      <c r="G150" s="46">
        <f t="shared" si="10"/>
        <v>-9.9999999999999997E+98</v>
      </c>
      <c r="H150" s="46">
        <f t="shared" si="11"/>
        <v>9.9999999999999997E+98</v>
      </c>
    </row>
    <row r="151" spans="1:8" x14ac:dyDescent="0.3">
      <c r="A151" s="40" t="str">
        <f>'TO HOP NLAN'!A151</f>
        <v/>
      </c>
      <c r="B151" s="40" t="str">
        <f>'TO HOP NLAN'!L151</f>
        <v>STRENGTH</v>
      </c>
      <c r="C151" s="46">
        <f>IF(A151="",0,MAX(IF('TS-PILE'!$B$56="",-1E+99,'TO HOP NLAN'!D151/ncoc+IF(SUMSQ('TS-PILE'!$E$56:$E$75)=0,0,'TO HOP NLAN'!E151*'TS-PILE'!$E$56/SUMSQ('TS-PILE'!$E$56:$E$75))+IF(SUMSQ('TS-PILE'!$D$56:$D$75)=0,0,'TO HOP NLAN'!F151*'TS-PILE'!$D$56/SUMSQ('TS-PILE'!$D$56:$D$75))),IF('TS-PILE'!$B$57="",-1E+99,'TO HOP NLAN'!D151/ncoc+IF(SUMSQ('TS-PILE'!$E$56:$E$75)=0,0,'TO HOP NLAN'!E151*'TS-PILE'!$E$57/SUMSQ('TS-PILE'!$E$56:$E$75))+IF(SUMSQ('TS-PILE'!$D$56:$D$75)=0,0,'TO HOP NLAN'!F151*'TS-PILE'!$D$57/SUMSQ('TS-PILE'!$D$56:$D$75))),IF('TS-PILE'!$B$58="",-1E+99,'TO HOP NLAN'!D151/ncoc+IF(SUMSQ('TS-PILE'!$E$56:$E$75)=0,0,'TO HOP NLAN'!E151*'TS-PILE'!$E$58/SUMSQ('TS-PILE'!$E$56:$E$75))+IF(SUMSQ('TS-PILE'!$D$56:$D$75)=0,0,'TO HOP NLAN'!F151*'TS-PILE'!$D$58/SUMSQ('TS-PILE'!$D$56:$D$75))),IF('TS-PILE'!$B$59="",-1E+99,'TO HOP NLAN'!D151/ncoc+IF(SUMSQ('TS-PILE'!$E$56:$E$75)=0,0,'TO HOP NLAN'!E151*'TS-PILE'!$E$59/SUMSQ('TS-PILE'!$E$56:$E$75))+IF(SUMSQ('TS-PILE'!$D$56:$D$75)=0,0,'TO HOP NLAN'!F151*'TS-PILE'!$D$59/SUMSQ('TS-PILE'!$D$56:$D$75))),IF('TS-PILE'!$B$60="",-1E+99,'TO HOP NLAN'!D151/ncoc+IF(SUMSQ('TS-PILE'!$E$56:$E$75)=0,0,'TO HOP NLAN'!E151*'TS-PILE'!$E$60/SUMSQ('TS-PILE'!$E$56:$E$75))+IF(SUMSQ('TS-PILE'!$D$56:$D$75)=0,0,'TO HOP NLAN'!F151*'TS-PILE'!$D$60/SUMSQ('TS-PILE'!$D$56:$D$75))),IF('TS-PILE'!$B$61="",-1E+99,'TO HOP NLAN'!D151/ncoc+IF(SUMSQ('TS-PILE'!$E$56:$E$75)=0,0,'TO HOP NLAN'!E151*'TS-PILE'!$E$61/SUMSQ('TS-PILE'!$E$56:$E$75))+IF(SUMSQ('TS-PILE'!$D$56:$D$75)=0,0,'TO HOP NLAN'!F151*'TS-PILE'!$D$61/SUMSQ('TS-PILE'!$D$56:$D$75))),IF('TS-PILE'!$B$62="",-1E+99,'TO HOP NLAN'!D151/ncoc+IF(SUMSQ('TS-PILE'!$E$56:$E$75)=0,0,'TO HOP NLAN'!E151*'TS-PILE'!$E$62/SUMSQ('TS-PILE'!$E$56:$E$75))+IF(SUMSQ('TS-PILE'!$D$56:$D$75)=0,0,'TO HOP NLAN'!F151*'TS-PILE'!$D$62/SUMSQ('TS-PILE'!$D$56:$D$75))),IF('TS-PILE'!$B$63="",-1E+99,'TO HOP NLAN'!D151/ncoc+IF(SUMSQ('TS-PILE'!$E$56:$E$75)=0,0,'TO HOP NLAN'!E151*'TS-PILE'!$E$63/SUMSQ('TS-PILE'!$E$56:$E$75))+IF(SUMSQ('TS-PILE'!$D$56:$D$75)=0,0,'TO HOP NLAN'!F151*'TS-PILE'!$D$63/SUMSQ('TS-PILE'!$D$56:$D$75))),IF('TS-PILE'!$B$64="",-1E+99,'TO HOP NLAN'!D151/ncoc+IF(SUMSQ('TS-PILE'!$E$56:$E$75)=0,0,'TO HOP NLAN'!E151*'TS-PILE'!$E$64/SUMSQ('TS-PILE'!$E$56:$E$75))+IF(SUMSQ('TS-PILE'!$D$56:$D$75)=0,0,'TO HOP NLAN'!F151*'TS-PILE'!$D$64/SUMSQ('TS-PILE'!$D$56:$D$75))),IF('TS-PILE'!$B$65="",-1E+99,'TO HOP NLAN'!D151/ncoc+IF(SUMSQ('TS-PILE'!$E$56:$E$75)=0,0,'TO HOP NLAN'!E151*'TS-PILE'!$E$65/SUMSQ('TS-PILE'!$E$56:$E$75))+IF(SUMSQ('TS-PILE'!$D$56:$D$75)=0,0,'TO HOP NLAN'!F151*'TS-PILE'!$D$65/SUMSQ('TS-PILE'!$D$56:$D$75))),IF('TS-PILE'!$B$66="",-1E+99,'TO HOP NLAN'!D151/ncoc+IF(SUMSQ('TS-PILE'!$E$56:$E$75)=0,0,'TO HOP NLAN'!E151*'TS-PILE'!$E$66/SUMSQ('TS-PILE'!$E$56:$E$75))+IF(SUMSQ('TS-PILE'!$D$56:$D$75)=0,0,'TO HOP NLAN'!F151*'TS-PILE'!$D$66/SUMSQ('TS-PILE'!$D$56:$D$75))),IF('TS-PILE'!$B$67="",-1E+99,'TO HOP NLAN'!D151/ncoc+IF(SUMSQ('TS-PILE'!$E$56:$E$75)=0,0,'TO HOP NLAN'!E151*'TS-PILE'!$E$67/SUMSQ('TS-PILE'!$E$56:$E$75))+IF(SUMSQ('TS-PILE'!$D$56:$D$75)=0,0,'TO HOP NLAN'!F151*'TS-PILE'!$D$67/SUMSQ('TS-PILE'!$D$56:$D$75))),IF('TS-PILE'!$B$68="",-1E+99,'TO HOP NLAN'!D151/ncoc+IF(SUMSQ('TS-PILE'!$E$56:$E$75)=0,0,'TO HOP NLAN'!E151*'TS-PILE'!$E$68/SUMSQ('TS-PILE'!$E$56:$E$75))+IF(SUMSQ('TS-PILE'!$D$56:$D$75)=0,0,'TO HOP NLAN'!F151*'TS-PILE'!$D$68/SUMSQ('TS-PILE'!$D$56:$D$75))),IF('TS-PILE'!$B$69="",-1E+99,'TO HOP NLAN'!D151/ncoc+IF(SUMSQ('TS-PILE'!$E$56:$E$75)=0,0,'TO HOP NLAN'!E151*'TS-PILE'!$E$69/SUMSQ('TS-PILE'!$E$56:$E$75))+IF(SUMSQ('TS-PILE'!$D$56:$D$75)=0,0,'TO HOP NLAN'!F151*'TS-PILE'!$D$69/SUMSQ('TS-PILE'!$D$56:$D$75))),IF('TS-PILE'!$B$70="",-1E+99,'TO HOP NLAN'!D151/ncoc+IF(SUMSQ('TS-PILE'!$E$56:$E$75)=0,0,'TO HOP NLAN'!E151*'TS-PILE'!$E$70/SUMSQ('TS-PILE'!$E$56:$E$75))+IF(SUMSQ('TS-PILE'!$D$56:$D$75)=0,0,'TO HOP NLAN'!F151*'TS-PILE'!$D$70/SUMSQ('TS-PILE'!$D$56:$D$75))),IF('TS-PILE'!$B$71="",-1E+99,'TO HOP NLAN'!D151/ncoc+IF(SUMSQ('TS-PILE'!$E$56:$E$75)=0,0,'TO HOP NLAN'!E151*'TS-PILE'!$E$71/SUMSQ('TS-PILE'!$E$56:$E$75))+IF(SUMSQ('TS-PILE'!$D$56:$D$75)=0,0,'TO HOP NLAN'!F151*'TS-PILE'!$D$71/SUMSQ('TS-PILE'!$D$56:$D$75))),IF('TS-PILE'!$B$72="",-1E+99,'TO HOP NLAN'!D151/ncoc+IF(SUMSQ('TS-PILE'!$E$56:$E$75)=0,0,'TO HOP NLAN'!E151*'TS-PILE'!$E$72/SUMSQ('TS-PILE'!$E$56:$E$75))+IF(SUMSQ('TS-PILE'!$D$56:$D$75)=0,0,'TO HOP NLAN'!F151*'TS-PILE'!$D$72/SUMSQ('TS-PILE'!$D$56:$D$75))),IF('TS-PILE'!$B$73="",-1E+99,'TO HOP NLAN'!D151/ncoc+IF(SUMSQ('TS-PILE'!$E$56:$E$75)=0,0,'TO HOP NLAN'!E151*'TS-PILE'!$E$73/SUMSQ('TS-PILE'!$E$56:$E$75))+IF(SUMSQ('TS-PILE'!$D$56:$D$75)=0,0,'TO HOP NLAN'!F151*'TS-PILE'!$D$73/SUMSQ('TS-PILE'!$D$56:$D$75))),IF('TS-PILE'!$B$74="",-1E+99,'TO HOP NLAN'!D151/ncoc+IF(SUMSQ('TS-PILE'!$E$56:$E$75)=0,0,'TO HOP NLAN'!E151*'TS-PILE'!$E$74/SUMSQ('TS-PILE'!$E$56:$E$75))+IF(SUMSQ('TS-PILE'!$D$56:$D$75)=0,0,'TO HOP NLAN'!F151*'TS-PILE'!$D$74/SUMSQ('TS-PILE'!$D$56:$D$75))),IF('TS-PILE'!$B$75="",-1E+99,'TO HOP NLAN'!D151/ncoc+IF(SUMSQ('TS-PILE'!$E$56:$E$75)=0,0,'TO HOP NLAN'!E151*'TS-PILE'!$E$75/SUMSQ('TS-PILE'!$E$56:$E$75))+IF(SUMSQ('TS-PILE'!$D$56:$D$75)=0,0,'TO HOP NLAN'!F151*'TS-PILE'!$D$75/SUMSQ('TS-PILE'!$D$56:$D$75)))))</f>
        <v>0</v>
      </c>
      <c r="D151" s="46">
        <f>IF(A151="",0,MIN(IF('TS-PILE'!$B$56="",1E+99,'TO HOP NLAN'!D151/ncoc+IF(SUMSQ('TS-PILE'!$E$56:$E$75)=0,0,'TO HOP NLAN'!E151*'TS-PILE'!$E$56/SUMSQ('TS-PILE'!$E$56:$E$75))+IF(SUMSQ('TS-PILE'!$D$56:$D$75)=0,0,'TO HOP NLAN'!F151*'TS-PILE'!$D$56/SUMSQ('TS-PILE'!$D$56:$D$75))),IF('TS-PILE'!$B$57="",1E+99,'TO HOP NLAN'!D151/ncoc+IF(SUMSQ('TS-PILE'!$E$56:$E$75)=0,0,'TO HOP NLAN'!E151*'TS-PILE'!$E$57/SUMSQ('TS-PILE'!$E$56:$E$75))+IF(SUMSQ('TS-PILE'!$D$56:$D$75)=0,0,'TO HOP NLAN'!F151*'TS-PILE'!$D$57/SUMSQ('TS-PILE'!$D$56:$D$75))),IF('TS-PILE'!$B$58="",1E+99,'TO HOP NLAN'!D151/ncoc+IF(SUMSQ('TS-PILE'!$E$56:$E$75)=0,0,'TO HOP NLAN'!E151*'TS-PILE'!$E$58/SUMSQ('TS-PILE'!$E$56:$E$75))+IF(SUMSQ('TS-PILE'!$D$56:$D$75)=0,0,'TO HOP NLAN'!F151*'TS-PILE'!$D$58/SUMSQ('TS-PILE'!$D$56:$D$75))),IF('TS-PILE'!$B$59="",1E+99,'TO HOP NLAN'!D151/ncoc+IF(SUMSQ('TS-PILE'!$E$56:$E$75)=0,0,'TO HOP NLAN'!E151*'TS-PILE'!$E$59/SUMSQ('TS-PILE'!$E$56:$E$75))+IF(SUMSQ('TS-PILE'!$D$56:$D$75)=0,0,'TO HOP NLAN'!F151*'TS-PILE'!$D$59/SUMSQ('TS-PILE'!$D$56:$D$75))),IF('TS-PILE'!$B$60="",1E+99,'TO HOP NLAN'!D151/ncoc+IF(SUMSQ('TS-PILE'!$E$56:$E$75)=0,0,'TO HOP NLAN'!E151*'TS-PILE'!$E$60/SUMSQ('TS-PILE'!$E$56:$E$75))+IF(SUMSQ('TS-PILE'!$D$56:$D$75)=0,0,'TO HOP NLAN'!F151*'TS-PILE'!$D$60/SUMSQ('TS-PILE'!$D$56:$D$75))),IF('TS-PILE'!$B$61="",1E+99,'TO HOP NLAN'!D151/ncoc+IF(SUMSQ('TS-PILE'!$E$56:$E$75)=0,0,'TO HOP NLAN'!E151*'TS-PILE'!$E$61/SUMSQ('TS-PILE'!$E$56:$E$75))+IF(SUMSQ('TS-PILE'!$D$56:$D$75)=0,0,'TO HOP NLAN'!F151*'TS-PILE'!$D$61/SUMSQ('TS-PILE'!$D$56:$D$75))),IF('TS-PILE'!$B$62="",1E+99,'TO HOP NLAN'!D151/ncoc+IF(SUMSQ('TS-PILE'!$E$56:$E$75)=0,0,'TO HOP NLAN'!E151*'TS-PILE'!$E$62/SUMSQ('TS-PILE'!$E$56:$E$75))+IF(SUMSQ('TS-PILE'!$D$56:$D$75)=0,0,'TO HOP NLAN'!F151*'TS-PILE'!$D$62/SUMSQ('TS-PILE'!$D$56:$D$75))),IF('TS-PILE'!$B$63="",1E+99,'TO HOP NLAN'!D151/ncoc+IF(SUMSQ('TS-PILE'!$E$56:$E$75)=0,0,'TO HOP NLAN'!E151*'TS-PILE'!$E$63/SUMSQ('TS-PILE'!$E$56:$E$75))+IF(SUMSQ('TS-PILE'!$D$56:$D$75)=0,0,'TO HOP NLAN'!F151*'TS-PILE'!$D$63/SUMSQ('TS-PILE'!$D$56:$D$75))),IF('TS-PILE'!$B$64="",1E+99,'TO HOP NLAN'!D151/ncoc+IF(SUMSQ('TS-PILE'!$E$56:$E$75)=0,0,'TO HOP NLAN'!E151*'TS-PILE'!$E$64/SUMSQ('TS-PILE'!$E$56:$E$75))+IF(SUMSQ('TS-PILE'!$D$56:$D$75)=0,0,'TO HOP NLAN'!F151*'TS-PILE'!$D$64/SUMSQ('TS-PILE'!$D$56:$D$75))),IF('TS-PILE'!$B$65="",1E+99,'TO HOP NLAN'!D151/ncoc+IF(SUMSQ('TS-PILE'!$E$56:$E$75)=0,0,'TO HOP NLAN'!E151*'TS-PILE'!$E$65/SUMSQ('TS-PILE'!$E$56:$E$75))+IF(SUMSQ('TS-PILE'!$D$56:$D$75)=0,0,'TO HOP NLAN'!F151*'TS-PILE'!$D$65/SUMSQ('TS-PILE'!$D$56:$D$75))),IF('TS-PILE'!$B$66="",1E+99,'TO HOP NLAN'!D151/ncoc+IF(SUMSQ('TS-PILE'!$E$56:$E$75)=0,0,'TO HOP NLAN'!E151*'TS-PILE'!$E$66/SUMSQ('TS-PILE'!$E$56:$E$75))+IF(SUMSQ('TS-PILE'!$D$56:$D$75)=0,0,'TO HOP NLAN'!F151*'TS-PILE'!$D$66/SUMSQ('TS-PILE'!$D$56:$D$75))),IF('TS-PILE'!$B$67="",1E+99,'TO HOP NLAN'!D151/ncoc+IF(SUMSQ('TS-PILE'!$E$56:$E$75)=0,0,'TO HOP NLAN'!E151*'TS-PILE'!$E$67/SUMSQ('TS-PILE'!$E$56:$E$75))+IF(SUMSQ('TS-PILE'!$D$56:$D$75)=0,0,'TO HOP NLAN'!F151*'TS-PILE'!$D$67/SUMSQ('TS-PILE'!$D$56:$D$75))),IF('TS-PILE'!$B$68="",1E+99,'TO HOP NLAN'!D151/ncoc+IF(SUMSQ('TS-PILE'!$E$56:$E$75)=0,0,'TO HOP NLAN'!E151*'TS-PILE'!$E$68/SUMSQ('TS-PILE'!$E$56:$E$75))+IF(SUMSQ('TS-PILE'!$D$56:$D$75)=0,0,'TO HOP NLAN'!F151*'TS-PILE'!$D$68/SUMSQ('TS-PILE'!$D$56:$D$75))),IF('TS-PILE'!$B$69="",1E+99,'TO HOP NLAN'!D151/ncoc+IF(SUMSQ('TS-PILE'!$E$56:$E$75)=0,0,'TO HOP NLAN'!E151*'TS-PILE'!$E$69/SUMSQ('TS-PILE'!$E$56:$E$75))+IF(SUMSQ('TS-PILE'!$D$56:$D$75)=0,0,'TO HOP NLAN'!F151*'TS-PILE'!$D$69/SUMSQ('TS-PILE'!$D$56:$D$75))),IF('TS-PILE'!$B$70="",1E+99,'TO HOP NLAN'!D151/ncoc+IF(SUMSQ('TS-PILE'!$E$56:$E$75)=0,0,'TO HOP NLAN'!E151*'TS-PILE'!$E$70/SUMSQ('TS-PILE'!$E$56:$E$75))+IF(SUMSQ('TS-PILE'!$D$56:$D$75)=0,0,'TO HOP NLAN'!F151*'TS-PILE'!$D$70/SUMSQ('TS-PILE'!$D$56:$D$75))),IF('TS-PILE'!$B$71="",1E+99,'TO HOP NLAN'!D151/ncoc+IF(SUMSQ('TS-PILE'!$E$56:$E$75)=0,0,'TO HOP NLAN'!E151*'TS-PILE'!$E$71/SUMSQ('TS-PILE'!$E$56:$E$75))+IF(SUMSQ('TS-PILE'!$D$56:$D$75)=0,0,'TO HOP NLAN'!F151*'TS-PILE'!$D$71/SUMSQ('TS-PILE'!$D$56:$D$75))),IF('TS-PILE'!$B$72="",1E+99,'TO HOP NLAN'!D151/ncoc+IF(SUMSQ('TS-PILE'!$E$56:$E$75)=0,0,'TO HOP NLAN'!E151*'TS-PILE'!$E$72/SUMSQ('TS-PILE'!$E$56:$E$75))+IF(SUMSQ('TS-PILE'!$D$56:$D$75)=0,0,'TO HOP NLAN'!F151*'TS-PILE'!$D$72/SUMSQ('TS-PILE'!$D$56:$D$75))),IF('TS-PILE'!$B$73="",1E+99,'TO HOP NLAN'!D151/ncoc+IF(SUMSQ('TS-PILE'!$E$56:$E$75)=0,0,'TO HOP NLAN'!E151*'TS-PILE'!$E$73/SUMSQ('TS-PILE'!$E$56:$E$75))+IF(SUMSQ('TS-PILE'!$D$56:$D$75)=0,0,'TO HOP NLAN'!F151*'TS-PILE'!$D$73/SUMSQ('TS-PILE'!$D$56:$D$75))),IF('TS-PILE'!$B$74="",1E+99,'TO HOP NLAN'!D151/ncoc+IF(SUMSQ('TS-PILE'!$E$56:$E$75)=0,0,'TO HOP NLAN'!E151*'TS-PILE'!$E$74/SUMSQ('TS-PILE'!$E$56:$E$75))+IF(SUMSQ('TS-PILE'!$D$56:$D$75)=0,0,'TO HOP NLAN'!F151*'TS-PILE'!$D$74/SUMSQ('TS-PILE'!$D$56:$D$75))),IF('TS-PILE'!$B$75="",1E+99,'TO HOP NLAN'!D151/ncoc+IF(SUMSQ('TS-PILE'!$E$56:$E$75)=0,0,'TO HOP NLAN'!E151*'TS-PILE'!$E$75/SUMSQ('TS-PILE'!$E$56:$E$75))+IF(SUMSQ('TS-PILE'!$D$56:$D$75)=0,0,'TO HOP NLAN'!F151*'TS-PILE'!$D$75/SUMSQ('TS-PILE'!$D$56:$D$75)))))</f>
        <v>0</v>
      </c>
      <c r="E151" s="46">
        <f t="shared" si="8"/>
        <v>-9.9999999999999997E+98</v>
      </c>
      <c r="F151" s="46">
        <f t="shared" si="9"/>
        <v>9.9999999999999997E+98</v>
      </c>
      <c r="G151" s="46">
        <f t="shared" si="10"/>
        <v>-9.9999999999999997E+98</v>
      </c>
      <c r="H151" s="46">
        <f t="shared" si="11"/>
        <v>9.9999999999999997E+98</v>
      </c>
    </row>
    <row r="152" spans="1:8" x14ac:dyDescent="0.3">
      <c r="A152" s="40" t="str">
        <f>'TO HOP NLAN'!A152</f>
        <v/>
      </c>
      <c r="B152" s="40" t="str">
        <f>'TO HOP NLAN'!L152</f>
        <v>STRENGTH</v>
      </c>
      <c r="C152" s="46">
        <f>IF(A152="",0,MAX(IF('TS-PILE'!$B$56="",-1E+99,'TO HOP NLAN'!D152/ncoc+IF(SUMSQ('TS-PILE'!$E$56:$E$75)=0,0,'TO HOP NLAN'!E152*'TS-PILE'!$E$56/SUMSQ('TS-PILE'!$E$56:$E$75))+IF(SUMSQ('TS-PILE'!$D$56:$D$75)=0,0,'TO HOP NLAN'!F152*'TS-PILE'!$D$56/SUMSQ('TS-PILE'!$D$56:$D$75))),IF('TS-PILE'!$B$57="",-1E+99,'TO HOP NLAN'!D152/ncoc+IF(SUMSQ('TS-PILE'!$E$56:$E$75)=0,0,'TO HOP NLAN'!E152*'TS-PILE'!$E$57/SUMSQ('TS-PILE'!$E$56:$E$75))+IF(SUMSQ('TS-PILE'!$D$56:$D$75)=0,0,'TO HOP NLAN'!F152*'TS-PILE'!$D$57/SUMSQ('TS-PILE'!$D$56:$D$75))),IF('TS-PILE'!$B$58="",-1E+99,'TO HOP NLAN'!D152/ncoc+IF(SUMSQ('TS-PILE'!$E$56:$E$75)=0,0,'TO HOP NLAN'!E152*'TS-PILE'!$E$58/SUMSQ('TS-PILE'!$E$56:$E$75))+IF(SUMSQ('TS-PILE'!$D$56:$D$75)=0,0,'TO HOP NLAN'!F152*'TS-PILE'!$D$58/SUMSQ('TS-PILE'!$D$56:$D$75))),IF('TS-PILE'!$B$59="",-1E+99,'TO HOP NLAN'!D152/ncoc+IF(SUMSQ('TS-PILE'!$E$56:$E$75)=0,0,'TO HOP NLAN'!E152*'TS-PILE'!$E$59/SUMSQ('TS-PILE'!$E$56:$E$75))+IF(SUMSQ('TS-PILE'!$D$56:$D$75)=0,0,'TO HOP NLAN'!F152*'TS-PILE'!$D$59/SUMSQ('TS-PILE'!$D$56:$D$75))),IF('TS-PILE'!$B$60="",-1E+99,'TO HOP NLAN'!D152/ncoc+IF(SUMSQ('TS-PILE'!$E$56:$E$75)=0,0,'TO HOP NLAN'!E152*'TS-PILE'!$E$60/SUMSQ('TS-PILE'!$E$56:$E$75))+IF(SUMSQ('TS-PILE'!$D$56:$D$75)=0,0,'TO HOP NLAN'!F152*'TS-PILE'!$D$60/SUMSQ('TS-PILE'!$D$56:$D$75))),IF('TS-PILE'!$B$61="",-1E+99,'TO HOP NLAN'!D152/ncoc+IF(SUMSQ('TS-PILE'!$E$56:$E$75)=0,0,'TO HOP NLAN'!E152*'TS-PILE'!$E$61/SUMSQ('TS-PILE'!$E$56:$E$75))+IF(SUMSQ('TS-PILE'!$D$56:$D$75)=0,0,'TO HOP NLAN'!F152*'TS-PILE'!$D$61/SUMSQ('TS-PILE'!$D$56:$D$75))),IF('TS-PILE'!$B$62="",-1E+99,'TO HOP NLAN'!D152/ncoc+IF(SUMSQ('TS-PILE'!$E$56:$E$75)=0,0,'TO HOP NLAN'!E152*'TS-PILE'!$E$62/SUMSQ('TS-PILE'!$E$56:$E$75))+IF(SUMSQ('TS-PILE'!$D$56:$D$75)=0,0,'TO HOP NLAN'!F152*'TS-PILE'!$D$62/SUMSQ('TS-PILE'!$D$56:$D$75))),IF('TS-PILE'!$B$63="",-1E+99,'TO HOP NLAN'!D152/ncoc+IF(SUMSQ('TS-PILE'!$E$56:$E$75)=0,0,'TO HOP NLAN'!E152*'TS-PILE'!$E$63/SUMSQ('TS-PILE'!$E$56:$E$75))+IF(SUMSQ('TS-PILE'!$D$56:$D$75)=0,0,'TO HOP NLAN'!F152*'TS-PILE'!$D$63/SUMSQ('TS-PILE'!$D$56:$D$75))),IF('TS-PILE'!$B$64="",-1E+99,'TO HOP NLAN'!D152/ncoc+IF(SUMSQ('TS-PILE'!$E$56:$E$75)=0,0,'TO HOP NLAN'!E152*'TS-PILE'!$E$64/SUMSQ('TS-PILE'!$E$56:$E$75))+IF(SUMSQ('TS-PILE'!$D$56:$D$75)=0,0,'TO HOP NLAN'!F152*'TS-PILE'!$D$64/SUMSQ('TS-PILE'!$D$56:$D$75))),IF('TS-PILE'!$B$65="",-1E+99,'TO HOP NLAN'!D152/ncoc+IF(SUMSQ('TS-PILE'!$E$56:$E$75)=0,0,'TO HOP NLAN'!E152*'TS-PILE'!$E$65/SUMSQ('TS-PILE'!$E$56:$E$75))+IF(SUMSQ('TS-PILE'!$D$56:$D$75)=0,0,'TO HOP NLAN'!F152*'TS-PILE'!$D$65/SUMSQ('TS-PILE'!$D$56:$D$75))),IF('TS-PILE'!$B$66="",-1E+99,'TO HOP NLAN'!D152/ncoc+IF(SUMSQ('TS-PILE'!$E$56:$E$75)=0,0,'TO HOP NLAN'!E152*'TS-PILE'!$E$66/SUMSQ('TS-PILE'!$E$56:$E$75))+IF(SUMSQ('TS-PILE'!$D$56:$D$75)=0,0,'TO HOP NLAN'!F152*'TS-PILE'!$D$66/SUMSQ('TS-PILE'!$D$56:$D$75))),IF('TS-PILE'!$B$67="",-1E+99,'TO HOP NLAN'!D152/ncoc+IF(SUMSQ('TS-PILE'!$E$56:$E$75)=0,0,'TO HOP NLAN'!E152*'TS-PILE'!$E$67/SUMSQ('TS-PILE'!$E$56:$E$75))+IF(SUMSQ('TS-PILE'!$D$56:$D$75)=0,0,'TO HOP NLAN'!F152*'TS-PILE'!$D$67/SUMSQ('TS-PILE'!$D$56:$D$75))),IF('TS-PILE'!$B$68="",-1E+99,'TO HOP NLAN'!D152/ncoc+IF(SUMSQ('TS-PILE'!$E$56:$E$75)=0,0,'TO HOP NLAN'!E152*'TS-PILE'!$E$68/SUMSQ('TS-PILE'!$E$56:$E$75))+IF(SUMSQ('TS-PILE'!$D$56:$D$75)=0,0,'TO HOP NLAN'!F152*'TS-PILE'!$D$68/SUMSQ('TS-PILE'!$D$56:$D$75))),IF('TS-PILE'!$B$69="",-1E+99,'TO HOP NLAN'!D152/ncoc+IF(SUMSQ('TS-PILE'!$E$56:$E$75)=0,0,'TO HOP NLAN'!E152*'TS-PILE'!$E$69/SUMSQ('TS-PILE'!$E$56:$E$75))+IF(SUMSQ('TS-PILE'!$D$56:$D$75)=0,0,'TO HOP NLAN'!F152*'TS-PILE'!$D$69/SUMSQ('TS-PILE'!$D$56:$D$75))),IF('TS-PILE'!$B$70="",-1E+99,'TO HOP NLAN'!D152/ncoc+IF(SUMSQ('TS-PILE'!$E$56:$E$75)=0,0,'TO HOP NLAN'!E152*'TS-PILE'!$E$70/SUMSQ('TS-PILE'!$E$56:$E$75))+IF(SUMSQ('TS-PILE'!$D$56:$D$75)=0,0,'TO HOP NLAN'!F152*'TS-PILE'!$D$70/SUMSQ('TS-PILE'!$D$56:$D$75))),IF('TS-PILE'!$B$71="",-1E+99,'TO HOP NLAN'!D152/ncoc+IF(SUMSQ('TS-PILE'!$E$56:$E$75)=0,0,'TO HOP NLAN'!E152*'TS-PILE'!$E$71/SUMSQ('TS-PILE'!$E$56:$E$75))+IF(SUMSQ('TS-PILE'!$D$56:$D$75)=0,0,'TO HOP NLAN'!F152*'TS-PILE'!$D$71/SUMSQ('TS-PILE'!$D$56:$D$75))),IF('TS-PILE'!$B$72="",-1E+99,'TO HOP NLAN'!D152/ncoc+IF(SUMSQ('TS-PILE'!$E$56:$E$75)=0,0,'TO HOP NLAN'!E152*'TS-PILE'!$E$72/SUMSQ('TS-PILE'!$E$56:$E$75))+IF(SUMSQ('TS-PILE'!$D$56:$D$75)=0,0,'TO HOP NLAN'!F152*'TS-PILE'!$D$72/SUMSQ('TS-PILE'!$D$56:$D$75))),IF('TS-PILE'!$B$73="",-1E+99,'TO HOP NLAN'!D152/ncoc+IF(SUMSQ('TS-PILE'!$E$56:$E$75)=0,0,'TO HOP NLAN'!E152*'TS-PILE'!$E$73/SUMSQ('TS-PILE'!$E$56:$E$75))+IF(SUMSQ('TS-PILE'!$D$56:$D$75)=0,0,'TO HOP NLAN'!F152*'TS-PILE'!$D$73/SUMSQ('TS-PILE'!$D$56:$D$75))),IF('TS-PILE'!$B$74="",-1E+99,'TO HOP NLAN'!D152/ncoc+IF(SUMSQ('TS-PILE'!$E$56:$E$75)=0,0,'TO HOP NLAN'!E152*'TS-PILE'!$E$74/SUMSQ('TS-PILE'!$E$56:$E$75))+IF(SUMSQ('TS-PILE'!$D$56:$D$75)=0,0,'TO HOP NLAN'!F152*'TS-PILE'!$D$74/SUMSQ('TS-PILE'!$D$56:$D$75))),IF('TS-PILE'!$B$75="",-1E+99,'TO HOP NLAN'!D152/ncoc+IF(SUMSQ('TS-PILE'!$E$56:$E$75)=0,0,'TO HOP NLAN'!E152*'TS-PILE'!$E$75/SUMSQ('TS-PILE'!$E$56:$E$75))+IF(SUMSQ('TS-PILE'!$D$56:$D$75)=0,0,'TO HOP NLAN'!F152*'TS-PILE'!$D$75/SUMSQ('TS-PILE'!$D$56:$D$75)))))</f>
        <v>0</v>
      </c>
      <c r="D152" s="46">
        <f>IF(A152="",0,MIN(IF('TS-PILE'!$B$56="",1E+99,'TO HOP NLAN'!D152/ncoc+IF(SUMSQ('TS-PILE'!$E$56:$E$75)=0,0,'TO HOP NLAN'!E152*'TS-PILE'!$E$56/SUMSQ('TS-PILE'!$E$56:$E$75))+IF(SUMSQ('TS-PILE'!$D$56:$D$75)=0,0,'TO HOP NLAN'!F152*'TS-PILE'!$D$56/SUMSQ('TS-PILE'!$D$56:$D$75))),IF('TS-PILE'!$B$57="",1E+99,'TO HOP NLAN'!D152/ncoc+IF(SUMSQ('TS-PILE'!$E$56:$E$75)=0,0,'TO HOP NLAN'!E152*'TS-PILE'!$E$57/SUMSQ('TS-PILE'!$E$56:$E$75))+IF(SUMSQ('TS-PILE'!$D$56:$D$75)=0,0,'TO HOP NLAN'!F152*'TS-PILE'!$D$57/SUMSQ('TS-PILE'!$D$56:$D$75))),IF('TS-PILE'!$B$58="",1E+99,'TO HOP NLAN'!D152/ncoc+IF(SUMSQ('TS-PILE'!$E$56:$E$75)=0,0,'TO HOP NLAN'!E152*'TS-PILE'!$E$58/SUMSQ('TS-PILE'!$E$56:$E$75))+IF(SUMSQ('TS-PILE'!$D$56:$D$75)=0,0,'TO HOP NLAN'!F152*'TS-PILE'!$D$58/SUMSQ('TS-PILE'!$D$56:$D$75))),IF('TS-PILE'!$B$59="",1E+99,'TO HOP NLAN'!D152/ncoc+IF(SUMSQ('TS-PILE'!$E$56:$E$75)=0,0,'TO HOP NLAN'!E152*'TS-PILE'!$E$59/SUMSQ('TS-PILE'!$E$56:$E$75))+IF(SUMSQ('TS-PILE'!$D$56:$D$75)=0,0,'TO HOP NLAN'!F152*'TS-PILE'!$D$59/SUMSQ('TS-PILE'!$D$56:$D$75))),IF('TS-PILE'!$B$60="",1E+99,'TO HOP NLAN'!D152/ncoc+IF(SUMSQ('TS-PILE'!$E$56:$E$75)=0,0,'TO HOP NLAN'!E152*'TS-PILE'!$E$60/SUMSQ('TS-PILE'!$E$56:$E$75))+IF(SUMSQ('TS-PILE'!$D$56:$D$75)=0,0,'TO HOP NLAN'!F152*'TS-PILE'!$D$60/SUMSQ('TS-PILE'!$D$56:$D$75))),IF('TS-PILE'!$B$61="",1E+99,'TO HOP NLAN'!D152/ncoc+IF(SUMSQ('TS-PILE'!$E$56:$E$75)=0,0,'TO HOP NLAN'!E152*'TS-PILE'!$E$61/SUMSQ('TS-PILE'!$E$56:$E$75))+IF(SUMSQ('TS-PILE'!$D$56:$D$75)=0,0,'TO HOP NLAN'!F152*'TS-PILE'!$D$61/SUMSQ('TS-PILE'!$D$56:$D$75))),IF('TS-PILE'!$B$62="",1E+99,'TO HOP NLAN'!D152/ncoc+IF(SUMSQ('TS-PILE'!$E$56:$E$75)=0,0,'TO HOP NLAN'!E152*'TS-PILE'!$E$62/SUMSQ('TS-PILE'!$E$56:$E$75))+IF(SUMSQ('TS-PILE'!$D$56:$D$75)=0,0,'TO HOP NLAN'!F152*'TS-PILE'!$D$62/SUMSQ('TS-PILE'!$D$56:$D$75))),IF('TS-PILE'!$B$63="",1E+99,'TO HOP NLAN'!D152/ncoc+IF(SUMSQ('TS-PILE'!$E$56:$E$75)=0,0,'TO HOP NLAN'!E152*'TS-PILE'!$E$63/SUMSQ('TS-PILE'!$E$56:$E$75))+IF(SUMSQ('TS-PILE'!$D$56:$D$75)=0,0,'TO HOP NLAN'!F152*'TS-PILE'!$D$63/SUMSQ('TS-PILE'!$D$56:$D$75))),IF('TS-PILE'!$B$64="",1E+99,'TO HOP NLAN'!D152/ncoc+IF(SUMSQ('TS-PILE'!$E$56:$E$75)=0,0,'TO HOP NLAN'!E152*'TS-PILE'!$E$64/SUMSQ('TS-PILE'!$E$56:$E$75))+IF(SUMSQ('TS-PILE'!$D$56:$D$75)=0,0,'TO HOP NLAN'!F152*'TS-PILE'!$D$64/SUMSQ('TS-PILE'!$D$56:$D$75))),IF('TS-PILE'!$B$65="",1E+99,'TO HOP NLAN'!D152/ncoc+IF(SUMSQ('TS-PILE'!$E$56:$E$75)=0,0,'TO HOP NLAN'!E152*'TS-PILE'!$E$65/SUMSQ('TS-PILE'!$E$56:$E$75))+IF(SUMSQ('TS-PILE'!$D$56:$D$75)=0,0,'TO HOP NLAN'!F152*'TS-PILE'!$D$65/SUMSQ('TS-PILE'!$D$56:$D$75))),IF('TS-PILE'!$B$66="",1E+99,'TO HOP NLAN'!D152/ncoc+IF(SUMSQ('TS-PILE'!$E$56:$E$75)=0,0,'TO HOP NLAN'!E152*'TS-PILE'!$E$66/SUMSQ('TS-PILE'!$E$56:$E$75))+IF(SUMSQ('TS-PILE'!$D$56:$D$75)=0,0,'TO HOP NLAN'!F152*'TS-PILE'!$D$66/SUMSQ('TS-PILE'!$D$56:$D$75))),IF('TS-PILE'!$B$67="",1E+99,'TO HOP NLAN'!D152/ncoc+IF(SUMSQ('TS-PILE'!$E$56:$E$75)=0,0,'TO HOP NLAN'!E152*'TS-PILE'!$E$67/SUMSQ('TS-PILE'!$E$56:$E$75))+IF(SUMSQ('TS-PILE'!$D$56:$D$75)=0,0,'TO HOP NLAN'!F152*'TS-PILE'!$D$67/SUMSQ('TS-PILE'!$D$56:$D$75))),IF('TS-PILE'!$B$68="",1E+99,'TO HOP NLAN'!D152/ncoc+IF(SUMSQ('TS-PILE'!$E$56:$E$75)=0,0,'TO HOP NLAN'!E152*'TS-PILE'!$E$68/SUMSQ('TS-PILE'!$E$56:$E$75))+IF(SUMSQ('TS-PILE'!$D$56:$D$75)=0,0,'TO HOP NLAN'!F152*'TS-PILE'!$D$68/SUMSQ('TS-PILE'!$D$56:$D$75))),IF('TS-PILE'!$B$69="",1E+99,'TO HOP NLAN'!D152/ncoc+IF(SUMSQ('TS-PILE'!$E$56:$E$75)=0,0,'TO HOP NLAN'!E152*'TS-PILE'!$E$69/SUMSQ('TS-PILE'!$E$56:$E$75))+IF(SUMSQ('TS-PILE'!$D$56:$D$75)=0,0,'TO HOP NLAN'!F152*'TS-PILE'!$D$69/SUMSQ('TS-PILE'!$D$56:$D$75))),IF('TS-PILE'!$B$70="",1E+99,'TO HOP NLAN'!D152/ncoc+IF(SUMSQ('TS-PILE'!$E$56:$E$75)=0,0,'TO HOP NLAN'!E152*'TS-PILE'!$E$70/SUMSQ('TS-PILE'!$E$56:$E$75))+IF(SUMSQ('TS-PILE'!$D$56:$D$75)=0,0,'TO HOP NLAN'!F152*'TS-PILE'!$D$70/SUMSQ('TS-PILE'!$D$56:$D$75))),IF('TS-PILE'!$B$71="",1E+99,'TO HOP NLAN'!D152/ncoc+IF(SUMSQ('TS-PILE'!$E$56:$E$75)=0,0,'TO HOP NLAN'!E152*'TS-PILE'!$E$71/SUMSQ('TS-PILE'!$E$56:$E$75))+IF(SUMSQ('TS-PILE'!$D$56:$D$75)=0,0,'TO HOP NLAN'!F152*'TS-PILE'!$D$71/SUMSQ('TS-PILE'!$D$56:$D$75))),IF('TS-PILE'!$B$72="",1E+99,'TO HOP NLAN'!D152/ncoc+IF(SUMSQ('TS-PILE'!$E$56:$E$75)=0,0,'TO HOP NLAN'!E152*'TS-PILE'!$E$72/SUMSQ('TS-PILE'!$E$56:$E$75))+IF(SUMSQ('TS-PILE'!$D$56:$D$75)=0,0,'TO HOP NLAN'!F152*'TS-PILE'!$D$72/SUMSQ('TS-PILE'!$D$56:$D$75))),IF('TS-PILE'!$B$73="",1E+99,'TO HOP NLAN'!D152/ncoc+IF(SUMSQ('TS-PILE'!$E$56:$E$75)=0,0,'TO HOP NLAN'!E152*'TS-PILE'!$E$73/SUMSQ('TS-PILE'!$E$56:$E$75))+IF(SUMSQ('TS-PILE'!$D$56:$D$75)=0,0,'TO HOP NLAN'!F152*'TS-PILE'!$D$73/SUMSQ('TS-PILE'!$D$56:$D$75))),IF('TS-PILE'!$B$74="",1E+99,'TO HOP NLAN'!D152/ncoc+IF(SUMSQ('TS-PILE'!$E$56:$E$75)=0,0,'TO HOP NLAN'!E152*'TS-PILE'!$E$74/SUMSQ('TS-PILE'!$E$56:$E$75))+IF(SUMSQ('TS-PILE'!$D$56:$D$75)=0,0,'TO HOP NLAN'!F152*'TS-PILE'!$D$74/SUMSQ('TS-PILE'!$D$56:$D$75))),IF('TS-PILE'!$B$75="",1E+99,'TO HOP NLAN'!D152/ncoc+IF(SUMSQ('TS-PILE'!$E$56:$E$75)=0,0,'TO HOP NLAN'!E152*'TS-PILE'!$E$75/SUMSQ('TS-PILE'!$E$56:$E$75))+IF(SUMSQ('TS-PILE'!$D$56:$D$75)=0,0,'TO HOP NLAN'!F152*'TS-PILE'!$D$75/SUMSQ('TS-PILE'!$D$56:$D$75)))))</f>
        <v>0</v>
      </c>
      <c r="E152" s="46">
        <f t="shared" si="8"/>
        <v>-9.9999999999999997E+98</v>
      </c>
      <c r="F152" s="46">
        <f t="shared" si="9"/>
        <v>9.9999999999999997E+98</v>
      </c>
      <c r="G152" s="46">
        <f t="shared" si="10"/>
        <v>-9.9999999999999997E+98</v>
      </c>
      <c r="H152" s="46">
        <f t="shared" si="11"/>
        <v>9.9999999999999997E+98</v>
      </c>
    </row>
    <row r="153" spans="1:8" x14ac:dyDescent="0.3">
      <c r="A153" s="40" t="str">
        <f>'TO HOP NLAN'!A153</f>
        <v/>
      </c>
      <c r="B153" s="40" t="str">
        <f>'TO HOP NLAN'!L153</f>
        <v>STRENGTH</v>
      </c>
      <c r="C153" s="46">
        <f>IF(A153="",0,MAX(IF('TS-PILE'!$B$56="",-1E+99,'TO HOP NLAN'!D153/ncoc+IF(SUMSQ('TS-PILE'!$E$56:$E$75)=0,0,'TO HOP NLAN'!E153*'TS-PILE'!$E$56/SUMSQ('TS-PILE'!$E$56:$E$75))+IF(SUMSQ('TS-PILE'!$D$56:$D$75)=0,0,'TO HOP NLAN'!F153*'TS-PILE'!$D$56/SUMSQ('TS-PILE'!$D$56:$D$75))),IF('TS-PILE'!$B$57="",-1E+99,'TO HOP NLAN'!D153/ncoc+IF(SUMSQ('TS-PILE'!$E$56:$E$75)=0,0,'TO HOP NLAN'!E153*'TS-PILE'!$E$57/SUMSQ('TS-PILE'!$E$56:$E$75))+IF(SUMSQ('TS-PILE'!$D$56:$D$75)=0,0,'TO HOP NLAN'!F153*'TS-PILE'!$D$57/SUMSQ('TS-PILE'!$D$56:$D$75))),IF('TS-PILE'!$B$58="",-1E+99,'TO HOP NLAN'!D153/ncoc+IF(SUMSQ('TS-PILE'!$E$56:$E$75)=0,0,'TO HOP NLAN'!E153*'TS-PILE'!$E$58/SUMSQ('TS-PILE'!$E$56:$E$75))+IF(SUMSQ('TS-PILE'!$D$56:$D$75)=0,0,'TO HOP NLAN'!F153*'TS-PILE'!$D$58/SUMSQ('TS-PILE'!$D$56:$D$75))),IF('TS-PILE'!$B$59="",-1E+99,'TO HOP NLAN'!D153/ncoc+IF(SUMSQ('TS-PILE'!$E$56:$E$75)=0,0,'TO HOP NLAN'!E153*'TS-PILE'!$E$59/SUMSQ('TS-PILE'!$E$56:$E$75))+IF(SUMSQ('TS-PILE'!$D$56:$D$75)=0,0,'TO HOP NLAN'!F153*'TS-PILE'!$D$59/SUMSQ('TS-PILE'!$D$56:$D$75))),IF('TS-PILE'!$B$60="",-1E+99,'TO HOP NLAN'!D153/ncoc+IF(SUMSQ('TS-PILE'!$E$56:$E$75)=0,0,'TO HOP NLAN'!E153*'TS-PILE'!$E$60/SUMSQ('TS-PILE'!$E$56:$E$75))+IF(SUMSQ('TS-PILE'!$D$56:$D$75)=0,0,'TO HOP NLAN'!F153*'TS-PILE'!$D$60/SUMSQ('TS-PILE'!$D$56:$D$75))),IF('TS-PILE'!$B$61="",-1E+99,'TO HOP NLAN'!D153/ncoc+IF(SUMSQ('TS-PILE'!$E$56:$E$75)=0,0,'TO HOP NLAN'!E153*'TS-PILE'!$E$61/SUMSQ('TS-PILE'!$E$56:$E$75))+IF(SUMSQ('TS-PILE'!$D$56:$D$75)=0,0,'TO HOP NLAN'!F153*'TS-PILE'!$D$61/SUMSQ('TS-PILE'!$D$56:$D$75))),IF('TS-PILE'!$B$62="",-1E+99,'TO HOP NLAN'!D153/ncoc+IF(SUMSQ('TS-PILE'!$E$56:$E$75)=0,0,'TO HOP NLAN'!E153*'TS-PILE'!$E$62/SUMSQ('TS-PILE'!$E$56:$E$75))+IF(SUMSQ('TS-PILE'!$D$56:$D$75)=0,0,'TO HOP NLAN'!F153*'TS-PILE'!$D$62/SUMSQ('TS-PILE'!$D$56:$D$75))),IF('TS-PILE'!$B$63="",-1E+99,'TO HOP NLAN'!D153/ncoc+IF(SUMSQ('TS-PILE'!$E$56:$E$75)=0,0,'TO HOP NLAN'!E153*'TS-PILE'!$E$63/SUMSQ('TS-PILE'!$E$56:$E$75))+IF(SUMSQ('TS-PILE'!$D$56:$D$75)=0,0,'TO HOP NLAN'!F153*'TS-PILE'!$D$63/SUMSQ('TS-PILE'!$D$56:$D$75))),IF('TS-PILE'!$B$64="",-1E+99,'TO HOP NLAN'!D153/ncoc+IF(SUMSQ('TS-PILE'!$E$56:$E$75)=0,0,'TO HOP NLAN'!E153*'TS-PILE'!$E$64/SUMSQ('TS-PILE'!$E$56:$E$75))+IF(SUMSQ('TS-PILE'!$D$56:$D$75)=0,0,'TO HOP NLAN'!F153*'TS-PILE'!$D$64/SUMSQ('TS-PILE'!$D$56:$D$75))),IF('TS-PILE'!$B$65="",-1E+99,'TO HOP NLAN'!D153/ncoc+IF(SUMSQ('TS-PILE'!$E$56:$E$75)=0,0,'TO HOP NLAN'!E153*'TS-PILE'!$E$65/SUMSQ('TS-PILE'!$E$56:$E$75))+IF(SUMSQ('TS-PILE'!$D$56:$D$75)=0,0,'TO HOP NLAN'!F153*'TS-PILE'!$D$65/SUMSQ('TS-PILE'!$D$56:$D$75))),IF('TS-PILE'!$B$66="",-1E+99,'TO HOP NLAN'!D153/ncoc+IF(SUMSQ('TS-PILE'!$E$56:$E$75)=0,0,'TO HOP NLAN'!E153*'TS-PILE'!$E$66/SUMSQ('TS-PILE'!$E$56:$E$75))+IF(SUMSQ('TS-PILE'!$D$56:$D$75)=0,0,'TO HOP NLAN'!F153*'TS-PILE'!$D$66/SUMSQ('TS-PILE'!$D$56:$D$75))),IF('TS-PILE'!$B$67="",-1E+99,'TO HOP NLAN'!D153/ncoc+IF(SUMSQ('TS-PILE'!$E$56:$E$75)=0,0,'TO HOP NLAN'!E153*'TS-PILE'!$E$67/SUMSQ('TS-PILE'!$E$56:$E$75))+IF(SUMSQ('TS-PILE'!$D$56:$D$75)=0,0,'TO HOP NLAN'!F153*'TS-PILE'!$D$67/SUMSQ('TS-PILE'!$D$56:$D$75))),IF('TS-PILE'!$B$68="",-1E+99,'TO HOP NLAN'!D153/ncoc+IF(SUMSQ('TS-PILE'!$E$56:$E$75)=0,0,'TO HOP NLAN'!E153*'TS-PILE'!$E$68/SUMSQ('TS-PILE'!$E$56:$E$75))+IF(SUMSQ('TS-PILE'!$D$56:$D$75)=0,0,'TO HOP NLAN'!F153*'TS-PILE'!$D$68/SUMSQ('TS-PILE'!$D$56:$D$75))),IF('TS-PILE'!$B$69="",-1E+99,'TO HOP NLAN'!D153/ncoc+IF(SUMSQ('TS-PILE'!$E$56:$E$75)=0,0,'TO HOP NLAN'!E153*'TS-PILE'!$E$69/SUMSQ('TS-PILE'!$E$56:$E$75))+IF(SUMSQ('TS-PILE'!$D$56:$D$75)=0,0,'TO HOP NLAN'!F153*'TS-PILE'!$D$69/SUMSQ('TS-PILE'!$D$56:$D$75))),IF('TS-PILE'!$B$70="",-1E+99,'TO HOP NLAN'!D153/ncoc+IF(SUMSQ('TS-PILE'!$E$56:$E$75)=0,0,'TO HOP NLAN'!E153*'TS-PILE'!$E$70/SUMSQ('TS-PILE'!$E$56:$E$75))+IF(SUMSQ('TS-PILE'!$D$56:$D$75)=0,0,'TO HOP NLAN'!F153*'TS-PILE'!$D$70/SUMSQ('TS-PILE'!$D$56:$D$75))),IF('TS-PILE'!$B$71="",-1E+99,'TO HOP NLAN'!D153/ncoc+IF(SUMSQ('TS-PILE'!$E$56:$E$75)=0,0,'TO HOP NLAN'!E153*'TS-PILE'!$E$71/SUMSQ('TS-PILE'!$E$56:$E$75))+IF(SUMSQ('TS-PILE'!$D$56:$D$75)=0,0,'TO HOP NLAN'!F153*'TS-PILE'!$D$71/SUMSQ('TS-PILE'!$D$56:$D$75))),IF('TS-PILE'!$B$72="",-1E+99,'TO HOP NLAN'!D153/ncoc+IF(SUMSQ('TS-PILE'!$E$56:$E$75)=0,0,'TO HOP NLAN'!E153*'TS-PILE'!$E$72/SUMSQ('TS-PILE'!$E$56:$E$75))+IF(SUMSQ('TS-PILE'!$D$56:$D$75)=0,0,'TO HOP NLAN'!F153*'TS-PILE'!$D$72/SUMSQ('TS-PILE'!$D$56:$D$75))),IF('TS-PILE'!$B$73="",-1E+99,'TO HOP NLAN'!D153/ncoc+IF(SUMSQ('TS-PILE'!$E$56:$E$75)=0,0,'TO HOP NLAN'!E153*'TS-PILE'!$E$73/SUMSQ('TS-PILE'!$E$56:$E$75))+IF(SUMSQ('TS-PILE'!$D$56:$D$75)=0,0,'TO HOP NLAN'!F153*'TS-PILE'!$D$73/SUMSQ('TS-PILE'!$D$56:$D$75))),IF('TS-PILE'!$B$74="",-1E+99,'TO HOP NLAN'!D153/ncoc+IF(SUMSQ('TS-PILE'!$E$56:$E$75)=0,0,'TO HOP NLAN'!E153*'TS-PILE'!$E$74/SUMSQ('TS-PILE'!$E$56:$E$75))+IF(SUMSQ('TS-PILE'!$D$56:$D$75)=0,0,'TO HOP NLAN'!F153*'TS-PILE'!$D$74/SUMSQ('TS-PILE'!$D$56:$D$75))),IF('TS-PILE'!$B$75="",-1E+99,'TO HOP NLAN'!D153/ncoc+IF(SUMSQ('TS-PILE'!$E$56:$E$75)=0,0,'TO HOP NLAN'!E153*'TS-PILE'!$E$75/SUMSQ('TS-PILE'!$E$56:$E$75))+IF(SUMSQ('TS-PILE'!$D$56:$D$75)=0,0,'TO HOP NLAN'!F153*'TS-PILE'!$D$75/SUMSQ('TS-PILE'!$D$56:$D$75)))))</f>
        <v>0</v>
      </c>
      <c r="D153" s="46">
        <f>IF(A153="",0,MIN(IF('TS-PILE'!$B$56="",1E+99,'TO HOP NLAN'!D153/ncoc+IF(SUMSQ('TS-PILE'!$E$56:$E$75)=0,0,'TO HOP NLAN'!E153*'TS-PILE'!$E$56/SUMSQ('TS-PILE'!$E$56:$E$75))+IF(SUMSQ('TS-PILE'!$D$56:$D$75)=0,0,'TO HOP NLAN'!F153*'TS-PILE'!$D$56/SUMSQ('TS-PILE'!$D$56:$D$75))),IF('TS-PILE'!$B$57="",1E+99,'TO HOP NLAN'!D153/ncoc+IF(SUMSQ('TS-PILE'!$E$56:$E$75)=0,0,'TO HOP NLAN'!E153*'TS-PILE'!$E$57/SUMSQ('TS-PILE'!$E$56:$E$75))+IF(SUMSQ('TS-PILE'!$D$56:$D$75)=0,0,'TO HOP NLAN'!F153*'TS-PILE'!$D$57/SUMSQ('TS-PILE'!$D$56:$D$75))),IF('TS-PILE'!$B$58="",1E+99,'TO HOP NLAN'!D153/ncoc+IF(SUMSQ('TS-PILE'!$E$56:$E$75)=0,0,'TO HOP NLAN'!E153*'TS-PILE'!$E$58/SUMSQ('TS-PILE'!$E$56:$E$75))+IF(SUMSQ('TS-PILE'!$D$56:$D$75)=0,0,'TO HOP NLAN'!F153*'TS-PILE'!$D$58/SUMSQ('TS-PILE'!$D$56:$D$75))),IF('TS-PILE'!$B$59="",1E+99,'TO HOP NLAN'!D153/ncoc+IF(SUMSQ('TS-PILE'!$E$56:$E$75)=0,0,'TO HOP NLAN'!E153*'TS-PILE'!$E$59/SUMSQ('TS-PILE'!$E$56:$E$75))+IF(SUMSQ('TS-PILE'!$D$56:$D$75)=0,0,'TO HOP NLAN'!F153*'TS-PILE'!$D$59/SUMSQ('TS-PILE'!$D$56:$D$75))),IF('TS-PILE'!$B$60="",1E+99,'TO HOP NLAN'!D153/ncoc+IF(SUMSQ('TS-PILE'!$E$56:$E$75)=0,0,'TO HOP NLAN'!E153*'TS-PILE'!$E$60/SUMSQ('TS-PILE'!$E$56:$E$75))+IF(SUMSQ('TS-PILE'!$D$56:$D$75)=0,0,'TO HOP NLAN'!F153*'TS-PILE'!$D$60/SUMSQ('TS-PILE'!$D$56:$D$75))),IF('TS-PILE'!$B$61="",1E+99,'TO HOP NLAN'!D153/ncoc+IF(SUMSQ('TS-PILE'!$E$56:$E$75)=0,0,'TO HOP NLAN'!E153*'TS-PILE'!$E$61/SUMSQ('TS-PILE'!$E$56:$E$75))+IF(SUMSQ('TS-PILE'!$D$56:$D$75)=0,0,'TO HOP NLAN'!F153*'TS-PILE'!$D$61/SUMSQ('TS-PILE'!$D$56:$D$75))),IF('TS-PILE'!$B$62="",1E+99,'TO HOP NLAN'!D153/ncoc+IF(SUMSQ('TS-PILE'!$E$56:$E$75)=0,0,'TO HOP NLAN'!E153*'TS-PILE'!$E$62/SUMSQ('TS-PILE'!$E$56:$E$75))+IF(SUMSQ('TS-PILE'!$D$56:$D$75)=0,0,'TO HOP NLAN'!F153*'TS-PILE'!$D$62/SUMSQ('TS-PILE'!$D$56:$D$75))),IF('TS-PILE'!$B$63="",1E+99,'TO HOP NLAN'!D153/ncoc+IF(SUMSQ('TS-PILE'!$E$56:$E$75)=0,0,'TO HOP NLAN'!E153*'TS-PILE'!$E$63/SUMSQ('TS-PILE'!$E$56:$E$75))+IF(SUMSQ('TS-PILE'!$D$56:$D$75)=0,0,'TO HOP NLAN'!F153*'TS-PILE'!$D$63/SUMSQ('TS-PILE'!$D$56:$D$75))),IF('TS-PILE'!$B$64="",1E+99,'TO HOP NLAN'!D153/ncoc+IF(SUMSQ('TS-PILE'!$E$56:$E$75)=0,0,'TO HOP NLAN'!E153*'TS-PILE'!$E$64/SUMSQ('TS-PILE'!$E$56:$E$75))+IF(SUMSQ('TS-PILE'!$D$56:$D$75)=0,0,'TO HOP NLAN'!F153*'TS-PILE'!$D$64/SUMSQ('TS-PILE'!$D$56:$D$75))),IF('TS-PILE'!$B$65="",1E+99,'TO HOP NLAN'!D153/ncoc+IF(SUMSQ('TS-PILE'!$E$56:$E$75)=0,0,'TO HOP NLAN'!E153*'TS-PILE'!$E$65/SUMSQ('TS-PILE'!$E$56:$E$75))+IF(SUMSQ('TS-PILE'!$D$56:$D$75)=0,0,'TO HOP NLAN'!F153*'TS-PILE'!$D$65/SUMSQ('TS-PILE'!$D$56:$D$75))),IF('TS-PILE'!$B$66="",1E+99,'TO HOP NLAN'!D153/ncoc+IF(SUMSQ('TS-PILE'!$E$56:$E$75)=0,0,'TO HOP NLAN'!E153*'TS-PILE'!$E$66/SUMSQ('TS-PILE'!$E$56:$E$75))+IF(SUMSQ('TS-PILE'!$D$56:$D$75)=0,0,'TO HOP NLAN'!F153*'TS-PILE'!$D$66/SUMSQ('TS-PILE'!$D$56:$D$75))),IF('TS-PILE'!$B$67="",1E+99,'TO HOP NLAN'!D153/ncoc+IF(SUMSQ('TS-PILE'!$E$56:$E$75)=0,0,'TO HOP NLAN'!E153*'TS-PILE'!$E$67/SUMSQ('TS-PILE'!$E$56:$E$75))+IF(SUMSQ('TS-PILE'!$D$56:$D$75)=0,0,'TO HOP NLAN'!F153*'TS-PILE'!$D$67/SUMSQ('TS-PILE'!$D$56:$D$75))),IF('TS-PILE'!$B$68="",1E+99,'TO HOP NLAN'!D153/ncoc+IF(SUMSQ('TS-PILE'!$E$56:$E$75)=0,0,'TO HOP NLAN'!E153*'TS-PILE'!$E$68/SUMSQ('TS-PILE'!$E$56:$E$75))+IF(SUMSQ('TS-PILE'!$D$56:$D$75)=0,0,'TO HOP NLAN'!F153*'TS-PILE'!$D$68/SUMSQ('TS-PILE'!$D$56:$D$75))),IF('TS-PILE'!$B$69="",1E+99,'TO HOP NLAN'!D153/ncoc+IF(SUMSQ('TS-PILE'!$E$56:$E$75)=0,0,'TO HOP NLAN'!E153*'TS-PILE'!$E$69/SUMSQ('TS-PILE'!$E$56:$E$75))+IF(SUMSQ('TS-PILE'!$D$56:$D$75)=0,0,'TO HOP NLAN'!F153*'TS-PILE'!$D$69/SUMSQ('TS-PILE'!$D$56:$D$75))),IF('TS-PILE'!$B$70="",1E+99,'TO HOP NLAN'!D153/ncoc+IF(SUMSQ('TS-PILE'!$E$56:$E$75)=0,0,'TO HOP NLAN'!E153*'TS-PILE'!$E$70/SUMSQ('TS-PILE'!$E$56:$E$75))+IF(SUMSQ('TS-PILE'!$D$56:$D$75)=0,0,'TO HOP NLAN'!F153*'TS-PILE'!$D$70/SUMSQ('TS-PILE'!$D$56:$D$75))),IF('TS-PILE'!$B$71="",1E+99,'TO HOP NLAN'!D153/ncoc+IF(SUMSQ('TS-PILE'!$E$56:$E$75)=0,0,'TO HOP NLAN'!E153*'TS-PILE'!$E$71/SUMSQ('TS-PILE'!$E$56:$E$75))+IF(SUMSQ('TS-PILE'!$D$56:$D$75)=0,0,'TO HOP NLAN'!F153*'TS-PILE'!$D$71/SUMSQ('TS-PILE'!$D$56:$D$75))),IF('TS-PILE'!$B$72="",1E+99,'TO HOP NLAN'!D153/ncoc+IF(SUMSQ('TS-PILE'!$E$56:$E$75)=0,0,'TO HOP NLAN'!E153*'TS-PILE'!$E$72/SUMSQ('TS-PILE'!$E$56:$E$75))+IF(SUMSQ('TS-PILE'!$D$56:$D$75)=0,0,'TO HOP NLAN'!F153*'TS-PILE'!$D$72/SUMSQ('TS-PILE'!$D$56:$D$75))),IF('TS-PILE'!$B$73="",1E+99,'TO HOP NLAN'!D153/ncoc+IF(SUMSQ('TS-PILE'!$E$56:$E$75)=0,0,'TO HOP NLAN'!E153*'TS-PILE'!$E$73/SUMSQ('TS-PILE'!$E$56:$E$75))+IF(SUMSQ('TS-PILE'!$D$56:$D$75)=0,0,'TO HOP NLAN'!F153*'TS-PILE'!$D$73/SUMSQ('TS-PILE'!$D$56:$D$75))),IF('TS-PILE'!$B$74="",1E+99,'TO HOP NLAN'!D153/ncoc+IF(SUMSQ('TS-PILE'!$E$56:$E$75)=0,0,'TO HOP NLAN'!E153*'TS-PILE'!$E$74/SUMSQ('TS-PILE'!$E$56:$E$75))+IF(SUMSQ('TS-PILE'!$D$56:$D$75)=0,0,'TO HOP NLAN'!F153*'TS-PILE'!$D$74/SUMSQ('TS-PILE'!$D$56:$D$75))),IF('TS-PILE'!$B$75="",1E+99,'TO HOP NLAN'!D153/ncoc+IF(SUMSQ('TS-PILE'!$E$56:$E$75)=0,0,'TO HOP NLAN'!E153*'TS-PILE'!$E$75/SUMSQ('TS-PILE'!$E$56:$E$75))+IF(SUMSQ('TS-PILE'!$D$56:$D$75)=0,0,'TO HOP NLAN'!F153*'TS-PILE'!$D$75/SUMSQ('TS-PILE'!$D$56:$D$75)))))</f>
        <v>0</v>
      </c>
      <c r="E153" s="46">
        <f t="shared" si="8"/>
        <v>-9.9999999999999997E+98</v>
      </c>
      <c r="F153" s="46">
        <f t="shared" si="9"/>
        <v>9.9999999999999997E+98</v>
      </c>
      <c r="G153" s="46">
        <f t="shared" si="10"/>
        <v>-9.9999999999999997E+98</v>
      </c>
      <c r="H153" s="46">
        <f t="shared" si="11"/>
        <v>9.9999999999999997E+98</v>
      </c>
    </row>
    <row r="154" spans="1:8" x14ac:dyDescent="0.3">
      <c r="A154" s="40" t="str">
        <f>'TO HOP NLAN'!A154</f>
        <v/>
      </c>
      <c r="B154" s="40" t="str">
        <f>'TO HOP NLAN'!L154</f>
        <v>STRENGTH</v>
      </c>
      <c r="C154" s="46">
        <f>IF(A154="",0,MAX(IF('TS-PILE'!$B$56="",-1E+99,'TO HOP NLAN'!D154/ncoc+IF(SUMSQ('TS-PILE'!$E$56:$E$75)=0,0,'TO HOP NLAN'!E154*'TS-PILE'!$E$56/SUMSQ('TS-PILE'!$E$56:$E$75))+IF(SUMSQ('TS-PILE'!$D$56:$D$75)=0,0,'TO HOP NLAN'!F154*'TS-PILE'!$D$56/SUMSQ('TS-PILE'!$D$56:$D$75))),IF('TS-PILE'!$B$57="",-1E+99,'TO HOP NLAN'!D154/ncoc+IF(SUMSQ('TS-PILE'!$E$56:$E$75)=0,0,'TO HOP NLAN'!E154*'TS-PILE'!$E$57/SUMSQ('TS-PILE'!$E$56:$E$75))+IF(SUMSQ('TS-PILE'!$D$56:$D$75)=0,0,'TO HOP NLAN'!F154*'TS-PILE'!$D$57/SUMSQ('TS-PILE'!$D$56:$D$75))),IF('TS-PILE'!$B$58="",-1E+99,'TO HOP NLAN'!D154/ncoc+IF(SUMSQ('TS-PILE'!$E$56:$E$75)=0,0,'TO HOP NLAN'!E154*'TS-PILE'!$E$58/SUMSQ('TS-PILE'!$E$56:$E$75))+IF(SUMSQ('TS-PILE'!$D$56:$D$75)=0,0,'TO HOP NLAN'!F154*'TS-PILE'!$D$58/SUMSQ('TS-PILE'!$D$56:$D$75))),IF('TS-PILE'!$B$59="",-1E+99,'TO HOP NLAN'!D154/ncoc+IF(SUMSQ('TS-PILE'!$E$56:$E$75)=0,0,'TO HOP NLAN'!E154*'TS-PILE'!$E$59/SUMSQ('TS-PILE'!$E$56:$E$75))+IF(SUMSQ('TS-PILE'!$D$56:$D$75)=0,0,'TO HOP NLAN'!F154*'TS-PILE'!$D$59/SUMSQ('TS-PILE'!$D$56:$D$75))),IF('TS-PILE'!$B$60="",-1E+99,'TO HOP NLAN'!D154/ncoc+IF(SUMSQ('TS-PILE'!$E$56:$E$75)=0,0,'TO HOP NLAN'!E154*'TS-PILE'!$E$60/SUMSQ('TS-PILE'!$E$56:$E$75))+IF(SUMSQ('TS-PILE'!$D$56:$D$75)=0,0,'TO HOP NLAN'!F154*'TS-PILE'!$D$60/SUMSQ('TS-PILE'!$D$56:$D$75))),IF('TS-PILE'!$B$61="",-1E+99,'TO HOP NLAN'!D154/ncoc+IF(SUMSQ('TS-PILE'!$E$56:$E$75)=0,0,'TO HOP NLAN'!E154*'TS-PILE'!$E$61/SUMSQ('TS-PILE'!$E$56:$E$75))+IF(SUMSQ('TS-PILE'!$D$56:$D$75)=0,0,'TO HOP NLAN'!F154*'TS-PILE'!$D$61/SUMSQ('TS-PILE'!$D$56:$D$75))),IF('TS-PILE'!$B$62="",-1E+99,'TO HOP NLAN'!D154/ncoc+IF(SUMSQ('TS-PILE'!$E$56:$E$75)=0,0,'TO HOP NLAN'!E154*'TS-PILE'!$E$62/SUMSQ('TS-PILE'!$E$56:$E$75))+IF(SUMSQ('TS-PILE'!$D$56:$D$75)=0,0,'TO HOP NLAN'!F154*'TS-PILE'!$D$62/SUMSQ('TS-PILE'!$D$56:$D$75))),IF('TS-PILE'!$B$63="",-1E+99,'TO HOP NLAN'!D154/ncoc+IF(SUMSQ('TS-PILE'!$E$56:$E$75)=0,0,'TO HOP NLAN'!E154*'TS-PILE'!$E$63/SUMSQ('TS-PILE'!$E$56:$E$75))+IF(SUMSQ('TS-PILE'!$D$56:$D$75)=0,0,'TO HOP NLAN'!F154*'TS-PILE'!$D$63/SUMSQ('TS-PILE'!$D$56:$D$75))),IF('TS-PILE'!$B$64="",-1E+99,'TO HOP NLAN'!D154/ncoc+IF(SUMSQ('TS-PILE'!$E$56:$E$75)=0,0,'TO HOP NLAN'!E154*'TS-PILE'!$E$64/SUMSQ('TS-PILE'!$E$56:$E$75))+IF(SUMSQ('TS-PILE'!$D$56:$D$75)=0,0,'TO HOP NLAN'!F154*'TS-PILE'!$D$64/SUMSQ('TS-PILE'!$D$56:$D$75))),IF('TS-PILE'!$B$65="",-1E+99,'TO HOP NLAN'!D154/ncoc+IF(SUMSQ('TS-PILE'!$E$56:$E$75)=0,0,'TO HOP NLAN'!E154*'TS-PILE'!$E$65/SUMSQ('TS-PILE'!$E$56:$E$75))+IF(SUMSQ('TS-PILE'!$D$56:$D$75)=0,0,'TO HOP NLAN'!F154*'TS-PILE'!$D$65/SUMSQ('TS-PILE'!$D$56:$D$75))),IF('TS-PILE'!$B$66="",-1E+99,'TO HOP NLAN'!D154/ncoc+IF(SUMSQ('TS-PILE'!$E$56:$E$75)=0,0,'TO HOP NLAN'!E154*'TS-PILE'!$E$66/SUMSQ('TS-PILE'!$E$56:$E$75))+IF(SUMSQ('TS-PILE'!$D$56:$D$75)=0,0,'TO HOP NLAN'!F154*'TS-PILE'!$D$66/SUMSQ('TS-PILE'!$D$56:$D$75))),IF('TS-PILE'!$B$67="",-1E+99,'TO HOP NLAN'!D154/ncoc+IF(SUMSQ('TS-PILE'!$E$56:$E$75)=0,0,'TO HOP NLAN'!E154*'TS-PILE'!$E$67/SUMSQ('TS-PILE'!$E$56:$E$75))+IF(SUMSQ('TS-PILE'!$D$56:$D$75)=0,0,'TO HOP NLAN'!F154*'TS-PILE'!$D$67/SUMSQ('TS-PILE'!$D$56:$D$75))),IF('TS-PILE'!$B$68="",-1E+99,'TO HOP NLAN'!D154/ncoc+IF(SUMSQ('TS-PILE'!$E$56:$E$75)=0,0,'TO HOP NLAN'!E154*'TS-PILE'!$E$68/SUMSQ('TS-PILE'!$E$56:$E$75))+IF(SUMSQ('TS-PILE'!$D$56:$D$75)=0,0,'TO HOP NLAN'!F154*'TS-PILE'!$D$68/SUMSQ('TS-PILE'!$D$56:$D$75))),IF('TS-PILE'!$B$69="",-1E+99,'TO HOP NLAN'!D154/ncoc+IF(SUMSQ('TS-PILE'!$E$56:$E$75)=0,0,'TO HOP NLAN'!E154*'TS-PILE'!$E$69/SUMSQ('TS-PILE'!$E$56:$E$75))+IF(SUMSQ('TS-PILE'!$D$56:$D$75)=0,0,'TO HOP NLAN'!F154*'TS-PILE'!$D$69/SUMSQ('TS-PILE'!$D$56:$D$75))),IF('TS-PILE'!$B$70="",-1E+99,'TO HOP NLAN'!D154/ncoc+IF(SUMSQ('TS-PILE'!$E$56:$E$75)=0,0,'TO HOP NLAN'!E154*'TS-PILE'!$E$70/SUMSQ('TS-PILE'!$E$56:$E$75))+IF(SUMSQ('TS-PILE'!$D$56:$D$75)=0,0,'TO HOP NLAN'!F154*'TS-PILE'!$D$70/SUMSQ('TS-PILE'!$D$56:$D$75))),IF('TS-PILE'!$B$71="",-1E+99,'TO HOP NLAN'!D154/ncoc+IF(SUMSQ('TS-PILE'!$E$56:$E$75)=0,0,'TO HOP NLAN'!E154*'TS-PILE'!$E$71/SUMSQ('TS-PILE'!$E$56:$E$75))+IF(SUMSQ('TS-PILE'!$D$56:$D$75)=0,0,'TO HOP NLAN'!F154*'TS-PILE'!$D$71/SUMSQ('TS-PILE'!$D$56:$D$75))),IF('TS-PILE'!$B$72="",-1E+99,'TO HOP NLAN'!D154/ncoc+IF(SUMSQ('TS-PILE'!$E$56:$E$75)=0,0,'TO HOP NLAN'!E154*'TS-PILE'!$E$72/SUMSQ('TS-PILE'!$E$56:$E$75))+IF(SUMSQ('TS-PILE'!$D$56:$D$75)=0,0,'TO HOP NLAN'!F154*'TS-PILE'!$D$72/SUMSQ('TS-PILE'!$D$56:$D$75))),IF('TS-PILE'!$B$73="",-1E+99,'TO HOP NLAN'!D154/ncoc+IF(SUMSQ('TS-PILE'!$E$56:$E$75)=0,0,'TO HOP NLAN'!E154*'TS-PILE'!$E$73/SUMSQ('TS-PILE'!$E$56:$E$75))+IF(SUMSQ('TS-PILE'!$D$56:$D$75)=0,0,'TO HOP NLAN'!F154*'TS-PILE'!$D$73/SUMSQ('TS-PILE'!$D$56:$D$75))),IF('TS-PILE'!$B$74="",-1E+99,'TO HOP NLAN'!D154/ncoc+IF(SUMSQ('TS-PILE'!$E$56:$E$75)=0,0,'TO HOP NLAN'!E154*'TS-PILE'!$E$74/SUMSQ('TS-PILE'!$E$56:$E$75))+IF(SUMSQ('TS-PILE'!$D$56:$D$75)=0,0,'TO HOP NLAN'!F154*'TS-PILE'!$D$74/SUMSQ('TS-PILE'!$D$56:$D$75))),IF('TS-PILE'!$B$75="",-1E+99,'TO HOP NLAN'!D154/ncoc+IF(SUMSQ('TS-PILE'!$E$56:$E$75)=0,0,'TO HOP NLAN'!E154*'TS-PILE'!$E$75/SUMSQ('TS-PILE'!$E$56:$E$75))+IF(SUMSQ('TS-PILE'!$D$56:$D$75)=0,0,'TO HOP NLAN'!F154*'TS-PILE'!$D$75/SUMSQ('TS-PILE'!$D$56:$D$75)))))</f>
        <v>0</v>
      </c>
      <c r="D154" s="46">
        <f>IF(A154="",0,MIN(IF('TS-PILE'!$B$56="",1E+99,'TO HOP NLAN'!D154/ncoc+IF(SUMSQ('TS-PILE'!$E$56:$E$75)=0,0,'TO HOP NLAN'!E154*'TS-PILE'!$E$56/SUMSQ('TS-PILE'!$E$56:$E$75))+IF(SUMSQ('TS-PILE'!$D$56:$D$75)=0,0,'TO HOP NLAN'!F154*'TS-PILE'!$D$56/SUMSQ('TS-PILE'!$D$56:$D$75))),IF('TS-PILE'!$B$57="",1E+99,'TO HOP NLAN'!D154/ncoc+IF(SUMSQ('TS-PILE'!$E$56:$E$75)=0,0,'TO HOP NLAN'!E154*'TS-PILE'!$E$57/SUMSQ('TS-PILE'!$E$56:$E$75))+IF(SUMSQ('TS-PILE'!$D$56:$D$75)=0,0,'TO HOP NLAN'!F154*'TS-PILE'!$D$57/SUMSQ('TS-PILE'!$D$56:$D$75))),IF('TS-PILE'!$B$58="",1E+99,'TO HOP NLAN'!D154/ncoc+IF(SUMSQ('TS-PILE'!$E$56:$E$75)=0,0,'TO HOP NLAN'!E154*'TS-PILE'!$E$58/SUMSQ('TS-PILE'!$E$56:$E$75))+IF(SUMSQ('TS-PILE'!$D$56:$D$75)=0,0,'TO HOP NLAN'!F154*'TS-PILE'!$D$58/SUMSQ('TS-PILE'!$D$56:$D$75))),IF('TS-PILE'!$B$59="",1E+99,'TO HOP NLAN'!D154/ncoc+IF(SUMSQ('TS-PILE'!$E$56:$E$75)=0,0,'TO HOP NLAN'!E154*'TS-PILE'!$E$59/SUMSQ('TS-PILE'!$E$56:$E$75))+IF(SUMSQ('TS-PILE'!$D$56:$D$75)=0,0,'TO HOP NLAN'!F154*'TS-PILE'!$D$59/SUMSQ('TS-PILE'!$D$56:$D$75))),IF('TS-PILE'!$B$60="",1E+99,'TO HOP NLAN'!D154/ncoc+IF(SUMSQ('TS-PILE'!$E$56:$E$75)=0,0,'TO HOP NLAN'!E154*'TS-PILE'!$E$60/SUMSQ('TS-PILE'!$E$56:$E$75))+IF(SUMSQ('TS-PILE'!$D$56:$D$75)=0,0,'TO HOP NLAN'!F154*'TS-PILE'!$D$60/SUMSQ('TS-PILE'!$D$56:$D$75))),IF('TS-PILE'!$B$61="",1E+99,'TO HOP NLAN'!D154/ncoc+IF(SUMSQ('TS-PILE'!$E$56:$E$75)=0,0,'TO HOP NLAN'!E154*'TS-PILE'!$E$61/SUMSQ('TS-PILE'!$E$56:$E$75))+IF(SUMSQ('TS-PILE'!$D$56:$D$75)=0,0,'TO HOP NLAN'!F154*'TS-PILE'!$D$61/SUMSQ('TS-PILE'!$D$56:$D$75))),IF('TS-PILE'!$B$62="",1E+99,'TO HOP NLAN'!D154/ncoc+IF(SUMSQ('TS-PILE'!$E$56:$E$75)=0,0,'TO HOP NLAN'!E154*'TS-PILE'!$E$62/SUMSQ('TS-PILE'!$E$56:$E$75))+IF(SUMSQ('TS-PILE'!$D$56:$D$75)=0,0,'TO HOP NLAN'!F154*'TS-PILE'!$D$62/SUMSQ('TS-PILE'!$D$56:$D$75))),IF('TS-PILE'!$B$63="",1E+99,'TO HOP NLAN'!D154/ncoc+IF(SUMSQ('TS-PILE'!$E$56:$E$75)=0,0,'TO HOP NLAN'!E154*'TS-PILE'!$E$63/SUMSQ('TS-PILE'!$E$56:$E$75))+IF(SUMSQ('TS-PILE'!$D$56:$D$75)=0,0,'TO HOP NLAN'!F154*'TS-PILE'!$D$63/SUMSQ('TS-PILE'!$D$56:$D$75))),IF('TS-PILE'!$B$64="",1E+99,'TO HOP NLAN'!D154/ncoc+IF(SUMSQ('TS-PILE'!$E$56:$E$75)=0,0,'TO HOP NLAN'!E154*'TS-PILE'!$E$64/SUMSQ('TS-PILE'!$E$56:$E$75))+IF(SUMSQ('TS-PILE'!$D$56:$D$75)=0,0,'TO HOP NLAN'!F154*'TS-PILE'!$D$64/SUMSQ('TS-PILE'!$D$56:$D$75))),IF('TS-PILE'!$B$65="",1E+99,'TO HOP NLAN'!D154/ncoc+IF(SUMSQ('TS-PILE'!$E$56:$E$75)=0,0,'TO HOP NLAN'!E154*'TS-PILE'!$E$65/SUMSQ('TS-PILE'!$E$56:$E$75))+IF(SUMSQ('TS-PILE'!$D$56:$D$75)=0,0,'TO HOP NLAN'!F154*'TS-PILE'!$D$65/SUMSQ('TS-PILE'!$D$56:$D$75))),IF('TS-PILE'!$B$66="",1E+99,'TO HOP NLAN'!D154/ncoc+IF(SUMSQ('TS-PILE'!$E$56:$E$75)=0,0,'TO HOP NLAN'!E154*'TS-PILE'!$E$66/SUMSQ('TS-PILE'!$E$56:$E$75))+IF(SUMSQ('TS-PILE'!$D$56:$D$75)=0,0,'TO HOP NLAN'!F154*'TS-PILE'!$D$66/SUMSQ('TS-PILE'!$D$56:$D$75))),IF('TS-PILE'!$B$67="",1E+99,'TO HOP NLAN'!D154/ncoc+IF(SUMSQ('TS-PILE'!$E$56:$E$75)=0,0,'TO HOP NLAN'!E154*'TS-PILE'!$E$67/SUMSQ('TS-PILE'!$E$56:$E$75))+IF(SUMSQ('TS-PILE'!$D$56:$D$75)=0,0,'TO HOP NLAN'!F154*'TS-PILE'!$D$67/SUMSQ('TS-PILE'!$D$56:$D$75))),IF('TS-PILE'!$B$68="",1E+99,'TO HOP NLAN'!D154/ncoc+IF(SUMSQ('TS-PILE'!$E$56:$E$75)=0,0,'TO HOP NLAN'!E154*'TS-PILE'!$E$68/SUMSQ('TS-PILE'!$E$56:$E$75))+IF(SUMSQ('TS-PILE'!$D$56:$D$75)=0,0,'TO HOP NLAN'!F154*'TS-PILE'!$D$68/SUMSQ('TS-PILE'!$D$56:$D$75))),IF('TS-PILE'!$B$69="",1E+99,'TO HOP NLAN'!D154/ncoc+IF(SUMSQ('TS-PILE'!$E$56:$E$75)=0,0,'TO HOP NLAN'!E154*'TS-PILE'!$E$69/SUMSQ('TS-PILE'!$E$56:$E$75))+IF(SUMSQ('TS-PILE'!$D$56:$D$75)=0,0,'TO HOP NLAN'!F154*'TS-PILE'!$D$69/SUMSQ('TS-PILE'!$D$56:$D$75))),IF('TS-PILE'!$B$70="",1E+99,'TO HOP NLAN'!D154/ncoc+IF(SUMSQ('TS-PILE'!$E$56:$E$75)=0,0,'TO HOP NLAN'!E154*'TS-PILE'!$E$70/SUMSQ('TS-PILE'!$E$56:$E$75))+IF(SUMSQ('TS-PILE'!$D$56:$D$75)=0,0,'TO HOP NLAN'!F154*'TS-PILE'!$D$70/SUMSQ('TS-PILE'!$D$56:$D$75))),IF('TS-PILE'!$B$71="",1E+99,'TO HOP NLAN'!D154/ncoc+IF(SUMSQ('TS-PILE'!$E$56:$E$75)=0,0,'TO HOP NLAN'!E154*'TS-PILE'!$E$71/SUMSQ('TS-PILE'!$E$56:$E$75))+IF(SUMSQ('TS-PILE'!$D$56:$D$75)=0,0,'TO HOP NLAN'!F154*'TS-PILE'!$D$71/SUMSQ('TS-PILE'!$D$56:$D$75))),IF('TS-PILE'!$B$72="",1E+99,'TO HOP NLAN'!D154/ncoc+IF(SUMSQ('TS-PILE'!$E$56:$E$75)=0,0,'TO HOP NLAN'!E154*'TS-PILE'!$E$72/SUMSQ('TS-PILE'!$E$56:$E$75))+IF(SUMSQ('TS-PILE'!$D$56:$D$75)=0,0,'TO HOP NLAN'!F154*'TS-PILE'!$D$72/SUMSQ('TS-PILE'!$D$56:$D$75))),IF('TS-PILE'!$B$73="",1E+99,'TO HOP NLAN'!D154/ncoc+IF(SUMSQ('TS-PILE'!$E$56:$E$75)=0,0,'TO HOP NLAN'!E154*'TS-PILE'!$E$73/SUMSQ('TS-PILE'!$E$56:$E$75))+IF(SUMSQ('TS-PILE'!$D$56:$D$75)=0,0,'TO HOP NLAN'!F154*'TS-PILE'!$D$73/SUMSQ('TS-PILE'!$D$56:$D$75))),IF('TS-PILE'!$B$74="",1E+99,'TO HOP NLAN'!D154/ncoc+IF(SUMSQ('TS-PILE'!$E$56:$E$75)=0,0,'TO HOP NLAN'!E154*'TS-PILE'!$E$74/SUMSQ('TS-PILE'!$E$56:$E$75))+IF(SUMSQ('TS-PILE'!$D$56:$D$75)=0,0,'TO HOP NLAN'!F154*'TS-PILE'!$D$74/SUMSQ('TS-PILE'!$D$56:$D$75))),IF('TS-PILE'!$B$75="",1E+99,'TO HOP NLAN'!D154/ncoc+IF(SUMSQ('TS-PILE'!$E$56:$E$75)=0,0,'TO HOP NLAN'!E154*'TS-PILE'!$E$75/SUMSQ('TS-PILE'!$E$56:$E$75))+IF(SUMSQ('TS-PILE'!$D$56:$D$75)=0,0,'TO HOP NLAN'!F154*'TS-PILE'!$D$75/SUMSQ('TS-PILE'!$D$56:$D$75)))))</f>
        <v>0</v>
      </c>
      <c r="E154" s="46">
        <f t="shared" si="8"/>
        <v>-9.9999999999999997E+98</v>
      </c>
      <c r="F154" s="46">
        <f t="shared" si="9"/>
        <v>9.9999999999999997E+98</v>
      </c>
      <c r="G154" s="46">
        <f t="shared" si="10"/>
        <v>-9.9999999999999997E+98</v>
      </c>
      <c r="H154" s="46">
        <f t="shared" si="11"/>
        <v>9.9999999999999997E+98</v>
      </c>
    </row>
    <row r="155" spans="1:8" x14ac:dyDescent="0.3">
      <c r="A155" s="40" t="str">
        <f>'TO HOP NLAN'!A155</f>
        <v/>
      </c>
      <c r="B155" s="40" t="str">
        <f>'TO HOP NLAN'!L155</f>
        <v>STRENGTH</v>
      </c>
      <c r="C155" s="46">
        <f>IF(A155="",0,MAX(IF('TS-PILE'!$B$56="",-1E+99,'TO HOP NLAN'!D155/ncoc+IF(SUMSQ('TS-PILE'!$E$56:$E$75)=0,0,'TO HOP NLAN'!E155*'TS-PILE'!$E$56/SUMSQ('TS-PILE'!$E$56:$E$75))+IF(SUMSQ('TS-PILE'!$D$56:$D$75)=0,0,'TO HOP NLAN'!F155*'TS-PILE'!$D$56/SUMSQ('TS-PILE'!$D$56:$D$75))),IF('TS-PILE'!$B$57="",-1E+99,'TO HOP NLAN'!D155/ncoc+IF(SUMSQ('TS-PILE'!$E$56:$E$75)=0,0,'TO HOP NLAN'!E155*'TS-PILE'!$E$57/SUMSQ('TS-PILE'!$E$56:$E$75))+IF(SUMSQ('TS-PILE'!$D$56:$D$75)=0,0,'TO HOP NLAN'!F155*'TS-PILE'!$D$57/SUMSQ('TS-PILE'!$D$56:$D$75))),IF('TS-PILE'!$B$58="",-1E+99,'TO HOP NLAN'!D155/ncoc+IF(SUMSQ('TS-PILE'!$E$56:$E$75)=0,0,'TO HOP NLAN'!E155*'TS-PILE'!$E$58/SUMSQ('TS-PILE'!$E$56:$E$75))+IF(SUMSQ('TS-PILE'!$D$56:$D$75)=0,0,'TO HOP NLAN'!F155*'TS-PILE'!$D$58/SUMSQ('TS-PILE'!$D$56:$D$75))),IF('TS-PILE'!$B$59="",-1E+99,'TO HOP NLAN'!D155/ncoc+IF(SUMSQ('TS-PILE'!$E$56:$E$75)=0,0,'TO HOP NLAN'!E155*'TS-PILE'!$E$59/SUMSQ('TS-PILE'!$E$56:$E$75))+IF(SUMSQ('TS-PILE'!$D$56:$D$75)=0,0,'TO HOP NLAN'!F155*'TS-PILE'!$D$59/SUMSQ('TS-PILE'!$D$56:$D$75))),IF('TS-PILE'!$B$60="",-1E+99,'TO HOP NLAN'!D155/ncoc+IF(SUMSQ('TS-PILE'!$E$56:$E$75)=0,0,'TO HOP NLAN'!E155*'TS-PILE'!$E$60/SUMSQ('TS-PILE'!$E$56:$E$75))+IF(SUMSQ('TS-PILE'!$D$56:$D$75)=0,0,'TO HOP NLAN'!F155*'TS-PILE'!$D$60/SUMSQ('TS-PILE'!$D$56:$D$75))),IF('TS-PILE'!$B$61="",-1E+99,'TO HOP NLAN'!D155/ncoc+IF(SUMSQ('TS-PILE'!$E$56:$E$75)=0,0,'TO HOP NLAN'!E155*'TS-PILE'!$E$61/SUMSQ('TS-PILE'!$E$56:$E$75))+IF(SUMSQ('TS-PILE'!$D$56:$D$75)=0,0,'TO HOP NLAN'!F155*'TS-PILE'!$D$61/SUMSQ('TS-PILE'!$D$56:$D$75))),IF('TS-PILE'!$B$62="",-1E+99,'TO HOP NLAN'!D155/ncoc+IF(SUMSQ('TS-PILE'!$E$56:$E$75)=0,0,'TO HOP NLAN'!E155*'TS-PILE'!$E$62/SUMSQ('TS-PILE'!$E$56:$E$75))+IF(SUMSQ('TS-PILE'!$D$56:$D$75)=0,0,'TO HOP NLAN'!F155*'TS-PILE'!$D$62/SUMSQ('TS-PILE'!$D$56:$D$75))),IF('TS-PILE'!$B$63="",-1E+99,'TO HOP NLAN'!D155/ncoc+IF(SUMSQ('TS-PILE'!$E$56:$E$75)=0,0,'TO HOP NLAN'!E155*'TS-PILE'!$E$63/SUMSQ('TS-PILE'!$E$56:$E$75))+IF(SUMSQ('TS-PILE'!$D$56:$D$75)=0,0,'TO HOP NLAN'!F155*'TS-PILE'!$D$63/SUMSQ('TS-PILE'!$D$56:$D$75))),IF('TS-PILE'!$B$64="",-1E+99,'TO HOP NLAN'!D155/ncoc+IF(SUMSQ('TS-PILE'!$E$56:$E$75)=0,0,'TO HOP NLAN'!E155*'TS-PILE'!$E$64/SUMSQ('TS-PILE'!$E$56:$E$75))+IF(SUMSQ('TS-PILE'!$D$56:$D$75)=0,0,'TO HOP NLAN'!F155*'TS-PILE'!$D$64/SUMSQ('TS-PILE'!$D$56:$D$75))),IF('TS-PILE'!$B$65="",-1E+99,'TO HOP NLAN'!D155/ncoc+IF(SUMSQ('TS-PILE'!$E$56:$E$75)=0,0,'TO HOP NLAN'!E155*'TS-PILE'!$E$65/SUMSQ('TS-PILE'!$E$56:$E$75))+IF(SUMSQ('TS-PILE'!$D$56:$D$75)=0,0,'TO HOP NLAN'!F155*'TS-PILE'!$D$65/SUMSQ('TS-PILE'!$D$56:$D$75))),IF('TS-PILE'!$B$66="",-1E+99,'TO HOP NLAN'!D155/ncoc+IF(SUMSQ('TS-PILE'!$E$56:$E$75)=0,0,'TO HOP NLAN'!E155*'TS-PILE'!$E$66/SUMSQ('TS-PILE'!$E$56:$E$75))+IF(SUMSQ('TS-PILE'!$D$56:$D$75)=0,0,'TO HOP NLAN'!F155*'TS-PILE'!$D$66/SUMSQ('TS-PILE'!$D$56:$D$75))),IF('TS-PILE'!$B$67="",-1E+99,'TO HOP NLAN'!D155/ncoc+IF(SUMSQ('TS-PILE'!$E$56:$E$75)=0,0,'TO HOP NLAN'!E155*'TS-PILE'!$E$67/SUMSQ('TS-PILE'!$E$56:$E$75))+IF(SUMSQ('TS-PILE'!$D$56:$D$75)=0,0,'TO HOP NLAN'!F155*'TS-PILE'!$D$67/SUMSQ('TS-PILE'!$D$56:$D$75))),IF('TS-PILE'!$B$68="",-1E+99,'TO HOP NLAN'!D155/ncoc+IF(SUMSQ('TS-PILE'!$E$56:$E$75)=0,0,'TO HOP NLAN'!E155*'TS-PILE'!$E$68/SUMSQ('TS-PILE'!$E$56:$E$75))+IF(SUMSQ('TS-PILE'!$D$56:$D$75)=0,0,'TO HOP NLAN'!F155*'TS-PILE'!$D$68/SUMSQ('TS-PILE'!$D$56:$D$75))),IF('TS-PILE'!$B$69="",-1E+99,'TO HOP NLAN'!D155/ncoc+IF(SUMSQ('TS-PILE'!$E$56:$E$75)=0,0,'TO HOP NLAN'!E155*'TS-PILE'!$E$69/SUMSQ('TS-PILE'!$E$56:$E$75))+IF(SUMSQ('TS-PILE'!$D$56:$D$75)=0,0,'TO HOP NLAN'!F155*'TS-PILE'!$D$69/SUMSQ('TS-PILE'!$D$56:$D$75))),IF('TS-PILE'!$B$70="",-1E+99,'TO HOP NLAN'!D155/ncoc+IF(SUMSQ('TS-PILE'!$E$56:$E$75)=0,0,'TO HOP NLAN'!E155*'TS-PILE'!$E$70/SUMSQ('TS-PILE'!$E$56:$E$75))+IF(SUMSQ('TS-PILE'!$D$56:$D$75)=0,0,'TO HOP NLAN'!F155*'TS-PILE'!$D$70/SUMSQ('TS-PILE'!$D$56:$D$75))),IF('TS-PILE'!$B$71="",-1E+99,'TO HOP NLAN'!D155/ncoc+IF(SUMSQ('TS-PILE'!$E$56:$E$75)=0,0,'TO HOP NLAN'!E155*'TS-PILE'!$E$71/SUMSQ('TS-PILE'!$E$56:$E$75))+IF(SUMSQ('TS-PILE'!$D$56:$D$75)=0,0,'TO HOP NLAN'!F155*'TS-PILE'!$D$71/SUMSQ('TS-PILE'!$D$56:$D$75))),IF('TS-PILE'!$B$72="",-1E+99,'TO HOP NLAN'!D155/ncoc+IF(SUMSQ('TS-PILE'!$E$56:$E$75)=0,0,'TO HOP NLAN'!E155*'TS-PILE'!$E$72/SUMSQ('TS-PILE'!$E$56:$E$75))+IF(SUMSQ('TS-PILE'!$D$56:$D$75)=0,0,'TO HOP NLAN'!F155*'TS-PILE'!$D$72/SUMSQ('TS-PILE'!$D$56:$D$75))),IF('TS-PILE'!$B$73="",-1E+99,'TO HOP NLAN'!D155/ncoc+IF(SUMSQ('TS-PILE'!$E$56:$E$75)=0,0,'TO HOP NLAN'!E155*'TS-PILE'!$E$73/SUMSQ('TS-PILE'!$E$56:$E$75))+IF(SUMSQ('TS-PILE'!$D$56:$D$75)=0,0,'TO HOP NLAN'!F155*'TS-PILE'!$D$73/SUMSQ('TS-PILE'!$D$56:$D$75))),IF('TS-PILE'!$B$74="",-1E+99,'TO HOP NLAN'!D155/ncoc+IF(SUMSQ('TS-PILE'!$E$56:$E$75)=0,0,'TO HOP NLAN'!E155*'TS-PILE'!$E$74/SUMSQ('TS-PILE'!$E$56:$E$75))+IF(SUMSQ('TS-PILE'!$D$56:$D$75)=0,0,'TO HOP NLAN'!F155*'TS-PILE'!$D$74/SUMSQ('TS-PILE'!$D$56:$D$75))),IF('TS-PILE'!$B$75="",-1E+99,'TO HOP NLAN'!D155/ncoc+IF(SUMSQ('TS-PILE'!$E$56:$E$75)=0,0,'TO HOP NLAN'!E155*'TS-PILE'!$E$75/SUMSQ('TS-PILE'!$E$56:$E$75))+IF(SUMSQ('TS-PILE'!$D$56:$D$75)=0,0,'TO HOP NLAN'!F155*'TS-PILE'!$D$75/SUMSQ('TS-PILE'!$D$56:$D$75)))))</f>
        <v>0</v>
      </c>
      <c r="D155" s="46">
        <f>IF(A155="",0,MIN(IF('TS-PILE'!$B$56="",1E+99,'TO HOP NLAN'!D155/ncoc+IF(SUMSQ('TS-PILE'!$E$56:$E$75)=0,0,'TO HOP NLAN'!E155*'TS-PILE'!$E$56/SUMSQ('TS-PILE'!$E$56:$E$75))+IF(SUMSQ('TS-PILE'!$D$56:$D$75)=0,0,'TO HOP NLAN'!F155*'TS-PILE'!$D$56/SUMSQ('TS-PILE'!$D$56:$D$75))),IF('TS-PILE'!$B$57="",1E+99,'TO HOP NLAN'!D155/ncoc+IF(SUMSQ('TS-PILE'!$E$56:$E$75)=0,0,'TO HOP NLAN'!E155*'TS-PILE'!$E$57/SUMSQ('TS-PILE'!$E$56:$E$75))+IF(SUMSQ('TS-PILE'!$D$56:$D$75)=0,0,'TO HOP NLAN'!F155*'TS-PILE'!$D$57/SUMSQ('TS-PILE'!$D$56:$D$75))),IF('TS-PILE'!$B$58="",1E+99,'TO HOP NLAN'!D155/ncoc+IF(SUMSQ('TS-PILE'!$E$56:$E$75)=0,0,'TO HOP NLAN'!E155*'TS-PILE'!$E$58/SUMSQ('TS-PILE'!$E$56:$E$75))+IF(SUMSQ('TS-PILE'!$D$56:$D$75)=0,0,'TO HOP NLAN'!F155*'TS-PILE'!$D$58/SUMSQ('TS-PILE'!$D$56:$D$75))),IF('TS-PILE'!$B$59="",1E+99,'TO HOP NLAN'!D155/ncoc+IF(SUMSQ('TS-PILE'!$E$56:$E$75)=0,0,'TO HOP NLAN'!E155*'TS-PILE'!$E$59/SUMSQ('TS-PILE'!$E$56:$E$75))+IF(SUMSQ('TS-PILE'!$D$56:$D$75)=0,0,'TO HOP NLAN'!F155*'TS-PILE'!$D$59/SUMSQ('TS-PILE'!$D$56:$D$75))),IF('TS-PILE'!$B$60="",1E+99,'TO HOP NLAN'!D155/ncoc+IF(SUMSQ('TS-PILE'!$E$56:$E$75)=0,0,'TO HOP NLAN'!E155*'TS-PILE'!$E$60/SUMSQ('TS-PILE'!$E$56:$E$75))+IF(SUMSQ('TS-PILE'!$D$56:$D$75)=0,0,'TO HOP NLAN'!F155*'TS-PILE'!$D$60/SUMSQ('TS-PILE'!$D$56:$D$75))),IF('TS-PILE'!$B$61="",1E+99,'TO HOP NLAN'!D155/ncoc+IF(SUMSQ('TS-PILE'!$E$56:$E$75)=0,0,'TO HOP NLAN'!E155*'TS-PILE'!$E$61/SUMSQ('TS-PILE'!$E$56:$E$75))+IF(SUMSQ('TS-PILE'!$D$56:$D$75)=0,0,'TO HOP NLAN'!F155*'TS-PILE'!$D$61/SUMSQ('TS-PILE'!$D$56:$D$75))),IF('TS-PILE'!$B$62="",1E+99,'TO HOP NLAN'!D155/ncoc+IF(SUMSQ('TS-PILE'!$E$56:$E$75)=0,0,'TO HOP NLAN'!E155*'TS-PILE'!$E$62/SUMSQ('TS-PILE'!$E$56:$E$75))+IF(SUMSQ('TS-PILE'!$D$56:$D$75)=0,0,'TO HOP NLAN'!F155*'TS-PILE'!$D$62/SUMSQ('TS-PILE'!$D$56:$D$75))),IF('TS-PILE'!$B$63="",1E+99,'TO HOP NLAN'!D155/ncoc+IF(SUMSQ('TS-PILE'!$E$56:$E$75)=0,0,'TO HOP NLAN'!E155*'TS-PILE'!$E$63/SUMSQ('TS-PILE'!$E$56:$E$75))+IF(SUMSQ('TS-PILE'!$D$56:$D$75)=0,0,'TO HOP NLAN'!F155*'TS-PILE'!$D$63/SUMSQ('TS-PILE'!$D$56:$D$75))),IF('TS-PILE'!$B$64="",1E+99,'TO HOP NLAN'!D155/ncoc+IF(SUMSQ('TS-PILE'!$E$56:$E$75)=0,0,'TO HOP NLAN'!E155*'TS-PILE'!$E$64/SUMSQ('TS-PILE'!$E$56:$E$75))+IF(SUMSQ('TS-PILE'!$D$56:$D$75)=0,0,'TO HOP NLAN'!F155*'TS-PILE'!$D$64/SUMSQ('TS-PILE'!$D$56:$D$75))),IF('TS-PILE'!$B$65="",1E+99,'TO HOP NLAN'!D155/ncoc+IF(SUMSQ('TS-PILE'!$E$56:$E$75)=0,0,'TO HOP NLAN'!E155*'TS-PILE'!$E$65/SUMSQ('TS-PILE'!$E$56:$E$75))+IF(SUMSQ('TS-PILE'!$D$56:$D$75)=0,0,'TO HOP NLAN'!F155*'TS-PILE'!$D$65/SUMSQ('TS-PILE'!$D$56:$D$75))),IF('TS-PILE'!$B$66="",1E+99,'TO HOP NLAN'!D155/ncoc+IF(SUMSQ('TS-PILE'!$E$56:$E$75)=0,0,'TO HOP NLAN'!E155*'TS-PILE'!$E$66/SUMSQ('TS-PILE'!$E$56:$E$75))+IF(SUMSQ('TS-PILE'!$D$56:$D$75)=0,0,'TO HOP NLAN'!F155*'TS-PILE'!$D$66/SUMSQ('TS-PILE'!$D$56:$D$75))),IF('TS-PILE'!$B$67="",1E+99,'TO HOP NLAN'!D155/ncoc+IF(SUMSQ('TS-PILE'!$E$56:$E$75)=0,0,'TO HOP NLAN'!E155*'TS-PILE'!$E$67/SUMSQ('TS-PILE'!$E$56:$E$75))+IF(SUMSQ('TS-PILE'!$D$56:$D$75)=0,0,'TO HOP NLAN'!F155*'TS-PILE'!$D$67/SUMSQ('TS-PILE'!$D$56:$D$75))),IF('TS-PILE'!$B$68="",1E+99,'TO HOP NLAN'!D155/ncoc+IF(SUMSQ('TS-PILE'!$E$56:$E$75)=0,0,'TO HOP NLAN'!E155*'TS-PILE'!$E$68/SUMSQ('TS-PILE'!$E$56:$E$75))+IF(SUMSQ('TS-PILE'!$D$56:$D$75)=0,0,'TO HOP NLAN'!F155*'TS-PILE'!$D$68/SUMSQ('TS-PILE'!$D$56:$D$75))),IF('TS-PILE'!$B$69="",1E+99,'TO HOP NLAN'!D155/ncoc+IF(SUMSQ('TS-PILE'!$E$56:$E$75)=0,0,'TO HOP NLAN'!E155*'TS-PILE'!$E$69/SUMSQ('TS-PILE'!$E$56:$E$75))+IF(SUMSQ('TS-PILE'!$D$56:$D$75)=0,0,'TO HOP NLAN'!F155*'TS-PILE'!$D$69/SUMSQ('TS-PILE'!$D$56:$D$75))),IF('TS-PILE'!$B$70="",1E+99,'TO HOP NLAN'!D155/ncoc+IF(SUMSQ('TS-PILE'!$E$56:$E$75)=0,0,'TO HOP NLAN'!E155*'TS-PILE'!$E$70/SUMSQ('TS-PILE'!$E$56:$E$75))+IF(SUMSQ('TS-PILE'!$D$56:$D$75)=0,0,'TO HOP NLAN'!F155*'TS-PILE'!$D$70/SUMSQ('TS-PILE'!$D$56:$D$75))),IF('TS-PILE'!$B$71="",1E+99,'TO HOP NLAN'!D155/ncoc+IF(SUMSQ('TS-PILE'!$E$56:$E$75)=0,0,'TO HOP NLAN'!E155*'TS-PILE'!$E$71/SUMSQ('TS-PILE'!$E$56:$E$75))+IF(SUMSQ('TS-PILE'!$D$56:$D$75)=0,0,'TO HOP NLAN'!F155*'TS-PILE'!$D$71/SUMSQ('TS-PILE'!$D$56:$D$75))),IF('TS-PILE'!$B$72="",1E+99,'TO HOP NLAN'!D155/ncoc+IF(SUMSQ('TS-PILE'!$E$56:$E$75)=0,0,'TO HOP NLAN'!E155*'TS-PILE'!$E$72/SUMSQ('TS-PILE'!$E$56:$E$75))+IF(SUMSQ('TS-PILE'!$D$56:$D$75)=0,0,'TO HOP NLAN'!F155*'TS-PILE'!$D$72/SUMSQ('TS-PILE'!$D$56:$D$75))),IF('TS-PILE'!$B$73="",1E+99,'TO HOP NLAN'!D155/ncoc+IF(SUMSQ('TS-PILE'!$E$56:$E$75)=0,0,'TO HOP NLAN'!E155*'TS-PILE'!$E$73/SUMSQ('TS-PILE'!$E$56:$E$75))+IF(SUMSQ('TS-PILE'!$D$56:$D$75)=0,0,'TO HOP NLAN'!F155*'TS-PILE'!$D$73/SUMSQ('TS-PILE'!$D$56:$D$75))),IF('TS-PILE'!$B$74="",1E+99,'TO HOP NLAN'!D155/ncoc+IF(SUMSQ('TS-PILE'!$E$56:$E$75)=0,0,'TO HOP NLAN'!E155*'TS-PILE'!$E$74/SUMSQ('TS-PILE'!$E$56:$E$75))+IF(SUMSQ('TS-PILE'!$D$56:$D$75)=0,0,'TO HOP NLAN'!F155*'TS-PILE'!$D$74/SUMSQ('TS-PILE'!$D$56:$D$75))),IF('TS-PILE'!$B$75="",1E+99,'TO HOP NLAN'!D155/ncoc+IF(SUMSQ('TS-PILE'!$E$56:$E$75)=0,0,'TO HOP NLAN'!E155*'TS-PILE'!$E$75/SUMSQ('TS-PILE'!$E$56:$E$75))+IF(SUMSQ('TS-PILE'!$D$56:$D$75)=0,0,'TO HOP NLAN'!F155*'TS-PILE'!$D$75/SUMSQ('TS-PILE'!$D$56:$D$75)))))</f>
        <v>0</v>
      </c>
      <c r="E155" s="46">
        <f t="shared" si="8"/>
        <v>-9.9999999999999997E+98</v>
      </c>
      <c r="F155" s="46">
        <f t="shared" si="9"/>
        <v>9.9999999999999997E+98</v>
      </c>
      <c r="G155" s="46">
        <f t="shared" si="10"/>
        <v>-9.9999999999999997E+98</v>
      </c>
      <c r="H155" s="46">
        <f t="shared" si="11"/>
        <v>9.9999999999999997E+98</v>
      </c>
    </row>
    <row r="156" spans="1:8" x14ac:dyDescent="0.3">
      <c r="A156" s="40" t="str">
        <f>'TO HOP NLAN'!A156</f>
        <v/>
      </c>
      <c r="B156" s="40" t="str">
        <f>'TO HOP NLAN'!L156</f>
        <v>STRENGTH</v>
      </c>
      <c r="C156" s="46">
        <f>IF(A156="",0,MAX(IF('TS-PILE'!$B$56="",-1E+99,'TO HOP NLAN'!D156/ncoc+IF(SUMSQ('TS-PILE'!$E$56:$E$75)=0,0,'TO HOP NLAN'!E156*'TS-PILE'!$E$56/SUMSQ('TS-PILE'!$E$56:$E$75))+IF(SUMSQ('TS-PILE'!$D$56:$D$75)=0,0,'TO HOP NLAN'!F156*'TS-PILE'!$D$56/SUMSQ('TS-PILE'!$D$56:$D$75))),IF('TS-PILE'!$B$57="",-1E+99,'TO HOP NLAN'!D156/ncoc+IF(SUMSQ('TS-PILE'!$E$56:$E$75)=0,0,'TO HOP NLAN'!E156*'TS-PILE'!$E$57/SUMSQ('TS-PILE'!$E$56:$E$75))+IF(SUMSQ('TS-PILE'!$D$56:$D$75)=0,0,'TO HOP NLAN'!F156*'TS-PILE'!$D$57/SUMSQ('TS-PILE'!$D$56:$D$75))),IF('TS-PILE'!$B$58="",-1E+99,'TO HOP NLAN'!D156/ncoc+IF(SUMSQ('TS-PILE'!$E$56:$E$75)=0,0,'TO HOP NLAN'!E156*'TS-PILE'!$E$58/SUMSQ('TS-PILE'!$E$56:$E$75))+IF(SUMSQ('TS-PILE'!$D$56:$D$75)=0,0,'TO HOP NLAN'!F156*'TS-PILE'!$D$58/SUMSQ('TS-PILE'!$D$56:$D$75))),IF('TS-PILE'!$B$59="",-1E+99,'TO HOP NLAN'!D156/ncoc+IF(SUMSQ('TS-PILE'!$E$56:$E$75)=0,0,'TO HOP NLAN'!E156*'TS-PILE'!$E$59/SUMSQ('TS-PILE'!$E$56:$E$75))+IF(SUMSQ('TS-PILE'!$D$56:$D$75)=0,0,'TO HOP NLAN'!F156*'TS-PILE'!$D$59/SUMSQ('TS-PILE'!$D$56:$D$75))),IF('TS-PILE'!$B$60="",-1E+99,'TO HOP NLAN'!D156/ncoc+IF(SUMSQ('TS-PILE'!$E$56:$E$75)=0,0,'TO HOP NLAN'!E156*'TS-PILE'!$E$60/SUMSQ('TS-PILE'!$E$56:$E$75))+IF(SUMSQ('TS-PILE'!$D$56:$D$75)=0,0,'TO HOP NLAN'!F156*'TS-PILE'!$D$60/SUMSQ('TS-PILE'!$D$56:$D$75))),IF('TS-PILE'!$B$61="",-1E+99,'TO HOP NLAN'!D156/ncoc+IF(SUMSQ('TS-PILE'!$E$56:$E$75)=0,0,'TO HOP NLAN'!E156*'TS-PILE'!$E$61/SUMSQ('TS-PILE'!$E$56:$E$75))+IF(SUMSQ('TS-PILE'!$D$56:$D$75)=0,0,'TO HOP NLAN'!F156*'TS-PILE'!$D$61/SUMSQ('TS-PILE'!$D$56:$D$75))),IF('TS-PILE'!$B$62="",-1E+99,'TO HOP NLAN'!D156/ncoc+IF(SUMSQ('TS-PILE'!$E$56:$E$75)=0,0,'TO HOP NLAN'!E156*'TS-PILE'!$E$62/SUMSQ('TS-PILE'!$E$56:$E$75))+IF(SUMSQ('TS-PILE'!$D$56:$D$75)=0,0,'TO HOP NLAN'!F156*'TS-PILE'!$D$62/SUMSQ('TS-PILE'!$D$56:$D$75))),IF('TS-PILE'!$B$63="",-1E+99,'TO HOP NLAN'!D156/ncoc+IF(SUMSQ('TS-PILE'!$E$56:$E$75)=0,0,'TO HOP NLAN'!E156*'TS-PILE'!$E$63/SUMSQ('TS-PILE'!$E$56:$E$75))+IF(SUMSQ('TS-PILE'!$D$56:$D$75)=0,0,'TO HOP NLAN'!F156*'TS-PILE'!$D$63/SUMSQ('TS-PILE'!$D$56:$D$75))),IF('TS-PILE'!$B$64="",-1E+99,'TO HOP NLAN'!D156/ncoc+IF(SUMSQ('TS-PILE'!$E$56:$E$75)=0,0,'TO HOP NLAN'!E156*'TS-PILE'!$E$64/SUMSQ('TS-PILE'!$E$56:$E$75))+IF(SUMSQ('TS-PILE'!$D$56:$D$75)=0,0,'TO HOP NLAN'!F156*'TS-PILE'!$D$64/SUMSQ('TS-PILE'!$D$56:$D$75))),IF('TS-PILE'!$B$65="",-1E+99,'TO HOP NLAN'!D156/ncoc+IF(SUMSQ('TS-PILE'!$E$56:$E$75)=0,0,'TO HOP NLAN'!E156*'TS-PILE'!$E$65/SUMSQ('TS-PILE'!$E$56:$E$75))+IF(SUMSQ('TS-PILE'!$D$56:$D$75)=0,0,'TO HOP NLAN'!F156*'TS-PILE'!$D$65/SUMSQ('TS-PILE'!$D$56:$D$75))),IF('TS-PILE'!$B$66="",-1E+99,'TO HOP NLAN'!D156/ncoc+IF(SUMSQ('TS-PILE'!$E$56:$E$75)=0,0,'TO HOP NLAN'!E156*'TS-PILE'!$E$66/SUMSQ('TS-PILE'!$E$56:$E$75))+IF(SUMSQ('TS-PILE'!$D$56:$D$75)=0,0,'TO HOP NLAN'!F156*'TS-PILE'!$D$66/SUMSQ('TS-PILE'!$D$56:$D$75))),IF('TS-PILE'!$B$67="",-1E+99,'TO HOP NLAN'!D156/ncoc+IF(SUMSQ('TS-PILE'!$E$56:$E$75)=0,0,'TO HOP NLAN'!E156*'TS-PILE'!$E$67/SUMSQ('TS-PILE'!$E$56:$E$75))+IF(SUMSQ('TS-PILE'!$D$56:$D$75)=0,0,'TO HOP NLAN'!F156*'TS-PILE'!$D$67/SUMSQ('TS-PILE'!$D$56:$D$75))),IF('TS-PILE'!$B$68="",-1E+99,'TO HOP NLAN'!D156/ncoc+IF(SUMSQ('TS-PILE'!$E$56:$E$75)=0,0,'TO HOP NLAN'!E156*'TS-PILE'!$E$68/SUMSQ('TS-PILE'!$E$56:$E$75))+IF(SUMSQ('TS-PILE'!$D$56:$D$75)=0,0,'TO HOP NLAN'!F156*'TS-PILE'!$D$68/SUMSQ('TS-PILE'!$D$56:$D$75))),IF('TS-PILE'!$B$69="",-1E+99,'TO HOP NLAN'!D156/ncoc+IF(SUMSQ('TS-PILE'!$E$56:$E$75)=0,0,'TO HOP NLAN'!E156*'TS-PILE'!$E$69/SUMSQ('TS-PILE'!$E$56:$E$75))+IF(SUMSQ('TS-PILE'!$D$56:$D$75)=0,0,'TO HOP NLAN'!F156*'TS-PILE'!$D$69/SUMSQ('TS-PILE'!$D$56:$D$75))),IF('TS-PILE'!$B$70="",-1E+99,'TO HOP NLAN'!D156/ncoc+IF(SUMSQ('TS-PILE'!$E$56:$E$75)=0,0,'TO HOP NLAN'!E156*'TS-PILE'!$E$70/SUMSQ('TS-PILE'!$E$56:$E$75))+IF(SUMSQ('TS-PILE'!$D$56:$D$75)=0,0,'TO HOP NLAN'!F156*'TS-PILE'!$D$70/SUMSQ('TS-PILE'!$D$56:$D$75))),IF('TS-PILE'!$B$71="",-1E+99,'TO HOP NLAN'!D156/ncoc+IF(SUMSQ('TS-PILE'!$E$56:$E$75)=0,0,'TO HOP NLAN'!E156*'TS-PILE'!$E$71/SUMSQ('TS-PILE'!$E$56:$E$75))+IF(SUMSQ('TS-PILE'!$D$56:$D$75)=0,0,'TO HOP NLAN'!F156*'TS-PILE'!$D$71/SUMSQ('TS-PILE'!$D$56:$D$75))),IF('TS-PILE'!$B$72="",-1E+99,'TO HOP NLAN'!D156/ncoc+IF(SUMSQ('TS-PILE'!$E$56:$E$75)=0,0,'TO HOP NLAN'!E156*'TS-PILE'!$E$72/SUMSQ('TS-PILE'!$E$56:$E$75))+IF(SUMSQ('TS-PILE'!$D$56:$D$75)=0,0,'TO HOP NLAN'!F156*'TS-PILE'!$D$72/SUMSQ('TS-PILE'!$D$56:$D$75))),IF('TS-PILE'!$B$73="",-1E+99,'TO HOP NLAN'!D156/ncoc+IF(SUMSQ('TS-PILE'!$E$56:$E$75)=0,0,'TO HOP NLAN'!E156*'TS-PILE'!$E$73/SUMSQ('TS-PILE'!$E$56:$E$75))+IF(SUMSQ('TS-PILE'!$D$56:$D$75)=0,0,'TO HOP NLAN'!F156*'TS-PILE'!$D$73/SUMSQ('TS-PILE'!$D$56:$D$75))),IF('TS-PILE'!$B$74="",-1E+99,'TO HOP NLAN'!D156/ncoc+IF(SUMSQ('TS-PILE'!$E$56:$E$75)=0,0,'TO HOP NLAN'!E156*'TS-PILE'!$E$74/SUMSQ('TS-PILE'!$E$56:$E$75))+IF(SUMSQ('TS-PILE'!$D$56:$D$75)=0,0,'TO HOP NLAN'!F156*'TS-PILE'!$D$74/SUMSQ('TS-PILE'!$D$56:$D$75))),IF('TS-PILE'!$B$75="",-1E+99,'TO HOP NLAN'!D156/ncoc+IF(SUMSQ('TS-PILE'!$E$56:$E$75)=0,0,'TO HOP NLAN'!E156*'TS-PILE'!$E$75/SUMSQ('TS-PILE'!$E$56:$E$75))+IF(SUMSQ('TS-PILE'!$D$56:$D$75)=0,0,'TO HOP NLAN'!F156*'TS-PILE'!$D$75/SUMSQ('TS-PILE'!$D$56:$D$75)))))</f>
        <v>0</v>
      </c>
      <c r="D156" s="46">
        <f>IF(A156="",0,MIN(IF('TS-PILE'!$B$56="",1E+99,'TO HOP NLAN'!D156/ncoc+IF(SUMSQ('TS-PILE'!$E$56:$E$75)=0,0,'TO HOP NLAN'!E156*'TS-PILE'!$E$56/SUMSQ('TS-PILE'!$E$56:$E$75))+IF(SUMSQ('TS-PILE'!$D$56:$D$75)=0,0,'TO HOP NLAN'!F156*'TS-PILE'!$D$56/SUMSQ('TS-PILE'!$D$56:$D$75))),IF('TS-PILE'!$B$57="",1E+99,'TO HOP NLAN'!D156/ncoc+IF(SUMSQ('TS-PILE'!$E$56:$E$75)=0,0,'TO HOP NLAN'!E156*'TS-PILE'!$E$57/SUMSQ('TS-PILE'!$E$56:$E$75))+IF(SUMSQ('TS-PILE'!$D$56:$D$75)=0,0,'TO HOP NLAN'!F156*'TS-PILE'!$D$57/SUMSQ('TS-PILE'!$D$56:$D$75))),IF('TS-PILE'!$B$58="",1E+99,'TO HOP NLAN'!D156/ncoc+IF(SUMSQ('TS-PILE'!$E$56:$E$75)=0,0,'TO HOP NLAN'!E156*'TS-PILE'!$E$58/SUMSQ('TS-PILE'!$E$56:$E$75))+IF(SUMSQ('TS-PILE'!$D$56:$D$75)=0,0,'TO HOP NLAN'!F156*'TS-PILE'!$D$58/SUMSQ('TS-PILE'!$D$56:$D$75))),IF('TS-PILE'!$B$59="",1E+99,'TO HOP NLAN'!D156/ncoc+IF(SUMSQ('TS-PILE'!$E$56:$E$75)=0,0,'TO HOP NLAN'!E156*'TS-PILE'!$E$59/SUMSQ('TS-PILE'!$E$56:$E$75))+IF(SUMSQ('TS-PILE'!$D$56:$D$75)=0,0,'TO HOP NLAN'!F156*'TS-PILE'!$D$59/SUMSQ('TS-PILE'!$D$56:$D$75))),IF('TS-PILE'!$B$60="",1E+99,'TO HOP NLAN'!D156/ncoc+IF(SUMSQ('TS-PILE'!$E$56:$E$75)=0,0,'TO HOP NLAN'!E156*'TS-PILE'!$E$60/SUMSQ('TS-PILE'!$E$56:$E$75))+IF(SUMSQ('TS-PILE'!$D$56:$D$75)=0,0,'TO HOP NLAN'!F156*'TS-PILE'!$D$60/SUMSQ('TS-PILE'!$D$56:$D$75))),IF('TS-PILE'!$B$61="",1E+99,'TO HOP NLAN'!D156/ncoc+IF(SUMSQ('TS-PILE'!$E$56:$E$75)=0,0,'TO HOP NLAN'!E156*'TS-PILE'!$E$61/SUMSQ('TS-PILE'!$E$56:$E$75))+IF(SUMSQ('TS-PILE'!$D$56:$D$75)=0,0,'TO HOP NLAN'!F156*'TS-PILE'!$D$61/SUMSQ('TS-PILE'!$D$56:$D$75))),IF('TS-PILE'!$B$62="",1E+99,'TO HOP NLAN'!D156/ncoc+IF(SUMSQ('TS-PILE'!$E$56:$E$75)=0,0,'TO HOP NLAN'!E156*'TS-PILE'!$E$62/SUMSQ('TS-PILE'!$E$56:$E$75))+IF(SUMSQ('TS-PILE'!$D$56:$D$75)=0,0,'TO HOP NLAN'!F156*'TS-PILE'!$D$62/SUMSQ('TS-PILE'!$D$56:$D$75))),IF('TS-PILE'!$B$63="",1E+99,'TO HOP NLAN'!D156/ncoc+IF(SUMSQ('TS-PILE'!$E$56:$E$75)=0,0,'TO HOP NLAN'!E156*'TS-PILE'!$E$63/SUMSQ('TS-PILE'!$E$56:$E$75))+IF(SUMSQ('TS-PILE'!$D$56:$D$75)=0,0,'TO HOP NLAN'!F156*'TS-PILE'!$D$63/SUMSQ('TS-PILE'!$D$56:$D$75))),IF('TS-PILE'!$B$64="",1E+99,'TO HOP NLAN'!D156/ncoc+IF(SUMSQ('TS-PILE'!$E$56:$E$75)=0,0,'TO HOP NLAN'!E156*'TS-PILE'!$E$64/SUMSQ('TS-PILE'!$E$56:$E$75))+IF(SUMSQ('TS-PILE'!$D$56:$D$75)=0,0,'TO HOP NLAN'!F156*'TS-PILE'!$D$64/SUMSQ('TS-PILE'!$D$56:$D$75))),IF('TS-PILE'!$B$65="",1E+99,'TO HOP NLAN'!D156/ncoc+IF(SUMSQ('TS-PILE'!$E$56:$E$75)=0,0,'TO HOP NLAN'!E156*'TS-PILE'!$E$65/SUMSQ('TS-PILE'!$E$56:$E$75))+IF(SUMSQ('TS-PILE'!$D$56:$D$75)=0,0,'TO HOP NLAN'!F156*'TS-PILE'!$D$65/SUMSQ('TS-PILE'!$D$56:$D$75))),IF('TS-PILE'!$B$66="",1E+99,'TO HOP NLAN'!D156/ncoc+IF(SUMSQ('TS-PILE'!$E$56:$E$75)=0,0,'TO HOP NLAN'!E156*'TS-PILE'!$E$66/SUMSQ('TS-PILE'!$E$56:$E$75))+IF(SUMSQ('TS-PILE'!$D$56:$D$75)=0,0,'TO HOP NLAN'!F156*'TS-PILE'!$D$66/SUMSQ('TS-PILE'!$D$56:$D$75))),IF('TS-PILE'!$B$67="",1E+99,'TO HOP NLAN'!D156/ncoc+IF(SUMSQ('TS-PILE'!$E$56:$E$75)=0,0,'TO HOP NLAN'!E156*'TS-PILE'!$E$67/SUMSQ('TS-PILE'!$E$56:$E$75))+IF(SUMSQ('TS-PILE'!$D$56:$D$75)=0,0,'TO HOP NLAN'!F156*'TS-PILE'!$D$67/SUMSQ('TS-PILE'!$D$56:$D$75))),IF('TS-PILE'!$B$68="",1E+99,'TO HOP NLAN'!D156/ncoc+IF(SUMSQ('TS-PILE'!$E$56:$E$75)=0,0,'TO HOP NLAN'!E156*'TS-PILE'!$E$68/SUMSQ('TS-PILE'!$E$56:$E$75))+IF(SUMSQ('TS-PILE'!$D$56:$D$75)=0,0,'TO HOP NLAN'!F156*'TS-PILE'!$D$68/SUMSQ('TS-PILE'!$D$56:$D$75))),IF('TS-PILE'!$B$69="",1E+99,'TO HOP NLAN'!D156/ncoc+IF(SUMSQ('TS-PILE'!$E$56:$E$75)=0,0,'TO HOP NLAN'!E156*'TS-PILE'!$E$69/SUMSQ('TS-PILE'!$E$56:$E$75))+IF(SUMSQ('TS-PILE'!$D$56:$D$75)=0,0,'TO HOP NLAN'!F156*'TS-PILE'!$D$69/SUMSQ('TS-PILE'!$D$56:$D$75))),IF('TS-PILE'!$B$70="",1E+99,'TO HOP NLAN'!D156/ncoc+IF(SUMSQ('TS-PILE'!$E$56:$E$75)=0,0,'TO HOP NLAN'!E156*'TS-PILE'!$E$70/SUMSQ('TS-PILE'!$E$56:$E$75))+IF(SUMSQ('TS-PILE'!$D$56:$D$75)=0,0,'TO HOP NLAN'!F156*'TS-PILE'!$D$70/SUMSQ('TS-PILE'!$D$56:$D$75))),IF('TS-PILE'!$B$71="",1E+99,'TO HOP NLAN'!D156/ncoc+IF(SUMSQ('TS-PILE'!$E$56:$E$75)=0,0,'TO HOP NLAN'!E156*'TS-PILE'!$E$71/SUMSQ('TS-PILE'!$E$56:$E$75))+IF(SUMSQ('TS-PILE'!$D$56:$D$75)=0,0,'TO HOP NLAN'!F156*'TS-PILE'!$D$71/SUMSQ('TS-PILE'!$D$56:$D$75))),IF('TS-PILE'!$B$72="",1E+99,'TO HOP NLAN'!D156/ncoc+IF(SUMSQ('TS-PILE'!$E$56:$E$75)=0,0,'TO HOP NLAN'!E156*'TS-PILE'!$E$72/SUMSQ('TS-PILE'!$E$56:$E$75))+IF(SUMSQ('TS-PILE'!$D$56:$D$75)=0,0,'TO HOP NLAN'!F156*'TS-PILE'!$D$72/SUMSQ('TS-PILE'!$D$56:$D$75))),IF('TS-PILE'!$B$73="",1E+99,'TO HOP NLAN'!D156/ncoc+IF(SUMSQ('TS-PILE'!$E$56:$E$75)=0,0,'TO HOP NLAN'!E156*'TS-PILE'!$E$73/SUMSQ('TS-PILE'!$E$56:$E$75))+IF(SUMSQ('TS-PILE'!$D$56:$D$75)=0,0,'TO HOP NLAN'!F156*'TS-PILE'!$D$73/SUMSQ('TS-PILE'!$D$56:$D$75))),IF('TS-PILE'!$B$74="",1E+99,'TO HOP NLAN'!D156/ncoc+IF(SUMSQ('TS-PILE'!$E$56:$E$75)=0,0,'TO HOP NLAN'!E156*'TS-PILE'!$E$74/SUMSQ('TS-PILE'!$E$56:$E$75))+IF(SUMSQ('TS-PILE'!$D$56:$D$75)=0,0,'TO HOP NLAN'!F156*'TS-PILE'!$D$74/SUMSQ('TS-PILE'!$D$56:$D$75))),IF('TS-PILE'!$B$75="",1E+99,'TO HOP NLAN'!D156/ncoc+IF(SUMSQ('TS-PILE'!$E$56:$E$75)=0,0,'TO HOP NLAN'!E156*'TS-PILE'!$E$75/SUMSQ('TS-PILE'!$E$56:$E$75))+IF(SUMSQ('TS-PILE'!$D$56:$D$75)=0,0,'TO HOP NLAN'!F156*'TS-PILE'!$D$75/SUMSQ('TS-PILE'!$D$56:$D$75)))))</f>
        <v>0</v>
      </c>
      <c r="E156" s="46">
        <f t="shared" si="8"/>
        <v>-9.9999999999999997E+98</v>
      </c>
      <c r="F156" s="46">
        <f t="shared" si="9"/>
        <v>9.9999999999999997E+98</v>
      </c>
      <c r="G156" s="46">
        <f t="shared" si="10"/>
        <v>-9.9999999999999997E+98</v>
      </c>
      <c r="H156" s="46">
        <f t="shared" si="11"/>
        <v>9.9999999999999997E+98</v>
      </c>
    </row>
    <row r="157" spans="1:8" x14ac:dyDescent="0.3">
      <c r="A157" s="40" t="str">
        <f>'TO HOP NLAN'!A157</f>
        <v/>
      </c>
      <c r="B157" s="40" t="str">
        <f>'TO HOP NLAN'!L157</f>
        <v>STRENGTH</v>
      </c>
      <c r="C157" s="46">
        <f>IF(A157="",0,MAX(IF('TS-PILE'!$B$56="",-1E+99,'TO HOP NLAN'!D157/ncoc+IF(SUMSQ('TS-PILE'!$E$56:$E$75)=0,0,'TO HOP NLAN'!E157*'TS-PILE'!$E$56/SUMSQ('TS-PILE'!$E$56:$E$75))+IF(SUMSQ('TS-PILE'!$D$56:$D$75)=0,0,'TO HOP NLAN'!F157*'TS-PILE'!$D$56/SUMSQ('TS-PILE'!$D$56:$D$75))),IF('TS-PILE'!$B$57="",-1E+99,'TO HOP NLAN'!D157/ncoc+IF(SUMSQ('TS-PILE'!$E$56:$E$75)=0,0,'TO HOP NLAN'!E157*'TS-PILE'!$E$57/SUMSQ('TS-PILE'!$E$56:$E$75))+IF(SUMSQ('TS-PILE'!$D$56:$D$75)=0,0,'TO HOP NLAN'!F157*'TS-PILE'!$D$57/SUMSQ('TS-PILE'!$D$56:$D$75))),IF('TS-PILE'!$B$58="",-1E+99,'TO HOP NLAN'!D157/ncoc+IF(SUMSQ('TS-PILE'!$E$56:$E$75)=0,0,'TO HOP NLAN'!E157*'TS-PILE'!$E$58/SUMSQ('TS-PILE'!$E$56:$E$75))+IF(SUMSQ('TS-PILE'!$D$56:$D$75)=0,0,'TO HOP NLAN'!F157*'TS-PILE'!$D$58/SUMSQ('TS-PILE'!$D$56:$D$75))),IF('TS-PILE'!$B$59="",-1E+99,'TO HOP NLAN'!D157/ncoc+IF(SUMSQ('TS-PILE'!$E$56:$E$75)=0,0,'TO HOP NLAN'!E157*'TS-PILE'!$E$59/SUMSQ('TS-PILE'!$E$56:$E$75))+IF(SUMSQ('TS-PILE'!$D$56:$D$75)=0,0,'TO HOP NLAN'!F157*'TS-PILE'!$D$59/SUMSQ('TS-PILE'!$D$56:$D$75))),IF('TS-PILE'!$B$60="",-1E+99,'TO HOP NLAN'!D157/ncoc+IF(SUMSQ('TS-PILE'!$E$56:$E$75)=0,0,'TO HOP NLAN'!E157*'TS-PILE'!$E$60/SUMSQ('TS-PILE'!$E$56:$E$75))+IF(SUMSQ('TS-PILE'!$D$56:$D$75)=0,0,'TO HOP NLAN'!F157*'TS-PILE'!$D$60/SUMSQ('TS-PILE'!$D$56:$D$75))),IF('TS-PILE'!$B$61="",-1E+99,'TO HOP NLAN'!D157/ncoc+IF(SUMSQ('TS-PILE'!$E$56:$E$75)=0,0,'TO HOP NLAN'!E157*'TS-PILE'!$E$61/SUMSQ('TS-PILE'!$E$56:$E$75))+IF(SUMSQ('TS-PILE'!$D$56:$D$75)=0,0,'TO HOP NLAN'!F157*'TS-PILE'!$D$61/SUMSQ('TS-PILE'!$D$56:$D$75))),IF('TS-PILE'!$B$62="",-1E+99,'TO HOP NLAN'!D157/ncoc+IF(SUMSQ('TS-PILE'!$E$56:$E$75)=0,0,'TO HOP NLAN'!E157*'TS-PILE'!$E$62/SUMSQ('TS-PILE'!$E$56:$E$75))+IF(SUMSQ('TS-PILE'!$D$56:$D$75)=0,0,'TO HOP NLAN'!F157*'TS-PILE'!$D$62/SUMSQ('TS-PILE'!$D$56:$D$75))),IF('TS-PILE'!$B$63="",-1E+99,'TO HOP NLAN'!D157/ncoc+IF(SUMSQ('TS-PILE'!$E$56:$E$75)=0,0,'TO HOP NLAN'!E157*'TS-PILE'!$E$63/SUMSQ('TS-PILE'!$E$56:$E$75))+IF(SUMSQ('TS-PILE'!$D$56:$D$75)=0,0,'TO HOP NLAN'!F157*'TS-PILE'!$D$63/SUMSQ('TS-PILE'!$D$56:$D$75))),IF('TS-PILE'!$B$64="",-1E+99,'TO HOP NLAN'!D157/ncoc+IF(SUMSQ('TS-PILE'!$E$56:$E$75)=0,0,'TO HOP NLAN'!E157*'TS-PILE'!$E$64/SUMSQ('TS-PILE'!$E$56:$E$75))+IF(SUMSQ('TS-PILE'!$D$56:$D$75)=0,0,'TO HOP NLAN'!F157*'TS-PILE'!$D$64/SUMSQ('TS-PILE'!$D$56:$D$75))),IF('TS-PILE'!$B$65="",-1E+99,'TO HOP NLAN'!D157/ncoc+IF(SUMSQ('TS-PILE'!$E$56:$E$75)=0,0,'TO HOP NLAN'!E157*'TS-PILE'!$E$65/SUMSQ('TS-PILE'!$E$56:$E$75))+IF(SUMSQ('TS-PILE'!$D$56:$D$75)=0,0,'TO HOP NLAN'!F157*'TS-PILE'!$D$65/SUMSQ('TS-PILE'!$D$56:$D$75))),IF('TS-PILE'!$B$66="",-1E+99,'TO HOP NLAN'!D157/ncoc+IF(SUMSQ('TS-PILE'!$E$56:$E$75)=0,0,'TO HOP NLAN'!E157*'TS-PILE'!$E$66/SUMSQ('TS-PILE'!$E$56:$E$75))+IF(SUMSQ('TS-PILE'!$D$56:$D$75)=0,0,'TO HOP NLAN'!F157*'TS-PILE'!$D$66/SUMSQ('TS-PILE'!$D$56:$D$75))),IF('TS-PILE'!$B$67="",-1E+99,'TO HOP NLAN'!D157/ncoc+IF(SUMSQ('TS-PILE'!$E$56:$E$75)=0,0,'TO HOP NLAN'!E157*'TS-PILE'!$E$67/SUMSQ('TS-PILE'!$E$56:$E$75))+IF(SUMSQ('TS-PILE'!$D$56:$D$75)=0,0,'TO HOP NLAN'!F157*'TS-PILE'!$D$67/SUMSQ('TS-PILE'!$D$56:$D$75))),IF('TS-PILE'!$B$68="",-1E+99,'TO HOP NLAN'!D157/ncoc+IF(SUMSQ('TS-PILE'!$E$56:$E$75)=0,0,'TO HOP NLAN'!E157*'TS-PILE'!$E$68/SUMSQ('TS-PILE'!$E$56:$E$75))+IF(SUMSQ('TS-PILE'!$D$56:$D$75)=0,0,'TO HOP NLAN'!F157*'TS-PILE'!$D$68/SUMSQ('TS-PILE'!$D$56:$D$75))),IF('TS-PILE'!$B$69="",-1E+99,'TO HOP NLAN'!D157/ncoc+IF(SUMSQ('TS-PILE'!$E$56:$E$75)=0,0,'TO HOP NLAN'!E157*'TS-PILE'!$E$69/SUMSQ('TS-PILE'!$E$56:$E$75))+IF(SUMSQ('TS-PILE'!$D$56:$D$75)=0,0,'TO HOP NLAN'!F157*'TS-PILE'!$D$69/SUMSQ('TS-PILE'!$D$56:$D$75))),IF('TS-PILE'!$B$70="",-1E+99,'TO HOP NLAN'!D157/ncoc+IF(SUMSQ('TS-PILE'!$E$56:$E$75)=0,0,'TO HOP NLAN'!E157*'TS-PILE'!$E$70/SUMSQ('TS-PILE'!$E$56:$E$75))+IF(SUMSQ('TS-PILE'!$D$56:$D$75)=0,0,'TO HOP NLAN'!F157*'TS-PILE'!$D$70/SUMSQ('TS-PILE'!$D$56:$D$75))),IF('TS-PILE'!$B$71="",-1E+99,'TO HOP NLAN'!D157/ncoc+IF(SUMSQ('TS-PILE'!$E$56:$E$75)=0,0,'TO HOP NLAN'!E157*'TS-PILE'!$E$71/SUMSQ('TS-PILE'!$E$56:$E$75))+IF(SUMSQ('TS-PILE'!$D$56:$D$75)=0,0,'TO HOP NLAN'!F157*'TS-PILE'!$D$71/SUMSQ('TS-PILE'!$D$56:$D$75))),IF('TS-PILE'!$B$72="",-1E+99,'TO HOP NLAN'!D157/ncoc+IF(SUMSQ('TS-PILE'!$E$56:$E$75)=0,0,'TO HOP NLAN'!E157*'TS-PILE'!$E$72/SUMSQ('TS-PILE'!$E$56:$E$75))+IF(SUMSQ('TS-PILE'!$D$56:$D$75)=0,0,'TO HOP NLAN'!F157*'TS-PILE'!$D$72/SUMSQ('TS-PILE'!$D$56:$D$75))),IF('TS-PILE'!$B$73="",-1E+99,'TO HOP NLAN'!D157/ncoc+IF(SUMSQ('TS-PILE'!$E$56:$E$75)=0,0,'TO HOP NLAN'!E157*'TS-PILE'!$E$73/SUMSQ('TS-PILE'!$E$56:$E$75))+IF(SUMSQ('TS-PILE'!$D$56:$D$75)=0,0,'TO HOP NLAN'!F157*'TS-PILE'!$D$73/SUMSQ('TS-PILE'!$D$56:$D$75))),IF('TS-PILE'!$B$74="",-1E+99,'TO HOP NLAN'!D157/ncoc+IF(SUMSQ('TS-PILE'!$E$56:$E$75)=0,0,'TO HOP NLAN'!E157*'TS-PILE'!$E$74/SUMSQ('TS-PILE'!$E$56:$E$75))+IF(SUMSQ('TS-PILE'!$D$56:$D$75)=0,0,'TO HOP NLAN'!F157*'TS-PILE'!$D$74/SUMSQ('TS-PILE'!$D$56:$D$75))),IF('TS-PILE'!$B$75="",-1E+99,'TO HOP NLAN'!D157/ncoc+IF(SUMSQ('TS-PILE'!$E$56:$E$75)=0,0,'TO HOP NLAN'!E157*'TS-PILE'!$E$75/SUMSQ('TS-PILE'!$E$56:$E$75))+IF(SUMSQ('TS-PILE'!$D$56:$D$75)=0,0,'TO HOP NLAN'!F157*'TS-PILE'!$D$75/SUMSQ('TS-PILE'!$D$56:$D$75)))))</f>
        <v>0</v>
      </c>
      <c r="D157" s="46">
        <f>IF(A157="",0,MIN(IF('TS-PILE'!$B$56="",1E+99,'TO HOP NLAN'!D157/ncoc+IF(SUMSQ('TS-PILE'!$E$56:$E$75)=0,0,'TO HOP NLAN'!E157*'TS-PILE'!$E$56/SUMSQ('TS-PILE'!$E$56:$E$75))+IF(SUMSQ('TS-PILE'!$D$56:$D$75)=0,0,'TO HOP NLAN'!F157*'TS-PILE'!$D$56/SUMSQ('TS-PILE'!$D$56:$D$75))),IF('TS-PILE'!$B$57="",1E+99,'TO HOP NLAN'!D157/ncoc+IF(SUMSQ('TS-PILE'!$E$56:$E$75)=0,0,'TO HOP NLAN'!E157*'TS-PILE'!$E$57/SUMSQ('TS-PILE'!$E$56:$E$75))+IF(SUMSQ('TS-PILE'!$D$56:$D$75)=0,0,'TO HOP NLAN'!F157*'TS-PILE'!$D$57/SUMSQ('TS-PILE'!$D$56:$D$75))),IF('TS-PILE'!$B$58="",1E+99,'TO HOP NLAN'!D157/ncoc+IF(SUMSQ('TS-PILE'!$E$56:$E$75)=0,0,'TO HOP NLAN'!E157*'TS-PILE'!$E$58/SUMSQ('TS-PILE'!$E$56:$E$75))+IF(SUMSQ('TS-PILE'!$D$56:$D$75)=0,0,'TO HOP NLAN'!F157*'TS-PILE'!$D$58/SUMSQ('TS-PILE'!$D$56:$D$75))),IF('TS-PILE'!$B$59="",1E+99,'TO HOP NLAN'!D157/ncoc+IF(SUMSQ('TS-PILE'!$E$56:$E$75)=0,0,'TO HOP NLAN'!E157*'TS-PILE'!$E$59/SUMSQ('TS-PILE'!$E$56:$E$75))+IF(SUMSQ('TS-PILE'!$D$56:$D$75)=0,0,'TO HOP NLAN'!F157*'TS-PILE'!$D$59/SUMSQ('TS-PILE'!$D$56:$D$75))),IF('TS-PILE'!$B$60="",1E+99,'TO HOP NLAN'!D157/ncoc+IF(SUMSQ('TS-PILE'!$E$56:$E$75)=0,0,'TO HOP NLAN'!E157*'TS-PILE'!$E$60/SUMSQ('TS-PILE'!$E$56:$E$75))+IF(SUMSQ('TS-PILE'!$D$56:$D$75)=0,0,'TO HOP NLAN'!F157*'TS-PILE'!$D$60/SUMSQ('TS-PILE'!$D$56:$D$75))),IF('TS-PILE'!$B$61="",1E+99,'TO HOP NLAN'!D157/ncoc+IF(SUMSQ('TS-PILE'!$E$56:$E$75)=0,0,'TO HOP NLAN'!E157*'TS-PILE'!$E$61/SUMSQ('TS-PILE'!$E$56:$E$75))+IF(SUMSQ('TS-PILE'!$D$56:$D$75)=0,0,'TO HOP NLAN'!F157*'TS-PILE'!$D$61/SUMSQ('TS-PILE'!$D$56:$D$75))),IF('TS-PILE'!$B$62="",1E+99,'TO HOP NLAN'!D157/ncoc+IF(SUMSQ('TS-PILE'!$E$56:$E$75)=0,0,'TO HOP NLAN'!E157*'TS-PILE'!$E$62/SUMSQ('TS-PILE'!$E$56:$E$75))+IF(SUMSQ('TS-PILE'!$D$56:$D$75)=0,0,'TO HOP NLAN'!F157*'TS-PILE'!$D$62/SUMSQ('TS-PILE'!$D$56:$D$75))),IF('TS-PILE'!$B$63="",1E+99,'TO HOP NLAN'!D157/ncoc+IF(SUMSQ('TS-PILE'!$E$56:$E$75)=0,0,'TO HOP NLAN'!E157*'TS-PILE'!$E$63/SUMSQ('TS-PILE'!$E$56:$E$75))+IF(SUMSQ('TS-PILE'!$D$56:$D$75)=0,0,'TO HOP NLAN'!F157*'TS-PILE'!$D$63/SUMSQ('TS-PILE'!$D$56:$D$75))),IF('TS-PILE'!$B$64="",1E+99,'TO HOP NLAN'!D157/ncoc+IF(SUMSQ('TS-PILE'!$E$56:$E$75)=0,0,'TO HOP NLAN'!E157*'TS-PILE'!$E$64/SUMSQ('TS-PILE'!$E$56:$E$75))+IF(SUMSQ('TS-PILE'!$D$56:$D$75)=0,0,'TO HOP NLAN'!F157*'TS-PILE'!$D$64/SUMSQ('TS-PILE'!$D$56:$D$75))),IF('TS-PILE'!$B$65="",1E+99,'TO HOP NLAN'!D157/ncoc+IF(SUMSQ('TS-PILE'!$E$56:$E$75)=0,0,'TO HOP NLAN'!E157*'TS-PILE'!$E$65/SUMSQ('TS-PILE'!$E$56:$E$75))+IF(SUMSQ('TS-PILE'!$D$56:$D$75)=0,0,'TO HOP NLAN'!F157*'TS-PILE'!$D$65/SUMSQ('TS-PILE'!$D$56:$D$75))),IF('TS-PILE'!$B$66="",1E+99,'TO HOP NLAN'!D157/ncoc+IF(SUMSQ('TS-PILE'!$E$56:$E$75)=0,0,'TO HOP NLAN'!E157*'TS-PILE'!$E$66/SUMSQ('TS-PILE'!$E$56:$E$75))+IF(SUMSQ('TS-PILE'!$D$56:$D$75)=0,0,'TO HOP NLAN'!F157*'TS-PILE'!$D$66/SUMSQ('TS-PILE'!$D$56:$D$75))),IF('TS-PILE'!$B$67="",1E+99,'TO HOP NLAN'!D157/ncoc+IF(SUMSQ('TS-PILE'!$E$56:$E$75)=0,0,'TO HOP NLAN'!E157*'TS-PILE'!$E$67/SUMSQ('TS-PILE'!$E$56:$E$75))+IF(SUMSQ('TS-PILE'!$D$56:$D$75)=0,0,'TO HOP NLAN'!F157*'TS-PILE'!$D$67/SUMSQ('TS-PILE'!$D$56:$D$75))),IF('TS-PILE'!$B$68="",1E+99,'TO HOP NLAN'!D157/ncoc+IF(SUMSQ('TS-PILE'!$E$56:$E$75)=0,0,'TO HOP NLAN'!E157*'TS-PILE'!$E$68/SUMSQ('TS-PILE'!$E$56:$E$75))+IF(SUMSQ('TS-PILE'!$D$56:$D$75)=0,0,'TO HOP NLAN'!F157*'TS-PILE'!$D$68/SUMSQ('TS-PILE'!$D$56:$D$75))),IF('TS-PILE'!$B$69="",1E+99,'TO HOP NLAN'!D157/ncoc+IF(SUMSQ('TS-PILE'!$E$56:$E$75)=0,0,'TO HOP NLAN'!E157*'TS-PILE'!$E$69/SUMSQ('TS-PILE'!$E$56:$E$75))+IF(SUMSQ('TS-PILE'!$D$56:$D$75)=0,0,'TO HOP NLAN'!F157*'TS-PILE'!$D$69/SUMSQ('TS-PILE'!$D$56:$D$75))),IF('TS-PILE'!$B$70="",1E+99,'TO HOP NLAN'!D157/ncoc+IF(SUMSQ('TS-PILE'!$E$56:$E$75)=0,0,'TO HOP NLAN'!E157*'TS-PILE'!$E$70/SUMSQ('TS-PILE'!$E$56:$E$75))+IF(SUMSQ('TS-PILE'!$D$56:$D$75)=0,0,'TO HOP NLAN'!F157*'TS-PILE'!$D$70/SUMSQ('TS-PILE'!$D$56:$D$75))),IF('TS-PILE'!$B$71="",1E+99,'TO HOP NLAN'!D157/ncoc+IF(SUMSQ('TS-PILE'!$E$56:$E$75)=0,0,'TO HOP NLAN'!E157*'TS-PILE'!$E$71/SUMSQ('TS-PILE'!$E$56:$E$75))+IF(SUMSQ('TS-PILE'!$D$56:$D$75)=0,0,'TO HOP NLAN'!F157*'TS-PILE'!$D$71/SUMSQ('TS-PILE'!$D$56:$D$75))),IF('TS-PILE'!$B$72="",1E+99,'TO HOP NLAN'!D157/ncoc+IF(SUMSQ('TS-PILE'!$E$56:$E$75)=0,0,'TO HOP NLAN'!E157*'TS-PILE'!$E$72/SUMSQ('TS-PILE'!$E$56:$E$75))+IF(SUMSQ('TS-PILE'!$D$56:$D$75)=0,0,'TO HOP NLAN'!F157*'TS-PILE'!$D$72/SUMSQ('TS-PILE'!$D$56:$D$75))),IF('TS-PILE'!$B$73="",1E+99,'TO HOP NLAN'!D157/ncoc+IF(SUMSQ('TS-PILE'!$E$56:$E$75)=0,0,'TO HOP NLAN'!E157*'TS-PILE'!$E$73/SUMSQ('TS-PILE'!$E$56:$E$75))+IF(SUMSQ('TS-PILE'!$D$56:$D$75)=0,0,'TO HOP NLAN'!F157*'TS-PILE'!$D$73/SUMSQ('TS-PILE'!$D$56:$D$75))),IF('TS-PILE'!$B$74="",1E+99,'TO HOP NLAN'!D157/ncoc+IF(SUMSQ('TS-PILE'!$E$56:$E$75)=0,0,'TO HOP NLAN'!E157*'TS-PILE'!$E$74/SUMSQ('TS-PILE'!$E$56:$E$75))+IF(SUMSQ('TS-PILE'!$D$56:$D$75)=0,0,'TO HOP NLAN'!F157*'TS-PILE'!$D$74/SUMSQ('TS-PILE'!$D$56:$D$75))),IF('TS-PILE'!$B$75="",1E+99,'TO HOP NLAN'!D157/ncoc+IF(SUMSQ('TS-PILE'!$E$56:$E$75)=0,0,'TO HOP NLAN'!E157*'TS-PILE'!$E$75/SUMSQ('TS-PILE'!$E$56:$E$75))+IF(SUMSQ('TS-PILE'!$D$56:$D$75)=0,0,'TO HOP NLAN'!F157*'TS-PILE'!$D$75/SUMSQ('TS-PILE'!$D$56:$D$75)))))</f>
        <v>0</v>
      </c>
      <c r="E157" s="46">
        <f t="shared" si="8"/>
        <v>-9.9999999999999997E+98</v>
      </c>
      <c r="F157" s="46">
        <f t="shared" si="9"/>
        <v>9.9999999999999997E+98</v>
      </c>
      <c r="G157" s="46">
        <f t="shared" si="10"/>
        <v>-9.9999999999999997E+98</v>
      </c>
      <c r="H157" s="46">
        <f t="shared" si="11"/>
        <v>9.9999999999999997E+98</v>
      </c>
    </row>
    <row r="158" spans="1:8" x14ac:dyDescent="0.3">
      <c r="A158" s="40" t="str">
        <f>'TO HOP NLAN'!A158</f>
        <v/>
      </c>
      <c r="B158" s="40" t="str">
        <f>'TO HOP NLAN'!L158</f>
        <v>STRENGTH</v>
      </c>
      <c r="C158" s="46">
        <f>IF(A158="",0,MAX(IF('TS-PILE'!$B$56="",-1E+99,'TO HOP NLAN'!D158/ncoc+IF(SUMSQ('TS-PILE'!$E$56:$E$75)=0,0,'TO HOP NLAN'!E158*'TS-PILE'!$E$56/SUMSQ('TS-PILE'!$E$56:$E$75))+IF(SUMSQ('TS-PILE'!$D$56:$D$75)=0,0,'TO HOP NLAN'!F158*'TS-PILE'!$D$56/SUMSQ('TS-PILE'!$D$56:$D$75))),IF('TS-PILE'!$B$57="",-1E+99,'TO HOP NLAN'!D158/ncoc+IF(SUMSQ('TS-PILE'!$E$56:$E$75)=0,0,'TO HOP NLAN'!E158*'TS-PILE'!$E$57/SUMSQ('TS-PILE'!$E$56:$E$75))+IF(SUMSQ('TS-PILE'!$D$56:$D$75)=0,0,'TO HOP NLAN'!F158*'TS-PILE'!$D$57/SUMSQ('TS-PILE'!$D$56:$D$75))),IF('TS-PILE'!$B$58="",-1E+99,'TO HOP NLAN'!D158/ncoc+IF(SUMSQ('TS-PILE'!$E$56:$E$75)=0,0,'TO HOP NLAN'!E158*'TS-PILE'!$E$58/SUMSQ('TS-PILE'!$E$56:$E$75))+IF(SUMSQ('TS-PILE'!$D$56:$D$75)=0,0,'TO HOP NLAN'!F158*'TS-PILE'!$D$58/SUMSQ('TS-PILE'!$D$56:$D$75))),IF('TS-PILE'!$B$59="",-1E+99,'TO HOP NLAN'!D158/ncoc+IF(SUMSQ('TS-PILE'!$E$56:$E$75)=0,0,'TO HOP NLAN'!E158*'TS-PILE'!$E$59/SUMSQ('TS-PILE'!$E$56:$E$75))+IF(SUMSQ('TS-PILE'!$D$56:$D$75)=0,0,'TO HOP NLAN'!F158*'TS-PILE'!$D$59/SUMSQ('TS-PILE'!$D$56:$D$75))),IF('TS-PILE'!$B$60="",-1E+99,'TO HOP NLAN'!D158/ncoc+IF(SUMSQ('TS-PILE'!$E$56:$E$75)=0,0,'TO HOP NLAN'!E158*'TS-PILE'!$E$60/SUMSQ('TS-PILE'!$E$56:$E$75))+IF(SUMSQ('TS-PILE'!$D$56:$D$75)=0,0,'TO HOP NLAN'!F158*'TS-PILE'!$D$60/SUMSQ('TS-PILE'!$D$56:$D$75))),IF('TS-PILE'!$B$61="",-1E+99,'TO HOP NLAN'!D158/ncoc+IF(SUMSQ('TS-PILE'!$E$56:$E$75)=0,0,'TO HOP NLAN'!E158*'TS-PILE'!$E$61/SUMSQ('TS-PILE'!$E$56:$E$75))+IF(SUMSQ('TS-PILE'!$D$56:$D$75)=0,0,'TO HOP NLAN'!F158*'TS-PILE'!$D$61/SUMSQ('TS-PILE'!$D$56:$D$75))),IF('TS-PILE'!$B$62="",-1E+99,'TO HOP NLAN'!D158/ncoc+IF(SUMSQ('TS-PILE'!$E$56:$E$75)=0,0,'TO HOP NLAN'!E158*'TS-PILE'!$E$62/SUMSQ('TS-PILE'!$E$56:$E$75))+IF(SUMSQ('TS-PILE'!$D$56:$D$75)=0,0,'TO HOP NLAN'!F158*'TS-PILE'!$D$62/SUMSQ('TS-PILE'!$D$56:$D$75))),IF('TS-PILE'!$B$63="",-1E+99,'TO HOP NLAN'!D158/ncoc+IF(SUMSQ('TS-PILE'!$E$56:$E$75)=0,0,'TO HOP NLAN'!E158*'TS-PILE'!$E$63/SUMSQ('TS-PILE'!$E$56:$E$75))+IF(SUMSQ('TS-PILE'!$D$56:$D$75)=0,0,'TO HOP NLAN'!F158*'TS-PILE'!$D$63/SUMSQ('TS-PILE'!$D$56:$D$75))),IF('TS-PILE'!$B$64="",-1E+99,'TO HOP NLAN'!D158/ncoc+IF(SUMSQ('TS-PILE'!$E$56:$E$75)=0,0,'TO HOP NLAN'!E158*'TS-PILE'!$E$64/SUMSQ('TS-PILE'!$E$56:$E$75))+IF(SUMSQ('TS-PILE'!$D$56:$D$75)=0,0,'TO HOP NLAN'!F158*'TS-PILE'!$D$64/SUMSQ('TS-PILE'!$D$56:$D$75))),IF('TS-PILE'!$B$65="",-1E+99,'TO HOP NLAN'!D158/ncoc+IF(SUMSQ('TS-PILE'!$E$56:$E$75)=0,0,'TO HOP NLAN'!E158*'TS-PILE'!$E$65/SUMSQ('TS-PILE'!$E$56:$E$75))+IF(SUMSQ('TS-PILE'!$D$56:$D$75)=0,0,'TO HOP NLAN'!F158*'TS-PILE'!$D$65/SUMSQ('TS-PILE'!$D$56:$D$75))),IF('TS-PILE'!$B$66="",-1E+99,'TO HOP NLAN'!D158/ncoc+IF(SUMSQ('TS-PILE'!$E$56:$E$75)=0,0,'TO HOP NLAN'!E158*'TS-PILE'!$E$66/SUMSQ('TS-PILE'!$E$56:$E$75))+IF(SUMSQ('TS-PILE'!$D$56:$D$75)=0,0,'TO HOP NLAN'!F158*'TS-PILE'!$D$66/SUMSQ('TS-PILE'!$D$56:$D$75))),IF('TS-PILE'!$B$67="",-1E+99,'TO HOP NLAN'!D158/ncoc+IF(SUMSQ('TS-PILE'!$E$56:$E$75)=0,0,'TO HOP NLAN'!E158*'TS-PILE'!$E$67/SUMSQ('TS-PILE'!$E$56:$E$75))+IF(SUMSQ('TS-PILE'!$D$56:$D$75)=0,0,'TO HOP NLAN'!F158*'TS-PILE'!$D$67/SUMSQ('TS-PILE'!$D$56:$D$75))),IF('TS-PILE'!$B$68="",-1E+99,'TO HOP NLAN'!D158/ncoc+IF(SUMSQ('TS-PILE'!$E$56:$E$75)=0,0,'TO HOP NLAN'!E158*'TS-PILE'!$E$68/SUMSQ('TS-PILE'!$E$56:$E$75))+IF(SUMSQ('TS-PILE'!$D$56:$D$75)=0,0,'TO HOP NLAN'!F158*'TS-PILE'!$D$68/SUMSQ('TS-PILE'!$D$56:$D$75))),IF('TS-PILE'!$B$69="",-1E+99,'TO HOP NLAN'!D158/ncoc+IF(SUMSQ('TS-PILE'!$E$56:$E$75)=0,0,'TO HOP NLAN'!E158*'TS-PILE'!$E$69/SUMSQ('TS-PILE'!$E$56:$E$75))+IF(SUMSQ('TS-PILE'!$D$56:$D$75)=0,0,'TO HOP NLAN'!F158*'TS-PILE'!$D$69/SUMSQ('TS-PILE'!$D$56:$D$75))),IF('TS-PILE'!$B$70="",-1E+99,'TO HOP NLAN'!D158/ncoc+IF(SUMSQ('TS-PILE'!$E$56:$E$75)=0,0,'TO HOP NLAN'!E158*'TS-PILE'!$E$70/SUMSQ('TS-PILE'!$E$56:$E$75))+IF(SUMSQ('TS-PILE'!$D$56:$D$75)=0,0,'TO HOP NLAN'!F158*'TS-PILE'!$D$70/SUMSQ('TS-PILE'!$D$56:$D$75))),IF('TS-PILE'!$B$71="",-1E+99,'TO HOP NLAN'!D158/ncoc+IF(SUMSQ('TS-PILE'!$E$56:$E$75)=0,0,'TO HOP NLAN'!E158*'TS-PILE'!$E$71/SUMSQ('TS-PILE'!$E$56:$E$75))+IF(SUMSQ('TS-PILE'!$D$56:$D$75)=0,0,'TO HOP NLAN'!F158*'TS-PILE'!$D$71/SUMSQ('TS-PILE'!$D$56:$D$75))),IF('TS-PILE'!$B$72="",-1E+99,'TO HOP NLAN'!D158/ncoc+IF(SUMSQ('TS-PILE'!$E$56:$E$75)=0,0,'TO HOP NLAN'!E158*'TS-PILE'!$E$72/SUMSQ('TS-PILE'!$E$56:$E$75))+IF(SUMSQ('TS-PILE'!$D$56:$D$75)=0,0,'TO HOP NLAN'!F158*'TS-PILE'!$D$72/SUMSQ('TS-PILE'!$D$56:$D$75))),IF('TS-PILE'!$B$73="",-1E+99,'TO HOP NLAN'!D158/ncoc+IF(SUMSQ('TS-PILE'!$E$56:$E$75)=0,0,'TO HOP NLAN'!E158*'TS-PILE'!$E$73/SUMSQ('TS-PILE'!$E$56:$E$75))+IF(SUMSQ('TS-PILE'!$D$56:$D$75)=0,0,'TO HOP NLAN'!F158*'TS-PILE'!$D$73/SUMSQ('TS-PILE'!$D$56:$D$75))),IF('TS-PILE'!$B$74="",-1E+99,'TO HOP NLAN'!D158/ncoc+IF(SUMSQ('TS-PILE'!$E$56:$E$75)=0,0,'TO HOP NLAN'!E158*'TS-PILE'!$E$74/SUMSQ('TS-PILE'!$E$56:$E$75))+IF(SUMSQ('TS-PILE'!$D$56:$D$75)=0,0,'TO HOP NLAN'!F158*'TS-PILE'!$D$74/SUMSQ('TS-PILE'!$D$56:$D$75))),IF('TS-PILE'!$B$75="",-1E+99,'TO HOP NLAN'!D158/ncoc+IF(SUMSQ('TS-PILE'!$E$56:$E$75)=0,0,'TO HOP NLAN'!E158*'TS-PILE'!$E$75/SUMSQ('TS-PILE'!$E$56:$E$75))+IF(SUMSQ('TS-PILE'!$D$56:$D$75)=0,0,'TO HOP NLAN'!F158*'TS-PILE'!$D$75/SUMSQ('TS-PILE'!$D$56:$D$75)))))</f>
        <v>0</v>
      </c>
      <c r="D158" s="46">
        <f>IF(A158="",0,MIN(IF('TS-PILE'!$B$56="",1E+99,'TO HOP NLAN'!D158/ncoc+IF(SUMSQ('TS-PILE'!$E$56:$E$75)=0,0,'TO HOP NLAN'!E158*'TS-PILE'!$E$56/SUMSQ('TS-PILE'!$E$56:$E$75))+IF(SUMSQ('TS-PILE'!$D$56:$D$75)=0,0,'TO HOP NLAN'!F158*'TS-PILE'!$D$56/SUMSQ('TS-PILE'!$D$56:$D$75))),IF('TS-PILE'!$B$57="",1E+99,'TO HOP NLAN'!D158/ncoc+IF(SUMSQ('TS-PILE'!$E$56:$E$75)=0,0,'TO HOP NLAN'!E158*'TS-PILE'!$E$57/SUMSQ('TS-PILE'!$E$56:$E$75))+IF(SUMSQ('TS-PILE'!$D$56:$D$75)=0,0,'TO HOP NLAN'!F158*'TS-PILE'!$D$57/SUMSQ('TS-PILE'!$D$56:$D$75))),IF('TS-PILE'!$B$58="",1E+99,'TO HOP NLAN'!D158/ncoc+IF(SUMSQ('TS-PILE'!$E$56:$E$75)=0,0,'TO HOP NLAN'!E158*'TS-PILE'!$E$58/SUMSQ('TS-PILE'!$E$56:$E$75))+IF(SUMSQ('TS-PILE'!$D$56:$D$75)=0,0,'TO HOP NLAN'!F158*'TS-PILE'!$D$58/SUMSQ('TS-PILE'!$D$56:$D$75))),IF('TS-PILE'!$B$59="",1E+99,'TO HOP NLAN'!D158/ncoc+IF(SUMSQ('TS-PILE'!$E$56:$E$75)=0,0,'TO HOP NLAN'!E158*'TS-PILE'!$E$59/SUMSQ('TS-PILE'!$E$56:$E$75))+IF(SUMSQ('TS-PILE'!$D$56:$D$75)=0,0,'TO HOP NLAN'!F158*'TS-PILE'!$D$59/SUMSQ('TS-PILE'!$D$56:$D$75))),IF('TS-PILE'!$B$60="",1E+99,'TO HOP NLAN'!D158/ncoc+IF(SUMSQ('TS-PILE'!$E$56:$E$75)=0,0,'TO HOP NLAN'!E158*'TS-PILE'!$E$60/SUMSQ('TS-PILE'!$E$56:$E$75))+IF(SUMSQ('TS-PILE'!$D$56:$D$75)=0,0,'TO HOP NLAN'!F158*'TS-PILE'!$D$60/SUMSQ('TS-PILE'!$D$56:$D$75))),IF('TS-PILE'!$B$61="",1E+99,'TO HOP NLAN'!D158/ncoc+IF(SUMSQ('TS-PILE'!$E$56:$E$75)=0,0,'TO HOP NLAN'!E158*'TS-PILE'!$E$61/SUMSQ('TS-PILE'!$E$56:$E$75))+IF(SUMSQ('TS-PILE'!$D$56:$D$75)=0,0,'TO HOP NLAN'!F158*'TS-PILE'!$D$61/SUMSQ('TS-PILE'!$D$56:$D$75))),IF('TS-PILE'!$B$62="",1E+99,'TO HOP NLAN'!D158/ncoc+IF(SUMSQ('TS-PILE'!$E$56:$E$75)=0,0,'TO HOP NLAN'!E158*'TS-PILE'!$E$62/SUMSQ('TS-PILE'!$E$56:$E$75))+IF(SUMSQ('TS-PILE'!$D$56:$D$75)=0,0,'TO HOP NLAN'!F158*'TS-PILE'!$D$62/SUMSQ('TS-PILE'!$D$56:$D$75))),IF('TS-PILE'!$B$63="",1E+99,'TO HOP NLAN'!D158/ncoc+IF(SUMSQ('TS-PILE'!$E$56:$E$75)=0,0,'TO HOP NLAN'!E158*'TS-PILE'!$E$63/SUMSQ('TS-PILE'!$E$56:$E$75))+IF(SUMSQ('TS-PILE'!$D$56:$D$75)=0,0,'TO HOP NLAN'!F158*'TS-PILE'!$D$63/SUMSQ('TS-PILE'!$D$56:$D$75))),IF('TS-PILE'!$B$64="",1E+99,'TO HOP NLAN'!D158/ncoc+IF(SUMSQ('TS-PILE'!$E$56:$E$75)=0,0,'TO HOP NLAN'!E158*'TS-PILE'!$E$64/SUMSQ('TS-PILE'!$E$56:$E$75))+IF(SUMSQ('TS-PILE'!$D$56:$D$75)=0,0,'TO HOP NLAN'!F158*'TS-PILE'!$D$64/SUMSQ('TS-PILE'!$D$56:$D$75))),IF('TS-PILE'!$B$65="",1E+99,'TO HOP NLAN'!D158/ncoc+IF(SUMSQ('TS-PILE'!$E$56:$E$75)=0,0,'TO HOP NLAN'!E158*'TS-PILE'!$E$65/SUMSQ('TS-PILE'!$E$56:$E$75))+IF(SUMSQ('TS-PILE'!$D$56:$D$75)=0,0,'TO HOP NLAN'!F158*'TS-PILE'!$D$65/SUMSQ('TS-PILE'!$D$56:$D$75))),IF('TS-PILE'!$B$66="",1E+99,'TO HOP NLAN'!D158/ncoc+IF(SUMSQ('TS-PILE'!$E$56:$E$75)=0,0,'TO HOP NLAN'!E158*'TS-PILE'!$E$66/SUMSQ('TS-PILE'!$E$56:$E$75))+IF(SUMSQ('TS-PILE'!$D$56:$D$75)=0,0,'TO HOP NLAN'!F158*'TS-PILE'!$D$66/SUMSQ('TS-PILE'!$D$56:$D$75))),IF('TS-PILE'!$B$67="",1E+99,'TO HOP NLAN'!D158/ncoc+IF(SUMSQ('TS-PILE'!$E$56:$E$75)=0,0,'TO HOP NLAN'!E158*'TS-PILE'!$E$67/SUMSQ('TS-PILE'!$E$56:$E$75))+IF(SUMSQ('TS-PILE'!$D$56:$D$75)=0,0,'TO HOP NLAN'!F158*'TS-PILE'!$D$67/SUMSQ('TS-PILE'!$D$56:$D$75))),IF('TS-PILE'!$B$68="",1E+99,'TO HOP NLAN'!D158/ncoc+IF(SUMSQ('TS-PILE'!$E$56:$E$75)=0,0,'TO HOP NLAN'!E158*'TS-PILE'!$E$68/SUMSQ('TS-PILE'!$E$56:$E$75))+IF(SUMSQ('TS-PILE'!$D$56:$D$75)=0,0,'TO HOP NLAN'!F158*'TS-PILE'!$D$68/SUMSQ('TS-PILE'!$D$56:$D$75))),IF('TS-PILE'!$B$69="",1E+99,'TO HOP NLAN'!D158/ncoc+IF(SUMSQ('TS-PILE'!$E$56:$E$75)=0,0,'TO HOP NLAN'!E158*'TS-PILE'!$E$69/SUMSQ('TS-PILE'!$E$56:$E$75))+IF(SUMSQ('TS-PILE'!$D$56:$D$75)=0,0,'TO HOP NLAN'!F158*'TS-PILE'!$D$69/SUMSQ('TS-PILE'!$D$56:$D$75))),IF('TS-PILE'!$B$70="",1E+99,'TO HOP NLAN'!D158/ncoc+IF(SUMSQ('TS-PILE'!$E$56:$E$75)=0,0,'TO HOP NLAN'!E158*'TS-PILE'!$E$70/SUMSQ('TS-PILE'!$E$56:$E$75))+IF(SUMSQ('TS-PILE'!$D$56:$D$75)=0,0,'TO HOP NLAN'!F158*'TS-PILE'!$D$70/SUMSQ('TS-PILE'!$D$56:$D$75))),IF('TS-PILE'!$B$71="",1E+99,'TO HOP NLAN'!D158/ncoc+IF(SUMSQ('TS-PILE'!$E$56:$E$75)=0,0,'TO HOP NLAN'!E158*'TS-PILE'!$E$71/SUMSQ('TS-PILE'!$E$56:$E$75))+IF(SUMSQ('TS-PILE'!$D$56:$D$75)=0,0,'TO HOP NLAN'!F158*'TS-PILE'!$D$71/SUMSQ('TS-PILE'!$D$56:$D$75))),IF('TS-PILE'!$B$72="",1E+99,'TO HOP NLAN'!D158/ncoc+IF(SUMSQ('TS-PILE'!$E$56:$E$75)=0,0,'TO HOP NLAN'!E158*'TS-PILE'!$E$72/SUMSQ('TS-PILE'!$E$56:$E$75))+IF(SUMSQ('TS-PILE'!$D$56:$D$75)=0,0,'TO HOP NLAN'!F158*'TS-PILE'!$D$72/SUMSQ('TS-PILE'!$D$56:$D$75))),IF('TS-PILE'!$B$73="",1E+99,'TO HOP NLAN'!D158/ncoc+IF(SUMSQ('TS-PILE'!$E$56:$E$75)=0,0,'TO HOP NLAN'!E158*'TS-PILE'!$E$73/SUMSQ('TS-PILE'!$E$56:$E$75))+IF(SUMSQ('TS-PILE'!$D$56:$D$75)=0,0,'TO HOP NLAN'!F158*'TS-PILE'!$D$73/SUMSQ('TS-PILE'!$D$56:$D$75))),IF('TS-PILE'!$B$74="",1E+99,'TO HOP NLAN'!D158/ncoc+IF(SUMSQ('TS-PILE'!$E$56:$E$75)=0,0,'TO HOP NLAN'!E158*'TS-PILE'!$E$74/SUMSQ('TS-PILE'!$E$56:$E$75))+IF(SUMSQ('TS-PILE'!$D$56:$D$75)=0,0,'TO HOP NLAN'!F158*'TS-PILE'!$D$74/SUMSQ('TS-PILE'!$D$56:$D$75))),IF('TS-PILE'!$B$75="",1E+99,'TO HOP NLAN'!D158/ncoc+IF(SUMSQ('TS-PILE'!$E$56:$E$75)=0,0,'TO HOP NLAN'!E158*'TS-PILE'!$E$75/SUMSQ('TS-PILE'!$E$56:$E$75))+IF(SUMSQ('TS-PILE'!$D$56:$D$75)=0,0,'TO HOP NLAN'!F158*'TS-PILE'!$D$75/SUMSQ('TS-PILE'!$D$56:$D$75)))))</f>
        <v>0</v>
      </c>
      <c r="E158" s="46">
        <f t="shared" si="8"/>
        <v>-9.9999999999999997E+98</v>
      </c>
      <c r="F158" s="46">
        <f t="shared" si="9"/>
        <v>9.9999999999999997E+98</v>
      </c>
      <c r="G158" s="46">
        <f t="shared" si="10"/>
        <v>-9.9999999999999997E+98</v>
      </c>
      <c r="H158" s="46">
        <f t="shared" si="11"/>
        <v>9.9999999999999997E+98</v>
      </c>
    </row>
    <row r="159" spans="1:8" x14ac:dyDescent="0.3">
      <c r="A159" s="40" t="str">
        <f>'TO HOP NLAN'!A159</f>
        <v/>
      </c>
      <c r="B159" s="40" t="str">
        <f>'TO HOP NLAN'!L159</f>
        <v>STRENGTH</v>
      </c>
      <c r="C159" s="46">
        <f>IF(A159="",0,MAX(IF('TS-PILE'!$B$56="",-1E+99,'TO HOP NLAN'!D159/ncoc+IF(SUMSQ('TS-PILE'!$E$56:$E$75)=0,0,'TO HOP NLAN'!E159*'TS-PILE'!$E$56/SUMSQ('TS-PILE'!$E$56:$E$75))+IF(SUMSQ('TS-PILE'!$D$56:$D$75)=0,0,'TO HOP NLAN'!F159*'TS-PILE'!$D$56/SUMSQ('TS-PILE'!$D$56:$D$75))),IF('TS-PILE'!$B$57="",-1E+99,'TO HOP NLAN'!D159/ncoc+IF(SUMSQ('TS-PILE'!$E$56:$E$75)=0,0,'TO HOP NLAN'!E159*'TS-PILE'!$E$57/SUMSQ('TS-PILE'!$E$56:$E$75))+IF(SUMSQ('TS-PILE'!$D$56:$D$75)=0,0,'TO HOP NLAN'!F159*'TS-PILE'!$D$57/SUMSQ('TS-PILE'!$D$56:$D$75))),IF('TS-PILE'!$B$58="",-1E+99,'TO HOP NLAN'!D159/ncoc+IF(SUMSQ('TS-PILE'!$E$56:$E$75)=0,0,'TO HOP NLAN'!E159*'TS-PILE'!$E$58/SUMSQ('TS-PILE'!$E$56:$E$75))+IF(SUMSQ('TS-PILE'!$D$56:$D$75)=0,0,'TO HOP NLAN'!F159*'TS-PILE'!$D$58/SUMSQ('TS-PILE'!$D$56:$D$75))),IF('TS-PILE'!$B$59="",-1E+99,'TO HOP NLAN'!D159/ncoc+IF(SUMSQ('TS-PILE'!$E$56:$E$75)=0,0,'TO HOP NLAN'!E159*'TS-PILE'!$E$59/SUMSQ('TS-PILE'!$E$56:$E$75))+IF(SUMSQ('TS-PILE'!$D$56:$D$75)=0,0,'TO HOP NLAN'!F159*'TS-PILE'!$D$59/SUMSQ('TS-PILE'!$D$56:$D$75))),IF('TS-PILE'!$B$60="",-1E+99,'TO HOP NLAN'!D159/ncoc+IF(SUMSQ('TS-PILE'!$E$56:$E$75)=0,0,'TO HOP NLAN'!E159*'TS-PILE'!$E$60/SUMSQ('TS-PILE'!$E$56:$E$75))+IF(SUMSQ('TS-PILE'!$D$56:$D$75)=0,0,'TO HOP NLAN'!F159*'TS-PILE'!$D$60/SUMSQ('TS-PILE'!$D$56:$D$75))),IF('TS-PILE'!$B$61="",-1E+99,'TO HOP NLAN'!D159/ncoc+IF(SUMSQ('TS-PILE'!$E$56:$E$75)=0,0,'TO HOP NLAN'!E159*'TS-PILE'!$E$61/SUMSQ('TS-PILE'!$E$56:$E$75))+IF(SUMSQ('TS-PILE'!$D$56:$D$75)=0,0,'TO HOP NLAN'!F159*'TS-PILE'!$D$61/SUMSQ('TS-PILE'!$D$56:$D$75))),IF('TS-PILE'!$B$62="",-1E+99,'TO HOP NLAN'!D159/ncoc+IF(SUMSQ('TS-PILE'!$E$56:$E$75)=0,0,'TO HOP NLAN'!E159*'TS-PILE'!$E$62/SUMSQ('TS-PILE'!$E$56:$E$75))+IF(SUMSQ('TS-PILE'!$D$56:$D$75)=0,0,'TO HOP NLAN'!F159*'TS-PILE'!$D$62/SUMSQ('TS-PILE'!$D$56:$D$75))),IF('TS-PILE'!$B$63="",-1E+99,'TO HOP NLAN'!D159/ncoc+IF(SUMSQ('TS-PILE'!$E$56:$E$75)=0,0,'TO HOP NLAN'!E159*'TS-PILE'!$E$63/SUMSQ('TS-PILE'!$E$56:$E$75))+IF(SUMSQ('TS-PILE'!$D$56:$D$75)=0,0,'TO HOP NLAN'!F159*'TS-PILE'!$D$63/SUMSQ('TS-PILE'!$D$56:$D$75))),IF('TS-PILE'!$B$64="",-1E+99,'TO HOP NLAN'!D159/ncoc+IF(SUMSQ('TS-PILE'!$E$56:$E$75)=0,0,'TO HOP NLAN'!E159*'TS-PILE'!$E$64/SUMSQ('TS-PILE'!$E$56:$E$75))+IF(SUMSQ('TS-PILE'!$D$56:$D$75)=0,0,'TO HOP NLAN'!F159*'TS-PILE'!$D$64/SUMSQ('TS-PILE'!$D$56:$D$75))),IF('TS-PILE'!$B$65="",-1E+99,'TO HOP NLAN'!D159/ncoc+IF(SUMSQ('TS-PILE'!$E$56:$E$75)=0,0,'TO HOP NLAN'!E159*'TS-PILE'!$E$65/SUMSQ('TS-PILE'!$E$56:$E$75))+IF(SUMSQ('TS-PILE'!$D$56:$D$75)=0,0,'TO HOP NLAN'!F159*'TS-PILE'!$D$65/SUMSQ('TS-PILE'!$D$56:$D$75))),IF('TS-PILE'!$B$66="",-1E+99,'TO HOP NLAN'!D159/ncoc+IF(SUMSQ('TS-PILE'!$E$56:$E$75)=0,0,'TO HOP NLAN'!E159*'TS-PILE'!$E$66/SUMSQ('TS-PILE'!$E$56:$E$75))+IF(SUMSQ('TS-PILE'!$D$56:$D$75)=0,0,'TO HOP NLAN'!F159*'TS-PILE'!$D$66/SUMSQ('TS-PILE'!$D$56:$D$75))),IF('TS-PILE'!$B$67="",-1E+99,'TO HOP NLAN'!D159/ncoc+IF(SUMSQ('TS-PILE'!$E$56:$E$75)=0,0,'TO HOP NLAN'!E159*'TS-PILE'!$E$67/SUMSQ('TS-PILE'!$E$56:$E$75))+IF(SUMSQ('TS-PILE'!$D$56:$D$75)=0,0,'TO HOP NLAN'!F159*'TS-PILE'!$D$67/SUMSQ('TS-PILE'!$D$56:$D$75))),IF('TS-PILE'!$B$68="",-1E+99,'TO HOP NLAN'!D159/ncoc+IF(SUMSQ('TS-PILE'!$E$56:$E$75)=0,0,'TO HOP NLAN'!E159*'TS-PILE'!$E$68/SUMSQ('TS-PILE'!$E$56:$E$75))+IF(SUMSQ('TS-PILE'!$D$56:$D$75)=0,0,'TO HOP NLAN'!F159*'TS-PILE'!$D$68/SUMSQ('TS-PILE'!$D$56:$D$75))),IF('TS-PILE'!$B$69="",-1E+99,'TO HOP NLAN'!D159/ncoc+IF(SUMSQ('TS-PILE'!$E$56:$E$75)=0,0,'TO HOP NLAN'!E159*'TS-PILE'!$E$69/SUMSQ('TS-PILE'!$E$56:$E$75))+IF(SUMSQ('TS-PILE'!$D$56:$D$75)=0,0,'TO HOP NLAN'!F159*'TS-PILE'!$D$69/SUMSQ('TS-PILE'!$D$56:$D$75))),IF('TS-PILE'!$B$70="",-1E+99,'TO HOP NLAN'!D159/ncoc+IF(SUMSQ('TS-PILE'!$E$56:$E$75)=0,0,'TO HOP NLAN'!E159*'TS-PILE'!$E$70/SUMSQ('TS-PILE'!$E$56:$E$75))+IF(SUMSQ('TS-PILE'!$D$56:$D$75)=0,0,'TO HOP NLAN'!F159*'TS-PILE'!$D$70/SUMSQ('TS-PILE'!$D$56:$D$75))),IF('TS-PILE'!$B$71="",-1E+99,'TO HOP NLAN'!D159/ncoc+IF(SUMSQ('TS-PILE'!$E$56:$E$75)=0,0,'TO HOP NLAN'!E159*'TS-PILE'!$E$71/SUMSQ('TS-PILE'!$E$56:$E$75))+IF(SUMSQ('TS-PILE'!$D$56:$D$75)=0,0,'TO HOP NLAN'!F159*'TS-PILE'!$D$71/SUMSQ('TS-PILE'!$D$56:$D$75))),IF('TS-PILE'!$B$72="",-1E+99,'TO HOP NLAN'!D159/ncoc+IF(SUMSQ('TS-PILE'!$E$56:$E$75)=0,0,'TO HOP NLAN'!E159*'TS-PILE'!$E$72/SUMSQ('TS-PILE'!$E$56:$E$75))+IF(SUMSQ('TS-PILE'!$D$56:$D$75)=0,0,'TO HOP NLAN'!F159*'TS-PILE'!$D$72/SUMSQ('TS-PILE'!$D$56:$D$75))),IF('TS-PILE'!$B$73="",-1E+99,'TO HOP NLAN'!D159/ncoc+IF(SUMSQ('TS-PILE'!$E$56:$E$75)=0,0,'TO HOP NLAN'!E159*'TS-PILE'!$E$73/SUMSQ('TS-PILE'!$E$56:$E$75))+IF(SUMSQ('TS-PILE'!$D$56:$D$75)=0,0,'TO HOP NLAN'!F159*'TS-PILE'!$D$73/SUMSQ('TS-PILE'!$D$56:$D$75))),IF('TS-PILE'!$B$74="",-1E+99,'TO HOP NLAN'!D159/ncoc+IF(SUMSQ('TS-PILE'!$E$56:$E$75)=0,0,'TO HOP NLAN'!E159*'TS-PILE'!$E$74/SUMSQ('TS-PILE'!$E$56:$E$75))+IF(SUMSQ('TS-PILE'!$D$56:$D$75)=0,0,'TO HOP NLAN'!F159*'TS-PILE'!$D$74/SUMSQ('TS-PILE'!$D$56:$D$75))),IF('TS-PILE'!$B$75="",-1E+99,'TO HOP NLAN'!D159/ncoc+IF(SUMSQ('TS-PILE'!$E$56:$E$75)=0,0,'TO HOP NLAN'!E159*'TS-PILE'!$E$75/SUMSQ('TS-PILE'!$E$56:$E$75))+IF(SUMSQ('TS-PILE'!$D$56:$D$75)=0,0,'TO HOP NLAN'!F159*'TS-PILE'!$D$75/SUMSQ('TS-PILE'!$D$56:$D$75)))))</f>
        <v>0</v>
      </c>
      <c r="D159" s="46">
        <f>IF(A159="",0,MIN(IF('TS-PILE'!$B$56="",1E+99,'TO HOP NLAN'!D159/ncoc+IF(SUMSQ('TS-PILE'!$E$56:$E$75)=0,0,'TO HOP NLAN'!E159*'TS-PILE'!$E$56/SUMSQ('TS-PILE'!$E$56:$E$75))+IF(SUMSQ('TS-PILE'!$D$56:$D$75)=0,0,'TO HOP NLAN'!F159*'TS-PILE'!$D$56/SUMSQ('TS-PILE'!$D$56:$D$75))),IF('TS-PILE'!$B$57="",1E+99,'TO HOP NLAN'!D159/ncoc+IF(SUMSQ('TS-PILE'!$E$56:$E$75)=0,0,'TO HOP NLAN'!E159*'TS-PILE'!$E$57/SUMSQ('TS-PILE'!$E$56:$E$75))+IF(SUMSQ('TS-PILE'!$D$56:$D$75)=0,0,'TO HOP NLAN'!F159*'TS-PILE'!$D$57/SUMSQ('TS-PILE'!$D$56:$D$75))),IF('TS-PILE'!$B$58="",1E+99,'TO HOP NLAN'!D159/ncoc+IF(SUMSQ('TS-PILE'!$E$56:$E$75)=0,0,'TO HOP NLAN'!E159*'TS-PILE'!$E$58/SUMSQ('TS-PILE'!$E$56:$E$75))+IF(SUMSQ('TS-PILE'!$D$56:$D$75)=0,0,'TO HOP NLAN'!F159*'TS-PILE'!$D$58/SUMSQ('TS-PILE'!$D$56:$D$75))),IF('TS-PILE'!$B$59="",1E+99,'TO HOP NLAN'!D159/ncoc+IF(SUMSQ('TS-PILE'!$E$56:$E$75)=0,0,'TO HOP NLAN'!E159*'TS-PILE'!$E$59/SUMSQ('TS-PILE'!$E$56:$E$75))+IF(SUMSQ('TS-PILE'!$D$56:$D$75)=0,0,'TO HOP NLAN'!F159*'TS-PILE'!$D$59/SUMSQ('TS-PILE'!$D$56:$D$75))),IF('TS-PILE'!$B$60="",1E+99,'TO HOP NLAN'!D159/ncoc+IF(SUMSQ('TS-PILE'!$E$56:$E$75)=0,0,'TO HOP NLAN'!E159*'TS-PILE'!$E$60/SUMSQ('TS-PILE'!$E$56:$E$75))+IF(SUMSQ('TS-PILE'!$D$56:$D$75)=0,0,'TO HOP NLAN'!F159*'TS-PILE'!$D$60/SUMSQ('TS-PILE'!$D$56:$D$75))),IF('TS-PILE'!$B$61="",1E+99,'TO HOP NLAN'!D159/ncoc+IF(SUMSQ('TS-PILE'!$E$56:$E$75)=0,0,'TO HOP NLAN'!E159*'TS-PILE'!$E$61/SUMSQ('TS-PILE'!$E$56:$E$75))+IF(SUMSQ('TS-PILE'!$D$56:$D$75)=0,0,'TO HOP NLAN'!F159*'TS-PILE'!$D$61/SUMSQ('TS-PILE'!$D$56:$D$75))),IF('TS-PILE'!$B$62="",1E+99,'TO HOP NLAN'!D159/ncoc+IF(SUMSQ('TS-PILE'!$E$56:$E$75)=0,0,'TO HOP NLAN'!E159*'TS-PILE'!$E$62/SUMSQ('TS-PILE'!$E$56:$E$75))+IF(SUMSQ('TS-PILE'!$D$56:$D$75)=0,0,'TO HOP NLAN'!F159*'TS-PILE'!$D$62/SUMSQ('TS-PILE'!$D$56:$D$75))),IF('TS-PILE'!$B$63="",1E+99,'TO HOP NLAN'!D159/ncoc+IF(SUMSQ('TS-PILE'!$E$56:$E$75)=0,0,'TO HOP NLAN'!E159*'TS-PILE'!$E$63/SUMSQ('TS-PILE'!$E$56:$E$75))+IF(SUMSQ('TS-PILE'!$D$56:$D$75)=0,0,'TO HOP NLAN'!F159*'TS-PILE'!$D$63/SUMSQ('TS-PILE'!$D$56:$D$75))),IF('TS-PILE'!$B$64="",1E+99,'TO HOP NLAN'!D159/ncoc+IF(SUMSQ('TS-PILE'!$E$56:$E$75)=0,0,'TO HOP NLAN'!E159*'TS-PILE'!$E$64/SUMSQ('TS-PILE'!$E$56:$E$75))+IF(SUMSQ('TS-PILE'!$D$56:$D$75)=0,0,'TO HOP NLAN'!F159*'TS-PILE'!$D$64/SUMSQ('TS-PILE'!$D$56:$D$75))),IF('TS-PILE'!$B$65="",1E+99,'TO HOP NLAN'!D159/ncoc+IF(SUMSQ('TS-PILE'!$E$56:$E$75)=0,0,'TO HOP NLAN'!E159*'TS-PILE'!$E$65/SUMSQ('TS-PILE'!$E$56:$E$75))+IF(SUMSQ('TS-PILE'!$D$56:$D$75)=0,0,'TO HOP NLAN'!F159*'TS-PILE'!$D$65/SUMSQ('TS-PILE'!$D$56:$D$75))),IF('TS-PILE'!$B$66="",1E+99,'TO HOP NLAN'!D159/ncoc+IF(SUMSQ('TS-PILE'!$E$56:$E$75)=0,0,'TO HOP NLAN'!E159*'TS-PILE'!$E$66/SUMSQ('TS-PILE'!$E$56:$E$75))+IF(SUMSQ('TS-PILE'!$D$56:$D$75)=0,0,'TO HOP NLAN'!F159*'TS-PILE'!$D$66/SUMSQ('TS-PILE'!$D$56:$D$75))),IF('TS-PILE'!$B$67="",1E+99,'TO HOP NLAN'!D159/ncoc+IF(SUMSQ('TS-PILE'!$E$56:$E$75)=0,0,'TO HOP NLAN'!E159*'TS-PILE'!$E$67/SUMSQ('TS-PILE'!$E$56:$E$75))+IF(SUMSQ('TS-PILE'!$D$56:$D$75)=0,0,'TO HOP NLAN'!F159*'TS-PILE'!$D$67/SUMSQ('TS-PILE'!$D$56:$D$75))),IF('TS-PILE'!$B$68="",1E+99,'TO HOP NLAN'!D159/ncoc+IF(SUMSQ('TS-PILE'!$E$56:$E$75)=0,0,'TO HOP NLAN'!E159*'TS-PILE'!$E$68/SUMSQ('TS-PILE'!$E$56:$E$75))+IF(SUMSQ('TS-PILE'!$D$56:$D$75)=0,0,'TO HOP NLAN'!F159*'TS-PILE'!$D$68/SUMSQ('TS-PILE'!$D$56:$D$75))),IF('TS-PILE'!$B$69="",1E+99,'TO HOP NLAN'!D159/ncoc+IF(SUMSQ('TS-PILE'!$E$56:$E$75)=0,0,'TO HOP NLAN'!E159*'TS-PILE'!$E$69/SUMSQ('TS-PILE'!$E$56:$E$75))+IF(SUMSQ('TS-PILE'!$D$56:$D$75)=0,0,'TO HOP NLAN'!F159*'TS-PILE'!$D$69/SUMSQ('TS-PILE'!$D$56:$D$75))),IF('TS-PILE'!$B$70="",1E+99,'TO HOP NLAN'!D159/ncoc+IF(SUMSQ('TS-PILE'!$E$56:$E$75)=0,0,'TO HOP NLAN'!E159*'TS-PILE'!$E$70/SUMSQ('TS-PILE'!$E$56:$E$75))+IF(SUMSQ('TS-PILE'!$D$56:$D$75)=0,0,'TO HOP NLAN'!F159*'TS-PILE'!$D$70/SUMSQ('TS-PILE'!$D$56:$D$75))),IF('TS-PILE'!$B$71="",1E+99,'TO HOP NLAN'!D159/ncoc+IF(SUMSQ('TS-PILE'!$E$56:$E$75)=0,0,'TO HOP NLAN'!E159*'TS-PILE'!$E$71/SUMSQ('TS-PILE'!$E$56:$E$75))+IF(SUMSQ('TS-PILE'!$D$56:$D$75)=0,0,'TO HOP NLAN'!F159*'TS-PILE'!$D$71/SUMSQ('TS-PILE'!$D$56:$D$75))),IF('TS-PILE'!$B$72="",1E+99,'TO HOP NLAN'!D159/ncoc+IF(SUMSQ('TS-PILE'!$E$56:$E$75)=0,0,'TO HOP NLAN'!E159*'TS-PILE'!$E$72/SUMSQ('TS-PILE'!$E$56:$E$75))+IF(SUMSQ('TS-PILE'!$D$56:$D$75)=0,0,'TO HOP NLAN'!F159*'TS-PILE'!$D$72/SUMSQ('TS-PILE'!$D$56:$D$75))),IF('TS-PILE'!$B$73="",1E+99,'TO HOP NLAN'!D159/ncoc+IF(SUMSQ('TS-PILE'!$E$56:$E$75)=0,0,'TO HOP NLAN'!E159*'TS-PILE'!$E$73/SUMSQ('TS-PILE'!$E$56:$E$75))+IF(SUMSQ('TS-PILE'!$D$56:$D$75)=0,0,'TO HOP NLAN'!F159*'TS-PILE'!$D$73/SUMSQ('TS-PILE'!$D$56:$D$75))),IF('TS-PILE'!$B$74="",1E+99,'TO HOP NLAN'!D159/ncoc+IF(SUMSQ('TS-PILE'!$E$56:$E$75)=0,0,'TO HOP NLAN'!E159*'TS-PILE'!$E$74/SUMSQ('TS-PILE'!$E$56:$E$75))+IF(SUMSQ('TS-PILE'!$D$56:$D$75)=0,0,'TO HOP NLAN'!F159*'TS-PILE'!$D$74/SUMSQ('TS-PILE'!$D$56:$D$75))),IF('TS-PILE'!$B$75="",1E+99,'TO HOP NLAN'!D159/ncoc+IF(SUMSQ('TS-PILE'!$E$56:$E$75)=0,0,'TO HOP NLAN'!E159*'TS-PILE'!$E$75/SUMSQ('TS-PILE'!$E$56:$E$75))+IF(SUMSQ('TS-PILE'!$D$56:$D$75)=0,0,'TO HOP NLAN'!F159*'TS-PILE'!$D$75/SUMSQ('TS-PILE'!$D$56:$D$75)))))</f>
        <v>0</v>
      </c>
      <c r="E159" s="46">
        <f t="shared" si="8"/>
        <v>-9.9999999999999997E+98</v>
      </c>
      <c r="F159" s="46">
        <f t="shared" si="9"/>
        <v>9.9999999999999997E+98</v>
      </c>
      <c r="G159" s="46">
        <f t="shared" si="10"/>
        <v>-9.9999999999999997E+98</v>
      </c>
      <c r="H159" s="46">
        <f t="shared" si="11"/>
        <v>9.9999999999999997E+98</v>
      </c>
    </row>
    <row r="160" spans="1:8" x14ac:dyDescent="0.3">
      <c r="A160" s="40" t="str">
        <f>'TO HOP NLAN'!A160</f>
        <v/>
      </c>
      <c r="B160" s="40" t="str">
        <f>'TO HOP NLAN'!L160</f>
        <v>STRENGTH</v>
      </c>
      <c r="C160" s="46">
        <f>IF(A160="",0,MAX(IF('TS-PILE'!$B$56="",-1E+99,'TO HOP NLAN'!D160/ncoc+IF(SUMSQ('TS-PILE'!$E$56:$E$75)=0,0,'TO HOP NLAN'!E160*'TS-PILE'!$E$56/SUMSQ('TS-PILE'!$E$56:$E$75))+IF(SUMSQ('TS-PILE'!$D$56:$D$75)=0,0,'TO HOP NLAN'!F160*'TS-PILE'!$D$56/SUMSQ('TS-PILE'!$D$56:$D$75))),IF('TS-PILE'!$B$57="",-1E+99,'TO HOP NLAN'!D160/ncoc+IF(SUMSQ('TS-PILE'!$E$56:$E$75)=0,0,'TO HOP NLAN'!E160*'TS-PILE'!$E$57/SUMSQ('TS-PILE'!$E$56:$E$75))+IF(SUMSQ('TS-PILE'!$D$56:$D$75)=0,0,'TO HOP NLAN'!F160*'TS-PILE'!$D$57/SUMSQ('TS-PILE'!$D$56:$D$75))),IF('TS-PILE'!$B$58="",-1E+99,'TO HOP NLAN'!D160/ncoc+IF(SUMSQ('TS-PILE'!$E$56:$E$75)=0,0,'TO HOP NLAN'!E160*'TS-PILE'!$E$58/SUMSQ('TS-PILE'!$E$56:$E$75))+IF(SUMSQ('TS-PILE'!$D$56:$D$75)=0,0,'TO HOP NLAN'!F160*'TS-PILE'!$D$58/SUMSQ('TS-PILE'!$D$56:$D$75))),IF('TS-PILE'!$B$59="",-1E+99,'TO HOP NLAN'!D160/ncoc+IF(SUMSQ('TS-PILE'!$E$56:$E$75)=0,0,'TO HOP NLAN'!E160*'TS-PILE'!$E$59/SUMSQ('TS-PILE'!$E$56:$E$75))+IF(SUMSQ('TS-PILE'!$D$56:$D$75)=0,0,'TO HOP NLAN'!F160*'TS-PILE'!$D$59/SUMSQ('TS-PILE'!$D$56:$D$75))),IF('TS-PILE'!$B$60="",-1E+99,'TO HOP NLAN'!D160/ncoc+IF(SUMSQ('TS-PILE'!$E$56:$E$75)=0,0,'TO HOP NLAN'!E160*'TS-PILE'!$E$60/SUMSQ('TS-PILE'!$E$56:$E$75))+IF(SUMSQ('TS-PILE'!$D$56:$D$75)=0,0,'TO HOP NLAN'!F160*'TS-PILE'!$D$60/SUMSQ('TS-PILE'!$D$56:$D$75))),IF('TS-PILE'!$B$61="",-1E+99,'TO HOP NLAN'!D160/ncoc+IF(SUMSQ('TS-PILE'!$E$56:$E$75)=0,0,'TO HOP NLAN'!E160*'TS-PILE'!$E$61/SUMSQ('TS-PILE'!$E$56:$E$75))+IF(SUMSQ('TS-PILE'!$D$56:$D$75)=0,0,'TO HOP NLAN'!F160*'TS-PILE'!$D$61/SUMSQ('TS-PILE'!$D$56:$D$75))),IF('TS-PILE'!$B$62="",-1E+99,'TO HOP NLAN'!D160/ncoc+IF(SUMSQ('TS-PILE'!$E$56:$E$75)=0,0,'TO HOP NLAN'!E160*'TS-PILE'!$E$62/SUMSQ('TS-PILE'!$E$56:$E$75))+IF(SUMSQ('TS-PILE'!$D$56:$D$75)=0,0,'TO HOP NLAN'!F160*'TS-PILE'!$D$62/SUMSQ('TS-PILE'!$D$56:$D$75))),IF('TS-PILE'!$B$63="",-1E+99,'TO HOP NLAN'!D160/ncoc+IF(SUMSQ('TS-PILE'!$E$56:$E$75)=0,0,'TO HOP NLAN'!E160*'TS-PILE'!$E$63/SUMSQ('TS-PILE'!$E$56:$E$75))+IF(SUMSQ('TS-PILE'!$D$56:$D$75)=0,0,'TO HOP NLAN'!F160*'TS-PILE'!$D$63/SUMSQ('TS-PILE'!$D$56:$D$75))),IF('TS-PILE'!$B$64="",-1E+99,'TO HOP NLAN'!D160/ncoc+IF(SUMSQ('TS-PILE'!$E$56:$E$75)=0,0,'TO HOP NLAN'!E160*'TS-PILE'!$E$64/SUMSQ('TS-PILE'!$E$56:$E$75))+IF(SUMSQ('TS-PILE'!$D$56:$D$75)=0,0,'TO HOP NLAN'!F160*'TS-PILE'!$D$64/SUMSQ('TS-PILE'!$D$56:$D$75))),IF('TS-PILE'!$B$65="",-1E+99,'TO HOP NLAN'!D160/ncoc+IF(SUMSQ('TS-PILE'!$E$56:$E$75)=0,0,'TO HOP NLAN'!E160*'TS-PILE'!$E$65/SUMSQ('TS-PILE'!$E$56:$E$75))+IF(SUMSQ('TS-PILE'!$D$56:$D$75)=0,0,'TO HOP NLAN'!F160*'TS-PILE'!$D$65/SUMSQ('TS-PILE'!$D$56:$D$75))),IF('TS-PILE'!$B$66="",-1E+99,'TO HOP NLAN'!D160/ncoc+IF(SUMSQ('TS-PILE'!$E$56:$E$75)=0,0,'TO HOP NLAN'!E160*'TS-PILE'!$E$66/SUMSQ('TS-PILE'!$E$56:$E$75))+IF(SUMSQ('TS-PILE'!$D$56:$D$75)=0,0,'TO HOP NLAN'!F160*'TS-PILE'!$D$66/SUMSQ('TS-PILE'!$D$56:$D$75))),IF('TS-PILE'!$B$67="",-1E+99,'TO HOP NLAN'!D160/ncoc+IF(SUMSQ('TS-PILE'!$E$56:$E$75)=0,0,'TO HOP NLAN'!E160*'TS-PILE'!$E$67/SUMSQ('TS-PILE'!$E$56:$E$75))+IF(SUMSQ('TS-PILE'!$D$56:$D$75)=0,0,'TO HOP NLAN'!F160*'TS-PILE'!$D$67/SUMSQ('TS-PILE'!$D$56:$D$75))),IF('TS-PILE'!$B$68="",-1E+99,'TO HOP NLAN'!D160/ncoc+IF(SUMSQ('TS-PILE'!$E$56:$E$75)=0,0,'TO HOP NLAN'!E160*'TS-PILE'!$E$68/SUMSQ('TS-PILE'!$E$56:$E$75))+IF(SUMSQ('TS-PILE'!$D$56:$D$75)=0,0,'TO HOP NLAN'!F160*'TS-PILE'!$D$68/SUMSQ('TS-PILE'!$D$56:$D$75))),IF('TS-PILE'!$B$69="",-1E+99,'TO HOP NLAN'!D160/ncoc+IF(SUMSQ('TS-PILE'!$E$56:$E$75)=0,0,'TO HOP NLAN'!E160*'TS-PILE'!$E$69/SUMSQ('TS-PILE'!$E$56:$E$75))+IF(SUMSQ('TS-PILE'!$D$56:$D$75)=0,0,'TO HOP NLAN'!F160*'TS-PILE'!$D$69/SUMSQ('TS-PILE'!$D$56:$D$75))),IF('TS-PILE'!$B$70="",-1E+99,'TO HOP NLAN'!D160/ncoc+IF(SUMSQ('TS-PILE'!$E$56:$E$75)=0,0,'TO HOP NLAN'!E160*'TS-PILE'!$E$70/SUMSQ('TS-PILE'!$E$56:$E$75))+IF(SUMSQ('TS-PILE'!$D$56:$D$75)=0,0,'TO HOP NLAN'!F160*'TS-PILE'!$D$70/SUMSQ('TS-PILE'!$D$56:$D$75))),IF('TS-PILE'!$B$71="",-1E+99,'TO HOP NLAN'!D160/ncoc+IF(SUMSQ('TS-PILE'!$E$56:$E$75)=0,0,'TO HOP NLAN'!E160*'TS-PILE'!$E$71/SUMSQ('TS-PILE'!$E$56:$E$75))+IF(SUMSQ('TS-PILE'!$D$56:$D$75)=0,0,'TO HOP NLAN'!F160*'TS-PILE'!$D$71/SUMSQ('TS-PILE'!$D$56:$D$75))),IF('TS-PILE'!$B$72="",-1E+99,'TO HOP NLAN'!D160/ncoc+IF(SUMSQ('TS-PILE'!$E$56:$E$75)=0,0,'TO HOP NLAN'!E160*'TS-PILE'!$E$72/SUMSQ('TS-PILE'!$E$56:$E$75))+IF(SUMSQ('TS-PILE'!$D$56:$D$75)=0,0,'TO HOP NLAN'!F160*'TS-PILE'!$D$72/SUMSQ('TS-PILE'!$D$56:$D$75))),IF('TS-PILE'!$B$73="",-1E+99,'TO HOP NLAN'!D160/ncoc+IF(SUMSQ('TS-PILE'!$E$56:$E$75)=0,0,'TO HOP NLAN'!E160*'TS-PILE'!$E$73/SUMSQ('TS-PILE'!$E$56:$E$75))+IF(SUMSQ('TS-PILE'!$D$56:$D$75)=0,0,'TO HOP NLAN'!F160*'TS-PILE'!$D$73/SUMSQ('TS-PILE'!$D$56:$D$75))),IF('TS-PILE'!$B$74="",-1E+99,'TO HOP NLAN'!D160/ncoc+IF(SUMSQ('TS-PILE'!$E$56:$E$75)=0,0,'TO HOP NLAN'!E160*'TS-PILE'!$E$74/SUMSQ('TS-PILE'!$E$56:$E$75))+IF(SUMSQ('TS-PILE'!$D$56:$D$75)=0,0,'TO HOP NLAN'!F160*'TS-PILE'!$D$74/SUMSQ('TS-PILE'!$D$56:$D$75))),IF('TS-PILE'!$B$75="",-1E+99,'TO HOP NLAN'!D160/ncoc+IF(SUMSQ('TS-PILE'!$E$56:$E$75)=0,0,'TO HOP NLAN'!E160*'TS-PILE'!$E$75/SUMSQ('TS-PILE'!$E$56:$E$75))+IF(SUMSQ('TS-PILE'!$D$56:$D$75)=0,0,'TO HOP NLAN'!F160*'TS-PILE'!$D$75/SUMSQ('TS-PILE'!$D$56:$D$75)))))</f>
        <v>0</v>
      </c>
      <c r="D160" s="46">
        <f>IF(A160="",0,MIN(IF('TS-PILE'!$B$56="",1E+99,'TO HOP NLAN'!D160/ncoc+IF(SUMSQ('TS-PILE'!$E$56:$E$75)=0,0,'TO HOP NLAN'!E160*'TS-PILE'!$E$56/SUMSQ('TS-PILE'!$E$56:$E$75))+IF(SUMSQ('TS-PILE'!$D$56:$D$75)=0,0,'TO HOP NLAN'!F160*'TS-PILE'!$D$56/SUMSQ('TS-PILE'!$D$56:$D$75))),IF('TS-PILE'!$B$57="",1E+99,'TO HOP NLAN'!D160/ncoc+IF(SUMSQ('TS-PILE'!$E$56:$E$75)=0,0,'TO HOP NLAN'!E160*'TS-PILE'!$E$57/SUMSQ('TS-PILE'!$E$56:$E$75))+IF(SUMSQ('TS-PILE'!$D$56:$D$75)=0,0,'TO HOP NLAN'!F160*'TS-PILE'!$D$57/SUMSQ('TS-PILE'!$D$56:$D$75))),IF('TS-PILE'!$B$58="",1E+99,'TO HOP NLAN'!D160/ncoc+IF(SUMSQ('TS-PILE'!$E$56:$E$75)=0,0,'TO HOP NLAN'!E160*'TS-PILE'!$E$58/SUMSQ('TS-PILE'!$E$56:$E$75))+IF(SUMSQ('TS-PILE'!$D$56:$D$75)=0,0,'TO HOP NLAN'!F160*'TS-PILE'!$D$58/SUMSQ('TS-PILE'!$D$56:$D$75))),IF('TS-PILE'!$B$59="",1E+99,'TO HOP NLAN'!D160/ncoc+IF(SUMSQ('TS-PILE'!$E$56:$E$75)=0,0,'TO HOP NLAN'!E160*'TS-PILE'!$E$59/SUMSQ('TS-PILE'!$E$56:$E$75))+IF(SUMSQ('TS-PILE'!$D$56:$D$75)=0,0,'TO HOP NLAN'!F160*'TS-PILE'!$D$59/SUMSQ('TS-PILE'!$D$56:$D$75))),IF('TS-PILE'!$B$60="",1E+99,'TO HOP NLAN'!D160/ncoc+IF(SUMSQ('TS-PILE'!$E$56:$E$75)=0,0,'TO HOP NLAN'!E160*'TS-PILE'!$E$60/SUMSQ('TS-PILE'!$E$56:$E$75))+IF(SUMSQ('TS-PILE'!$D$56:$D$75)=0,0,'TO HOP NLAN'!F160*'TS-PILE'!$D$60/SUMSQ('TS-PILE'!$D$56:$D$75))),IF('TS-PILE'!$B$61="",1E+99,'TO HOP NLAN'!D160/ncoc+IF(SUMSQ('TS-PILE'!$E$56:$E$75)=0,0,'TO HOP NLAN'!E160*'TS-PILE'!$E$61/SUMSQ('TS-PILE'!$E$56:$E$75))+IF(SUMSQ('TS-PILE'!$D$56:$D$75)=0,0,'TO HOP NLAN'!F160*'TS-PILE'!$D$61/SUMSQ('TS-PILE'!$D$56:$D$75))),IF('TS-PILE'!$B$62="",1E+99,'TO HOP NLAN'!D160/ncoc+IF(SUMSQ('TS-PILE'!$E$56:$E$75)=0,0,'TO HOP NLAN'!E160*'TS-PILE'!$E$62/SUMSQ('TS-PILE'!$E$56:$E$75))+IF(SUMSQ('TS-PILE'!$D$56:$D$75)=0,0,'TO HOP NLAN'!F160*'TS-PILE'!$D$62/SUMSQ('TS-PILE'!$D$56:$D$75))),IF('TS-PILE'!$B$63="",1E+99,'TO HOP NLAN'!D160/ncoc+IF(SUMSQ('TS-PILE'!$E$56:$E$75)=0,0,'TO HOP NLAN'!E160*'TS-PILE'!$E$63/SUMSQ('TS-PILE'!$E$56:$E$75))+IF(SUMSQ('TS-PILE'!$D$56:$D$75)=0,0,'TO HOP NLAN'!F160*'TS-PILE'!$D$63/SUMSQ('TS-PILE'!$D$56:$D$75))),IF('TS-PILE'!$B$64="",1E+99,'TO HOP NLAN'!D160/ncoc+IF(SUMSQ('TS-PILE'!$E$56:$E$75)=0,0,'TO HOP NLAN'!E160*'TS-PILE'!$E$64/SUMSQ('TS-PILE'!$E$56:$E$75))+IF(SUMSQ('TS-PILE'!$D$56:$D$75)=0,0,'TO HOP NLAN'!F160*'TS-PILE'!$D$64/SUMSQ('TS-PILE'!$D$56:$D$75))),IF('TS-PILE'!$B$65="",1E+99,'TO HOP NLAN'!D160/ncoc+IF(SUMSQ('TS-PILE'!$E$56:$E$75)=0,0,'TO HOP NLAN'!E160*'TS-PILE'!$E$65/SUMSQ('TS-PILE'!$E$56:$E$75))+IF(SUMSQ('TS-PILE'!$D$56:$D$75)=0,0,'TO HOP NLAN'!F160*'TS-PILE'!$D$65/SUMSQ('TS-PILE'!$D$56:$D$75))),IF('TS-PILE'!$B$66="",1E+99,'TO HOP NLAN'!D160/ncoc+IF(SUMSQ('TS-PILE'!$E$56:$E$75)=0,0,'TO HOP NLAN'!E160*'TS-PILE'!$E$66/SUMSQ('TS-PILE'!$E$56:$E$75))+IF(SUMSQ('TS-PILE'!$D$56:$D$75)=0,0,'TO HOP NLAN'!F160*'TS-PILE'!$D$66/SUMSQ('TS-PILE'!$D$56:$D$75))),IF('TS-PILE'!$B$67="",1E+99,'TO HOP NLAN'!D160/ncoc+IF(SUMSQ('TS-PILE'!$E$56:$E$75)=0,0,'TO HOP NLAN'!E160*'TS-PILE'!$E$67/SUMSQ('TS-PILE'!$E$56:$E$75))+IF(SUMSQ('TS-PILE'!$D$56:$D$75)=0,0,'TO HOP NLAN'!F160*'TS-PILE'!$D$67/SUMSQ('TS-PILE'!$D$56:$D$75))),IF('TS-PILE'!$B$68="",1E+99,'TO HOP NLAN'!D160/ncoc+IF(SUMSQ('TS-PILE'!$E$56:$E$75)=0,0,'TO HOP NLAN'!E160*'TS-PILE'!$E$68/SUMSQ('TS-PILE'!$E$56:$E$75))+IF(SUMSQ('TS-PILE'!$D$56:$D$75)=0,0,'TO HOP NLAN'!F160*'TS-PILE'!$D$68/SUMSQ('TS-PILE'!$D$56:$D$75))),IF('TS-PILE'!$B$69="",1E+99,'TO HOP NLAN'!D160/ncoc+IF(SUMSQ('TS-PILE'!$E$56:$E$75)=0,0,'TO HOP NLAN'!E160*'TS-PILE'!$E$69/SUMSQ('TS-PILE'!$E$56:$E$75))+IF(SUMSQ('TS-PILE'!$D$56:$D$75)=0,0,'TO HOP NLAN'!F160*'TS-PILE'!$D$69/SUMSQ('TS-PILE'!$D$56:$D$75))),IF('TS-PILE'!$B$70="",1E+99,'TO HOP NLAN'!D160/ncoc+IF(SUMSQ('TS-PILE'!$E$56:$E$75)=0,0,'TO HOP NLAN'!E160*'TS-PILE'!$E$70/SUMSQ('TS-PILE'!$E$56:$E$75))+IF(SUMSQ('TS-PILE'!$D$56:$D$75)=0,0,'TO HOP NLAN'!F160*'TS-PILE'!$D$70/SUMSQ('TS-PILE'!$D$56:$D$75))),IF('TS-PILE'!$B$71="",1E+99,'TO HOP NLAN'!D160/ncoc+IF(SUMSQ('TS-PILE'!$E$56:$E$75)=0,0,'TO HOP NLAN'!E160*'TS-PILE'!$E$71/SUMSQ('TS-PILE'!$E$56:$E$75))+IF(SUMSQ('TS-PILE'!$D$56:$D$75)=0,0,'TO HOP NLAN'!F160*'TS-PILE'!$D$71/SUMSQ('TS-PILE'!$D$56:$D$75))),IF('TS-PILE'!$B$72="",1E+99,'TO HOP NLAN'!D160/ncoc+IF(SUMSQ('TS-PILE'!$E$56:$E$75)=0,0,'TO HOP NLAN'!E160*'TS-PILE'!$E$72/SUMSQ('TS-PILE'!$E$56:$E$75))+IF(SUMSQ('TS-PILE'!$D$56:$D$75)=0,0,'TO HOP NLAN'!F160*'TS-PILE'!$D$72/SUMSQ('TS-PILE'!$D$56:$D$75))),IF('TS-PILE'!$B$73="",1E+99,'TO HOP NLAN'!D160/ncoc+IF(SUMSQ('TS-PILE'!$E$56:$E$75)=0,0,'TO HOP NLAN'!E160*'TS-PILE'!$E$73/SUMSQ('TS-PILE'!$E$56:$E$75))+IF(SUMSQ('TS-PILE'!$D$56:$D$75)=0,0,'TO HOP NLAN'!F160*'TS-PILE'!$D$73/SUMSQ('TS-PILE'!$D$56:$D$75))),IF('TS-PILE'!$B$74="",1E+99,'TO HOP NLAN'!D160/ncoc+IF(SUMSQ('TS-PILE'!$E$56:$E$75)=0,0,'TO HOP NLAN'!E160*'TS-PILE'!$E$74/SUMSQ('TS-PILE'!$E$56:$E$75))+IF(SUMSQ('TS-PILE'!$D$56:$D$75)=0,0,'TO HOP NLAN'!F160*'TS-PILE'!$D$74/SUMSQ('TS-PILE'!$D$56:$D$75))),IF('TS-PILE'!$B$75="",1E+99,'TO HOP NLAN'!D160/ncoc+IF(SUMSQ('TS-PILE'!$E$56:$E$75)=0,0,'TO HOP NLAN'!E160*'TS-PILE'!$E$75/SUMSQ('TS-PILE'!$E$56:$E$75))+IF(SUMSQ('TS-PILE'!$D$56:$D$75)=0,0,'TO HOP NLAN'!F160*'TS-PILE'!$D$75/SUMSQ('TS-PILE'!$D$56:$D$75)))))</f>
        <v>0</v>
      </c>
      <c r="E160" s="46">
        <f t="shared" si="8"/>
        <v>-9.9999999999999997E+98</v>
      </c>
      <c r="F160" s="46">
        <f t="shared" si="9"/>
        <v>9.9999999999999997E+98</v>
      </c>
      <c r="G160" s="46">
        <f t="shared" si="10"/>
        <v>-9.9999999999999997E+98</v>
      </c>
      <c r="H160" s="46">
        <f t="shared" si="11"/>
        <v>9.9999999999999997E+98</v>
      </c>
    </row>
    <row r="161" spans="1:8" x14ac:dyDescent="0.3">
      <c r="A161" s="40" t="str">
        <f>'TO HOP NLAN'!A161</f>
        <v/>
      </c>
      <c r="B161" s="40" t="str">
        <f>'TO HOP NLAN'!L161</f>
        <v>STRENGTH</v>
      </c>
      <c r="C161" s="46">
        <f>IF(A161="",0,MAX(IF('TS-PILE'!$B$56="",-1E+99,'TO HOP NLAN'!D161/ncoc+IF(SUMSQ('TS-PILE'!$E$56:$E$75)=0,0,'TO HOP NLAN'!E161*'TS-PILE'!$E$56/SUMSQ('TS-PILE'!$E$56:$E$75))+IF(SUMSQ('TS-PILE'!$D$56:$D$75)=0,0,'TO HOP NLAN'!F161*'TS-PILE'!$D$56/SUMSQ('TS-PILE'!$D$56:$D$75))),IF('TS-PILE'!$B$57="",-1E+99,'TO HOP NLAN'!D161/ncoc+IF(SUMSQ('TS-PILE'!$E$56:$E$75)=0,0,'TO HOP NLAN'!E161*'TS-PILE'!$E$57/SUMSQ('TS-PILE'!$E$56:$E$75))+IF(SUMSQ('TS-PILE'!$D$56:$D$75)=0,0,'TO HOP NLAN'!F161*'TS-PILE'!$D$57/SUMSQ('TS-PILE'!$D$56:$D$75))),IF('TS-PILE'!$B$58="",-1E+99,'TO HOP NLAN'!D161/ncoc+IF(SUMSQ('TS-PILE'!$E$56:$E$75)=0,0,'TO HOP NLAN'!E161*'TS-PILE'!$E$58/SUMSQ('TS-PILE'!$E$56:$E$75))+IF(SUMSQ('TS-PILE'!$D$56:$D$75)=0,0,'TO HOP NLAN'!F161*'TS-PILE'!$D$58/SUMSQ('TS-PILE'!$D$56:$D$75))),IF('TS-PILE'!$B$59="",-1E+99,'TO HOP NLAN'!D161/ncoc+IF(SUMSQ('TS-PILE'!$E$56:$E$75)=0,0,'TO HOP NLAN'!E161*'TS-PILE'!$E$59/SUMSQ('TS-PILE'!$E$56:$E$75))+IF(SUMSQ('TS-PILE'!$D$56:$D$75)=0,0,'TO HOP NLAN'!F161*'TS-PILE'!$D$59/SUMSQ('TS-PILE'!$D$56:$D$75))),IF('TS-PILE'!$B$60="",-1E+99,'TO HOP NLAN'!D161/ncoc+IF(SUMSQ('TS-PILE'!$E$56:$E$75)=0,0,'TO HOP NLAN'!E161*'TS-PILE'!$E$60/SUMSQ('TS-PILE'!$E$56:$E$75))+IF(SUMSQ('TS-PILE'!$D$56:$D$75)=0,0,'TO HOP NLAN'!F161*'TS-PILE'!$D$60/SUMSQ('TS-PILE'!$D$56:$D$75))),IF('TS-PILE'!$B$61="",-1E+99,'TO HOP NLAN'!D161/ncoc+IF(SUMSQ('TS-PILE'!$E$56:$E$75)=0,0,'TO HOP NLAN'!E161*'TS-PILE'!$E$61/SUMSQ('TS-PILE'!$E$56:$E$75))+IF(SUMSQ('TS-PILE'!$D$56:$D$75)=0,0,'TO HOP NLAN'!F161*'TS-PILE'!$D$61/SUMSQ('TS-PILE'!$D$56:$D$75))),IF('TS-PILE'!$B$62="",-1E+99,'TO HOP NLAN'!D161/ncoc+IF(SUMSQ('TS-PILE'!$E$56:$E$75)=0,0,'TO HOP NLAN'!E161*'TS-PILE'!$E$62/SUMSQ('TS-PILE'!$E$56:$E$75))+IF(SUMSQ('TS-PILE'!$D$56:$D$75)=0,0,'TO HOP NLAN'!F161*'TS-PILE'!$D$62/SUMSQ('TS-PILE'!$D$56:$D$75))),IF('TS-PILE'!$B$63="",-1E+99,'TO HOP NLAN'!D161/ncoc+IF(SUMSQ('TS-PILE'!$E$56:$E$75)=0,0,'TO HOP NLAN'!E161*'TS-PILE'!$E$63/SUMSQ('TS-PILE'!$E$56:$E$75))+IF(SUMSQ('TS-PILE'!$D$56:$D$75)=0,0,'TO HOP NLAN'!F161*'TS-PILE'!$D$63/SUMSQ('TS-PILE'!$D$56:$D$75))),IF('TS-PILE'!$B$64="",-1E+99,'TO HOP NLAN'!D161/ncoc+IF(SUMSQ('TS-PILE'!$E$56:$E$75)=0,0,'TO HOP NLAN'!E161*'TS-PILE'!$E$64/SUMSQ('TS-PILE'!$E$56:$E$75))+IF(SUMSQ('TS-PILE'!$D$56:$D$75)=0,0,'TO HOP NLAN'!F161*'TS-PILE'!$D$64/SUMSQ('TS-PILE'!$D$56:$D$75))),IF('TS-PILE'!$B$65="",-1E+99,'TO HOP NLAN'!D161/ncoc+IF(SUMSQ('TS-PILE'!$E$56:$E$75)=0,0,'TO HOP NLAN'!E161*'TS-PILE'!$E$65/SUMSQ('TS-PILE'!$E$56:$E$75))+IF(SUMSQ('TS-PILE'!$D$56:$D$75)=0,0,'TO HOP NLAN'!F161*'TS-PILE'!$D$65/SUMSQ('TS-PILE'!$D$56:$D$75))),IF('TS-PILE'!$B$66="",-1E+99,'TO HOP NLAN'!D161/ncoc+IF(SUMSQ('TS-PILE'!$E$56:$E$75)=0,0,'TO HOP NLAN'!E161*'TS-PILE'!$E$66/SUMSQ('TS-PILE'!$E$56:$E$75))+IF(SUMSQ('TS-PILE'!$D$56:$D$75)=0,0,'TO HOP NLAN'!F161*'TS-PILE'!$D$66/SUMSQ('TS-PILE'!$D$56:$D$75))),IF('TS-PILE'!$B$67="",-1E+99,'TO HOP NLAN'!D161/ncoc+IF(SUMSQ('TS-PILE'!$E$56:$E$75)=0,0,'TO HOP NLAN'!E161*'TS-PILE'!$E$67/SUMSQ('TS-PILE'!$E$56:$E$75))+IF(SUMSQ('TS-PILE'!$D$56:$D$75)=0,0,'TO HOP NLAN'!F161*'TS-PILE'!$D$67/SUMSQ('TS-PILE'!$D$56:$D$75))),IF('TS-PILE'!$B$68="",-1E+99,'TO HOP NLAN'!D161/ncoc+IF(SUMSQ('TS-PILE'!$E$56:$E$75)=0,0,'TO HOP NLAN'!E161*'TS-PILE'!$E$68/SUMSQ('TS-PILE'!$E$56:$E$75))+IF(SUMSQ('TS-PILE'!$D$56:$D$75)=0,0,'TO HOP NLAN'!F161*'TS-PILE'!$D$68/SUMSQ('TS-PILE'!$D$56:$D$75))),IF('TS-PILE'!$B$69="",-1E+99,'TO HOP NLAN'!D161/ncoc+IF(SUMSQ('TS-PILE'!$E$56:$E$75)=0,0,'TO HOP NLAN'!E161*'TS-PILE'!$E$69/SUMSQ('TS-PILE'!$E$56:$E$75))+IF(SUMSQ('TS-PILE'!$D$56:$D$75)=0,0,'TO HOP NLAN'!F161*'TS-PILE'!$D$69/SUMSQ('TS-PILE'!$D$56:$D$75))),IF('TS-PILE'!$B$70="",-1E+99,'TO HOP NLAN'!D161/ncoc+IF(SUMSQ('TS-PILE'!$E$56:$E$75)=0,0,'TO HOP NLAN'!E161*'TS-PILE'!$E$70/SUMSQ('TS-PILE'!$E$56:$E$75))+IF(SUMSQ('TS-PILE'!$D$56:$D$75)=0,0,'TO HOP NLAN'!F161*'TS-PILE'!$D$70/SUMSQ('TS-PILE'!$D$56:$D$75))),IF('TS-PILE'!$B$71="",-1E+99,'TO HOP NLAN'!D161/ncoc+IF(SUMSQ('TS-PILE'!$E$56:$E$75)=0,0,'TO HOP NLAN'!E161*'TS-PILE'!$E$71/SUMSQ('TS-PILE'!$E$56:$E$75))+IF(SUMSQ('TS-PILE'!$D$56:$D$75)=0,0,'TO HOP NLAN'!F161*'TS-PILE'!$D$71/SUMSQ('TS-PILE'!$D$56:$D$75))),IF('TS-PILE'!$B$72="",-1E+99,'TO HOP NLAN'!D161/ncoc+IF(SUMSQ('TS-PILE'!$E$56:$E$75)=0,0,'TO HOP NLAN'!E161*'TS-PILE'!$E$72/SUMSQ('TS-PILE'!$E$56:$E$75))+IF(SUMSQ('TS-PILE'!$D$56:$D$75)=0,0,'TO HOP NLAN'!F161*'TS-PILE'!$D$72/SUMSQ('TS-PILE'!$D$56:$D$75))),IF('TS-PILE'!$B$73="",-1E+99,'TO HOP NLAN'!D161/ncoc+IF(SUMSQ('TS-PILE'!$E$56:$E$75)=0,0,'TO HOP NLAN'!E161*'TS-PILE'!$E$73/SUMSQ('TS-PILE'!$E$56:$E$75))+IF(SUMSQ('TS-PILE'!$D$56:$D$75)=0,0,'TO HOP NLAN'!F161*'TS-PILE'!$D$73/SUMSQ('TS-PILE'!$D$56:$D$75))),IF('TS-PILE'!$B$74="",-1E+99,'TO HOP NLAN'!D161/ncoc+IF(SUMSQ('TS-PILE'!$E$56:$E$75)=0,0,'TO HOP NLAN'!E161*'TS-PILE'!$E$74/SUMSQ('TS-PILE'!$E$56:$E$75))+IF(SUMSQ('TS-PILE'!$D$56:$D$75)=0,0,'TO HOP NLAN'!F161*'TS-PILE'!$D$74/SUMSQ('TS-PILE'!$D$56:$D$75))),IF('TS-PILE'!$B$75="",-1E+99,'TO HOP NLAN'!D161/ncoc+IF(SUMSQ('TS-PILE'!$E$56:$E$75)=0,0,'TO HOP NLAN'!E161*'TS-PILE'!$E$75/SUMSQ('TS-PILE'!$E$56:$E$75))+IF(SUMSQ('TS-PILE'!$D$56:$D$75)=0,0,'TO HOP NLAN'!F161*'TS-PILE'!$D$75/SUMSQ('TS-PILE'!$D$56:$D$75)))))</f>
        <v>0</v>
      </c>
      <c r="D161" s="46">
        <f>IF(A161="",0,MIN(IF('TS-PILE'!$B$56="",1E+99,'TO HOP NLAN'!D161/ncoc+IF(SUMSQ('TS-PILE'!$E$56:$E$75)=0,0,'TO HOP NLAN'!E161*'TS-PILE'!$E$56/SUMSQ('TS-PILE'!$E$56:$E$75))+IF(SUMSQ('TS-PILE'!$D$56:$D$75)=0,0,'TO HOP NLAN'!F161*'TS-PILE'!$D$56/SUMSQ('TS-PILE'!$D$56:$D$75))),IF('TS-PILE'!$B$57="",1E+99,'TO HOP NLAN'!D161/ncoc+IF(SUMSQ('TS-PILE'!$E$56:$E$75)=0,0,'TO HOP NLAN'!E161*'TS-PILE'!$E$57/SUMSQ('TS-PILE'!$E$56:$E$75))+IF(SUMSQ('TS-PILE'!$D$56:$D$75)=0,0,'TO HOP NLAN'!F161*'TS-PILE'!$D$57/SUMSQ('TS-PILE'!$D$56:$D$75))),IF('TS-PILE'!$B$58="",1E+99,'TO HOP NLAN'!D161/ncoc+IF(SUMSQ('TS-PILE'!$E$56:$E$75)=0,0,'TO HOP NLAN'!E161*'TS-PILE'!$E$58/SUMSQ('TS-PILE'!$E$56:$E$75))+IF(SUMSQ('TS-PILE'!$D$56:$D$75)=0,0,'TO HOP NLAN'!F161*'TS-PILE'!$D$58/SUMSQ('TS-PILE'!$D$56:$D$75))),IF('TS-PILE'!$B$59="",1E+99,'TO HOP NLAN'!D161/ncoc+IF(SUMSQ('TS-PILE'!$E$56:$E$75)=0,0,'TO HOP NLAN'!E161*'TS-PILE'!$E$59/SUMSQ('TS-PILE'!$E$56:$E$75))+IF(SUMSQ('TS-PILE'!$D$56:$D$75)=0,0,'TO HOP NLAN'!F161*'TS-PILE'!$D$59/SUMSQ('TS-PILE'!$D$56:$D$75))),IF('TS-PILE'!$B$60="",1E+99,'TO HOP NLAN'!D161/ncoc+IF(SUMSQ('TS-PILE'!$E$56:$E$75)=0,0,'TO HOP NLAN'!E161*'TS-PILE'!$E$60/SUMSQ('TS-PILE'!$E$56:$E$75))+IF(SUMSQ('TS-PILE'!$D$56:$D$75)=0,0,'TO HOP NLAN'!F161*'TS-PILE'!$D$60/SUMSQ('TS-PILE'!$D$56:$D$75))),IF('TS-PILE'!$B$61="",1E+99,'TO HOP NLAN'!D161/ncoc+IF(SUMSQ('TS-PILE'!$E$56:$E$75)=0,0,'TO HOP NLAN'!E161*'TS-PILE'!$E$61/SUMSQ('TS-PILE'!$E$56:$E$75))+IF(SUMSQ('TS-PILE'!$D$56:$D$75)=0,0,'TO HOP NLAN'!F161*'TS-PILE'!$D$61/SUMSQ('TS-PILE'!$D$56:$D$75))),IF('TS-PILE'!$B$62="",1E+99,'TO HOP NLAN'!D161/ncoc+IF(SUMSQ('TS-PILE'!$E$56:$E$75)=0,0,'TO HOP NLAN'!E161*'TS-PILE'!$E$62/SUMSQ('TS-PILE'!$E$56:$E$75))+IF(SUMSQ('TS-PILE'!$D$56:$D$75)=0,0,'TO HOP NLAN'!F161*'TS-PILE'!$D$62/SUMSQ('TS-PILE'!$D$56:$D$75))),IF('TS-PILE'!$B$63="",1E+99,'TO HOP NLAN'!D161/ncoc+IF(SUMSQ('TS-PILE'!$E$56:$E$75)=0,0,'TO HOP NLAN'!E161*'TS-PILE'!$E$63/SUMSQ('TS-PILE'!$E$56:$E$75))+IF(SUMSQ('TS-PILE'!$D$56:$D$75)=0,0,'TO HOP NLAN'!F161*'TS-PILE'!$D$63/SUMSQ('TS-PILE'!$D$56:$D$75))),IF('TS-PILE'!$B$64="",1E+99,'TO HOP NLAN'!D161/ncoc+IF(SUMSQ('TS-PILE'!$E$56:$E$75)=0,0,'TO HOP NLAN'!E161*'TS-PILE'!$E$64/SUMSQ('TS-PILE'!$E$56:$E$75))+IF(SUMSQ('TS-PILE'!$D$56:$D$75)=0,0,'TO HOP NLAN'!F161*'TS-PILE'!$D$64/SUMSQ('TS-PILE'!$D$56:$D$75))),IF('TS-PILE'!$B$65="",1E+99,'TO HOP NLAN'!D161/ncoc+IF(SUMSQ('TS-PILE'!$E$56:$E$75)=0,0,'TO HOP NLAN'!E161*'TS-PILE'!$E$65/SUMSQ('TS-PILE'!$E$56:$E$75))+IF(SUMSQ('TS-PILE'!$D$56:$D$75)=0,0,'TO HOP NLAN'!F161*'TS-PILE'!$D$65/SUMSQ('TS-PILE'!$D$56:$D$75))),IF('TS-PILE'!$B$66="",1E+99,'TO HOP NLAN'!D161/ncoc+IF(SUMSQ('TS-PILE'!$E$56:$E$75)=0,0,'TO HOP NLAN'!E161*'TS-PILE'!$E$66/SUMSQ('TS-PILE'!$E$56:$E$75))+IF(SUMSQ('TS-PILE'!$D$56:$D$75)=0,0,'TO HOP NLAN'!F161*'TS-PILE'!$D$66/SUMSQ('TS-PILE'!$D$56:$D$75))),IF('TS-PILE'!$B$67="",1E+99,'TO HOP NLAN'!D161/ncoc+IF(SUMSQ('TS-PILE'!$E$56:$E$75)=0,0,'TO HOP NLAN'!E161*'TS-PILE'!$E$67/SUMSQ('TS-PILE'!$E$56:$E$75))+IF(SUMSQ('TS-PILE'!$D$56:$D$75)=0,0,'TO HOP NLAN'!F161*'TS-PILE'!$D$67/SUMSQ('TS-PILE'!$D$56:$D$75))),IF('TS-PILE'!$B$68="",1E+99,'TO HOP NLAN'!D161/ncoc+IF(SUMSQ('TS-PILE'!$E$56:$E$75)=0,0,'TO HOP NLAN'!E161*'TS-PILE'!$E$68/SUMSQ('TS-PILE'!$E$56:$E$75))+IF(SUMSQ('TS-PILE'!$D$56:$D$75)=0,0,'TO HOP NLAN'!F161*'TS-PILE'!$D$68/SUMSQ('TS-PILE'!$D$56:$D$75))),IF('TS-PILE'!$B$69="",1E+99,'TO HOP NLAN'!D161/ncoc+IF(SUMSQ('TS-PILE'!$E$56:$E$75)=0,0,'TO HOP NLAN'!E161*'TS-PILE'!$E$69/SUMSQ('TS-PILE'!$E$56:$E$75))+IF(SUMSQ('TS-PILE'!$D$56:$D$75)=0,0,'TO HOP NLAN'!F161*'TS-PILE'!$D$69/SUMSQ('TS-PILE'!$D$56:$D$75))),IF('TS-PILE'!$B$70="",1E+99,'TO HOP NLAN'!D161/ncoc+IF(SUMSQ('TS-PILE'!$E$56:$E$75)=0,0,'TO HOP NLAN'!E161*'TS-PILE'!$E$70/SUMSQ('TS-PILE'!$E$56:$E$75))+IF(SUMSQ('TS-PILE'!$D$56:$D$75)=0,0,'TO HOP NLAN'!F161*'TS-PILE'!$D$70/SUMSQ('TS-PILE'!$D$56:$D$75))),IF('TS-PILE'!$B$71="",1E+99,'TO HOP NLAN'!D161/ncoc+IF(SUMSQ('TS-PILE'!$E$56:$E$75)=0,0,'TO HOP NLAN'!E161*'TS-PILE'!$E$71/SUMSQ('TS-PILE'!$E$56:$E$75))+IF(SUMSQ('TS-PILE'!$D$56:$D$75)=0,0,'TO HOP NLAN'!F161*'TS-PILE'!$D$71/SUMSQ('TS-PILE'!$D$56:$D$75))),IF('TS-PILE'!$B$72="",1E+99,'TO HOP NLAN'!D161/ncoc+IF(SUMSQ('TS-PILE'!$E$56:$E$75)=0,0,'TO HOP NLAN'!E161*'TS-PILE'!$E$72/SUMSQ('TS-PILE'!$E$56:$E$75))+IF(SUMSQ('TS-PILE'!$D$56:$D$75)=0,0,'TO HOP NLAN'!F161*'TS-PILE'!$D$72/SUMSQ('TS-PILE'!$D$56:$D$75))),IF('TS-PILE'!$B$73="",1E+99,'TO HOP NLAN'!D161/ncoc+IF(SUMSQ('TS-PILE'!$E$56:$E$75)=0,0,'TO HOP NLAN'!E161*'TS-PILE'!$E$73/SUMSQ('TS-PILE'!$E$56:$E$75))+IF(SUMSQ('TS-PILE'!$D$56:$D$75)=0,0,'TO HOP NLAN'!F161*'TS-PILE'!$D$73/SUMSQ('TS-PILE'!$D$56:$D$75))),IF('TS-PILE'!$B$74="",1E+99,'TO HOP NLAN'!D161/ncoc+IF(SUMSQ('TS-PILE'!$E$56:$E$75)=0,0,'TO HOP NLAN'!E161*'TS-PILE'!$E$74/SUMSQ('TS-PILE'!$E$56:$E$75))+IF(SUMSQ('TS-PILE'!$D$56:$D$75)=0,0,'TO HOP NLAN'!F161*'TS-PILE'!$D$74/SUMSQ('TS-PILE'!$D$56:$D$75))),IF('TS-PILE'!$B$75="",1E+99,'TO HOP NLAN'!D161/ncoc+IF(SUMSQ('TS-PILE'!$E$56:$E$75)=0,0,'TO HOP NLAN'!E161*'TS-PILE'!$E$75/SUMSQ('TS-PILE'!$E$56:$E$75))+IF(SUMSQ('TS-PILE'!$D$56:$D$75)=0,0,'TO HOP NLAN'!F161*'TS-PILE'!$D$75/SUMSQ('TS-PILE'!$D$56:$D$75)))))</f>
        <v>0</v>
      </c>
      <c r="E161" s="46">
        <f t="shared" si="8"/>
        <v>-9.9999999999999997E+98</v>
      </c>
      <c r="F161" s="46">
        <f t="shared" si="9"/>
        <v>9.9999999999999997E+98</v>
      </c>
      <c r="G161" s="46">
        <f t="shared" si="10"/>
        <v>-9.9999999999999997E+98</v>
      </c>
      <c r="H161" s="46">
        <f t="shared" si="11"/>
        <v>9.9999999999999997E+98</v>
      </c>
    </row>
    <row r="162" spans="1:8" x14ac:dyDescent="0.3">
      <c r="A162" s="40" t="str">
        <f>'TO HOP NLAN'!A162</f>
        <v/>
      </c>
      <c r="B162" s="40" t="str">
        <f>'TO HOP NLAN'!L162</f>
        <v>STRENGTH</v>
      </c>
      <c r="C162" s="46">
        <f>IF(A162="",0,MAX(IF('TS-PILE'!$B$56="",-1E+99,'TO HOP NLAN'!D162/ncoc+IF(SUMSQ('TS-PILE'!$E$56:$E$75)=0,0,'TO HOP NLAN'!E162*'TS-PILE'!$E$56/SUMSQ('TS-PILE'!$E$56:$E$75))+IF(SUMSQ('TS-PILE'!$D$56:$D$75)=0,0,'TO HOP NLAN'!F162*'TS-PILE'!$D$56/SUMSQ('TS-PILE'!$D$56:$D$75))),IF('TS-PILE'!$B$57="",-1E+99,'TO HOP NLAN'!D162/ncoc+IF(SUMSQ('TS-PILE'!$E$56:$E$75)=0,0,'TO HOP NLAN'!E162*'TS-PILE'!$E$57/SUMSQ('TS-PILE'!$E$56:$E$75))+IF(SUMSQ('TS-PILE'!$D$56:$D$75)=0,0,'TO HOP NLAN'!F162*'TS-PILE'!$D$57/SUMSQ('TS-PILE'!$D$56:$D$75))),IF('TS-PILE'!$B$58="",-1E+99,'TO HOP NLAN'!D162/ncoc+IF(SUMSQ('TS-PILE'!$E$56:$E$75)=0,0,'TO HOP NLAN'!E162*'TS-PILE'!$E$58/SUMSQ('TS-PILE'!$E$56:$E$75))+IF(SUMSQ('TS-PILE'!$D$56:$D$75)=0,0,'TO HOP NLAN'!F162*'TS-PILE'!$D$58/SUMSQ('TS-PILE'!$D$56:$D$75))),IF('TS-PILE'!$B$59="",-1E+99,'TO HOP NLAN'!D162/ncoc+IF(SUMSQ('TS-PILE'!$E$56:$E$75)=0,0,'TO HOP NLAN'!E162*'TS-PILE'!$E$59/SUMSQ('TS-PILE'!$E$56:$E$75))+IF(SUMSQ('TS-PILE'!$D$56:$D$75)=0,0,'TO HOP NLAN'!F162*'TS-PILE'!$D$59/SUMSQ('TS-PILE'!$D$56:$D$75))),IF('TS-PILE'!$B$60="",-1E+99,'TO HOP NLAN'!D162/ncoc+IF(SUMSQ('TS-PILE'!$E$56:$E$75)=0,0,'TO HOP NLAN'!E162*'TS-PILE'!$E$60/SUMSQ('TS-PILE'!$E$56:$E$75))+IF(SUMSQ('TS-PILE'!$D$56:$D$75)=0,0,'TO HOP NLAN'!F162*'TS-PILE'!$D$60/SUMSQ('TS-PILE'!$D$56:$D$75))),IF('TS-PILE'!$B$61="",-1E+99,'TO HOP NLAN'!D162/ncoc+IF(SUMSQ('TS-PILE'!$E$56:$E$75)=0,0,'TO HOP NLAN'!E162*'TS-PILE'!$E$61/SUMSQ('TS-PILE'!$E$56:$E$75))+IF(SUMSQ('TS-PILE'!$D$56:$D$75)=0,0,'TO HOP NLAN'!F162*'TS-PILE'!$D$61/SUMSQ('TS-PILE'!$D$56:$D$75))),IF('TS-PILE'!$B$62="",-1E+99,'TO HOP NLAN'!D162/ncoc+IF(SUMSQ('TS-PILE'!$E$56:$E$75)=0,0,'TO HOP NLAN'!E162*'TS-PILE'!$E$62/SUMSQ('TS-PILE'!$E$56:$E$75))+IF(SUMSQ('TS-PILE'!$D$56:$D$75)=0,0,'TO HOP NLAN'!F162*'TS-PILE'!$D$62/SUMSQ('TS-PILE'!$D$56:$D$75))),IF('TS-PILE'!$B$63="",-1E+99,'TO HOP NLAN'!D162/ncoc+IF(SUMSQ('TS-PILE'!$E$56:$E$75)=0,0,'TO HOP NLAN'!E162*'TS-PILE'!$E$63/SUMSQ('TS-PILE'!$E$56:$E$75))+IF(SUMSQ('TS-PILE'!$D$56:$D$75)=0,0,'TO HOP NLAN'!F162*'TS-PILE'!$D$63/SUMSQ('TS-PILE'!$D$56:$D$75))),IF('TS-PILE'!$B$64="",-1E+99,'TO HOP NLAN'!D162/ncoc+IF(SUMSQ('TS-PILE'!$E$56:$E$75)=0,0,'TO HOP NLAN'!E162*'TS-PILE'!$E$64/SUMSQ('TS-PILE'!$E$56:$E$75))+IF(SUMSQ('TS-PILE'!$D$56:$D$75)=0,0,'TO HOP NLAN'!F162*'TS-PILE'!$D$64/SUMSQ('TS-PILE'!$D$56:$D$75))),IF('TS-PILE'!$B$65="",-1E+99,'TO HOP NLAN'!D162/ncoc+IF(SUMSQ('TS-PILE'!$E$56:$E$75)=0,0,'TO HOP NLAN'!E162*'TS-PILE'!$E$65/SUMSQ('TS-PILE'!$E$56:$E$75))+IF(SUMSQ('TS-PILE'!$D$56:$D$75)=0,0,'TO HOP NLAN'!F162*'TS-PILE'!$D$65/SUMSQ('TS-PILE'!$D$56:$D$75))),IF('TS-PILE'!$B$66="",-1E+99,'TO HOP NLAN'!D162/ncoc+IF(SUMSQ('TS-PILE'!$E$56:$E$75)=0,0,'TO HOP NLAN'!E162*'TS-PILE'!$E$66/SUMSQ('TS-PILE'!$E$56:$E$75))+IF(SUMSQ('TS-PILE'!$D$56:$D$75)=0,0,'TO HOP NLAN'!F162*'TS-PILE'!$D$66/SUMSQ('TS-PILE'!$D$56:$D$75))),IF('TS-PILE'!$B$67="",-1E+99,'TO HOP NLAN'!D162/ncoc+IF(SUMSQ('TS-PILE'!$E$56:$E$75)=0,0,'TO HOP NLAN'!E162*'TS-PILE'!$E$67/SUMSQ('TS-PILE'!$E$56:$E$75))+IF(SUMSQ('TS-PILE'!$D$56:$D$75)=0,0,'TO HOP NLAN'!F162*'TS-PILE'!$D$67/SUMSQ('TS-PILE'!$D$56:$D$75))),IF('TS-PILE'!$B$68="",-1E+99,'TO HOP NLAN'!D162/ncoc+IF(SUMSQ('TS-PILE'!$E$56:$E$75)=0,0,'TO HOP NLAN'!E162*'TS-PILE'!$E$68/SUMSQ('TS-PILE'!$E$56:$E$75))+IF(SUMSQ('TS-PILE'!$D$56:$D$75)=0,0,'TO HOP NLAN'!F162*'TS-PILE'!$D$68/SUMSQ('TS-PILE'!$D$56:$D$75))),IF('TS-PILE'!$B$69="",-1E+99,'TO HOP NLAN'!D162/ncoc+IF(SUMSQ('TS-PILE'!$E$56:$E$75)=0,0,'TO HOP NLAN'!E162*'TS-PILE'!$E$69/SUMSQ('TS-PILE'!$E$56:$E$75))+IF(SUMSQ('TS-PILE'!$D$56:$D$75)=0,0,'TO HOP NLAN'!F162*'TS-PILE'!$D$69/SUMSQ('TS-PILE'!$D$56:$D$75))),IF('TS-PILE'!$B$70="",-1E+99,'TO HOP NLAN'!D162/ncoc+IF(SUMSQ('TS-PILE'!$E$56:$E$75)=0,0,'TO HOP NLAN'!E162*'TS-PILE'!$E$70/SUMSQ('TS-PILE'!$E$56:$E$75))+IF(SUMSQ('TS-PILE'!$D$56:$D$75)=0,0,'TO HOP NLAN'!F162*'TS-PILE'!$D$70/SUMSQ('TS-PILE'!$D$56:$D$75))),IF('TS-PILE'!$B$71="",-1E+99,'TO HOP NLAN'!D162/ncoc+IF(SUMSQ('TS-PILE'!$E$56:$E$75)=0,0,'TO HOP NLAN'!E162*'TS-PILE'!$E$71/SUMSQ('TS-PILE'!$E$56:$E$75))+IF(SUMSQ('TS-PILE'!$D$56:$D$75)=0,0,'TO HOP NLAN'!F162*'TS-PILE'!$D$71/SUMSQ('TS-PILE'!$D$56:$D$75))),IF('TS-PILE'!$B$72="",-1E+99,'TO HOP NLAN'!D162/ncoc+IF(SUMSQ('TS-PILE'!$E$56:$E$75)=0,0,'TO HOP NLAN'!E162*'TS-PILE'!$E$72/SUMSQ('TS-PILE'!$E$56:$E$75))+IF(SUMSQ('TS-PILE'!$D$56:$D$75)=0,0,'TO HOP NLAN'!F162*'TS-PILE'!$D$72/SUMSQ('TS-PILE'!$D$56:$D$75))),IF('TS-PILE'!$B$73="",-1E+99,'TO HOP NLAN'!D162/ncoc+IF(SUMSQ('TS-PILE'!$E$56:$E$75)=0,0,'TO HOP NLAN'!E162*'TS-PILE'!$E$73/SUMSQ('TS-PILE'!$E$56:$E$75))+IF(SUMSQ('TS-PILE'!$D$56:$D$75)=0,0,'TO HOP NLAN'!F162*'TS-PILE'!$D$73/SUMSQ('TS-PILE'!$D$56:$D$75))),IF('TS-PILE'!$B$74="",-1E+99,'TO HOP NLAN'!D162/ncoc+IF(SUMSQ('TS-PILE'!$E$56:$E$75)=0,0,'TO HOP NLAN'!E162*'TS-PILE'!$E$74/SUMSQ('TS-PILE'!$E$56:$E$75))+IF(SUMSQ('TS-PILE'!$D$56:$D$75)=0,0,'TO HOP NLAN'!F162*'TS-PILE'!$D$74/SUMSQ('TS-PILE'!$D$56:$D$75))),IF('TS-PILE'!$B$75="",-1E+99,'TO HOP NLAN'!D162/ncoc+IF(SUMSQ('TS-PILE'!$E$56:$E$75)=0,0,'TO HOP NLAN'!E162*'TS-PILE'!$E$75/SUMSQ('TS-PILE'!$E$56:$E$75))+IF(SUMSQ('TS-PILE'!$D$56:$D$75)=0,0,'TO HOP NLAN'!F162*'TS-PILE'!$D$75/SUMSQ('TS-PILE'!$D$56:$D$75)))))</f>
        <v>0</v>
      </c>
      <c r="D162" s="46">
        <f>IF(A162="",0,MIN(IF('TS-PILE'!$B$56="",1E+99,'TO HOP NLAN'!D162/ncoc+IF(SUMSQ('TS-PILE'!$E$56:$E$75)=0,0,'TO HOP NLAN'!E162*'TS-PILE'!$E$56/SUMSQ('TS-PILE'!$E$56:$E$75))+IF(SUMSQ('TS-PILE'!$D$56:$D$75)=0,0,'TO HOP NLAN'!F162*'TS-PILE'!$D$56/SUMSQ('TS-PILE'!$D$56:$D$75))),IF('TS-PILE'!$B$57="",1E+99,'TO HOP NLAN'!D162/ncoc+IF(SUMSQ('TS-PILE'!$E$56:$E$75)=0,0,'TO HOP NLAN'!E162*'TS-PILE'!$E$57/SUMSQ('TS-PILE'!$E$56:$E$75))+IF(SUMSQ('TS-PILE'!$D$56:$D$75)=0,0,'TO HOP NLAN'!F162*'TS-PILE'!$D$57/SUMSQ('TS-PILE'!$D$56:$D$75))),IF('TS-PILE'!$B$58="",1E+99,'TO HOP NLAN'!D162/ncoc+IF(SUMSQ('TS-PILE'!$E$56:$E$75)=0,0,'TO HOP NLAN'!E162*'TS-PILE'!$E$58/SUMSQ('TS-PILE'!$E$56:$E$75))+IF(SUMSQ('TS-PILE'!$D$56:$D$75)=0,0,'TO HOP NLAN'!F162*'TS-PILE'!$D$58/SUMSQ('TS-PILE'!$D$56:$D$75))),IF('TS-PILE'!$B$59="",1E+99,'TO HOP NLAN'!D162/ncoc+IF(SUMSQ('TS-PILE'!$E$56:$E$75)=0,0,'TO HOP NLAN'!E162*'TS-PILE'!$E$59/SUMSQ('TS-PILE'!$E$56:$E$75))+IF(SUMSQ('TS-PILE'!$D$56:$D$75)=0,0,'TO HOP NLAN'!F162*'TS-PILE'!$D$59/SUMSQ('TS-PILE'!$D$56:$D$75))),IF('TS-PILE'!$B$60="",1E+99,'TO HOP NLAN'!D162/ncoc+IF(SUMSQ('TS-PILE'!$E$56:$E$75)=0,0,'TO HOP NLAN'!E162*'TS-PILE'!$E$60/SUMSQ('TS-PILE'!$E$56:$E$75))+IF(SUMSQ('TS-PILE'!$D$56:$D$75)=0,0,'TO HOP NLAN'!F162*'TS-PILE'!$D$60/SUMSQ('TS-PILE'!$D$56:$D$75))),IF('TS-PILE'!$B$61="",1E+99,'TO HOP NLAN'!D162/ncoc+IF(SUMSQ('TS-PILE'!$E$56:$E$75)=0,0,'TO HOP NLAN'!E162*'TS-PILE'!$E$61/SUMSQ('TS-PILE'!$E$56:$E$75))+IF(SUMSQ('TS-PILE'!$D$56:$D$75)=0,0,'TO HOP NLAN'!F162*'TS-PILE'!$D$61/SUMSQ('TS-PILE'!$D$56:$D$75))),IF('TS-PILE'!$B$62="",1E+99,'TO HOP NLAN'!D162/ncoc+IF(SUMSQ('TS-PILE'!$E$56:$E$75)=0,0,'TO HOP NLAN'!E162*'TS-PILE'!$E$62/SUMSQ('TS-PILE'!$E$56:$E$75))+IF(SUMSQ('TS-PILE'!$D$56:$D$75)=0,0,'TO HOP NLAN'!F162*'TS-PILE'!$D$62/SUMSQ('TS-PILE'!$D$56:$D$75))),IF('TS-PILE'!$B$63="",1E+99,'TO HOP NLAN'!D162/ncoc+IF(SUMSQ('TS-PILE'!$E$56:$E$75)=0,0,'TO HOP NLAN'!E162*'TS-PILE'!$E$63/SUMSQ('TS-PILE'!$E$56:$E$75))+IF(SUMSQ('TS-PILE'!$D$56:$D$75)=0,0,'TO HOP NLAN'!F162*'TS-PILE'!$D$63/SUMSQ('TS-PILE'!$D$56:$D$75))),IF('TS-PILE'!$B$64="",1E+99,'TO HOP NLAN'!D162/ncoc+IF(SUMSQ('TS-PILE'!$E$56:$E$75)=0,0,'TO HOP NLAN'!E162*'TS-PILE'!$E$64/SUMSQ('TS-PILE'!$E$56:$E$75))+IF(SUMSQ('TS-PILE'!$D$56:$D$75)=0,0,'TO HOP NLAN'!F162*'TS-PILE'!$D$64/SUMSQ('TS-PILE'!$D$56:$D$75))),IF('TS-PILE'!$B$65="",1E+99,'TO HOP NLAN'!D162/ncoc+IF(SUMSQ('TS-PILE'!$E$56:$E$75)=0,0,'TO HOP NLAN'!E162*'TS-PILE'!$E$65/SUMSQ('TS-PILE'!$E$56:$E$75))+IF(SUMSQ('TS-PILE'!$D$56:$D$75)=0,0,'TO HOP NLAN'!F162*'TS-PILE'!$D$65/SUMSQ('TS-PILE'!$D$56:$D$75))),IF('TS-PILE'!$B$66="",1E+99,'TO HOP NLAN'!D162/ncoc+IF(SUMSQ('TS-PILE'!$E$56:$E$75)=0,0,'TO HOP NLAN'!E162*'TS-PILE'!$E$66/SUMSQ('TS-PILE'!$E$56:$E$75))+IF(SUMSQ('TS-PILE'!$D$56:$D$75)=0,0,'TO HOP NLAN'!F162*'TS-PILE'!$D$66/SUMSQ('TS-PILE'!$D$56:$D$75))),IF('TS-PILE'!$B$67="",1E+99,'TO HOP NLAN'!D162/ncoc+IF(SUMSQ('TS-PILE'!$E$56:$E$75)=0,0,'TO HOP NLAN'!E162*'TS-PILE'!$E$67/SUMSQ('TS-PILE'!$E$56:$E$75))+IF(SUMSQ('TS-PILE'!$D$56:$D$75)=0,0,'TO HOP NLAN'!F162*'TS-PILE'!$D$67/SUMSQ('TS-PILE'!$D$56:$D$75))),IF('TS-PILE'!$B$68="",1E+99,'TO HOP NLAN'!D162/ncoc+IF(SUMSQ('TS-PILE'!$E$56:$E$75)=0,0,'TO HOP NLAN'!E162*'TS-PILE'!$E$68/SUMSQ('TS-PILE'!$E$56:$E$75))+IF(SUMSQ('TS-PILE'!$D$56:$D$75)=0,0,'TO HOP NLAN'!F162*'TS-PILE'!$D$68/SUMSQ('TS-PILE'!$D$56:$D$75))),IF('TS-PILE'!$B$69="",1E+99,'TO HOP NLAN'!D162/ncoc+IF(SUMSQ('TS-PILE'!$E$56:$E$75)=0,0,'TO HOP NLAN'!E162*'TS-PILE'!$E$69/SUMSQ('TS-PILE'!$E$56:$E$75))+IF(SUMSQ('TS-PILE'!$D$56:$D$75)=0,0,'TO HOP NLAN'!F162*'TS-PILE'!$D$69/SUMSQ('TS-PILE'!$D$56:$D$75))),IF('TS-PILE'!$B$70="",1E+99,'TO HOP NLAN'!D162/ncoc+IF(SUMSQ('TS-PILE'!$E$56:$E$75)=0,0,'TO HOP NLAN'!E162*'TS-PILE'!$E$70/SUMSQ('TS-PILE'!$E$56:$E$75))+IF(SUMSQ('TS-PILE'!$D$56:$D$75)=0,0,'TO HOP NLAN'!F162*'TS-PILE'!$D$70/SUMSQ('TS-PILE'!$D$56:$D$75))),IF('TS-PILE'!$B$71="",1E+99,'TO HOP NLAN'!D162/ncoc+IF(SUMSQ('TS-PILE'!$E$56:$E$75)=0,0,'TO HOP NLAN'!E162*'TS-PILE'!$E$71/SUMSQ('TS-PILE'!$E$56:$E$75))+IF(SUMSQ('TS-PILE'!$D$56:$D$75)=0,0,'TO HOP NLAN'!F162*'TS-PILE'!$D$71/SUMSQ('TS-PILE'!$D$56:$D$75))),IF('TS-PILE'!$B$72="",1E+99,'TO HOP NLAN'!D162/ncoc+IF(SUMSQ('TS-PILE'!$E$56:$E$75)=0,0,'TO HOP NLAN'!E162*'TS-PILE'!$E$72/SUMSQ('TS-PILE'!$E$56:$E$75))+IF(SUMSQ('TS-PILE'!$D$56:$D$75)=0,0,'TO HOP NLAN'!F162*'TS-PILE'!$D$72/SUMSQ('TS-PILE'!$D$56:$D$75))),IF('TS-PILE'!$B$73="",1E+99,'TO HOP NLAN'!D162/ncoc+IF(SUMSQ('TS-PILE'!$E$56:$E$75)=0,0,'TO HOP NLAN'!E162*'TS-PILE'!$E$73/SUMSQ('TS-PILE'!$E$56:$E$75))+IF(SUMSQ('TS-PILE'!$D$56:$D$75)=0,0,'TO HOP NLAN'!F162*'TS-PILE'!$D$73/SUMSQ('TS-PILE'!$D$56:$D$75))),IF('TS-PILE'!$B$74="",1E+99,'TO HOP NLAN'!D162/ncoc+IF(SUMSQ('TS-PILE'!$E$56:$E$75)=0,0,'TO HOP NLAN'!E162*'TS-PILE'!$E$74/SUMSQ('TS-PILE'!$E$56:$E$75))+IF(SUMSQ('TS-PILE'!$D$56:$D$75)=0,0,'TO HOP NLAN'!F162*'TS-PILE'!$D$74/SUMSQ('TS-PILE'!$D$56:$D$75))),IF('TS-PILE'!$B$75="",1E+99,'TO HOP NLAN'!D162/ncoc+IF(SUMSQ('TS-PILE'!$E$56:$E$75)=0,0,'TO HOP NLAN'!E162*'TS-PILE'!$E$75/SUMSQ('TS-PILE'!$E$56:$E$75))+IF(SUMSQ('TS-PILE'!$D$56:$D$75)=0,0,'TO HOP NLAN'!F162*'TS-PILE'!$D$75/SUMSQ('TS-PILE'!$D$56:$D$75)))))</f>
        <v>0</v>
      </c>
      <c r="E162" s="46">
        <f t="shared" si="8"/>
        <v>-9.9999999999999997E+98</v>
      </c>
      <c r="F162" s="46">
        <f t="shared" si="9"/>
        <v>9.9999999999999997E+98</v>
      </c>
      <c r="G162" s="46">
        <f t="shared" si="10"/>
        <v>-9.9999999999999997E+98</v>
      </c>
      <c r="H162" s="46">
        <f t="shared" si="11"/>
        <v>9.9999999999999997E+98</v>
      </c>
    </row>
    <row r="163" spans="1:8" x14ac:dyDescent="0.3">
      <c r="A163" s="40" t="str">
        <f>'TO HOP NLAN'!A163</f>
        <v/>
      </c>
      <c r="B163" s="40" t="str">
        <f>'TO HOP NLAN'!L163</f>
        <v>STRENGTH</v>
      </c>
      <c r="C163" s="46">
        <f>IF(A163="",0,MAX(IF('TS-PILE'!$B$56="",-1E+99,'TO HOP NLAN'!D163/ncoc+IF(SUMSQ('TS-PILE'!$E$56:$E$75)=0,0,'TO HOP NLAN'!E163*'TS-PILE'!$E$56/SUMSQ('TS-PILE'!$E$56:$E$75))+IF(SUMSQ('TS-PILE'!$D$56:$D$75)=0,0,'TO HOP NLAN'!F163*'TS-PILE'!$D$56/SUMSQ('TS-PILE'!$D$56:$D$75))),IF('TS-PILE'!$B$57="",-1E+99,'TO HOP NLAN'!D163/ncoc+IF(SUMSQ('TS-PILE'!$E$56:$E$75)=0,0,'TO HOP NLAN'!E163*'TS-PILE'!$E$57/SUMSQ('TS-PILE'!$E$56:$E$75))+IF(SUMSQ('TS-PILE'!$D$56:$D$75)=0,0,'TO HOP NLAN'!F163*'TS-PILE'!$D$57/SUMSQ('TS-PILE'!$D$56:$D$75))),IF('TS-PILE'!$B$58="",-1E+99,'TO HOP NLAN'!D163/ncoc+IF(SUMSQ('TS-PILE'!$E$56:$E$75)=0,0,'TO HOP NLAN'!E163*'TS-PILE'!$E$58/SUMSQ('TS-PILE'!$E$56:$E$75))+IF(SUMSQ('TS-PILE'!$D$56:$D$75)=0,0,'TO HOP NLAN'!F163*'TS-PILE'!$D$58/SUMSQ('TS-PILE'!$D$56:$D$75))),IF('TS-PILE'!$B$59="",-1E+99,'TO HOP NLAN'!D163/ncoc+IF(SUMSQ('TS-PILE'!$E$56:$E$75)=0,0,'TO HOP NLAN'!E163*'TS-PILE'!$E$59/SUMSQ('TS-PILE'!$E$56:$E$75))+IF(SUMSQ('TS-PILE'!$D$56:$D$75)=0,0,'TO HOP NLAN'!F163*'TS-PILE'!$D$59/SUMSQ('TS-PILE'!$D$56:$D$75))),IF('TS-PILE'!$B$60="",-1E+99,'TO HOP NLAN'!D163/ncoc+IF(SUMSQ('TS-PILE'!$E$56:$E$75)=0,0,'TO HOP NLAN'!E163*'TS-PILE'!$E$60/SUMSQ('TS-PILE'!$E$56:$E$75))+IF(SUMSQ('TS-PILE'!$D$56:$D$75)=0,0,'TO HOP NLAN'!F163*'TS-PILE'!$D$60/SUMSQ('TS-PILE'!$D$56:$D$75))),IF('TS-PILE'!$B$61="",-1E+99,'TO HOP NLAN'!D163/ncoc+IF(SUMSQ('TS-PILE'!$E$56:$E$75)=0,0,'TO HOP NLAN'!E163*'TS-PILE'!$E$61/SUMSQ('TS-PILE'!$E$56:$E$75))+IF(SUMSQ('TS-PILE'!$D$56:$D$75)=0,0,'TO HOP NLAN'!F163*'TS-PILE'!$D$61/SUMSQ('TS-PILE'!$D$56:$D$75))),IF('TS-PILE'!$B$62="",-1E+99,'TO HOP NLAN'!D163/ncoc+IF(SUMSQ('TS-PILE'!$E$56:$E$75)=0,0,'TO HOP NLAN'!E163*'TS-PILE'!$E$62/SUMSQ('TS-PILE'!$E$56:$E$75))+IF(SUMSQ('TS-PILE'!$D$56:$D$75)=0,0,'TO HOP NLAN'!F163*'TS-PILE'!$D$62/SUMSQ('TS-PILE'!$D$56:$D$75))),IF('TS-PILE'!$B$63="",-1E+99,'TO HOP NLAN'!D163/ncoc+IF(SUMSQ('TS-PILE'!$E$56:$E$75)=0,0,'TO HOP NLAN'!E163*'TS-PILE'!$E$63/SUMSQ('TS-PILE'!$E$56:$E$75))+IF(SUMSQ('TS-PILE'!$D$56:$D$75)=0,0,'TO HOP NLAN'!F163*'TS-PILE'!$D$63/SUMSQ('TS-PILE'!$D$56:$D$75))),IF('TS-PILE'!$B$64="",-1E+99,'TO HOP NLAN'!D163/ncoc+IF(SUMSQ('TS-PILE'!$E$56:$E$75)=0,0,'TO HOP NLAN'!E163*'TS-PILE'!$E$64/SUMSQ('TS-PILE'!$E$56:$E$75))+IF(SUMSQ('TS-PILE'!$D$56:$D$75)=0,0,'TO HOP NLAN'!F163*'TS-PILE'!$D$64/SUMSQ('TS-PILE'!$D$56:$D$75))),IF('TS-PILE'!$B$65="",-1E+99,'TO HOP NLAN'!D163/ncoc+IF(SUMSQ('TS-PILE'!$E$56:$E$75)=0,0,'TO HOP NLAN'!E163*'TS-PILE'!$E$65/SUMSQ('TS-PILE'!$E$56:$E$75))+IF(SUMSQ('TS-PILE'!$D$56:$D$75)=0,0,'TO HOP NLAN'!F163*'TS-PILE'!$D$65/SUMSQ('TS-PILE'!$D$56:$D$75))),IF('TS-PILE'!$B$66="",-1E+99,'TO HOP NLAN'!D163/ncoc+IF(SUMSQ('TS-PILE'!$E$56:$E$75)=0,0,'TO HOP NLAN'!E163*'TS-PILE'!$E$66/SUMSQ('TS-PILE'!$E$56:$E$75))+IF(SUMSQ('TS-PILE'!$D$56:$D$75)=0,0,'TO HOP NLAN'!F163*'TS-PILE'!$D$66/SUMSQ('TS-PILE'!$D$56:$D$75))),IF('TS-PILE'!$B$67="",-1E+99,'TO HOP NLAN'!D163/ncoc+IF(SUMSQ('TS-PILE'!$E$56:$E$75)=0,0,'TO HOP NLAN'!E163*'TS-PILE'!$E$67/SUMSQ('TS-PILE'!$E$56:$E$75))+IF(SUMSQ('TS-PILE'!$D$56:$D$75)=0,0,'TO HOP NLAN'!F163*'TS-PILE'!$D$67/SUMSQ('TS-PILE'!$D$56:$D$75))),IF('TS-PILE'!$B$68="",-1E+99,'TO HOP NLAN'!D163/ncoc+IF(SUMSQ('TS-PILE'!$E$56:$E$75)=0,0,'TO HOP NLAN'!E163*'TS-PILE'!$E$68/SUMSQ('TS-PILE'!$E$56:$E$75))+IF(SUMSQ('TS-PILE'!$D$56:$D$75)=0,0,'TO HOP NLAN'!F163*'TS-PILE'!$D$68/SUMSQ('TS-PILE'!$D$56:$D$75))),IF('TS-PILE'!$B$69="",-1E+99,'TO HOP NLAN'!D163/ncoc+IF(SUMSQ('TS-PILE'!$E$56:$E$75)=0,0,'TO HOP NLAN'!E163*'TS-PILE'!$E$69/SUMSQ('TS-PILE'!$E$56:$E$75))+IF(SUMSQ('TS-PILE'!$D$56:$D$75)=0,0,'TO HOP NLAN'!F163*'TS-PILE'!$D$69/SUMSQ('TS-PILE'!$D$56:$D$75))),IF('TS-PILE'!$B$70="",-1E+99,'TO HOP NLAN'!D163/ncoc+IF(SUMSQ('TS-PILE'!$E$56:$E$75)=0,0,'TO HOP NLAN'!E163*'TS-PILE'!$E$70/SUMSQ('TS-PILE'!$E$56:$E$75))+IF(SUMSQ('TS-PILE'!$D$56:$D$75)=0,0,'TO HOP NLAN'!F163*'TS-PILE'!$D$70/SUMSQ('TS-PILE'!$D$56:$D$75))),IF('TS-PILE'!$B$71="",-1E+99,'TO HOP NLAN'!D163/ncoc+IF(SUMSQ('TS-PILE'!$E$56:$E$75)=0,0,'TO HOP NLAN'!E163*'TS-PILE'!$E$71/SUMSQ('TS-PILE'!$E$56:$E$75))+IF(SUMSQ('TS-PILE'!$D$56:$D$75)=0,0,'TO HOP NLAN'!F163*'TS-PILE'!$D$71/SUMSQ('TS-PILE'!$D$56:$D$75))),IF('TS-PILE'!$B$72="",-1E+99,'TO HOP NLAN'!D163/ncoc+IF(SUMSQ('TS-PILE'!$E$56:$E$75)=0,0,'TO HOP NLAN'!E163*'TS-PILE'!$E$72/SUMSQ('TS-PILE'!$E$56:$E$75))+IF(SUMSQ('TS-PILE'!$D$56:$D$75)=0,0,'TO HOP NLAN'!F163*'TS-PILE'!$D$72/SUMSQ('TS-PILE'!$D$56:$D$75))),IF('TS-PILE'!$B$73="",-1E+99,'TO HOP NLAN'!D163/ncoc+IF(SUMSQ('TS-PILE'!$E$56:$E$75)=0,0,'TO HOP NLAN'!E163*'TS-PILE'!$E$73/SUMSQ('TS-PILE'!$E$56:$E$75))+IF(SUMSQ('TS-PILE'!$D$56:$D$75)=0,0,'TO HOP NLAN'!F163*'TS-PILE'!$D$73/SUMSQ('TS-PILE'!$D$56:$D$75))),IF('TS-PILE'!$B$74="",-1E+99,'TO HOP NLAN'!D163/ncoc+IF(SUMSQ('TS-PILE'!$E$56:$E$75)=0,0,'TO HOP NLAN'!E163*'TS-PILE'!$E$74/SUMSQ('TS-PILE'!$E$56:$E$75))+IF(SUMSQ('TS-PILE'!$D$56:$D$75)=0,0,'TO HOP NLAN'!F163*'TS-PILE'!$D$74/SUMSQ('TS-PILE'!$D$56:$D$75))),IF('TS-PILE'!$B$75="",-1E+99,'TO HOP NLAN'!D163/ncoc+IF(SUMSQ('TS-PILE'!$E$56:$E$75)=0,0,'TO HOP NLAN'!E163*'TS-PILE'!$E$75/SUMSQ('TS-PILE'!$E$56:$E$75))+IF(SUMSQ('TS-PILE'!$D$56:$D$75)=0,0,'TO HOP NLAN'!F163*'TS-PILE'!$D$75/SUMSQ('TS-PILE'!$D$56:$D$75)))))</f>
        <v>0</v>
      </c>
      <c r="D163" s="46">
        <f>IF(A163="",0,MIN(IF('TS-PILE'!$B$56="",1E+99,'TO HOP NLAN'!D163/ncoc+IF(SUMSQ('TS-PILE'!$E$56:$E$75)=0,0,'TO HOP NLAN'!E163*'TS-PILE'!$E$56/SUMSQ('TS-PILE'!$E$56:$E$75))+IF(SUMSQ('TS-PILE'!$D$56:$D$75)=0,0,'TO HOP NLAN'!F163*'TS-PILE'!$D$56/SUMSQ('TS-PILE'!$D$56:$D$75))),IF('TS-PILE'!$B$57="",1E+99,'TO HOP NLAN'!D163/ncoc+IF(SUMSQ('TS-PILE'!$E$56:$E$75)=0,0,'TO HOP NLAN'!E163*'TS-PILE'!$E$57/SUMSQ('TS-PILE'!$E$56:$E$75))+IF(SUMSQ('TS-PILE'!$D$56:$D$75)=0,0,'TO HOP NLAN'!F163*'TS-PILE'!$D$57/SUMSQ('TS-PILE'!$D$56:$D$75))),IF('TS-PILE'!$B$58="",1E+99,'TO HOP NLAN'!D163/ncoc+IF(SUMSQ('TS-PILE'!$E$56:$E$75)=0,0,'TO HOP NLAN'!E163*'TS-PILE'!$E$58/SUMSQ('TS-PILE'!$E$56:$E$75))+IF(SUMSQ('TS-PILE'!$D$56:$D$75)=0,0,'TO HOP NLAN'!F163*'TS-PILE'!$D$58/SUMSQ('TS-PILE'!$D$56:$D$75))),IF('TS-PILE'!$B$59="",1E+99,'TO HOP NLAN'!D163/ncoc+IF(SUMSQ('TS-PILE'!$E$56:$E$75)=0,0,'TO HOP NLAN'!E163*'TS-PILE'!$E$59/SUMSQ('TS-PILE'!$E$56:$E$75))+IF(SUMSQ('TS-PILE'!$D$56:$D$75)=0,0,'TO HOP NLAN'!F163*'TS-PILE'!$D$59/SUMSQ('TS-PILE'!$D$56:$D$75))),IF('TS-PILE'!$B$60="",1E+99,'TO HOP NLAN'!D163/ncoc+IF(SUMSQ('TS-PILE'!$E$56:$E$75)=0,0,'TO HOP NLAN'!E163*'TS-PILE'!$E$60/SUMSQ('TS-PILE'!$E$56:$E$75))+IF(SUMSQ('TS-PILE'!$D$56:$D$75)=0,0,'TO HOP NLAN'!F163*'TS-PILE'!$D$60/SUMSQ('TS-PILE'!$D$56:$D$75))),IF('TS-PILE'!$B$61="",1E+99,'TO HOP NLAN'!D163/ncoc+IF(SUMSQ('TS-PILE'!$E$56:$E$75)=0,0,'TO HOP NLAN'!E163*'TS-PILE'!$E$61/SUMSQ('TS-PILE'!$E$56:$E$75))+IF(SUMSQ('TS-PILE'!$D$56:$D$75)=0,0,'TO HOP NLAN'!F163*'TS-PILE'!$D$61/SUMSQ('TS-PILE'!$D$56:$D$75))),IF('TS-PILE'!$B$62="",1E+99,'TO HOP NLAN'!D163/ncoc+IF(SUMSQ('TS-PILE'!$E$56:$E$75)=0,0,'TO HOP NLAN'!E163*'TS-PILE'!$E$62/SUMSQ('TS-PILE'!$E$56:$E$75))+IF(SUMSQ('TS-PILE'!$D$56:$D$75)=0,0,'TO HOP NLAN'!F163*'TS-PILE'!$D$62/SUMSQ('TS-PILE'!$D$56:$D$75))),IF('TS-PILE'!$B$63="",1E+99,'TO HOP NLAN'!D163/ncoc+IF(SUMSQ('TS-PILE'!$E$56:$E$75)=0,0,'TO HOP NLAN'!E163*'TS-PILE'!$E$63/SUMSQ('TS-PILE'!$E$56:$E$75))+IF(SUMSQ('TS-PILE'!$D$56:$D$75)=0,0,'TO HOP NLAN'!F163*'TS-PILE'!$D$63/SUMSQ('TS-PILE'!$D$56:$D$75))),IF('TS-PILE'!$B$64="",1E+99,'TO HOP NLAN'!D163/ncoc+IF(SUMSQ('TS-PILE'!$E$56:$E$75)=0,0,'TO HOP NLAN'!E163*'TS-PILE'!$E$64/SUMSQ('TS-PILE'!$E$56:$E$75))+IF(SUMSQ('TS-PILE'!$D$56:$D$75)=0,0,'TO HOP NLAN'!F163*'TS-PILE'!$D$64/SUMSQ('TS-PILE'!$D$56:$D$75))),IF('TS-PILE'!$B$65="",1E+99,'TO HOP NLAN'!D163/ncoc+IF(SUMSQ('TS-PILE'!$E$56:$E$75)=0,0,'TO HOP NLAN'!E163*'TS-PILE'!$E$65/SUMSQ('TS-PILE'!$E$56:$E$75))+IF(SUMSQ('TS-PILE'!$D$56:$D$75)=0,0,'TO HOP NLAN'!F163*'TS-PILE'!$D$65/SUMSQ('TS-PILE'!$D$56:$D$75))),IF('TS-PILE'!$B$66="",1E+99,'TO HOP NLAN'!D163/ncoc+IF(SUMSQ('TS-PILE'!$E$56:$E$75)=0,0,'TO HOP NLAN'!E163*'TS-PILE'!$E$66/SUMSQ('TS-PILE'!$E$56:$E$75))+IF(SUMSQ('TS-PILE'!$D$56:$D$75)=0,0,'TO HOP NLAN'!F163*'TS-PILE'!$D$66/SUMSQ('TS-PILE'!$D$56:$D$75))),IF('TS-PILE'!$B$67="",1E+99,'TO HOP NLAN'!D163/ncoc+IF(SUMSQ('TS-PILE'!$E$56:$E$75)=0,0,'TO HOP NLAN'!E163*'TS-PILE'!$E$67/SUMSQ('TS-PILE'!$E$56:$E$75))+IF(SUMSQ('TS-PILE'!$D$56:$D$75)=0,0,'TO HOP NLAN'!F163*'TS-PILE'!$D$67/SUMSQ('TS-PILE'!$D$56:$D$75))),IF('TS-PILE'!$B$68="",1E+99,'TO HOP NLAN'!D163/ncoc+IF(SUMSQ('TS-PILE'!$E$56:$E$75)=0,0,'TO HOP NLAN'!E163*'TS-PILE'!$E$68/SUMSQ('TS-PILE'!$E$56:$E$75))+IF(SUMSQ('TS-PILE'!$D$56:$D$75)=0,0,'TO HOP NLAN'!F163*'TS-PILE'!$D$68/SUMSQ('TS-PILE'!$D$56:$D$75))),IF('TS-PILE'!$B$69="",1E+99,'TO HOP NLAN'!D163/ncoc+IF(SUMSQ('TS-PILE'!$E$56:$E$75)=0,0,'TO HOP NLAN'!E163*'TS-PILE'!$E$69/SUMSQ('TS-PILE'!$E$56:$E$75))+IF(SUMSQ('TS-PILE'!$D$56:$D$75)=0,0,'TO HOP NLAN'!F163*'TS-PILE'!$D$69/SUMSQ('TS-PILE'!$D$56:$D$75))),IF('TS-PILE'!$B$70="",1E+99,'TO HOP NLAN'!D163/ncoc+IF(SUMSQ('TS-PILE'!$E$56:$E$75)=0,0,'TO HOP NLAN'!E163*'TS-PILE'!$E$70/SUMSQ('TS-PILE'!$E$56:$E$75))+IF(SUMSQ('TS-PILE'!$D$56:$D$75)=0,0,'TO HOP NLAN'!F163*'TS-PILE'!$D$70/SUMSQ('TS-PILE'!$D$56:$D$75))),IF('TS-PILE'!$B$71="",1E+99,'TO HOP NLAN'!D163/ncoc+IF(SUMSQ('TS-PILE'!$E$56:$E$75)=0,0,'TO HOP NLAN'!E163*'TS-PILE'!$E$71/SUMSQ('TS-PILE'!$E$56:$E$75))+IF(SUMSQ('TS-PILE'!$D$56:$D$75)=0,0,'TO HOP NLAN'!F163*'TS-PILE'!$D$71/SUMSQ('TS-PILE'!$D$56:$D$75))),IF('TS-PILE'!$B$72="",1E+99,'TO HOP NLAN'!D163/ncoc+IF(SUMSQ('TS-PILE'!$E$56:$E$75)=0,0,'TO HOP NLAN'!E163*'TS-PILE'!$E$72/SUMSQ('TS-PILE'!$E$56:$E$75))+IF(SUMSQ('TS-PILE'!$D$56:$D$75)=0,0,'TO HOP NLAN'!F163*'TS-PILE'!$D$72/SUMSQ('TS-PILE'!$D$56:$D$75))),IF('TS-PILE'!$B$73="",1E+99,'TO HOP NLAN'!D163/ncoc+IF(SUMSQ('TS-PILE'!$E$56:$E$75)=0,0,'TO HOP NLAN'!E163*'TS-PILE'!$E$73/SUMSQ('TS-PILE'!$E$56:$E$75))+IF(SUMSQ('TS-PILE'!$D$56:$D$75)=0,0,'TO HOP NLAN'!F163*'TS-PILE'!$D$73/SUMSQ('TS-PILE'!$D$56:$D$75))),IF('TS-PILE'!$B$74="",1E+99,'TO HOP NLAN'!D163/ncoc+IF(SUMSQ('TS-PILE'!$E$56:$E$75)=0,0,'TO HOP NLAN'!E163*'TS-PILE'!$E$74/SUMSQ('TS-PILE'!$E$56:$E$75))+IF(SUMSQ('TS-PILE'!$D$56:$D$75)=0,0,'TO HOP NLAN'!F163*'TS-PILE'!$D$74/SUMSQ('TS-PILE'!$D$56:$D$75))),IF('TS-PILE'!$B$75="",1E+99,'TO HOP NLAN'!D163/ncoc+IF(SUMSQ('TS-PILE'!$E$56:$E$75)=0,0,'TO HOP NLAN'!E163*'TS-PILE'!$E$75/SUMSQ('TS-PILE'!$E$56:$E$75))+IF(SUMSQ('TS-PILE'!$D$56:$D$75)=0,0,'TO HOP NLAN'!F163*'TS-PILE'!$D$75/SUMSQ('TS-PILE'!$D$56:$D$75)))))</f>
        <v>0</v>
      </c>
      <c r="E163" s="46">
        <f t="shared" si="8"/>
        <v>-9.9999999999999997E+98</v>
      </c>
      <c r="F163" s="46">
        <f t="shared" si="9"/>
        <v>9.9999999999999997E+98</v>
      </c>
      <c r="G163" s="46">
        <f t="shared" si="10"/>
        <v>-9.9999999999999997E+98</v>
      </c>
      <c r="H163" s="46">
        <f t="shared" si="11"/>
        <v>9.9999999999999997E+98</v>
      </c>
    </row>
    <row r="164" spans="1:8" x14ac:dyDescent="0.3">
      <c r="A164" s="40" t="str">
        <f>'TO HOP NLAN'!A164</f>
        <v/>
      </c>
      <c r="B164" s="40" t="str">
        <f>'TO HOP NLAN'!L164</f>
        <v>STRENGTH</v>
      </c>
      <c r="C164" s="46">
        <f>IF(A164="",0,MAX(IF('TS-PILE'!$B$56="",-1E+99,'TO HOP NLAN'!D164/ncoc+IF(SUMSQ('TS-PILE'!$E$56:$E$75)=0,0,'TO HOP NLAN'!E164*'TS-PILE'!$E$56/SUMSQ('TS-PILE'!$E$56:$E$75))+IF(SUMSQ('TS-PILE'!$D$56:$D$75)=0,0,'TO HOP NLAN'!F164*'TS-PILE'!$D$56/SUMSQ('TS-PILE'!$D$56:$D$75))),IF('TS-PILE'!$B$57="",-1E+99,'TO HOP NLAN'!D164/ncoc+IF(SUMSQ('TS-PILE'!$E$56:$E$75)=0,0,'TO HOP NLAN'!E164*'TS-PILE'!$E$57/SUMSQ('TS-PILE'!$E$56:$E$75))+IF(SUMSQ('TS-PILE'!$D$56:$D$75)=0,0,'TO HOP NLAN'!F164*'TS-PILE'!$D$57/SUMSQ('TS-PILE'!$D$56:$D$75))),IF('TS-PILE'!$B$58="",-1E+99,'TO HOP NLAN'!D164/ncoc+IF(SUMSQ('TS-PILE'!$E$56:$E$75)=0,0,'TO HOP NLAN'!E164*'TS-PILE'!$E$58/SUMSQ('TS-PILE'!$E$56:$E$75))+IF(SUMSQ('TS-PILE'!$D$56:$D$75)=0,0,'TO HOP NLAN'!F164*'TS-PILE'!$D$58/SUMSQ('TS-PILE'!$D$56:$D$75))),IF('TS-PILE'!$B$59="",-1E+99,'TO HOP NLAN'!D164/ncoc+IF(SUMSQ('TS-PILE'!$E$56:$E$75)=0,0,'TO HOP NLAN'!E164*'TS-PILE'!$E$59/SUMSQ('TS-PILE'!$E$56:$E$75))+IF(SUMSQ('TS-PILE'!$D$56:$D$75)=0,0,'TO HOP NLAN'!F164*'TS-PILE'!$D$59/SUMSQ('TS-PILE'!$D$56:$D$75))),IF('TS-PILE'!$B$60="",-1E+99,'TO HOP NLAN'!D164/ncoc+IF(SUMSQ('TS-PILE'!$E$56:$E$75)=0,0,'TO HOP NLAN'!E164*'TS-PILE'!$E$60/SUMSQ('TS-PILE'!$E$56:$E$75))+IF(SUMSQ('TS-PILE'!$D$56:$D$75)=0,0,'TO HOP NLAN'!F164*'TS-PILE'!$D$60/SUMSQ('TS-PILE'!$D$56:$D$75))),IF('TS-PILE'!$B$61="",-1E+99,'TO HOP NLAN'!D164/ncoc+IF(SUMSQ('TS-PILE'!$E$56:$E$75)=0,0,'TO HOP NLAN'!E164*'TS-PILE'!$E$61/SUMSQ('TS-PILE'!$E$56:$E$75))+IF(SUMSQ('TS-PILE'!$D$56:$D$75)=0,0,'TO HOP NLAN'!F164*'TS-PILE'!$D$61/SUMSQ('TS-PILE'!$D$56:$D$75))),IF('TS-PILE'!$B$62="",-1E+99,'TO HOP NLAN'!D164/ncoc+IF(SUMSQ('TS-PILE'!$E$56:$E$75)=0,0,'TO HOP NLAN'!E164*'TS-PILE'!$E$62/SUMSQ('TS-PILE'!$E$56:$E$75))+IF(SUMSQ('TS-PILE'!$D$56:$D$75)=0,0,'TO HOP NLAN'!F164*'TS-PILE'!$D$62/SUMSQ('TS-PILE'!$D$56:$D$75))),IF('TS-PILE'!$B$63="",-1E+99,'TO HOP NLAN'!D164/ncoc+IF(SUMSQ('TS-PILE'!$E$56:$E$75)=0,0,'TO HOP NLAN'!E164*'TS-PILE'!$E$63/SUMSQ('TS-PILE'!$E$56:$E$75))+IF(SUMSQ('TS-PILE'!$D$56:$D$75)=0,0,'TO HOP NLAN'!F164*'TS-PILE'!$D$63/SUMSQ('TS-PILE'!$D$56:$D$75))),IF('TS-PILE'!$B$64="",-1E+99,'TO HOP NLAN'!D164/ncoc+IF(SUMSQ('TS-PILE'!$E$56:$E$75)=0,0,'TO HOP NLAN'!E164*'TS-PILE'!$E$64/SUMSQ('TS-PILE'!$E$56:$E$75))+IF(SUMSQ('TS-PILE'!$D$56:$D$75)=0,0,'TO HOP NLAN'!F164*'TS-PILE'!$D$64/SUMSQ('TS-PILE'!$D$56:$D$75))),IF('TS-PILE'!$B$65="",-1E+99,'TO HOP NLAN'!D164/ncoc+IF(SUMSQ('TS-PILE'!$E$56:$E$75)=0,0,'TO HOP NLAN'!E164*'TS-PILE'!$E$65/SUMSQ('TS-PILE'!$E$56:$E$75))+IF(SUMSQ('TS-PILE'!$D$56:$D$75)=0,0,'TO HOP NLAN'!F164*'TS-PILE'!$D$65/SUMSQ('TS-PILE'!$D$56:$D$75))),IF('TS-PILE'!$B$66="",-1E+99,'TO HOP NLAN'!D164/ncoc+IF(SUMSQ('TS-PILE'!$E$56:$E$75)=0,0,'TO HOP NLAN'!E164*'TS-PILE'!$E$66/SUMSQ('TS-PILE'!$E$56:$E$75))+IF(SUMSQ('TS-PILE'!$D$56:$D$75)=0,0,'TO HOP NLAN'!F164*'TS-PILE'!$D$66/SUMSQ('TS-PILE'!$D$56:$D$75))),IF('TS-PILE'!$B$67="",-1E+99,'TO HOP NLAN'!D164/ncoc+IF(SUMSQ('TS-PILE'!$E$56:$E$75)=0,0,'TO HOP NLAN'!E164*'TS-PILE'!$E$67/SUMSQ('TS-PILE'!$E$56:$E$75))+IF(SUMSQ('TS-PILE'!$D$56:$D$75)=0,0,'TO HOP NLAN'!F164*'TS-PILE'!$D$67/SUMSQ('TS-PILE'!$D$56:$D$75))),IF('TS-PILE'!$B$68="",-1E+99,'TO HOP NLAN'!D164/ncoc+IF(SUMSQ('TS-PILE'!$E$56:$E$75)=0,0,'TO HOP NLAN'!E164*'TS-PILE'!$E$68/SUMSQ('TS-PILE'!$E$56:$E$75))+IF(SUMSQ('TS-PILE'!$D$56:$D$75)=0,0,'TO HOP NLAN'!F164*'TS-PILE'!$D$68/SUMSQ('TS-PILE'!$D$56:$D$75))),IF('TS-PILE'!$B$69="",-1E+99,'TO HOP NLAN'!D164/ncoc+IF(SUMSQ('TS-PILE'!$E$56:$E$75)=0,0,'TO HOP NLAN'!E164*'TS-PILE'!$E$69/SUMSQ('TS-PILE'!$E$56:$E$75))+IF(SUMSQ('TS-PILE'!$D$56:$D$75)=0,0,'TO HOP NLAN'!F164*'TS-PILE'!$D$69/SUMSQ('TS-PILE'!$D$56:$D$75))),IF('TS-PILE'!$B$70="",-1E+99,'TO HOP NLAN'!D164/ncoc+IF(SUMSQ('TS-PILE'!$E$56:$E$75)=0,0,'TO HOP NLAN'!E164*'TS-PILE'!$E$70/SUMSQ('TS-PILE'!$E$56:$E$75))+IF(SUMSQ('TS-PILE'!$D$56:$D$75)=0,0,'TO HOP NLAN'!F164*'TS-PILE'!$D$70/SUMSQ('TS-PILE'!$D$56:$D$75))),IF('TS-PILE'!$B$71="",-1E+99,'TO HOP NLAN'!D164/ncoc+IF(SUMSQ('TS-PILE'!$E$56:$E$75)=0,0,'TO HOP NLAN'!E164*'TS-PILE'!$E$71/SUMSQ('TS-PILE'!$E$56:$E$75))+IF(SUMSQ('TS-PILE'!$D$56:$D$75)=0,0,'TO HOP NLAN'!F164*'TS-PILE'!$D$71/SUMSQ('TS-PILE'!$D$56:$D$75))),IF('TS-PILE'!$B$72="",-1E+99,'TO HOP NLAN'!D164/ncoc+IF(SUMSQ('TS-PILE'!$E$56:$E$75)=0,0,'TO HOP NLAN'!E164*'TS-PILE'!$E$72/SUMSQ('TS-PILE'!$E$56:$E$75))+IF(SUMSQ('TS-PILE'!$D$56:$D$75)=0,0,'TO HOP NLAN'!F164*'TS-PILE'!$D$72/SUMSQ('TS-PILE'!$D$56:$D$75))),IF('TS-PILE'!$B$73="",-1E+99,'TO HOP NLAN'!D164/ncoc+IF(SUMSQ('TS-PILE'!$E$56:$E$75)=0,0,'TO HOP NLAN'!E164*'TS-PILE'!$E$73/SUMSQ('TS-PILE'!$E$56:$E$75))+IF(SUMSQ('TS-PILE'!$D$56:$D$75)=0,0,'TO HOP NLAN'!F164*'TS-PILE'!$D$73/SUMSQ('TS-PILE'!$D$56:$D$75))),IF('TS-PILE'!$B$74="",-1E+99,'TO HOP NLAN'!D164/ncoc+IF(SUMSQ('TS-PILE'!$E$56:$E$75)=0,0,'TO HOP NLAN'!E164*'TS-PILE'!$E$74/SUMSQ('TS-PILE'!$E$56:$E$75))+IF(SUMSQ('TS-PILE'!$D$56:$D$75)=0,0,'TO HOP NLAN'!F164*'TS-PILE'!$D$74/SUMSQ('TS-PILE'!$D$56:$D$75))),IF('TS-PILE'!$B$75="",-1E+99,'TO HOP NLAN'!D164/ncoc+IF(SUMSQ('TS-PILE'!$E$56:$E$75)=0,0,'TO HOP NLAN'!E164*'TS-PILE'!$E$75/SUMSQ('TS-PILE'!$E$56:$E$75))+IF(SUMSQ('TS-PILE'!$D$56:$D$75)=0,0,'TO HOP NLAN'!F164*'TS-PILE'!$D$75/SUMSQ('TS-PILE'!$D$56:$D$75)))))</f>
        <v>0</v>
      </c>
      <c r="D164" s="46">
        <f>IF(A164="",0,MIN(IF('TS-PILE'!$B$56="",1E+99,'TO HOP NLAN'!D164/ncoc+IF(SUMSQ('TS-PILE'!$E$56:$E$75)=0,0,'TO HOP NLAN'!E164*'TS-PILE'!$E$56/SUMSQ('TS-PILE'!$E$56:$E$75))+IF(SUMSQ('TS-PILE'!$D$56:$D$75)=0,0,'TO HOP NLAN'!F164*'TS-PILE'!$D$56/SUMSQ('TS-PILE'!$D$56:$D$75))),IF('TS-PILE'!$B$57="",1E+99,'TO HOP NLAN'!D164/ncoc+IF(SUMSQ('TS-PILE'!$E$56:$E$75)=0,0,'TO HOP NLAN'!E164*'TS-PILE'!$E$57/SUMSQ('TS-PILE'!$E$56:$E$75))+IF(SUMSQ('TS-PILE'!$D$56:$D$75)=0,0,'TO HOP NLAN'!F164*'TS-PILE'!$D$57/SUMSQ('TS-PILE'!$D$56:$D$75))),IF('TS-PILE'!$B$58="",1E+99,'TO HOP NLAN'!D164/ncoc+IF(SUMSQ('TS-PILE'!$E$56:$E$75)=0,0,'TO HOP NLAN'!E164*'TS-PILE'!$E$58/SUMSQ('TS-PILE'!$E$56:$E$75))+IF(SUMSQ('TS-PILE'!$D$56:$D$75)=0,0,'TO HOP NLAN'!F164*'TS-PILE'!$D$58/SUMSQ('TS-PILE'!$D$56:$D$75))),IF('TS-PILE'!$B$59="",1E+99,'TO HOP NLAN'!D164/ncoc+IF(SUMSQ('TS-PILE'!$E$56:$E$75)=0,0,'TO HOP NLAN'!E164*'TS-PILE'!$E$59/SUMSQ('TS-PILE'!$E$56:$E$75))+IF(SUMSQ('TS-PILE'!$D$56:$D$75)=0,0,'TO HOP NLAN'!F164*'TS-PILE'!$D$59/SUMSQ('TS-PILE'!$D$56:$D$75))),IF('TS-PILE'!$B$60="",1E+99,'TO HOP NLAN'!D164/ncoc+IF(SUMSQ('TS-PILE'!$E$56:$E$75)=0,0,'TO HOP NLAN'!E164*'TS-PILE'!$E$60/SUMSQ('TS-PILE'!$E$56:$E$75))+IF(SUMSQ('TS-PILE'!$D$56:$D$75)=0,0,'TO HOP NLAN'!F164*'TS-PILE'!$D$60/SUMSQ('TS-PILE'!$D$56:$D$75))),IF('TS-PILE'!$B$61="",1E+99,'TO HOP NLAN'!D164/ncoc+IF(SUMSQ('TS-PILE'!$E$56:$E$75)=0,0,'TO HOP NLAN'!E164*'TS-PILE'!$E$61/SUMSQ('TS-PILE'!$E$56:$E$75))+IF(SUMSQ('TS-PILE'!$D$56:$D$75)=0,0,'TO HOP NLAN'!F164*'TS-PILE'!$D$61/SUMSQ('TS-PILE'!$D$56:$D$75))),IF('TS-PILE'!$B$62="",1E+99,'TO HOP NLAN'!D164/ncoc+IF(SUMSQ('TS-PILE'!$E$56:$E$75)=0,0,'TO HOP NLAN'!E164*'TS-PILE'!$E$62/SUMSQ('TS-PILE'!$E$56:$E$75))+IF(SUMSQ('TS-PILE'!$D$56:$D$75)=0,0,'TO HOP NLAN'!F164*'TS-PILE'!$D$62/SUMSQ('TS-PILE'!$D$56:$D$75))),IF('TS-PILE'!$B$63="",1E+99,'TO HOP NLAN'!D164/ncoc+IF(SUMSQ('TS-PILE'!$E$56:$E$75)=0,0,'TO HOP NLAN'!E164*'TS-PILE'!$E$63/SUMSQ('TS-PILE'!$E$56:$E$75))+IF(SUMSQ('TS-PILE'!$D$56:$D$75)=0,0,'TO HOP NLAN'!F164*'TS-PILE'!$D$63/SUMSQ('TS-PILE'!$D$56:$D$75))),IF('TS-PILE'!$B$64="",1E+99,'TO HOP NLAN'!D164/ncoc+IF(SUMSQ('TS-PILE'!$E$56:$E$75)=0,0,'TO HOP NLAN'!E164*'TS-PILE'!$E$64/SUMSQ('TS-PILE'!$E$56:$E$75))+IF(SUMSQ('TS-PILE'!$D$56:$D$75)=0,0,'TO HOP NLAN'!F164*'TS-PILE'!$D$64/SUMSQ('TS-PILE'!$D$56:$D$75))),IF('TS-PILE'!$B$65="",1E+99,'TO HOP NLAN'!D164/ncoc+IF(SUMSQ('TS-PILE'!$E$56:$E$75)=0,0,'TO HOP NLAN'!E164*'TS-PILE'!$E$65/SUMSQ('TS-PILE'!$E$56:$E$75))+IF(SUMSQ('TS-PILE'!$D$56:$D$75)=0,0,'TO HOP NLAN'!F164*'TS-PILE'!$D$65/SUMSQ('TS-PILE'!$D$56:$D$75))),IF('TS-PILE'!$B$66="",1E+99,'TO HOP NLAN'!D164/ncoc+IF(SUMSQ('TS-PILE'!$E$56:$E$75)=0,0,'TO HOP NLAN'!E164*'TS-PILE'!$E$66/SUMSQ('TS-PILE'!$E$56:$E$75))+IF(SUMSQ('TS-PILE'!$D$56:$D$75)=0,0,'TO HOP NLAN'!F164*'TS-PILE'!$D$66/SUMSQ('TS-PILE'!$D$56:$D$75))),IF('TS-PILE'!$B$67="",1E+99,'TO HOP NLAN'!D164/ncoc+IF(SUMSQ('TS-PILE'!$E$56:$E$75)=0,0,'TO HOP NLAN'!E164*'TS-PILE'!$E$67/SUMSQ('TS-PILE'!$E$56:$E$75))+IF(SUMSQ('TS-PILE'!$D$56:$D$75)=0,0,'TO HOP NLAN'!F164*'TS-PILE'!$D$67/SUMSQ('TS-PILE'!$D$56:$D$75))),IF('TS-PILE'!$B$68="",1E+99,'TO HOP NLAN'!D164/ncoc+IF(SUMSQ('TS-PILE'!$E$56:$E$75)=0,0,'TO HOP NLAN'!E164*'TS-PILE'!$E$68/SUMSQ('TS-PILE'!$E$56:$E$75))+IF(SUMSQ('TS-PILE'!$D$56:$D$75)=0,0,'TO HOP NLAN'!F164*'TS-PILE'!$D$68/SUMSQ('TS-PILE'!$D$56:$D$75))),IF('TS-PILE'!$B$69="",1E+99,'TO HOP NLAN'!D164/ncoc+IF(SUMSQ('TS-PILE'!$E$56:$E$75)=0,0,'TO HOP NLAN'!E164*'TS-PILE'!$E$69/SUMSQ('TS-PILE'!$E$56:$E$75))+IF(SUMSQ('TS-PILE'!$D$56:$D$75)=0,0,'TO HOP NLAN'!F164*'TS-PILE'!$D$69/SUMSQ('TS-PILE'!$D$56:$D$75))),IF('TS-PILE'!$B$70="",1E+99,'TO HOP NLAN'!D164/ncoc+IF(SUMSQ('TS-PILE'!$E$56:$E$75)=0,0,'TO HOP NLAN'!E164*'TS-PILE'!$E$70/SUMSQ('TS-PILE'!$E$56:$E$75))+IF(SUMSQ('TS-PILE'!$D$56:$D$75)=0,0,'TO HOP NLAN'!F164*'TS-PILE'!$D$70/SUMSQ('TS-PILE'!$D$56:$D$75))),IF('TS-PILE'!$B$71="",1E+99,'TO HOP NLAN'!D164/ncoc+IF(SUMSQ('TS-PILE'!$E$56:$E$75)=0,0,'TO HOP NLAN'!E164*'TS-PILE'!$E$71/SUMSQ('TS-PILE'!$E$56:$E$75))+IF(SUMSQ('TS-PILE'!$D$56:$D$75)=0,0,'TO HOP NLAN'!F164*'TS-PILE'!$D$71/SUMSQ('TS-PILE'!$D$56:$D$75))),IF('TS-PILE'!$B$72="",1E+99,'TO HOP NLAN'!D164/ncoc+IF(SUMSQ('TS-PILE'!$E$56:$E$75)=0,0,'TO HOP NLAN'!E164*'TS-PILE'!$E$72/SUMSQ('TS-PILE'!$E$56:$E$75))+IF(SUMSQ('TS-PILE'!$D$56:$D$75)=0,0,'TO HOP NLAN'!F164*'TS-PILE'!$D$72/SUMSQ('TS-PILE'!$D$56:$D$75))),IF('TS-PILE'!$B$73="",1E+99,'TO HOP NLAN'!D164/ncoc+IF(SUMSQ('TS-PILE'!$E$56:$E$75)=0,0,'TO HOP NLAN'!E164*'TS-PILE'!$E$73/SUMSQ('TS-PILE'!$E$56:$E$75))+IF(SUMSQ('TS-PILE'!$D$56:$D$75)=0,0,'TO HOP NLAN'!F164*'TS-PILE'!$D$73/SUMSQ('TS-PILE'!$D$56:$D$75))),IF('TS-PILE'!$B$74="",1E+99,'TO HOP NLAN'!D164/ncoc+IF(SUMSQ('TS-PILE'!$E$56:$E$75)=0,0,'TO HOP NLAN'!E164*'TS-PILE'!$E$74/SUMSQ('TS-PILE'!$E$56:$E$75))+IF(SUMSQ('TS-PILE'!$D$56:$D$75)=0,0,'TO HOP NLAN'!F164*'TS-PILE'!$D$74/SUMSQ('TS-PILE'!$D$56:$D$75))),IF('TS-PILE'!$B$75="",1E+99,'TO HOP NLAN'!D164/ncoc+IF(SUMSQ('TS-PILE'!$E$56:$E$75)=0,0,'TO HOP NLAN'!E164*'TS-PILE'!$E$75/SUMSQ('TS-PILE'!$E$56:$E$75))+IF(SUMSQ('TS-PILE'!$D$56:$D$75)=0,0,'TO HOP NLAN'!F164*'TS-PILE'!$D$75/SUMSQ('TS-PILE'!$D$56:$D$75)))))</f>
        <v>0</v>
      </c>
      <c r="E164" s="46">
        <f t="shared" si="8"/>
        <v>-9.9999999999999997E+98</v>
      </c>
      <c r="F164" s="46">
        <f t="shared" si="9"/>
        <v>9.9999999999999997E+98</v>
      </c>
      <c r="G164" s="46">
        <f t="shared" si="10"/>
        <v>-9.9999999999999997E+98</v>
      </c>
      <c r="H164" s="46">
        <f t="shared" si="11"/>
        <v>9.9999999999999997E+98</v>
      </c>
    </row>
    <row r="165" spans="1:8" x14ac:dyDescent="0.3">
      <c r="A165" s="40" t="str">
        <f>'TO HOP NLAN'!A165</f>
        <v/>
      </c>
      <c r="B165" s="40" t="str">
        <f>'TO HOP NLAN'!L165</f>
        <v>STRENGTH</v>
      </c>
      <c r="C165" s="46">
        <f>IF(A165="",0,MAX(IF('TS-PILE'!$B$56="",-1E+99,'TO HOP NLAN'!D165/ncoc+IF(SUMSQ('TS-PILE'!$E$56:$E$75)=0,0,'TO HOP NLAN'!E165*'TS-PILE'!$E$56/SUMSQ('TS-PILE'!$E$56:$E$75))+IF(SUMSQ('TS-PILE'!$D$56:$D$75)=0,0,'TO HOP NLAN'!F165*'TS-PILE'!$D$56/SUMSQ('TS-PILE'!$D$56:$D$75))),IF('TS-PILE'!$B$57="",-1E+99,'TO HOP NLAN'!D165/ncoc+IF(SUMSQ('TS-PILE'!$E$56:$E$75)=0,0,'TO HOP NLAN'!E165*'TS-PILE'!$E$57/SUMSQ('TS-PILE'!$E$56:$E$75))+IF(SUMSQ('TS-PILE'!$D$56:$D$75)=0,0,'TO HOP NLAN'!F165*'TS-PILE'!$D$57/SUMSQ('TS-PILE'!$D$56:$D$75))),IF('TS-PILE'!$B$58="",-1E+99,'TO HOP NLAN'!D165/ncoc+IF(SUMSQ('TS-PILE'!$E$56:$E$75)=0,0,'TO HOP NLAN'!E165*'TS-PILE'!$E$58/SUMSQ('TS-PILE'!$E$56:$E$75))+IF(SUMSQ('TS-PILE'!$D$56:$D$75)=0,0,'TO HOP NLAN'!F165*'TS-PILE'!$D$58/SUMSQ('TS-PILE'!$D$56:$D$75))),IF('TS-PILE'!$B$59="",-1E+99,'TO HOP NLAN'!D165/ncoc+IF(SUMSQ('TS-PILE'!$E$56:$E$75)=0,0,'TO HOP NLAN'!E165*'TS-PILE'!$E$59/SUMSQ('TS-PILE'!$E$56:$E$75))+IF(SUMSQ('TS-PILE'!$D$56:$D$75)=0,0,'TO HOP NLAN'!F165*'TS-PILE'!$D$59/SUMSQ('TS-PILE'!$D$56:$D$75))),IF('TS-PILE'!$B$60="",-1E+99,'TO HOP NLAN'!D165/ncoc+IF(SUMSQ('TS-PILE'!$E$56:$E$75)=0,0,'TO HOP NLAN'!E165*'TS-PILE'!$E$60/SUMSQ('TS-PILE'!$E$56:$E$75))+IF(SUMSQ('TS-PILE'!$D$56:$D$75)=0,0,'TO HOP NLAN'!F165*'TS-PILE'!$D$60/SUMSQ('TS-PILE'!$D$56:$D$75))),IF('TS-PILE'!$B$61="",-1E+99,'TO HOP NLAN'!D165/ncoc+IF(SUMSQ('TS-PILE'!$E$56:$E$75)=0,0,'TO HOP NLAN'!E165*'TS-PILE'!$E$61/SUMSQ('TS-PILE'!$E$56:$E$75))+IF(SUMSQ('TS-PILE'!$D$56:$D$75)=0,0,'TO HOP NLAN'!F165*'TS-PILE'!$D$61/SUMSQ('TS-PILE'!$D$56:$D$75))),IF('TS-PILE'!$B$62="",-1E+99,'TO HOP NLAN'!D165/ncoc+IF(SUMSQ('TS-PILE'!$E$56:$E$75)=0,0,'TO HOP NLAN'!E165*'TS-PILE'!$E$62/SUMSQ('TS-PILE'!$E$56:$E$75))+IF(SUMSQ('TS-PILE'!$D$56:$D$75)=0,0,'TO HOP NLAN'!F165*'TS-PILE'!$D$62/SUMSQ('TS-PILE'!$D$56:$D$75))),IF('TS-PILE'!$B$63="",-1E+99,'TO HOP NLAN'!D165/ncoc+IF(SUMSQ('TS-PILE'!$E$56:$E$75)=0,0,'TO HOP NLAN'!E165*'TS-PILE'!$E$63/SUMSQ('TS-PILE'!$E$56:$E$75))+IF(SUMSQ('TS-PILE'!$D$56:$D$75)=0,0,'TO HOP NLAN'!F165*'TS-PILE'!$D$63/SUMSQ('TS-PILE'!$D$56:$D$75))),IF('TS-PILE'!$B$64="",-1E+99,'TO HOP NLAN'!D165/ncoc+IF(SUMSQ('TS-PILE'!$E$56:$E$75)=0,0,'TO HOP NLAN'!E165*'TS-PILE'!$E$64/SUMSQ('TS-PILE'!$E$56:$E$75))+IF(SUMSQ('TS-PILE'!$D$56:$D$75)=0,0,'TO HOP NLAN'!F165*'TS-PILE'!$D$64/SUMSQ('TS-PILE'!$D$56:$D$75))),IF('TS-PILE'!$B$65="",-1E+99,'TO HOP NLAN'!D165/ncoc+IF(SUMSQ('TS-PILE'!$E$56:$E$75)=0,0,'TO HOP NLAN'!E165*'TS-PILE'!$E$65/SUMSQ('TS-PILE'!$E$56:$E$75))+IF(SUMSQ('TS-PILE'!$D$56:$D$75)=0,0,'TO HOP NLAN'!F165*'TS-PILE'!$D$65/SUMSQ('TS-PILE'!$D$56:$D$75))),IF('TS-PILE'!$B$66="",-1E+99,'TO HOP NLAN'!D165/ncoc+IF(SUMSQ('TS-PILE'!$E$56:$E$75)=0,0,'TO HOP NLAN'!E165*'TS-PILE'!$E$66/SUMSQ('TS-PILE'!$E$56:$E$75))+IF(SUMSQ('TS-PILE'!$D$56:$D$75)=0,0,'TO HOP NLAN'!F165*'TS-PILE'!$D$66/SUMSQ('TS-PILE'!$D$56:$D$75))),IF('TS-PILE'!$B$67="",-1E+99,'TO HOP NLAN'!D165/ncoc+IF(SUMSQ('TS-PILE'!$E$56:$E$75)=0,0,'TO HOP NLAN'!E165*'TS-PILE'!$E$67/SUMSQ('TS-PILE'!$E$56:$E$75))+IF(SUMSQ('TS-PILE'!$D$56:$D$75)=0,0,'TO HOP NLAN'!F165*'TS-PILE'!$D$67/SUMSQ('TS-PILE'!$D$56:$D$75))),IF('TS-PILE'!$B$68="",-1E+99,'TO HOP NLAN'!D165/ncoc+IF(SUMSQ('TS-PILE'!$E$56:$E$75)=0,0,'TO HOP NLAN'!E165*'TS-PILE'!$E$68/SUMSQ('TS-PILE'!$E$56:$E$75))+IF(SUMSQ('TS-PILE'!$D$56:$D$75)=0,0,'TO HOP NLAN'!F165*'TS-PILE'!$D$68/SUMSQ('TS-PILE'!$D$56:$D$75))),IF('TS-PILE'!$B$69="",-1E+99,'TO HOP NLAN'!D165/ncoc+IF(SUMSQ('TS-PILE'!$E$56:$E$75)=0,0,'TO HOP NLAN'!E165*'TS-PILE'!$E$69/SUMSQ('TS-PILE'!$E$56:$E$75))+IF(SUMSQ('TS-PILE'!$D$56:$D$75)=0,0,'TO HOP NLAN'!F165*'TS-PILE'!$D$69/SUMSQ('TS-PILE'!$D$56:$D$75))),IF('TS-PILE'!$B$70="",-1E+99,'TO HOP NLAN'!D165/ncoc+IF(SUMSQ('TS-PILE'!$E$56:$E$75)=0,0,'TO HOP NLAN'!E165*'TS-PILE'!$E$70/SUMSQ('TS-PILE'!$E$56:$E$75))+IF(SUMSQ('TS-PILE'!$D$56:$D$75)=0,0,'TO HOP NLAN'!F165*'TS-PILE'!$D$70/SUMSQ('TS-PILE'!$D$56:$D$75))),IF('TS-PILE'!$B$71="",-1E+99,'TO HOP NLAN'!D165/ncoc+IF(SUMSQ('TS-PILE'!$E$56:$E$75)=0,0,'TO HOP NLAN'!E165*'TS-PILE'!$E$71/SUMSQ('TS-PILE'!$E$56:$E$75))+IF(SUMSQ('TS-PILE'!$D$56:$D$75)=0,0,'TO HOP NLAN'!F165*'TS-PILE'!$D$71/SUMSQ('TS-PILE'!$D$56:$D$75))),IF('TS-PILE'!$B$72="",-1E+99,'TO HOP NLAN'!D165/ncoc+IF(SUMSQ('TS-PILE'!$E$56:$E$75)=0,0,'TO HOP NLAN'!E165*'TS-PILE'!$E$72/SUMSQ('TS-PILE'!$E$56:$E$75))+IF(SUMSQ('TS-PILE'!$D$56:$D$75)=0,0,'TO HOP NLAN'!F165*'TS-PILE'!$D$72/SUMSQ('TS-PILE'!$D$56:$D$75))),IF('TS-PILE'!$B$73="",-1E+99,'TO HOP NLAN'!D165/ncoc+IF(SUMSQ('TS-PILE'!$E$56:$E$75)=0,0,'TO HOP NLAN'!E165*'TS-PILE'!$E$73/SUMSQ('TS-PILE'!$E$56:$E$75))+IF(SUMSQ('TS-PILE'!$D$56:$D$75)=0,0,'TO HOP NLAN'!F165*'TS-PILE'!$D$73/SUMSQ('TS-PILE'!$D$56:$D$75))),IF('TS-PILE'!$B$74="",-1E+99,'TO HOP NLAN'!D165/ncoc+IF(SUMSQ('TS-PILE'!$E$56:$E$75)=0,0,'TO HOP NLAN'!E165*'TS-PILE'!$E$74/SUMSQ('TS-PILE'!$E$56:$E$75))+IF(SUMSQ('TS-PILE'!$D$56:$D$75)=0,0,'TO HOP NLAN'!F165*'TS-PILE'!$D$74/SUMSQ('TS-PILE'!$D$56:$D$75))),IF('TS-PILE'!$B$75="",-1E+99,'TO HOP NLAN'!D165/ncoc+IF(SUMSQ('TS-PILE'!$E$56:$E$75)=0,0,'TO HOP NLAN'!E165*'TS-PILE'!$E$75/SUMSQ('TS-PILE'!$E$56:$E$75))+IF(SUMSQ('TS-PILE'!$D$56:$D$75)=0,0,'TO HOP NLAN'!F165*'TS-PILE'!$D$75/SUMSQ('TS-PILE'!$D$56:$D$75)))))</f>
        <v>0</v>
      </c>
      <c r="D165" s="46">
        <f>IF(A165="",0,MIN(IF('TS-PILE'!$B$56="",1E+99,'TO HOP NLAN'!D165/ncoc+IF(SUMSQ('TS-PILE'!$E$56:$E$75)=0,0,'TO HOP NLAN'!E165*'TS-PILE'!$E$56/SUMSQ('TS-PILE'!$E$56:$E$75))+IF(SUMSQ('TS-PILE'!$D$56:$D$75)=0,0,'TO HOP NLAN'!F165*'TS-PILE'!$D$56/SUMSQ('TS-PILE'!$D$56:$D$75))),IF('TS-PILE'!$B$57="",1E+99,'TO HOP NLAN'!D165/ncoc+IF(SUMSQ('TS-PILE'!$E$56:$E$75)=0,0,'TO HOP NLAN'!E165*'TS-PILE'!$E$57/SUMSQ('TS-PILE'!$E$56:$E$75))+IF(SUMSQ('TS-PILE'!$D$56:$D$75)=0,0,'TO HOP NLAN'!F165*'TS-PILE'!$D$57/SUMSQ('TS-PILE'!$D$56:$D$75))),IF('TS-PILE'!$B$58="",1E+99,'TO HOP NLAN'!D165/ncoc+IF(SUMSQ('TS-PILE'!$E$56:$E$75)=0,0,'TO HOP NLAN'!E165*'TS-PILE'!$E$58/SUMSQ('TS-PILE'!$E$56:$E$75))+IF(SUMSQ('TS-PILE'!$D$56:$D$75)=0,0,'TO HOP NLAN'!F165*'TS-PILE'!$D$58/SUMSQ('TS-PILE'!$D$56:$D$75))),IF('TS-PILE'!$B$59="",1E+99,'TO HOP NLAN'!D165/ncoc+IF(SUMSQ('TS-PILE'!$E$56:$E$75)=0,0,'TO HOP NLAN'!E165*'TS-PILE'!$E$59/SUMSQ('TS-PILE'!$E$56:$E$75))+IF(SUMSQ('TS-PILE'!$D$56:$D$75)=0,0,'TO HOP NLAN'!F165*'TS-PILE'!$D$59/SUMSQ('TS-PILE'!$D$56:$D$75))),IF('TS-PILE'!$B$60="",1E+99,'TO HOP NLAN'!D165/ncoc+IF(SUMSQ('TS-PILE'!$E$56:$E$75)=0,0,'TO HOP NLAN'!E165*'TS-PILE'!$E$60/SUMSQ('TS-PILE'!$E$56:$E$75))+IF(SUMSQ('TS-PILE'!$D$56:$D$75)=0,0,'TO HOP NLAN'!F165*'TS-PILE'!$D$60/SUMSQ('TS-PILE'!$D$56:$D$75))),IF('TS-PILE'!$B$61="",1E+99,'TO HOP NLAN'!D165/ncoc+IF(SUMSQ('TS-PILE'!$E$56:$E$75)=0,0,'TO HOP NLAN'!E165*'TS-PILE'!$E$61/SUMSQ('TS-PILE'!$E$56:$E$75))+IF(SUMSQ('TS-PILE'!$D$56:$D$75)=0,0,'TO HOP NLAN'!F165*'TS-PILE'!$D$61/SUMSQ('TS-PILE'!$D$56:$D$75))),IF('TS-PILE'!$B$62="",1E+99,'TO HOP NLAN'!D165/ncoc+IF(SUMSQ('TS-PILE'!$E$56:$E$75)=0,0,'TO HOP NLAN'!E165*'TS-PILE'!$E$62/SUMSQ('TS-PILE'!$E$56:$E$75))+IF(SUMSQ('TS-PILE'!$D$56:$D$75)=0,0,'TO HOP NLAN'!F165*'TS-PILE'!$D$62/SUMSQ('TS-PILE'!$D$56:$D$75))),IF('TS-PILE'!$B$63="",1E+99,'TO HOP NLAN'!D165/ncoc+IF(SUMSQ('TS-PILE'!$E$56:$E$75)=0,0,'TO HOP NLAN'!E165*'TS-PILE'!$E$63/SUMSQ('TS-PILE'!$E$56:$E$75))+IF(SUMSQ('TS-PILE'!$D$56:$D$75)=0,0,'TO HOP NLAN'!F165*'TS-PILE'!$D$63/SUMSQ('TS-PILE'!$D$56:$D$75))),IF('TS-PILE'!$B$64="",1E+99,'TO HOP NLAN'!D165/ncoc+IF(SUMSQ('TS-PILE'!$E$56:$E$75)=0,0,'TO HOP NLAN'!E165*'TS-PILE'!$E$64/SUMSQ('TS-PILE'!$E$56:$E$75))+IF(SUMSQ('TS-PILE'!$D$56:$D$75)=0,0,'TO HOP NLAN'!F165*'TS-PILE'!$D$64/SUMSQ('TS-PILE'!$D$56:$D$75))),IF('TS-PILE'!$B$65="",1E+99,'TO HOP NLAN'!D165/ncoc+IF(SUMSQ('TS-PILE'!$E$56:$E$75)=0,0,'TO HOP NLAN'!E165*'TS-PILE'!$E$65/SUMSQ('TS-PILE'!$E$56:$E$75))+IF(SUMSQ('TS-PILE'!$D$56:$D$75)=0,0,'TO HOP NLAN'!F165*'TS-PILE'!$D$65/SUMSQ('TS-PILE'!$D$56:$D$75))),IF('TS-PILE'!$B$66="",1E+99,'TO HOP NLAN'!D165/ncoc+IF(SUMSQ('TS-PILE'!$E$56:$E$75)=0,0,'TO HOP NLAN'!E165*'TS-PILE'!$E$66/SUMSQ('TS-PILE'!$E$56:$E$75))+IF(SUMSQ('TS-PILE'!$D$56:$D$75)=0,0,'TO HOP NLAN'!F165*'TS-PILE'!$D$66/SUMSQ('TS-PILE'!$D$56:$D$75))),IF('TS-PILE'!$B$67="",1E+99,'TO HOP NLAN'!D165/ncoc+IF(SUMSQ('TS-PILE'!$E$56:$E$75)=0,0,'TO HOP NLAN'!E165*'TS-PILE'!$E$67/SUMSQ('TS-PILE'!$E$56:$E$75))+IF(SUMSQ('TS-PILE'!$D$56:$D$75)=0,0,'TO HOP NLAN'!F165*'TS-PILE'!$D$67/SUMSQ('TS-PILE'!$D$56:$D$75))),IF('TS-PILE'!$B$68="",1E+99,'TO HOP NLAN'!D165/ncoc+IF(SUMSQ('TS-PILE'!$E$56:$E$75)=0,0,'TO HOP NLAN'!E165*'TS-PILE'!$E$68/SUMSQ('TS-PILE'!$E$56:$E$75))+IF(SUMSQ('TS-PILE'!$D$56:$D$75)=0,0,'TO HOP NLAN'!F165*'TS-PILE'!$D$68/SUMSQ('TS-PILE'!$D$56:$D$75))),IF('TS-PILE'!$B$69="",1E+99,'TO HOP NLAN'!D165/ncoc+IF(SUMSQ('TS-PILE'!$E$56:$E$75)=0,0,'TO HOP NLAN'!E165*'TS-PILE'!$E$69/SUMSQ('TS-PILE'!$E$56:$E$75))+IF(SUMSQ('TS-PILE'!$D$56:$D$75)=0,0,'TO HOP NLAN'!F165*'TS-PILE'!$D$69/SUMSQ('TS-PILE'!$D$56:$D$75))),IF('TS-PILE'!$B$70="",1E+99,'TO HOP NLAN'!D165/ncoc+IF(SUMSQ('TS-PILE'!$E$56:$E$75)=0,0,'TO HOP NLAN'!E165*'TS-PILE'!$E$70/SUMSQ('TS-PILE'!$E$56:$E$75))+IF(SUMSQ('TS-PILE'!$D$56:$D$75)=0,0,'TO HOP NLAN'!F165*'TS-PILE'!$D$70/SUMSQ('TS-PILE'!$D$56:$D$75))),IF('TS-PILE'!$B$71="",1E+99,'TO HOP NLAN'!D165/ncoc+IF(SUMSQ('TS-PILE'!$E$56:$E$75)=0,0,'TO HOP NLAN'!E165*'TS-PILE'!$E$71/SUMSQ('TS-PILE'!$E$56:$E$75))+IF(SUMSQ('TS-PILE'!$D$56:$D$75)=0,0,'TO HOP NLAN'!F165*'TS-PILE'!$D$71/SUMSQ('TS-PILE'!$D$56:$D$75))),IF('TS-PILE'!$B$72="",1E+99,'TO HOP NLAN'!D165/ncoc+IF(SUMSQ('TS-PILE'!$E$56:$E$75)=0,0,'TO HOP NLAN'!E165*'TS-PILE'!$E$72/SUMSQ('TS-PILE'!$E$56:$E$75))+IF(SUMSQ('TS-PILE'!$D$56:$D$75)=0,0,'TO HOP NLAN'!F165*'TS-PILE'!$D$72/SUMSQ('TS-PILE'!$D$56:$D$75))),IF('TS-PILE'!$B$73="",1E+99,'TO HOP NLAN'!D165/ncoc+IF(SUMSQ('TS-PILE'!$E$56:$E$75)=0,0,'TO HOP NLAN'!E165*'TS-PILE'!$E$73/SUMSQ('TS-PILE'!$E$56:$E$75))+IF(SUMSQ('TS-PILE'!$D$56:$D$75)=0,0,'TO HOP NLAN'!F165*'TS-PILE'!$D$73/SUMSQ('TS-PILE'!$D$56:$D$75))),IF('TS-PILE'!$B$74="",1E+99,'TO HOP NLAN'!D165/ncoc+IF(SUMSQ('TS-PILE'!$E$56:$E$75)=0,0,'TO HOP NLAN'!E165*'TS-PILE'!$E$74/SUMSQ('TS-PILE'!$E$56:$E$75))+IF(SUMSQ('TS-PILE'!$D$56:$D$75)=0,0,'TO HOP NLAN'!F165*'TS-PILE'!$D$74/SUMSQ('TS-PILE'!$D$56:$D$75))),IF('TS-PILE'!$B$75="",1E+99,'TO HOP NLAN'!D165/ncoc+IF(SUMSQ('TS-PILE'!$E$56:$E$75)=0,0,'TO HOP NLAN'!E165*'TS-PILE'!$E$75/SUMSQ('TS-PILE'!$E$56:$E$75))+IF(SUMSQ('TS-PILE'!$D$56:$D$75)=0,0,'TO HOP NLAN'!F165*'TS-PILE'!$D$75/SUMSQ('TS-PILE'!$D$56:$D$75)))))</f>
        <v>0</v>
      </c>
      <c r="E165" s="46">
        <f t="shared" si="8"/>
        <v>-9.9999999999999997E+98</v>
      </c>
      <c r="F165" s="46">
        <f t="shared" si="9"/>
        <v>9.9999999999999997E+98</v>
      </c>
      <c r="G165" s="46">
        <f t="shared" si="10"/>
        <v>-9.9999999999999997E+98</v>
      </c>
      <c r="H165" s="46">
        <f t="shared" si="11"/>
        <v>9.9999999999999997E+98</v>
      </c>
    </row>
    <row r="166" spans="1:8" x14ac:dyDescent="0.3">
      <c r="A166" s="40" t="str">
        <f>'TO HOP NLAN'!A166</f>
        <v/>
      </c>
      <c r="B166" s="40" t="str">
        <f>'TO HOP NLAN'!L166</f>
        <v>STRENGTH</v>
      </c>
      <c r="C166" s="46">
        <f>IF(A166="",0,MAX(IF('TS-PILE'!$B$56="",-1E+99,'TO HOP NLAN'!D166/ncoc+IF(SUMSQ('TS-PILE'!$E$56:$E$75)=0,0,'TO HOP NLAN'!E166*'TS-PILE'!$E$56/SUMSQ('TS-PILE'!$E$56:$E$75))+IF(SUMSQ('TS-PILE'!$D$56:$D$75)=0,0,'TO HOP NLAN'!F166*'TS-PILE'!$D$56/SUMSQ('TS-PILE'!$D$56:$D$75))),IF('TS-PILE'!$B$57="",-1E+99,'TO HOP NLAN'!D166/ncoc+IF(SUMSQ('TS-PILE'!$E$56:$E$75)=0,0,'TO HOP NLAN'!E166*'TS-PILE'!$E$57/SUMSQ('TS-PILE'!$E$56:$E$75))+IF(SUMSQ('TS-PILE'!$D$56:$D$75)=0,0,'TO HOP NLAN'!F166*'TS-PILE'!$D$57/SUMSQ('TS-PILE'!$D$56:$D$75))),IF('TS-PILE'!$B$58="",-1E+99,'TO HOP NLAN'!D166/ncoc+IF(SUMSQ('TS-PILE'!$E$56:$E$75)=0,0,'TO HOP NLAN'!E166*'TS-PILE'!$E$58/SUMSQ('TS-PILE'!$E$56:$E$75))+IF(SUMSQ('TS-PILE'!$D$56:$D$75)=0,0,'TO HOP NLAN'!F166*'TS-PILE'!$D$58/SUMSQ('TS-PILE'!$D$56:$D$75))),IF('TS-PILE'!$B$59="",-1E+99,'TO HOP NLAN'!D166/ncoc+IF(SUMSQ('TS-PILE'!$E$56:$E$75)=0,0,'TO HOP NLAN'!E166*'TS-PILE'!$E$59/SUMSQ('TS-PILE'!$E$56:$E$75))+IF(SUMSQ('TS-PILE'!$D$56:$D$75)=0,0,'TO HOP NLAN'!F166*'TS-PILE'!$D$59/SUMSQ('TS-PILE'!$D$56:$D$75))),IF('TS-PILE'!$B$60="",-1E+99,'TO HOP NLAN'!D166/ncoc+IF(SUMSQ('TS-PILE'!$E$56:$E$75)=0,0,'TO HOP NLAN'!E166*'TS-PILE'!$E$60/SUMSQ('TS-PILE'!$E$56:$E$75))+IF(SUMSQ('TS-PILE'!$D$56:$D$75)=0,0,'TO HOP NLAN'!F166*'TS-PILE'!$D$60/SUMSQ('TS-PILE'!$D$56:$D$75))),IF('TS-PILE'!$B$61="",-1E+99,'TO HOP NLAN'!D166/ncoc+IF(SUMSQ('TS-PILE'!$E$56:$E$75)=0,0,'TO HOP NLAN'!E166*'TS-PILE'!$E$61/SUMSQ('TS-PILE'!$E$56:$E$75))+IF(SUMSQ('TS-PILE'!$D$56:$D$75)=0,0,'TO HOP NLAN'!F166*'TS-PILE'!$D$61/SUMSQ('TS-PILE'!$D$56:$D$75))),IF('TS-PILE'!$B$62="",-1E+99,'TO HOP NLAN'!D166/ncoc+IF(SUMSQ('TS-PILE'!$E$56:$E$75)=0,0,'TO HOP NLAN'!E166*'TS-PILE'!$E$62/SUMSQ('TS-PILE'!$E$56:$E$75))+IF(SUMSQ('TS-PILE'!$D$56:$D$75)=0,0,'TO HOP NLAN'!F166*'TS-PILE'!$D$62/SUMSQ('TS-PILE'!$D$56:$D$75))),IF('TS-PILE'!$B$63="",-1E+99,'TO HOP NLAN'!D166/ncoc+IF(SUMSQ('TS-PILE'!$E$56:$E$75)=0,0,'TO HOP NLAN'!E166*'TS-PILE'!$E$63/SUMSQ('TS-PILE'!$E$56:$E$75))+IF(SUMSQ('TS-PILE'!$D$56:$D$75)=0,0,'TO HOP NLAN'!F166*'TS-PILE'!$D$63/SUMSQ('TS-PILE'!$D$56:$D$75))),IF('TS-PILE'!$B$64="",-1E+99,'TO HOP NLAN'!D166/ncoc+IF(SUMSQ('TS-PILE'!$E$56:$E$75)=0,0,'TO HOP NLAN'!E166*'TS-PILE'!$E$64/SUMSQ('TS-PILE'!$E$56:$E$75))+IF(SUMSQ('TS-PILE'!$D$56:$D$75)=0,0,'TO HOP NLAN'!F166*'TS-PILE'!$D$64/SUMSQ('TS-PILE'!$D$56:$D$75))),IF('TS-PILE'!$B$65="",-1E+99,'TO HOP NLAN'!D166/ncoc+IF(SUMSQ('TS-PILE'!$E$56:$E$75)=0,0,'TO HOP NLAN'!E166*'TS-PILE'!$E$65/SUMSQ('TS-PILE'!$E$56:$E$75))+IF(SUMSQ('TS-PILE'!$D$56:$D$75)=0,0,'TO HOP NLAN'!F166*'TS-PILE'!$D$65/SUMSQ('TS-PILE'!$D$56:$D$75))),IF('TS-PILE'!$B$66="",-1E+99,'TO HOP NLAN'!D166/ncoc+IF(SUMSQ('TS-PILE'!$E$56:$E$75)=0,0,'TO HOP NLAN'!E166*'TS-PILE'!$E$66/SUMSQ('TS-PILE'!$E$56:$E$75))+IF(SUMSQ('TS-PILE'!$D$56:$D$75)=0,0,'TO HOP NLAN'!F166*'TS-PILE'!$D$66/SUMSQ('TS-PILE'!$D$56:$D$75))),IF('TS-PILE'!$B$67="",-1E+99,'TO HOP NLAN'!D166/ncoc+IF(SUMSQ('TS-PILE'!$E$56:$E$75)=0,0,'TO HOP NLAN'!E166*'TS-PILE'!$E$67/SUMSQ('TS-PILE'!$E$56:$E$75))+IF(SUMSQ('TS-PILE'!$D$56:$D$75)=0,0,'TO HOP NLAN'!F166*'TS-PILE'!$D$67/SUMSQ('TS-PILE'!$D$56:$D$75))),IF('TS-PILE'!$B$68="",-1E+99,'TO HOP NLAN'!D166/ncoc+IF(SUMSQ('TS-PILE'!$E$56:$E$75)=0,0,'TO HOP NLAN'!E166*'TS-PILE'!$E$68/SUMSQ('TS-PILE'!$E$56:$E$75))+IF(SUMSQ('TS-PILE'!$D$56:$D$75)=0,0,'TO HOP NLAN'!F166*'TS-PILE'!$D$68/SUMSQ('TS-PILE'!$D$56:$D$75))),IF('TS-PILE'!$B$69="",-1E+99,'TO HOP NLAN'!D166/ncoc+IF(SUMSQ('TS-PILE'!$E$56:$E$75)=0,0,'TO HOP NLAN'!E166*'TS-PILE'!$E$69/SUMSQ('TS-PILE'!$E$56:$E$75))+IF(SUMSQ('TS-PILE'!$D$56:$D$75)=0,0,'TO HOP NLAN'!F166*'TS-PILE'!$D$69/SUMSQ('TS-PILE'!$D$56:$D$75))),IF('TS-PILE'!$B$70="",-1E+99,'TO HOP NLAN'!D166/ncoc+IF(SUMSQ('TS-PILE'!$E$56:$E$75)=0,0,'TO HOP NLAN'!E166*'TS-PILE'!$E$70/SUMSQ('TS-PILE'!$E$56:$E$75))+IF(SUMSQ('TS-PILE'!$D$56:$D$75)=0,0,'TO HOP NLAN'!F166*'TS-PILE'!$D$70/SUMSQ('TS-PILE'!$D$56:$D$75))),IF('TS-PILE'!$B$71="",-1E+99,'TO HOP NLAN'!D166/ncoc+IF(SUMSQ('TS-PILE'!$E$56:$E$75)=0,0,'TO HOP NLAN'!E166*'TS-PILE'!$E$71/SUMSQ('TS-PILE'!$E$56:$E$75))+IF(SUMSQ('TS-PILE'!$D$56:$D$75)=0,0,'TO HOP NLAN'!F166*'TS-PILE'!$D$71/SUMSQ('TS-PILE'!$D$56:$D$75))),IF('TS-PILE'!$B$72="",-1E+99,'TO HOP NLAN'!D166/ncoc+IF(SUMSQ('TS-PILE'!$E$56:$E$75)=0,0,'TO HOP NLAN'!E166*'TS-PILE'!$E$72/SUMSQ('TS-PILE'!$E$56:$E$75))+IF(SUMSQ('TS-PILE'!$D$56:$D$75)=0,0,'TO HOP NLAN'!F166*'TS-PILE'!$D$72/SUMSQ('TS-PILE'!$D$56:$D$75))),IF('TS-PILE'!$B$73="",-1E+99,'TO HOP NLAN'!D166/ncoc+IF(SUMSQ('TS-PILE'!$E$56:$E$75)=0,0,'TO HOP NLAN'!E166*'TS-PILE'!$E$73/SUMSQ('TS-PILE'!$E$56:$E$75))+IF(SUMSQ('TS-PILE'!$D$56:$D$75)=0,0,'TO HOP NLAN'!F166*'TS-PILE'!$D$73/SUMSQ('TS-PILE'!$D$56:$D$75))),IF('TS-PILE'!$B$74="",-1E+99,'TO HOP NLAN'!D166/ncoc+IF(SUMSQ('TS-PILE'!$E$56:$E$75)=0,0,'TO HOP NLAN'!E166*'TS-PILE'!$E$74/SUMSQ('TS-PILE'!$E$56:$E$75))+IF(SUMSQ('TS-PILE'!$D$56:$D$75)=0,0,'TO HOP NLAN'!F166*'TS-PILE'!$D$74/SUMSQ('TS-PILE'!$D$56:$D$75))),IF('TS-PILE'!$B$75="",-1E+99,'TO HOP NLAN'!D166/ncoc+IF(SUMSQ('TS-PILE'!$E$56:$E$75)=0,0,'TO HOP NLAN'!E166*'TS-PILE'!$E$75/SUMSQ('TS-PILE'!$E$56:$E$75))+IF(SUMSQ('TS-PILE'!$D$56:$D$75)=0,0,'TO HOP NLAN'!F166*'TS-PILE'!$D$75/SUMSQ('TS-PILE'!$D$56:$D$75)))))</f>
        <v>0</v>
      </c>
      <c r="D166" s="46">
        <f>IF(A166="",0,MIN(IF('TS-PILE'!$B$56="",1E+99,'TO HOP NLAN'!D166/ncoc+IF(SUMSQ('TS-PILE'!$E$56:$E$75)=0,0,'TO HOP NLAN'!E166*'TS-PILE'!$E$56/SUMSQ('TS-PILE'!$E$56:$E$75))+IF(SUMSQ('TS-PILE'!$D$56:$D$75)=0,0,'TO HOP NLAN'!F166*'TS-PILE'!$D$56/SUMSQ('TS-PILE'!$D$56:$D$75))),IF('TS-PILE'!$B$57="",1E+99,'TO HOP NLAN'!D166/ncoc+IF(SUMSQ('TS-PILE'!$E$56:$E$75)=0,0,'TO HOP NLAN'!E166*'TS-PILE'!$E$57/SUMSQ('TS-PILE'!$E$56:$E$75))+IF(SUMSQ('TS-PILE'!$D$56:$D$75)=0,0,'TO HOP NLAN'!F166*'TS-PILE'!$D$57/SUMSQ('TS-PILE'!$D$56:$D$75))),IF('TS-PILE'!$B$58="",1E+99,'TO HOP NLAN'!D166/ncoc+IF(SUMSQ('TS-PILE'!$E$56:$E$75)=0,0,'TO HOP NLAN'!E166*'TS-PILE'!$E$58/SUMSQ('TS-PILE'!$E$56:$E$75))+IF(SUMSQ('TS-PILE'!$D$56:$D$75)=0,0,'TO HOP NLAN'!F166*'TS-PILE'!$D$58/SUMSQ('TS-PILE'!$D$56:$D$75))),IF('TS-PILE'!$B$59="",1E+99,'TO HOP NLAN'!D166/ncoc+IF(SUMSQ('TS-PILE'!$E$56:$E$75)=0,0,'TO HOP NLAN'!E166*'TS-PILE'!$E$59/SUMSQ('TS-PILE'!$E$56:$E$75))+IF(SUMSQ('TS-PILE'!$D$56:$D$75)=0,0,'TO HOP NLAN'!F166*'TS-PILE'!$D$59/SUMSQ('TS-PILE'!$D$56:$D$75))),IF('TS-PILE'!$B$60="",1E+99,'TO HOP NLAN'!D166/ncoc+IF(SUMSQ('TS-PILE'!$E$56:$E$75)=0,0,'TO HOP NLAN'!E166*'TS-PILE'!$E$60/SUMSQ('TS-PILE'!$E$56:$E$75))+IF(SUMSQ('TS-PILE'!$D$56:$D$75)=0,0,'TO HOP NLAN'!F166*'TS-PILE'!$D$60/SUMSQ('TS-PILE'!$D$56:$D$75))),IF('TS-PILE'!$B$61="",1E+99,'TO HOP NLAN'!D166/ncoc+IF(SUMSQ('TS-PILE'!$E$56:$E$75)=0,0,'TO HOP NLAN'!E166*'TS-PILE'!$E$61/SUMSQ('TS-PILE'!$E$56:$E$75))+IF(SUMSQ('TS-PILE'!$D$56:$D$75)=0,0,'TO HOP NLAN'!F166*'TS-PILE'!$D$61/SUMSQ('TS-PILE'!$D$56:$D$75))),IF('TS-PILE'!$B$62="",1E+99,'TO HOP NLAN'!D166/ncoc+IF(SUMSQ('TS-PILE'!$E$56:$E$75)=0,0,'TO HOP NLAN'!E166*'TS-PILE'!$E$62/SUMSQ('TS-PILE'!$E$56:$E$75))+IF(SUMSQ('TS-PILE'!$D$56:$D$75)=0,0,'TO HOP NLAN'!F166*'TS-PILE'!$D$62/SUMSQ('TS-PILE'!$D$56:$D$75))),IF('TS-PILE'!$B$63="",1E+99,'TO HOP NLAN'!D166/ncoc+IF(SUMSQ('TS-PILE'!$E$56:$E$75)=0,0,'TO HOP NLAN'!E166*'TS-PILE'!$E$63/SUMSQ('TS-PILE'!$E$56:$E$75))+IF(SUMSQ('TS-PILE'!$D$56:$D$75)=0,0,'TO HOP NLAN'!F166*'TS-PILE'!$D$63/SUMSQ('TS-PILE'!$D$56:$D$75))),IF('TS-PILE'!$B$64="",1E+99,'TO HOP NLAN'!D166/ncoc+IF(SUMSQ('TS-PILE'!$E$56:$E$75)=0,0,'TO HOP NLAN'!E166*'TS-PILE'!$E$64/SUMSQ('TS-PILE'!$E$56:$E$75))+IF(SUMSQ('TS-PILE'!$D$56:$D$75)=0,0,'TO HOP NLAN'!F166*'TS-PILE'!$D$64/SUMSQ('TS-PILE'!$D$56:$D$75))),IF('TS-PILE'!$B$65="",1E+99,'TO HOP NLAN'!D166/ncoc+IF(SUMSQ('TS-PILE'!$E$56:$E$75)=0,0,'TO HOP NLAN'!E166*'TS-PILE'!$E$65/SUMSQ('TS-PILE'!$E$56:$E$75))+IF(SUMSQ('TS-PILE'!$D$56:$D$75)=0,0,'TO HOP NLAN'!F166*'TS-PILE'!$D$65/SUMSQ('TS-PILE'!$D$56:$D$75))),IF('TS-PILE'!$B$66="",1E+99,'TO HOP NLAN'!D166/ncoc+IF(SUMSQ('TS-PILE'!$E$56:$E$75)=0,0,'TO HOP NLAN'!E166*'TS-PILE'!$E$66/SUMSQ('TS-PILE'!$E$56:$E$75))+IF(SUMSQ('TS-PILE'!$D$56:$D$75)=0,0,'TO HOP NLAN'!F166*'TS-PILE'!$D$66/SUMSQ('TS-PILE'!$D$56:$D$75))),IF('TS-PILE'!$B$67="",1E+99,'TO HOP NLAN'!D166/ncoc+IF(SUMSQ('TS-PILE'!$E$56:$E$75)=0,0,'TO HOP NLAN'!E166*'TS-PILE'!$E$67/SUMSQ('TS-PILE'!$E$56:$E$75))+IF(SUMSQ('TS-PILE'!$D$56:$D$75)=0,0,'TO HOP NLAN'!F166*'TS-PILE'!$D$67/SUMSQ('TS-PILE'!$D$56:$D$75))),IF('TS-PILE'!$B$68="",1E+99,'TO HOP NLAN'!D166/ncoc+IF(SUMSQ('TS-PILE'!$E$56:$E$75)=0,0,'TO HOP NLAN'!E166*'TS-PILE'!$E$68/SUMSQ('TS-PILE'!$E$56:$E$75))+IF(SUMSQ('TS-PILE'!$D$56:$D$75)=0,0,'TO HOP NLAN'!F166*'TS-PILE'!$D$68/SUMSQ('TS-PILE'!$D$56:$D$75))),IF('TS-PILE'!$B$69="",1E+99,'TO HOP NLAN'!D166/ncoc+IF(SUMSQ('TS-PILE'!$E$56:$E$75)=0,0,'TO HOP NLAN'!E166*'TS-PILE'!$E$69/SUMSQ('TS-PILE'!$E$56:$E$75))+IF(SUMSQ('TS-PILE'!$D$56:$D$75)=0,0,'TO HOP NLAN'!F166*'TS-PILE'!$D$69/SUMSQ('TS-PILE'!$D$56:$D$75))),IF('TS-PILE'!$B$70="",1E+99,'TO HOP NLAN'!D166/ncoc+IF(SUMSQ('TS-PILE'!$E$56:$E$75)=0,0,'TO HOP NLAN'!E166*'TS-PILE'!$E$70/SUMSQ('TS-PILE'!$E$56:$E$75))+IF(SUMSQ('TS-PILE'!$D$56:$D$75)=0,0,'TO HOP NLAN'!F166*'TS-PILE'!$D$70/SUMSQ('TS-PILE'!$D$56:$D$75))),IF('TS-PILE'!$B$71="",1E+99,'TO HOP NLAN'!D166/ncoc+IF(SUMSQ('TS-PILE'!$E$56:$E$75)=0,0,'TO HOP NLAN'!E166*'TS-PILE'!$E$71/SUMSQ('TS-PILE'!$E$56:$E$75))+IF(SUMSQ('TS-PILE'!$D$56:$D$75)=0,0,'TO HOP NLAN'!F166*'TS-PILE'!$D$71/SUMSQ('TS-PILE'!$D$56:$D$75))),IF('TS-PILE'!$B$72="",1E+99,'TO HOP NLAN'!D166/ncoc+IF(SUMSQ('TS-PILE'!$E$56:$E$75)=0,0,'TO HOP NLAN'!E166*'TS-PILE'!$E$72/SUMSQ('TS-PILE'!$E$56:$E$75))+IF(SUMSQ('TS-PILE'!$D$56:$D$75)=0,0,'TO HOP NLAN'!F166*'TS-PILE'!$D$72/SUMSQ('TS-PILE'!$D$56:$D$75))),IF('TS-PILE'!$B$73="",1E+99,'TO HOP NLAN'!D166/ncoc+IF(SUMSQ('TS-PILE'!$E$56:$E$75)=0,0,'TO HOP NLAN'!E166*'TS-PILE'!$E$73/SUMSQ('TS-PILE'!$E$56:$E$75))+IF(SUMSQ('TS-PILE'!$D$56:$D$75)=0,0,'TO HOP NLAN'!F166*'TS-PILE'!$D$73/SUMSQ('TS-PILE'!$D$56:$D$75))),IF('TS-PILE'!$B$74="",1E+99,'TO HOP NLAN'!D166/ncoc+IF(SUMSQ('TS-PILE'!$E$56:$E$75)=0,0,'TO HOP NLAN'!E166*'TS-PILE'!$E$74/SUMSQ('TS-PILE'!$E$56:$E$75))+IF(SUMSQ('TS-PILE'!$D$56:$D$75)=0,0,'TO HOP NLAN'!F166*'TS-PILE'!$D$74/SUMSQ('TS-PILE'!$D$56:$D$75))),IF('TS-PILE'!$B$75="",1E+99,'TO HOP NLAN'!D166/ncoc+IF(SUMSQ('TS-PILE'!$E$56:$E$75)=0,0,'TO HOP NLAN'!E166*'TS-PILE'!$E$75/SUMSQ('TS-PILE'!$E$56:$E$75))+IF(SUMSQ('TS-PILE'!$D$56:$D$75)=0,0,'TO HOP NLAN'!F166*'TS-PILE'!$D$75/SUMSQ('TS-PILE'!$D$56:$D$75)))))</f>
        <v>0</v>
      </c>
      <c r="E166" s="46">
        <f t="shared" si="8"/>
        <v>-9.9999999999999997E+98</v>
      </c>
      <c r="F166" s="46">
        <f t="shared" si="9"/>
        <v>9.9999999999999997E+98</v>
      </c>
      <c r="G166" s="46">
        <f t="shared" si="10"/>
        <v>-9.9999999999999997E+98</v>
      </c>
      <c r="H166" s="46">
        <f t="shared" si="11"/>
        <v>9.9999999999999997E+98</v>
      </c>
    </row>
    <row r="167" spans="1:8" x14ac:dyDescent="0.3">
      <c r="A167" s="40" t="str">
        <f>'TO HOP NLAN'!A167</f>
        <v/>
      </c>
      <c r="B167" s="40" t="str">
        <f>'TO HOP NLAN'!L167</f>
        <v>STRENGTH</v>
      </c>
      <c r="C167" s="46">
        <f>IF(A167="",0,MAX(IF('TS-PILE'!$B$56="",-1E+99,'TO HOP NLAN'!D167/ncoc+IF(SUMSQ('TS-PILE'!$E$56:$E$75)=0,0,'TO HOP NLAN'!E167*'TS-PILE'!$E$56/SUMSQ('TS-PILE'!$E$56:$E$75))+IF(SUMSQ('TS-PILE'!$D$56:$D$75)=0,0,'TO HOP NLAN'!F167*'TS-PILE'!$D$56/SUMSQ('TS-PILE'!$D$56:$D$75))),IF('TS-PILE'!$B$57="",-1E+99,'TO HOP NLAN'!D167/ncoc+IF(SUMSQ('TS-PILE'!$E$56:$E$75)=0,0,'TO HOP NLAN'!E167*'TS-PILE'!$E$57/SUMSQ('TS-PILE'!$E$56:$E$75))+IF(SUMSQ('TS-PILE'!$D$56:$D$75)=0,0,'TO HOP NLAN'!F167*'TS-PILE'!$D$57/SUMSQ('TS-PILE'!$D$56:$D$75))),IF('TS-PILE'!$B$58="",-1E+99,'TO HOP NLAN'!D167/ncoc+IF(SUMSQ('TS-PILE'!$E$56:$E$75)=0,0,'TO HOP NLAN'!E167*'TS-PILE'!$E$58/SUMSQ('TS-PILE'!$E$56:$E$75))+IF(SUMSQ('TS-PILE'!$D$56:$D$75)=0,0,'TO HOP NLAN'!F167*'TS-PILE'!$D$58/SUMSQ('TS-PILE'!$D$56:$D$75))),IF('TS-PILE'!$B$59="",-1E+99,'TO HOP NLAN'!D167/ncoc+IF(SUMSQ('TS-PILE'!$E$56:$E$75)=0,0,'TO HOP NLAN'!E167*'TS-PILE'!$E$59/SUMSQ('TS-PILE'!$E$56:$E$75))+IF(SUMSQ('TS-PILE'!$D$56:$D$75)=0,0,'TO HOP NLAN'!F167*'TS-PILE'!$D$59/SUMSQ('TS-PILE'!$D$56:$D$75))),IF('TS-PILE'!$B$60="",-1E+99,'TO HOP NLAN'!D167/ncoc+IF(SUMSQ('TS-PILE'!$E$56:$E$75)=0,0,'TO HOP NLAN'!E167*'TS-PILE'!$E$60/SUMSQ('TS-PILE'!$E$56:$E$75))+IF(SUMSQ('TS-PILE'!$D$56:$D$75)=0,0,'TO HOP NLAN'!F167*'TS-PILE'!$D$60/SUMSQ('TS-PILE'!$D$56:$D$75))),IF('TS-PILE'!$B$61="",-1E+99,'TO HOP NLAN'!D167/ncoc+IF(SUMSQ('TS-PILE'!$E$56:$E$75)=0,0,'TO HOP NLAN'!E167*'TS-PILE'!$E$61/SUMSQ('TS-PILE'!$E$56:$E$75))+IF(SUMSQ('TS-PILE'!$D$56:$D$75)=0,0,'TO HOP NLAN'!F167*'TS-PILE'!$D$61/SUMSQ('TS-PILE'!$D$56:$D$75))),IF('TS-PILE'!$B$62="",-1E+99,'TO HOP NLAN'!D167/ncoc+IF(SUMSQ('TS-PILE'!$E$56:$E$75)=0,0,'TO HOP NLAN'!E167*'TS-PILE'!$E$62/SUMSQ('TS-PILE'!$E$56:$E$75))+IF(SUMSQ('TS-PILE'!$D$56:$D$75)=0,0,'TO HOP NLAN'!F167*'TS-PILE'!$D$62/SUMSQ('TS-PILE'!$D$56:$D$75))),IF('TS-PILE'!$B$63="",-1E+99,'TO HOP NLAN'!D167/ncoc+IF(SUMSQ('TS-PILE'!$E$56:$E$75)=0,0,'TO HOP NLAN'!E167*'TS-PILE'!$E$63/SUMSQ('TS-PILE'!$E$56:$E$75))+IF(SUMSQ('TS-PILE'!$D$56:$D$75)=0,0,'TO HOP NLAN'!F167*'TS-PILE'!$D$63/SUMSQ('TS-PILE'!$D$56:$D$75))),IF('TS-PILE'!$B$64="",-1E+99,'TO HOP NLAN'!D167/ncoc+IF(SUMSQ('TS-PILE'!$E$56:$E$75)=0,0,'TO HOP NLAN'!E167*'TS-PILE'!$E$64/SUMSQ('TS-PILE'!$E$56:$E$75))+IF(SUMSQ('TS-PILE'!$D$56:$D$75)=0,0,'TO HOP NLAN'!F167*'TS-PILE'!$D$64/SUMSQ('TS-PILE'!$D$56:$D$75))),IF('TS-PILE'!$B$65="",-1E+99,'TO HOP NLAN'!D167/ncoc+IF(SUMSQ('TS-PILE'!$E$56:$E$75)=0,0,'TO HOP NLAN'!E167*'TS-PILE'!$E$65/SUMSQ('TS-PILE'!$E$56:$E$75))+IF(SUMSQ('TS-PILE'!$D$56:$D$75)=0,0,'TO HOP NLAN'!F167*'TS-PILE'!$D$65/SUMSQ('TS-PILE'!$D$56:$D$75))),IF('TS-PILE'!$B$66="",-1E+99,'TO HOP NLAN'!D167/ncoc+IF(SUMSQ('TS-PILE'!$E$56:$E$75)=0,0,'TO HOP NLAN'!E167*'TS-PILE'!$E$66/SUMSQ('TS-PILE'!$E$56:$E$75))+IF(SUMSQ('TS-PILE'!$D$56:$D$75)=0,0,'TO HOP NLAN'!F167*'TS-PILE'!$D$66/SUMSQ('TS-PILE'!$D$56:$D$75))),IF('TS-PILE'!$B$67="",-1E+99,'TO HOP NLAN'!D167/ncoc+IF(SUMSQ('TS-PILE'!$E$56:$E$75)=0,0,'TO HOP NLAN'!E167*'TS-PILE'!$E$67/SUMSQ('TS-PILE'!$E$56:$E$75))+IF(SUMSQ('TS-PILE'!$D$56:$D$75)=0,0,'TO HOP NLAN'!F167*'TS-PILE'!$D$67/SUMSQ('TS-PILE'!$D$56:$D$75))),IF('TS-PILE'!$B$68="",-1E+99,'TO HOP NLAN'!D167/ncoc+IF(SUMSQ('TS-PILE'!$E$56:$E$75)=0,0,'TO HOP NLAN'!E167*'TS-PILE'!$E$68/SUMSQ('TS-PILE'!$E$56:$E$75))+IF(SUMSQ('TS-PILE'!$D$56:$D$75)=0,0,'TO HOP NLAN'!F167*'TS-PILE'!$D$68/SUMSQ('TS-PILE'!$D$56:$D$75))),IF('TS-PILE'!$B$69="",-1E+99,'TO HOP NLAN'!D167/ncoc+IF(SUMSQ('TS-PILE'!$E$56:$E$75)=0,0,'TO HOP NLAN'!E167*'TS-PILE'!$E$69/SUMSQ('TS-PILE'!$E$56:$E$75))+IF(SUMSQ('TS-PILE'!$D$56:$D$75)=0,0,'TO HOP NLAN'!F167*'TS-PILE'!$D$69/SUMSQ('TS-PILE'!$D$56:$D$75))),IF('TS-PILE'!$B$70="",-1E+99,'TO HOP NLAN'!D167/ncoc+IF(SUMSQ('TS-PILE'!$E$56:$E$75)=0,0,'TO HOP NLAN'!E167*'TS-PILE'!$E$70/SUMSQ('TS-PILE'!$E$56:$E$75))+IF(SUMSQ('TS-PILE'!$D$56:$D$75)=0,0,'TO HOP NLAN'!F167*'TS-PILE'!$D$70/SUMSQ('TS-PILE'!$D$56:$D$75))),IF('TS-PILE'!$B$71="",-1E+99,'TO HOP NLAN'!D167/ncoc+IF(SUMSQ('TS-PILE'!$E$56:$E$75)=0,0,'TO HOP NLAN'!E167*'TS-PILE'!$E$71/SUMSQ('TS-PILE'!$E$56:$E$75))+IF(SUMSQ('TS-PILE'!$D$56:$D$75)=0,0,'TO HOP NLAN'!F167*'TS-PILE'!$D$71/SUMSQ('TS-PILE'!$D$56:$D$75))),IF('TS-PILE'!$B$72="",-1E+99,'TO HOP NLAN'!D167/ncoc+IF(SUMSQ('TS-PILE'!$E$56:$E$75)=0,0,'TO HOP NLAN'!E167*'TS-PILE'!$E$72/SUMSQ('TS-PILE'!$E$56:$E$75))+IF(SUMSQ('TS-PILE'!$D$56:$D$75)=0,0,'TO HOP NLAN'!F167*'TS-PILE'!$D$72/SUMSQ('TS-PILE'!$D$56:$D$75))),IF('TS-PILE'!$B$73="",-1E+99,'TO HOP NLAN'!D167/ncoc+IF(SUMSQ('TS-PILE'!$E$56:$E$75)=0,0,'TO HOP NLAN'!E167*'TS-PILE'!$E$73/SUMSQ('TS-PILE'!$E$56:$E$75))+IF(SUMSQ('TS-PILE'!$D$56:$D$75)=0,0,'TO HOP NLAN'!F167*'TS-PILE'!$D$73/SUMSQ('TS-PILE'!$D$56:$D$75))),IF('TS-PILE'!$B$74="",-1E+99,'TO HOP NLAN'!D167/ncoc+IF(SUMSQ('TS-PILE'!$E$56:$E$75)=0,0,'TO HOP NLAN'!E167*'TS-PILE'!$E$74/SUMSQ('TS-PILE'!$E$56:$E$75))+IF(SUMSQ('TS-PILE'!$D$56:$D$75)=0,0,'TO HOP NLAN'!F167*'TS-PILE'!$D$74/SUMSQ('TS-PILE'!$D$56:$D$75))),IF('TS-PILE'!$B$75="",-1E+99,'TO HOP NLAN'!D167/ncoc+IF(SUMSQ('TS-PILE'!$E$56:$E$75)=0,0,'TO HOP NLAN'!E167*'TS-PILE'!$E$75/SUMSQ('TS-PILE'!$E$56:$E$75))+IF(SUMSQ('TS-PILE'!$D$56:$D$75)=0,0,'TO HOP NLAN'!F167*'TS-PILE'!$D$75/SUMSQ('TS-PILE'!$D$56:$D$75)))))</f>
        <v>0</v>
      </c>
      <c r="D167" s="46">
        <f>IF(A167="",0,MIN(IF('TS-PILE'!$B$56="",1E+99,'TO HOP NLAN'!D167/ncoc+IF(SUMSQ('TS-PILE'!$E$56:$E$75)=0,0,'TO HOP NLAN'!E167*'TS-PILE'!$E$56/SUMSQ('TS-PILE'!$E$56:$E$75))+IF(SUMSQ('TS-PILE'!$D$56:$D$75)=0,0,'TO HOP NLAN'!F167*'TS-PILE'!$D$56/SUMSQ('TS-PILE'!$D$56:$D$75))),IF('TS-PILE'!$B$57="",1E+99,'TO HOP NLAN'!D167/ncoc+IF(SUMSQ('TS-PILE'!$E$56:$E$75)=0,0,'TO HOP NLAN'!E167*'TS-PILE'!$E$57/SUMSQ('TS-PILE'!$E$56:$E$75))+IF(SUMSQ('TS-PILE'!$D$56:$D$75)=0,0,'TO HOP NLAN'!F167*'TS-PILE'!$D$57/SUMSQ('TS-PILE'!$D$56:$D$75))),IF('TS-PILE'!$B$58="",1E+99,'TO HOP NLAN'!D167/ncoc+IF(SUMSQ('TS-PILE'!$E$56:$E$75)=0,0,'TO HOP NLAN'!E167*'TS-PILE'!$E$58/SUMSQ('TS-PILE'!$E$56:$E$75))+IF(SUMSQ('TS-PILE'!$D$56:$D$75)=0,0,'TO HOP NLAN'!F167*'TS-PILE'!$D$58/SUMSQ('TS-PILE'!$D$56:$D$75))),IF('TS-PILE'!$B$59="",1E+99,'TO HOP NLAN'!D167/ncoc+IF(SUMSQ('TS-PILE'!$E$56:$E$75)=0,0,'TO HOP NLAN'!E167*'TS-PILE'!$E$59/SUMSQ('TS-PILE'!$E$56:$E$75))+IF(SUMSQ('TS-PILE'!$D$56:$D$75)=0,0,'TO HOP NLAN'!F167*'TS-PILE'!$D$59/SUMSQ('TS-PILE'!$D$56:$D$75))),IF('TS-PILE'!$B$60="",1E+99,'TO HOP NLAN'!D167/ncoc+IF(SUMSQ('TS-PILE'!$E$56:$E$75)=0,0,'TO HOP NLAN'!E167*'TS-PILE'!$E$60/SUMSQ('TS-PILE'!$E$56:$E$75))+IF(SUMSQ('TS-PILE'!$D$56:$D$75)=0,0,'TO HOP NLAN'!F167*'TS-PILE'!$D$60/SUMSQ('TS-PILE'!$D$56:$D$75))),IF('TS-PILE'!$B$61="",1E+99,'TO HOP NLAN'!D167/ncoc+IF(SUMSQ('TS-PILE'!$E$56:$E$75)=0,0,'TO HOP NLAN'!E167*'TS-PILE'!$E$61/SUMSQ('TS-PILE'!$E$56:$E$75))+IF(SUMSQ('TS-PILE'!$D$56:$D$75)=0,0,'TO HOP NLAN'!F167*'TS-PILE'!$D$61/SUMSQ('TS-PILE'!$D$56:$D$75))),IF('TS-PILE'!$B$62="",1E+99,'TO HOP NLAN'!D167/ncoc+IF(SUMSQ('TS-PILE'!$E$56:$E$75)=0,0,'TO HOP NLAN'!E167*'TS-PILE'!$E$62/SUMSQ('TS-PILE'!$E$56:$E$75))+IF(SUMSQ('TS-PILE'!$D$56:$D$75)=0,0,'TO HOP NLAN'!F167*'TS-PILE'!$D$62/SUMSQ('TS-PILE'!$D$56:$D$75))),IF('TS-PILE'!$B$63="",1E+99,'TO HOP NLAN'!D167/ncoc+IF(SUMSQ('TS-PILE'!$E$56:$E$75)=0,0,'TO HOP NLAN'!E167*'TS-PILE'!$E$63/SUMSQ('TS-PILE'!$E$56:$E$75))+IF(SUMSQ('TS-PILE'!$D$56:$D$75)=0,0,'TO HOP NLAN'!F167*'TS-PILE'!$D$63/SUMSQ('TS-PILE'!$D$56:$D$75))),IF('TS-PILE'!$B$64="",1E+99,'TO HOP NLAN'!D167/ncoc+IF(SUMSQ('TS-PILE'!$E$56:$E$75)=0,0,'TO HOP NLAN'!E167*'TS-PILE'!$E$64/SUMSQ('TS-PILE'!$E$56:$E$75))+IF(SUMSQ('TS-PILE'!$D$56:$D$75)=0,0,'TO HOP NLAN'!F167*'TS-PILE'!$D$64/SUMSQ('TS-PILE'!$D$56:$D$75))),IF('TS-PILE'!$B$65="",1E+99,'TO HOP NLAN'!D167/ncoc+IF(SUMSQ('TS-PILE'!$E$56:$E$75)=0,0,'TO HOP NLAN'!E167*'TS-PILE'!$E$65/SUMSQ('TS-PILE'!$E$56:$E$75))+IF(SUMSQ('TS-PILE'!$D$56:$D$75)=0,0,'TO HOP NLAN'!F167*'TS-PILE'!$D$65/SUMSQ('TS-PILE'!$D$56:$D$75))),IF('TS-PILE'!$B$66="",1E+99,'TO HOP NLAN'!D167/ncoc+IF(SUMSQ('TS-PILE'!$E$56:$E$75)=0,0,'TO HOP NLAN'!E167*'TS-PILE'!$E$66/SUMSQ('TS-PILE'!$E$56:$E$75))+IF(SUMSQ('TS-PILE'!$D$56:$D$75)=0,0,'TO HOP NLAN'!F167*'TS-PILE'!$D$66/SUMSQ('TS-PILE'!$D$56:$D$75))),IF('TS-PILE'!$B$67="",1E+99,'TO HOP NLAN'!D167/ncoc+IF(SUMSQ('TS-PILE'!$E$56:$E$75)=0,0,'TO HOP NLAN'!E167*'TS-PILE'!$E$67/SUMSQ('TS-PILE'!$E$56:$E$75))+IF(SUMSQ('TS-PILE'!$D$56:$D$75)=0,0,'TO HOP NLAN'!F167*'TS-PILE'!$D$67/SUMSQ('TS-PILE'!$D$56:$D$75))),IF('TS-PILE'!$B$68="",1E+99,'TO HOP NLAN'!D167/ncoc+IF(SUMSQ('TS-PILE'!$E$56:$E$75)=0,0,'TO HOP NLAN'!E167*'TS-PILE'!$E$68/SUMSQ('TS-PILE'!$E$56:$E$75))+IF(SUMSQ('TS-PILE'!$D$56:$D$75)=0,0,'TO HOP NLAN'!F167*'TS-PILE'!$D$68/SUMSQ('TS-PILE'!$D$56:$D$75))),IF('TS-PILE'!$B$69="",1E+99,'TO HOP NLAN'!D167/ncoc+IF(SUMSQ('TS-PILE'!$E$56:$E$75)=0,0,'TO HOP NLAN'!E167*'TS-PILE'!$E$69/SUMSQ('TS-PILE'!$E$56:$E$75))+IF(SUMSQ('TS-PILE'!$D$56:$D$75)=0,0,'TO HOP NLAN'!F167*'TS-PILE'!$D$69/SUMSQ('TS-PILE'!$D$56:$D$75))),IF('TS-PILE'!$B$70="",1E+99,'TO HOP NLAN'!D167/ncoc+IF(SUMSQ('TS-PILE'!$E$56:$E$75)=0,0,'TO HOP NLAN'!E167*'TS-PILE'!$E$70/SUMSQ('TS-PILE'!$E$56:$E$75))+IF(SUMSQ('TS-PILE'!$D$56:$D$75)=0,0,'TO HOP NLAN'!F167*'TS-PILE'!$D$70/SUMSQ('TS-PILE'!$D$56:$D$75))),IF('TS-PILE'!$B$71="",1E+99,'TO HOP NLAN'!D167/ncoc+IF(SUMSQ('TS-PILE'!$E$56:$E$75)=0,0,'TO HOP NLAN'!E167*'TS-PILE'!$E$71/SUMSQ('TS-PILE'!$E$56:$E$75))+IF(SUMSQ('TS-PILE'!$D$56:$D$75)=0,0,'TO HOP NLAN'!F167*'TS-PILE'!$D$71/SUMSQ('TS-PILE'!$D$56:$D$75))),IF('TS-PILE'!$B$72="",1E+99,'TO HOP NLAN'!D167/ncoc+IF(SUMSQ('TS-PILE'!$E$56:$E$75)=0,0,'TO HOP NLAN'!E167*'TS-PILE'!$E$72/SUMSQ('TS-PILE'!$E$56:$E$75))+IF(SUMSQ('TS-PILE'!$D$56:$D$75)=0,0,'TO HOP NLAN'!F167*'TS-PILE'!$D$72/SUMSQ('TS-PILE'!$D$56:$D$75))),IF('TS-PILE'!$B$73="",1E+99,'TO HOP NLAN'!D167/ncoc+IF(SUMSQ('TS-PILE'!$E$56:$E$75)=0,0,'TO HOP NLAN'!E167*'TS-PILE'!$E$73/SUMSQ('TS-PILE'!$E$56:$E$75))+IF(SUMSQ('TS-PILE'!$D$56:$D$75)=0,0,'TO HOP NLAN'!F167*'TS-PILE'!$D$73/SUMSQ('TS-PILE'!$D$56:$D$75))),IF('TS-PILE'!$B$74="",1E+99,'TO HOP NLAN'!D167/ncoc+IF(SUMSQ('TS-PILE'!$E$56:$E$75)=0,0,'TO HOP NLAN'!E167*'TS-PILE'!$E$74/SUMSQ('TS-PILE'!$E$56:$E$75))+IF(SUMSQ('TS-PILE'!$D$56:$D$75)=0,0,'TO HOP NLAN'!F167*'TS-PILE'!$D$74/SUMSQ('TS-PILE'!$D$56:$D$75))),IF('TS-PILE'!$B$75="",1E+99,'TO HOP NLAN'!D167/ncoc+IF(SUMSQ('TS-PILE'!$E$56:$E$75)=0,0,'TO HOP NLAN'!E167*'TS-PILE'!$E$75/SUMSQ('TS-PILE'!$E$56:$E$75))+IF(SUMSQ('TS-PILE'!$D$56:$D$75)=0,0,'TO HOP NLAN'!F167*'TS-PILE'!$D$75/SUMSQ('TS-PILE'!$D$56:$D$75)))))</f>
        <v>0</v>
      </c>
      <c r="E167" s="46">
        <f t="shared" si="8"/>
        <v>-9.9999999999999997E+98</v>
      </c>
      <c r="F167" s="46">
        <f t="shared" si="9"/>
        <v>9.9999999999999997E+98</v>
      </c>
      <c r="G167" s="46">
        <f t="shared" si="10"/>
        <v>-9.9999999999999997E+98</v>
      </c>
      <c r="H167" s="46">
        <f t="shared" si="11"/>
        <v>9.9999999999999997E+98</v>
      </c>
    </row>
    <row r="168" spans="1:8" x14ac:dyDescent="0.3">
      <c r="A168" s="40" t="str">
        <f>'TO HOP NLAN'!A168</f>
        <v/>
      </c>
      <c r="B168" s="40" t="str">
        <f>'TO HOP NLAN'!L168</f>
        <v>STRENGTH</v>
      </c>
      <c r="C168" s="46">
        <f>IF(A168="",0,MAX(IF('TS-PILE'!$B$56="",-1E+99,'TO HOP NLAN'!D168/ncoc+IF(SUMSQ('TS-PILE'!$E$56:$E$75)=0,0,'TO HOP NLAN'!E168*'TS-PILE'!$E$56/SUMSQ('TS-PILE'!$E$56:$E$75))+IF(SUMSQ('TS-PILE'!$D$56:$D$75)=0,0,'TO HOP NLAN'!F168*'TS-PILE'!$D$56/SUMSQ('TS-PILE'!$D$56:$D$75))),IF('TS-PILE'!$B$57="",-1E+99,'TO HOP NLAN'!D168/ncoc+IF(SUMSQ('TS-PILE'!$E$56:$E$75)=0,0,'TO HOP NLAN'!E168*'TS-PILE'!$E$57/SUMSQ('TS-PILE'!$E$56:$E$75))+IF(SUMSQ('TS-PILE'!$D$56:$D$75)=0,0,'TO HOP NLAN'!F168*'TS-PILE'!$D$57/SUMSQ('TS-PILE'!$D$56:$D$75))),IF('TS-PILE'!$B$58="",-1E+99,'TO HOP NLAN'!D168/ncoc+IF(SUMSQ('TS-PILE'!$E$56:$E$75)=0,0,'TO HOP NLAN'!E168*'TS-PILE'!$E$58/SUMSQ('TS-PILE'!$E$56:$E$75))+IF(SUMSQ('TS-PILE'!$D$56:$D$75)=0,0,'TO HOP NLAN'!F168*'TS-PILE'!$D$58/SUMSQ('TS-PILE'!$D$56:$D$75))),IF('TS-PILE'!$B$59="",-1E+99,'TO HOP NLAN'!D168/ncoc+IF(SUMSQ('TS-PILE'!$E$56:$E$75)=0,0,'TO HOP NLAN'!E168*'TS-PILE'!$E$59/SUMSQ('TS-PILE'!$E$56:$E$75))+IF(SUMSQ('TS-PILE'!$D$56:$D$75)=0,0,'TO HOP NLAN'!F168*'TS-PILE'!$D$59/SUMSQ('TS-PILE'!$D$56:$D$75))),IF('TS-PILE'!$B$60="",-1E+99,'TO HOP NLAN'!D168/ncoc+IF(SUMSQ('TS-PILE'!$E$56:$E$75)=0,0,'TO HOP NLAN'!E168*'TS-PILE'!$E$60/SUMSQ('TS-PILE'!$E$56:$E$75))+IF(SUMSQ('TS-PILE'!$D$56:$D$75)=0,0,'TO HOP NLAN'!F168*'TS-PILE'!$D$60/SUMSQ('TS-PILE'!$D$56:$D$75))),IF('TS-PILE'!$B$61="",-1E+99,'TO HOP NLAN'!D168/ncoc+IF(SUMSQ('TS-PILE'!$E$56:$E$75)=0,0,'TO HOP NLAN'!E168*'TS-PILE'!$E$61/SUMSQ('TS-PILE'!$E$56:$E$75))+IF(SUMSQ('TS-PILE'!$D$56:$D$75)=0,0,'TO HOP NLAN'!F168*'TS-PILE'!$D$61/SUMSQ('TS-PILE'!$D$56:$D$75))),IF('TS-PILE'!$B$62="",-1E+99,'TO HOP NLAN'!D168/ncoc+IF(SUMSQ('TS-PILE'!$E$56:$E$75)=0,0,'TO HOP NLAN'!E168*'TS-PILE'!$E$62/SUMSQ('TS-PILE'!$E$56:$E$75))+IF(SUMSQ('TS-PILE'!$D$56:$D$75)=0,0,'TO HOP NLAN'!F168*'TS-PILE'!$D$62/SUMSQ('TS-PILE'!$D$56:$D$75))),IF('TS-PILE'!$B$63="",-1E+99,'TO HOP NLAN'!D168/ncoc+IF(SUMSQ('TS-PILE'!$E$56:$E$75)=0,0,'TO HOP NLAN'!E168*'TS-PILE'!$E$63/SUMSQ('TS-PILE'!$E$56:$E$75))+IF(SUMSQ('TS-PILE'!$D$56:$D$75)=0,0,'TO HOP NLAN'!F168*'TS-PILE'!$D$63/SUMSQ('TS-PILE'!$D$56:$D$75))),IF('TS-PILE'!$B$64="",-1E+99,'TO HOP NLAN'!D168/ncoc+IF(SUMSQ('TS-PILE'!$E$56:$E$75)=0,0,'TO HOP NLAN'!E168*'TS-PILE'!$E$64/SUMSQ('TS-PILE'!$E$56:$E$75))+IF(SUMSQ('TS-PILE'!$D$56:$D$75)=0,0,'TO HOP NLAN'!F168*'TS-PILE'!$D$64/SUMSQ('TS-PILE'!$D$56:$D$75))),IF('TS-PILE'!$B$65="",-1E+99,'TO HOP NLAN'!D168/ncoc+IF(SUMSQ('TS-PILE'!$E$56:$E$75)=0,0,'TO HOP NLAN'!E168*'TS-PILE'!$E$65/SUMSQ('TS-PILE'!$E$56:$E$75))+IF(SUMSQ('TS-PILE'!$D$56:$D$75)=0,0,'TO HOP NLAN'!F168*'TS-PILE'!$D$65/SUMSQ('TS-PILE'!$D$56:$D$75))),IF('TS-PILE'!$B$66="",-1E+99,'TO HOP NLAN'!D168/ncoc+IF(SUMSQ('TS-PILE'!$E$56:$E$75)=0,0,'TO HOP NLAN'!E168*'TS-PILE'!$E$66/SUMSQ('TS-PILE'!$E$56:$E$75))+IF(SUMSQ('TS-PILE'!$D$56:$D$75)=0,0,'TO HOP NLAN'!F168*'TS-PILE'!$D$66/SUMSQ('TS-PILE'!$D$56:$D$75))),IF('TS-PILE'!$B$67="",-1E+99,'TO HOP NLAN'!D168/ncoc+IF(SUMSQ('TS-PILE'!$E$56:$E$75)=0,0,'TO HOP NLAN'!E168*'TS-PILE'!$E$67/SUMSQ('TS-PILE'!$E$56:$E$75))+IF(SUMSQ('TS-PILE'!$D$56:$D$75)=0,0,'TO HOP NLAN'!F168*'TS-PILE'!$D$67/SUMSQ('TS-PILE'!$D$56:$D$75))),IF('TS-PILE'!$B$68="",-1E+99,'TO HOP NLAN'!D168/ncoc+IF(SUMSQ('TS-PILE'!$E$56:$E$75)=0,0,'TO HOP NLAN'!E168*'TS-PILE'!$E$68/SUMSQ('TS-PILE'!$E$56:$E$75))+IF(SUMSQ('TS-PILE'!$D$56:$D$75)=0,0,'TO HOP NLAN'!F168*'TS-PILE'!$D$68/SUMSQ('TS-PILE'!$D$56:$D$75))),IF('TS-PILE'!$B$69="",-1E+99,'TO HOP NLAN'!D168/ncoc+IF(SUMSQ('TS-PILE'!$E$56:$E$75)=0,0,'TO HOP NLAN'!E168*'TS-PILE'!$E$69/SUMSQ('TS-PILE'!$E$56:$E$75))+IF(SUMSQ('TS-PILE'!$D$56:$D$75)=0,0,'TO HOP NLAN'!F168*'TS-PILE'!$D$69/SUMSQ('TS-PILE'!$D$56:$D$75))),IF('TS-PILE'!$B$70="",-1E+99,'TO HOP NLAN'!D168/ncoc+IF(SUMSQ('TS-PILE'!$E$56:$E$75)=0,0,'TO HOP NLAN'!E168*'TS-PILE'!$E$70/SUMSQ('TS-PILE'!$E$56:$E$75))+IF(SUMSQ('TS-PILE'!$D$56:$D$75)=0,0,'TO HOP NLAN'!F168*'TS-PILE'!$D$70/SUMSQ('TS-PILE'!$D$56:$D$75))),IF('TS-PILE'!$B$71="",-1E+99,'TO HOP NLAN'!D168/ncoc+IF(SUMSQ('TS-PILE'!$E$56:$E$75)=0,0,'TO HOP NLAN'!E168*'TS-PILE'!$E$71/SUMSQ('TS-PILE'!$E$56:$E$75))+IF(SUMSQ('TS-PILE'!$D$56:$D$75)=0,0,'TO HOP NLAN'!F168*'TS-PILE'!$D$71/SUMSQ('TS-PILE'!$D$56:$D$75))),IF('TS-PILE'!$B$72="",-1E+99,'TO HOP NLAN'!D168/ncoc+IF(SUMSQ('TS-PILE'!$E$56:$E$75)=0,0,'TO HOP NLAN'!E168*'TS-PILE'!$E$72/SUMSQ('TS-PILE'!$E$56:$E$75))+IF(SUMSQ('TS-PILE'!$D$56:$D$75)=0,0,'TO HOP NLAN'!F168*'TS-PILE'!$D$72/SUMSQ('TS-PILE'!$D$56:$D$75))),IF('TS-PILE'!$B$73="",-1E+99,'TO HOP NLAN'!D168/ncoc+IF(SUMSQ('TS-PILE'!$E$56:$E$75)=0,0,'TO HOP NLAN'!E168*'TS-PILE'!$E$73/SUMSQ('TS-PILE'!$E$56:$E$75))+IF(SUMSQ('TS-PILE'!$D$56:$D$75)=0,0,'TO HOP NLAN'!F168*'TS-PILE'!$D$73/SUMSQ('TS-PILE'!$D$56:$D$75))),IF('TS-PILE'!$B$74="",-1E+99,'TO HOP NLAN'!D168/ncoc+IF(SUMSQ('TS-PILE'!$E$56:$E$75)=0,0,'TO HOP NLAN'!E168*'TS-PILE'!$E$74/SUMSQ('TS-PILE'!$E$56:$E$75))+IF(SUMSQ('TS-PILE'!$D$56:$D$75)=0,0,'TO HOP NLAN'!F168*'TS-PILE'!$D$74/SUMSQ('TS-PILE'!$D$56:$D$75))),IF('TS-PILE'!$B$75="",-1E+99,'TO HOP NLAN'!D168/ncoc+IF(SUMSQ('TS-PILE'!$E$56:$E$75)=0,0,'TO HOP NLAN'!E168*'TS-PILE'!$E$75/SUMSQ('TS-PILE'!$E$56:$E$75))+IF(SUMSQ('TS-PILE'!$D$56:$D$75)=0,0,'TO HOP NLAN'!F168*'TS-PILE'!$D$75/SUMSQ('TS-PILE'!$D$56:$D$75)))))</f>
        <v>0</v>
      </c>
      <c r="D168" s="46">
        <f>IF(A168="",0,MIN(IF('TS-PILE'!$B$56="",1E+99,'TO HOP NLAN'!D168/ncoc+IF(SUMSQ('TS-PILE'!$E$56:$E$75)=0,0,'TO HOP NLAN'!E168*'TS-PILE'!$E$56/SUMSQ('TS-PILE'!$E$56:$E$75))+IF(SUMSQ('TS-PILE'!$D$56:$D$75)=0,0,'TO HOP NLAN'!F168*'TS-PILE'!$D$56/SUMSQ('TS-PILE'!$D$56:$D$75))),IF('TS-PILE'!$B$57="",1E+99,'TO HOP NLAN'!D168/ncoc+IF(SUMSQ('TS-PILE'!$E$56:$E$75)=0,0,'TO HOP NLAN'!E168*'TS-PILE'!$E$57/SUMSQ('TS-PILE'!$E$56:$E$75))+IF(SUMSQ('TS-PILE'!$D$56:$D$75)=0,0,'TO HOP NLAN'!F168*'TS-PILE'!$D$57/SUMSQ('TS-PILE'!$D$56:$D$75))),IF('TS-PILE'!$B$58="",1E+99,'TO HOP NLAN'!D168/ncoc+IF(SUMSQ('TS-PILE'!$E$56:$E$75)=0,0,'TO HOP NLAN'!E168*'TS-PILE'!$E$58/SUMSQ('TS-PILE'!$E$56:$E$75))+IF(SUMSQ('TS-PILE'!$D$56:$D$75)=0,0,'TO HOP NLAN'!F168*'TS-PILE'!$D$58/SUMSQ('TS-PILE'!$D$56:$D$75))),IF('TS-PILE'!$B$59="",1E+99,'TO HOP NLAN'!D168/ncoc+IF(SUMSQ('TS-PILE'!$E$56:$E$75)=0,0,'TO HOP NLAN'!E168*'TS-PILE'!$E$59/SUMSQ('TS-PILE'!$E$56:$E$75))+IF(SUMSQ('TS-PILE'!$D$56:$D$75)=0,0,'TO HOP NLAN'!F168*'TS-PILE'!$D$59/SUMSQ('TS-PILE'!$D$56:$D$75))),IF('TS-PILE'!$B$60="",1E+99,'TO HOP NLAN'!D168/ncoc+IF(SUMSQ('TS-PILE'!$E$56:$E$75)=0,0,'TO HOP NLAN'!E168*'TS-PILE'!$E$60/SUMSQ('TS-PILE'!$E$56:$E$75))+IF(SUMSQ('TS-PILE'!$D$56:$D$75)=0,0,'TO HOP NLAN'!F168*'TS-PILE'!$D$60/SUMSQ('TS-PILE'!$D$56:$D$75))),IF('TS-PILE'!$B$61="",1E+99,'TO HOP NLAN'!D168/ncoc+IF(SUMSQ('TS-PILE'!$E$56:$E$75)=0,0,'TO HOP NLAN'!E168*'TS-PILE'!$E$61/SUMSQ('TS-PILE'!$E$56:$E$75))+IF(SUMSQ('TS-PILE'!$D$56:$D$75)=0,0,'TO HOP NLAN'!F168*'TS-PILE'!$D$61/SUMSQ('TS-PILE'!$D$56:$D$75))),IF('TS-PILE'!$B$62="",1E+99,'TO HOP NLAN'!D168/ncoc+IF(SUMSQ('TS-PILE'!$E$56:$E$75)=0,0,'TO HOP NLAN'!E168*'TS-PILE'!$E$62/SUMSQ('TS-PILE'!$E$56:$E$75))+IF(SUMSQ('TS-PILE'!$D$56:$D$75)=0,0,'TO HOP NLAN'!F168*'TS-PILE'!$D$62/SUMSQ('TS-PILE'!$D$56:$D$75))),IF('TS-PILE'!$B$63="",1E+99,'TO HOP NLAN'!D168/ncoc+IF(SUMSQ('TS-PILE'!$E$56:$E$75)=0,0,'TO HOP NLAN'!E168*'TS-PILE'!$E$63/SUMSQ('TS-PILE'!$E$56:$E$75))+IF(SUMSQ('TS-PILE'!$D$56:$D$75)=0,0,'TO HOP NLAN'!F168*'TS-PILE'!$D$63/SUMSQ('TS-PILE'!$D$56:$D$75))),IF('TS-PILE'!$B$64="",1E+99,'TO HOP NLAN'!D168/ncoc+IF(SUMSQ('TS-PILE'!$E$56:$E$75)=0,0,'TO HOP NLAN'!E168*'TS-PILE'!$E$64/SUMSQ('TS-PILE'!$E$56:$E$75))+IF(SUMSQ('TS-PILE'!$D$56:$D$75)=0,0,'TO HOP NLAN'!F168*'TS-PILE'!$D$64/SUMSQ('TS-PILE'!$D$56:$D$75))),IF('TS-PILE'!$B$65="",1E+99,'TO HOP NLAN'!D168/ncoc+IF(SUMSQ('TS-PILE'!$E$56:$E$75)=0,0,'TO HOP NLAN'!E168*'TS-PILE'!$E$65/SUMSQ('TS-PILE'!$E$56:$E$75))+IF(SUMSQ('TS-PILE'!$D$56:$D$75)=0,0,'TO HOP NLAN'!F168*'TS-PILE'!$D$65/SUMSQ('TS-PILE'!$D$56:$D$75))),IF('TS-PILE'!$B$66="",1E+99,'TO HOP NLAN'!D168/ncoc+IF(SUMSQ('TS-PILE'!$E$56:$E$75)=0,0,'TO HOP NLAN'!E168*'TS-PILE'!$E$66/SUMSQ('TS-PILE'!$E$56:$E$75))+IF(SUMSQ('TS-PILE'!$D$56:$D$75)=0,0,'TO HOP NLAN'!F168*'TS-PILE'!$D$66/SUMSQ('TS-PILE'!$D$56:$D$75))),IF('TS-PILE'!$B$67="",1E+99,'TO HOP NLAN'!D168/ncoc+IF(SUMSQ('TS-PILE'!$E$56:$E$75)=0,0,'TO HOP NLAN'!E168*'TS-PILE'!$E$67/SUMSQ('TS-PILE'!$E$56:$E$75))+IF(SUMSQ('TS-PILE'!$D$56:$D$75)=0,0,'TO HOP NLAN'!F168*'TS-PILE'!$D$67/SUMSQ('TS-PILE'!$D$56:$D$75))),IF('TS-PILE'!$B$68="",1E+99,'TO HOP NLAN'!D168/ncoc+IF(SUMSQ('TS-PILE'!$E$56:$E$75)=0,0,'TO HOP NLAN'!E168*'TS-PILE'!$E$68/SUMSQ('TS-PILE'!$E$56:$E$75))+IF(SUMSQ('TS-PILE'!$D$56:$D$75)=0,0,'TO HOP NLAN'!F168*'TS-PILE'!$D$68/SUMSQ('TS-PILE'!$D$56:$D$75))),IF('TS-PILE'!$B$69="",1E+99,'TO HOP NLAN'!D168/ncoc+IF(SUMSQ('TS-PILE'!$E$56:$E$75)=0,0,'TO HOP NLAN'!E168*'TS-PILE'!$E$69/SUMSQ('TS-PILE'!$E$56:$E$75))+IF(SUMSQ('TS-PILE'!$D$56:$D$75)=0,0,'TO HOP NLAN'!F168*'TS-PILE'!$D$69/SUMSQ('TS-PILE'!$D$56:$D$75))),IF('TS-PILE'!$B$70="",1E+99,'TO HOP NLAN'!D168/ncoc+IF(SUMSQ('TS-PILE'!$E$56:$E$75)=0,0,'TO HOP NLAN'!E168*'TS-PILE'!$E$70/SUMSQ('TS-PILE'!$E$56:$E$75))+IF(SUMSQ('TS-PILE'!$D$56:$D$75)=0,0,'TO HOP NLAN'!F168*'TS-PILE'!$D$70/SUMSQ('TS-PILE'!$D$56:$D$75))),IF('TS-PILE'!$B$71="",1E+99,'TO HOP NLAN'!D168/ncoc+IF(SUMSQ('TS-PILE'!$E$56:$E$75)=0,0,'TO HOP NLAN'!E168*'TS-PILE'!$E$71/SUMSQ('TS-PILE'!$E$56:$E$75))+IF(SUMSQ('TS-PILE'!$D$56:$D$75)=0,0,'TO HOP NLAN'!F168*'TS-PILE'!$D$71/SUMSQ('TS-PILE'!$D$56:$D$75))),IF('TS-PILE'!$B$72="",1E+99,'TO HOP NLAN'!D168/ncoc+IF(SUMSQ('TS-PILE'!$E$56:$E$75)=0,0,'TO HOP NLAN'!E168*'TS-PILE'!$E$72/SUMSQ('TS-PILE'!$E$56:$E$75))+IF(SUMSQ('TS-PILE'!$D$56:$D$75)=0,0,'TO HOP NLAN'!F168*'TS-PILE'!$D$72/SUMSQ('TS-PILE'!$D$56:$D$75))),IF('TS-PILE'!$B$73="",1E+99,'TO HOP NLAN'!D168/ncoc+IF(SUMSQ('TS-PILE'!$E$56:$E$75)=0,0,'TO HOP NLAN'!E168*'TS-PILE'!$E$73/SUMSQ('TS-PILE'!$E$56:$E$75))+IF(SUMSQ('TS-PILE'!$D$56:$D$75)=0,0,'TO HOP NLAN'!F168*'TS-PILE'!$D$73/SUMSQ('TS-PILE'!$D$56:$D$75))),IF('TS-PILE'!$B$74="",1E+99,'TO HOP NLAN'!D168/ncoc+IF(SUMSQ('TS-PILE'!$E$56:$E$75)=0,0,'TO HOP NLAN'!E168*'TS-PILE'!$E$74/SUMSQ('TS-PILE'!$E$56:$E$75))+IF(SUMSQ('TS-PILE'!$D$56:$D$75)=0,0,'TO HOP NLAN'!F168*'TS-PILE'!$D$74/SUMSQ('TS-PILE'!$D$56:$D$75))),IF('TS-PILE'!$B$75="",1E+99,'TO HOP NLAN'!D168/ncoc+IF(SUMSQ('TS-PILE'!$E$56:$E$75)=0,0,'TO HOP NLAN'!E168*'TS-PILE'!$E$75/SUMSQ('TS-PILE'!$E$56:$E$75))+IF(SUMSQ('TS-PILE'!$D$56:$D$75)=0,0,'TO HOP NLAN'!F168*'TS-PILE'!$D$75/SUMSQ('TS-PILE'!$D$56:$D$75)))))</f>
        <v>0</v>
      </c>
      <c r="E168" s="46">
        <f t="shared" si="8"/>
        <v>-9.9999999999999997E+98</v>
      </c>
      <c r="F168" s="46">
        <f t="shared" si="9"/>
        <v>9.9999999999999997E+98</v>
      </c>
      <c r="G168" s="46">
        <f t="shared" si="10"/>
        <v>-9.9999999999999997E+98</v>
      </c>
      <c r="H168" s="46">
        <f t="shared" si="11"/>
        <v>9.9999999999999997E+98</v>
      </c>
    </row>
    <row r="169" spans="1:8" x14ac:dyDescent="0.3">
      <c r="A169" s="40" t="str">
        <f>'TO HOP NLAN'!A169</f>
        <v/>
      </c>
      <c r="B169" s="40" t="str">
        <f>'TO HOP NLAN'!L169</f>
        <v>STRENGTH</v>
      </c>
      <c r="C169" s="46">
        <f>IF(A169="",0,MAX(IF('TS-PILE'!$B$56="",-1E+99,'TO HOP NLAN'!D169/ncoc+IF(SUMSQ('TS-PILE'!$E$56:$E$75)=0,0,'TO HOP NLAN'!E169*'TS-PILE'!$E$56/SUMSQ('TS-PILE'!$E$56:$E$75))+IF(SUMSQ('TS-PILE'!$D$56:$D$75)=0,0,'TO HOP NLAN'!F169*'TS-PILE'!$D$56/SUMSQ('TS-PILE'!$D$56:$D$75))),IF('TS-PILE'!$B$57="",-1E+99,'TO HOP NLAN'!D169/ncoc+IF(SUMSQ('TS-PILE'!$E$56:$E$75)=0,0,'TO HOP NLAN'!E169*'TS-PILE'!$E$57/SUMSQ('TS-PILE'!$E$56:$E$75))+IF(SUMSQ('TS-PILE'!$D$56:$D$75)=0,0,'TO HOP NLAN'!F169*'TS-PILE'!$D$57/SUMSQ('TS-PILE'!$D$56:$D$75))),IF('TS-PILE'!$B$58="",-1E+99,'TO HOP NLAN'!D169/ncoc+IF(SUMSQ('TS-PILE'!$E$56:$E$75)=0,0,'TO HOP NLAN'!E169*'TS-PILE'!$E$58/SUMSQ('TS-PILE'!$E$56:$E$75))+IF(SUMSQ('TS-PILE'!$D$56:$D$75)=0,0,'TO HOP NLAN'!F169*'TS-PILE'!$D$58/SUMSQ('TS-PILE'!$D$56:$D$75))),IF('TS-PILE'!$B$59="",-1E+99,'TO HOP NLAN'!D169/ncoc+IF(SUMSQ('TS-PILE'!$E$56:$E$75)=0,0,'TO HOP NLAN'!E169*'TS-PILE'!$E$59/SUMSQ('TS-PILE'!$E$56:$E$75))+IF(SUMSQ('TS-PILE'!$D$56:$D$75)=0,0,'TO HOP NLAN'!F169*'TS-PILE'!$D$59/SUMSQ('TS-PILE'!$D$56:$D$75))),IF('TS-PILE'!$B$60="",-1E+99,'TO HOP NLAN'!D169/ncoc+IF(SUMSQ('TS-PILE'!$E$56:$E$75)=0,0,'TO HOP NLAN'!E169*'TS-PILE'!$E$60/SUMSQ('TS-PILE'!$E$56:$E$75))+IF(SUMSQ('TS-PILE'!$D$56:$D$75)=0,0,'TO HOP NLAN'!F169*'TS-PILE'!$D$60/SUMSQ('TS-PILE'!$D$56:$D$75))),IF('TS-PILE'!$B$61="",-1E+99,'TO HOP NLAN'!D169/ncoc+IF(SUMSQ('TS-PILE'!$E$56:$E$75)=0,0,'TO HOP NLAN'!E169*'TS-PILE'!$E$61/SUMSQ('TS-PILE'!$E$56:$E$75))+IF(SUMSQ('TS-PILE'!$D$56:$D$75)=0,0,'TO HOP NLAN'!F169*'TS-PILE'!$D$61/SUMSQ('TS-PILE'!$D$56:$D$75))),IF('TS-PILE'!$B$62="",-1E+99,'TO HOP NLAN'!D169/ncoc+IF(SUMSQ('TS-PILE'!$E$56:$E$75)=0,0,'TO HOP NLAN'!E169*'TS-PILE'!$E$62/SUMSQ('TS-PILE'!$E$56:$E$75))+IF(SUMSQ('TS-PILE'!$D$56:$D$75)=0,0,'TO HOP NLAN'!F169*'TS-PILE'!$D$62/SUMSQ('TS-PILE'!$D$56:$D$75))),IF('TS-PILE'!$B$63="",-1E+99,'TO HOP NLAN'!D169/ncoc+IF(SUMSQ('TS-PILE'!$E$56:$E$75)=0,0,'TO HOP NLAN'!E169*'TS-PILE'!$E$63/SUMSQ('TS-PILE'!$E$56:$E$75))+IF(SUMSQ('TS-PILE'!$D$56:$D$75)=0,0,'TO HOP NLAN'!F169*'TS-PILE'!$D$63/SUMSQ('TS-PILE'!$D$56:$D$75))),IF('TS-PILE'!$B$64="",-1E+99,'TO HOP NLAN'!D169/ncoc+IF(SUMSQ('TS-PILE'!$E$56:$E$75)=0,0,'TO HOP NLAN'!E169*'TS-PILE'!$E$64/SUMSQ('TS-PILE'!$E$56:$E$75))+IF(SUMSQ('TS-PILE'!$D$56:$D$75)=0,0,'TO HOP NLAN'!F169*'TS-PILE'!$D$64/SUMSQ('TS-PILE'!$D$56:$D$75))),IF('TS-PILE'!$B$65="",-1E+99,'TO HOP NLAN'!D169/ncoc+IF(SUMSQ('TS-PILE'!$E$56:$E$75)=0,0,'TO HOP NLAN'!E169*'TS-PILE'!$E$65/SUMSQ('TS-PILE'!$E$56:$E$75))+IF(SUMSQ('TS-PILE'!$D$56:$D$75)=0,0,'TO HOP NLAN'!F169*'TS-PILE'!$D$65/SUMSQ('TS-PILE'!$D$56:$D$75))),IF('TS-PILE'!$B$66="",-1E+99,'TO HOP NLAN'!D169/ncoc+IF(SUMSQ('TS-PILE'!$E$56:$E$75)=0,0,'TO HOP NLAN'!E169*'TS-PILE'!$E$66/SUMSQ('TS-PILE'!$E$56:$E$75))+IF(SUMSQ('TS-PILE'!$D$56:$D$75)=0,0,'TO HOP NLAN'!F169*'TS-PILE'!$D$66/SUMSQ('TS-PILE'!$D$56:$D$75))),IF('TS-PILE'!$B$67="",-1E+99,'TO HOP NLAN'!D169/ncoc+IF(SUMSQ('TS-PILE'!$E$56:$E$75)=0,0,'TO HOP NLAN'!E169*'TS-PILE'!$E$67/SUMSQ('TS-PILE'!$E$56:$E$75))+IF(SUMSQ('TS-PILE'!$D$56:$D$75)=0,0,'TO HOP NLAN'!F169*'TS-PILE'!$D$67/SUMSQ('TS-PILE'!$D$56:$D$75))),IF('TS-PILE'!$B$68="",-1E+99,'TO HOP NLAN'!D169/ncoc+IF(SUMSQ('TS-PILE'!$E$56:$E$75)=0,0,'TO HOP NLAN'!E169*'TS-PILE'!$E$68/SUMSQ('TS-PILE'!$E$56:$E$75))+IF(SUMSQ('TS-PILE'!$D$56:$D$75)=0,0,'TO HOP NLAN'!F169*'TS-PILE'!$D$68/SUMSQ('TS-PILE'!$D$56:$D$75))),IF('TS-PILE'!$B$69="",-1E+99,'TO HOP NLAN'!D169/ncoc+IF(SUMSQ('TS-PILE'!$E$56:$E$75)=0,0,'TO HOP NLAN'!E169*'TS-PILE'!$E$69/SUMSQ('TS-PILE'!$E$56:$E$75))+IF(SUMSQ('TS-PILE'!$D$56:$D$75)=0,0,'TO HOP NLAN'!F169*'TS-PILE'!$D$69/SUMSQ('TS-PILE'!$D$56:$D$75))),IF('TS-PILE'!$B$70="",-1E+99,'TO HOP NLAN'!D169/ncoc+IF(SUMSQ('TS-PILE'!$E$56:$E$75)=0,0,'TO HOP NLAN'!E169*'TS-PILE'!$E$70/SUMSQ('TS-PILE'!$E$56:$E$75))+IF(SUMSQ('TS-PILE'!$D$56:$D$75)=0,0,'TO HOP NLAN'!F169*'TS-PILE'!$D$70/SUMSQ('TS-PILE'!$D$56:$D$75))),IF('TS-PILE'!$B$71="",-1E+99,'TO HOP NLAN'!D169/ncoc+IF(SUMSQ('TS-PILE'!$E$56:$E$75)=0,0,'TO HOP NLAN'!E169*'TS-PILE'!$E$71/SUMSQ('TS-PILE'!$E$56:$E$75))+IF(SUMSQ('TS-PILE'!$D$56:$D$75)=0,0,'TO HOP NLAN'!F169*'TS-PILE'!$D$71/SUMSQ('TS-PILE'!$D$56:$D$75))),IF('TS-PILE'!$B$72="",-1E+99,'TO HOP NLAN'!D169/ncoc+IF(SUMSQ('TS-PILE'!$E$56:$E$75)=0,0,'TO HOP NLAN'!E169*'TS-PILE'!$E$72/SUMSQ('TS-PILE'!$E$56:$E$75))+IF(SUMSQ('TS-PILE'!$D$56:$D$75)=0,0,'TO HOP NLAN'!F169*'TS-PILE'!$D$72/SUMSQ('TS-PILE'!$D$56:$D$75))),IF('TS-PILE'!$B$73="",-1E+99,'TO HOP NLAN'!D169/ncoc+IF(SUMSQ('TS-PILE'!$E$56:$E$75)=0,0,'TO HOP NLAN'!E169*'TS-PILE'!$E$73/SUMSQ('TS-PILE'!$E$56:$E$75))+IF(SUMSQ('TS-PILE'!$D$56:$D$75)=0,0,'TO HOP NLAN'!F169*'TS-PILE'!$D$73/SUMSQ('TS-PILE'!$D$56:$D$75))),IF('TS-PILE'!$B$74="",-1E+99,'TO HOP NLAN'!D169/ncoc+IF(SUMSQ('TS-PILE'!$E$56:$E$75)=0,0,'TO HOP NLAN'!E169*'TS-PILE'!$E$74/SUMSQ('TS-PILE'!$E$56:$E$75))+IF(SUMSQ('TS-PILE'!$D$56:$D$75)=0,0,'TO HOP NLAN'!F169*'TS-PILE'!$D$74/SUMSQ('TS-PILE'!$D$56:$D$75))),IF('TS-PILE'!$B$75="",-1E+99,'TO HOP NLAN'!D169/ncoc+IF(SUMSQ('TS-PILE'!$E$56:$E$75)=0,0,'TO HOP NLAN'!E169*'TS-PILE'!$E$75/SUMSQ('TS-PILE'!$E$56:$E$75))+IF(SUMSQ('TS-PILE'!$D$56:$D$75)=0,0,'TO HOP NLAN'!F169*'TS-PILE'!$D$75/SUMSQ('TS-PILE'!$D$56:$D$75)))))</f>
        <v>0</v>
      </c>
      <c r="D169" s="46">
        <f>IF(A169="",0,MIN(IF('TS-PILE'!$B$56="",1E+99,'TO HOP NLAN'!D169/ncoc+IF(SUMSQ('TS-PILE'!$E$56:$E$75)=0,0,'TO HOP NLAN'!E169*'TS-PILE'!$E$56/SUMSQ('TS-PILE'!$E$56:$E$75))+IF(SUMSQ('TS-PILE'!$D$56:$D$75)=0,0,'TO HOP NLAN'!F169*'TS-PILE'!$D$56/SUMSQ('TS-PILE'!$D$56:$D$75))),IF('TS-PILE'!$B$57="",1E+99,'TO HOP NLAN'!D169/ncoc+IF(SUMSQ('TS-PILE'!$E$56:$E$75)=0,0,'TO HOP NLAN'!E169*'TS-PILE'!$E$57/SUMSQ('TS-PILE'!$E$56:$E$75))+IF(SUMSQ('TS-PILE'!$D$56:$D$75)=0,0,'TO HOP NLAN'!F169*'TS-PILE'!$D$57/SUMSQ('TS-PILE'!$D$56:$D$75))),IF('TS-PILE'!$B$58="",1E+99,'TO HOP NLAN'!D169/ncoc+IF(SUMSQ('TS-PILE'!$E$56:$E$75)=0,0,'TO HOP NLAN'!E169*'TS-PILE'!$E$58/SUMSQ('TS-PILE'!$E$56:$E$75))+IF(SUMSQ('TS-PILE'!$D$56:$D$75)=0,0,'TO HOP NLAN'!F169*'TS-PILE'!$D$58/SUMSQ('TS-PILE'!$D$56:$D$75))),IF('TS-PILE'!$B$59="",1E+99,'TO HOP NLAN'!D169/ncoc+IF(SUMSQ('TS-PILE'!$E$56:$E$75)=0,0,'TO HOP NLAN'!E169*'TS-PILE'!$E$59/SUMSQ('TS-PILE'!$E$56:$E$75))+IF(SUMSQ('TS-PILE'!$D$56:$D$75)=0,0,'TO HOP NLAN'!F169*'TS-PILE'!$D$59/SUMSQ('TS-PILE'!$D$56:$D$75))),IF('TS-PILE'!$B$60="",1E+99,'TO HOP NLAN'!D169/ncoc+IF(SUMSQ('TS-PILE'!$E$56:$E$75)=0,0,'TO HOP NLAN'!E169*'TS-PILE'!$E$60/SUMSQ('TS-PILE'!$E$56:$E$75))+IF(SUMSQ('TS-PILE'!$D$56:$D$75)=0,0,'TO HOP NLAN'!F169*'TS-PILE'!$D$60/SUMSQ('TS-PILE'!$D$56:$D$75))),IF('TS-PILE'!$B$61="",1E+99,'TO HOP NLAN'!D169/ncoc+IF(SUMSQ('TS-PILE'!$E$56:$E$75)=0,0,'TO HOP NLAN'!E169*'TS-PILE'!$E$61/SUMSQ('TS-PILE'!$E$56:$E$75))+IF(SUMSQ('TS-PILE'!$D$56:$D$75)=0,0,'TO HOP NLAN'!F169*'TS-PILE'!$D$61/SUMSQ('TS-PILE'!$D$56:$D$75))),IF('TS-PILE'!$B$62="",1E+99,'TO HOP NLAN'!D169/ncoc+IF(SUMSQ('TS-PILE'!$E$56:$E$75)=0,0,'TO HOP NLAN'!E169*'TS-PILE'!$E$62/SUMSQ('TS-PILE'!$E$56:$E$75))+IF(SUMSQ('TS-PILE'!$D$56:$D$75)=0,0,'TO HOP NLAN'!F169*'TS-PILE'!$D$62/SUMSQ('TS-PILE'!$D$56:$D$75))),IF('TS-PILE'!$B$63="",1E+99,'TO HOP NLAN'!D169/ncoc+IF(SUMSQ('TS-PILE'!$E$56:$E$75)=0,0,'TO HOP NLAN'!E169*'TS-PILE'!$E$63/SUMSQ('TS-PILE'!$E$56:$E$75))+IF(SUMSQ('TS-PILE'!$D$56:$D$75)=0,0,'TO HOP NLAN'!F169*'TS-PILE'!$D$63/SUMSQ('TS-PILE'!$D$56:$D$75))),IF('TS-PILE'!$B$64="",1E+99,'TO HOP NLAN'!D169/ncoc+IF(SUMSQ('TS-PILE'!$E$56:$E$75)=0,0,'TO HOP NLAN'!E169*'TS-PILE'!$E$64/SUMSQ('TS-PILE'!$E$56:$E$75))+IF(SUMSQ('TS-PILE'!$D$56:$D$75)=0,0,'TO HOP NLAN'!F169*'TS-PILE'!$D$64/SUMSQ('TS-PILE'!$D$56:$D$75))),IF('TS-PILE'!$B$65="",1E+99,'TO HOP NLAN'!D169/ncoc+IF(SUMSQ('TS-PILE'!$E$56:$E$75)=0,0,'TO HOP NLAN'!E169*'TS-PILE'!$E$65/SUMSQ('TS-PILE'!$E$56:$E$75))+IF(SUMSQ('TS-PILE'!$D$56:$D$75)=0,0,'TO HOP NLAN'!F169*'TS-PILE'!$D$65/SUMSQ('TS-PILE'!$D$56:$D$75))),IF('TS-PILE'!$B$66="",1E+99,'TO HOP NLAN'!D169/ncoc+IF(SUMSQ('TS-PILE'!$E$56:$E$75)=0,0,'TO HOP NLAN'!E169*'TS-PILE'!$E$66/SUMSQ('TS-PILE'!$E$56:$E$75))+IF(SUMSQ('TS-PILE'!$D$56:$D$75)=0,0,'TO HOP NLAN'!F169*'TS-PILE'!$D$66/SUMSQ('TS-PILE'!$D$56:$D$75))),IF('TS-PILE'!$B$67="",1E+99,'TO HOP NLAN'!D169/ncoc+IF(SUMSQ('TS-PILE'!$E$56:$E$75)=0,0,'TO HOP NLAN'!E169*'TS-PILE'!$E$67/SUMSQ('TS-PILE'!$E$56:$E$75))+IF(SUMSQ('TS-PILE'!$D$56:$D$75)=0,0,'TO HOP NLAN'!F169*'TS-PILE'!$D$67/SUMSQ('TS-PILE'!$D$56:$D$75))),IF('TS-PILE'!$B$68="",1E+99,'TO HOP NLAN'!D169/ncoc+IF(SUMSQ('TS-PILE'!$E$56:$E$75)=0,0,'TO HOP NLAN'!E169*'TS-PILE'!$E$68/SUMSQ('TS-PILE'!$E$56:$E$75))+IF(SUMSQ('TS-PILE'!$D$56:$D$75)=0,0,'TO HOP NLAN'!F169*'TS-PILE'!$D$68/SUMSQ('TS-PILE'!$D$56:$D$75))),IF('TS-PILE'!$B$69="",1E+99,'TO HOP NLAN'!D169/ncoc+IF(SUMSQ('TS-PILE'!$E$56:$E$75)=0,0,'TO HOP NLAN'!E169*'TS-PILE'!$E$69/SUMSQ('TS-PILE'!$E$56:$E$75))+IF(SUMSQ('TS-PILE'!$D$56:$D$75)=0,0,'TO HOP NLAN'!F169*'TS-PILE'!$D$69/SUMSQ('TS-PILE'!$D$56:$D$75))),IF('TS-PILE'!$B$70="",1E+99,'TO HOP NLAN'!D169/ncoc+IF(SUMSQ('TS-PILE'!$E$56:$E$75)=0,0,'TO HOP NLAN'!E169*'TS-PILE'!$E$70/SUMSQ('TS-PILE'!$E$56:$E$75))+IF(SUMSQ('TS-PILE'!$D$56:$D$75)=0,0,'TO HOP NLAN'!F169*'TS-PILE'!$D$70/SUMSQ('TS-PILE'!$D$56:$D$75))),IF('TS-PILE'!$B$71="",1E+99,'TO HOP NLAN'!D169/ncoc+IF(SUMSQ('TS-PILE'!$E$56:$E$75)=0,0,'TO HOP NLAN'!E169*'TS-PILE'!$E$71/SUMSQ('TS-PILE'!$E$56:$E$75))+IF(SUMSQ('TS-PILE'!$D$56:$D$75)=0,0,'TO HOP NLAN'!F169*'TS-PILE'!$D$71/SUMSQ('TS-PILE'!$D$56:$D$75))),IF('TS-PILE'!$B$72="",1E+99,'TO HOP NLAN'!D169/ncoc+IF(SUMSQ('TS-PILE'!$E$56:$E$75)=0,0,'TO HOP NLAN'!E169*'TS-PILE'!$E$72/SUMSQ('TS-PILE'!$E$56:$E$75))+IF(SUMSQ('TS-PILE'!$D$56:$D$75)=0,0,'TO HOP NLAN'!F169*'TS-PILE'!$D$72/SUMSQ('TS-PILE'!$D$56:$D$75))),IF('TS-PILE'!$B$73="",1E+99,'TO HOP NLAN'!D169/ncoc+IF(SUMSQ('TS-PILE'!$E$56:$E$75)=0,0,'TO HOP NLAN'!E169*'TS-PILE'!$E$73/SUMSQ('TS-PILE'!$E$56:$E$75))+IF(SUMSQ('TS-PILE'!$D$56:$D$75)=0,0,'TO HOP NLAN'!F169*'TS-PILE'!$D$73/SUMSQ('TS-PILE'!$D$56:$D$75))),IF('TS-PILE'!$B$74="",1E+99,'TO HOP NLAN'!D169/ncoc+IF(SUMSQ('TS-PILE'!$E$56:$E$75)=0,0,'TO HOP NLAN'!E169*'TS-PILE'!$E$74/SUMSQ('TS-PILE'!$E$56:$E$75))+IF(SUMSQ('TS-PILE'!$D$56:$D$75)=0,0,'TO HOP NLAN'!F169*'TS-PILE'!$D$74/SUMSQ('TS-PILE'!$D$56:$D$75))),IF('TS-PILE'!$B$75="",1E+99,'TO HOP NLAN'!D169/ncoc+IF(SUMSQ('TS-PILE'!$E$56:$E$75)=0,0,'TO HOP NLAN'!E169*'TS-PILE'!$E$75/SUMSQ('TS-PILE'!$E$56:$E$75))+IF(SUMSQ('TS-PILE'!$D$56:$D$75)=0,0,'TO HOP NLAN'!F169*'TS-PILE'!$D$75/SUMSQ('TS-PILE'!$D$56:$D$75)))))</f>
        <v>0</v>
      </c>
      <c r="E169" s="46">
        <f t="shared" si="8"/>
        <v>-9.9999999999999997E+98</v>
      </c>
      <c r="F169" s="46">
        <f t="shared" si="9"/>
        <v>9.9999999999999997E+98</v>
      </c>
      <c r="G169" s="46">
        <f t="shared" si="10"/>
        <v>-9.9999999999999997E+98</v>
      </c>
      <c r="H169" s="46">
        <f t="shared" si="11"/>
        <v>9.9999999999999997E+98</v>
      </c>
    </row>
    <row r="170" spans="1:8" x14ac:dyDescent="0.3">
      <c r="A170" s="40" t="str">
        <f>'TO HOP NLAN'!A170</f>
        <v/>
      </c>
      <c r="B170" s="40" t="str">
        <f>'TO HOP NLAN'!L170</f>
        <v>STRENGTH</v>
      </c>
      <c r="C170" s="46">
        <f>IF(A170="",0,MAX(IF('TS-PILE'!$B$56="",-1E+99,'TO HOP NLAN'!D170/ncoc+IF(SUMSQ('TS-PILE'!$E$56:$E$75)=0,0,'TO HOP NLAN'!E170*'TS-PILE'!$E$56/SUMSQ('TS-PILE'!$E$56:$E$75))+IF(SUMSQ('TS-PILE'!$D$56:$D$75)=0,0,'TO HOP NLAN'!F170*'TS-PILE'!$D$56/SUMSQ('TS-PILE'!$D$56:$D$75))),IF('TS-PILE'!$B$57="",-1E+99,'TO HOP NLAN'!D170/ncoc+IF(SUMSQ('TS-PILE'!$E$56:$E$75)=0,0,'TO HOP NLAN'!E170*'TS-PILE'!$E$57/SUMSQ('TS-PILE'!$E$56:$E$75))+IF(SUMSQ('TS-PILE'!$D$56:$D$75)=0,0,'TO HOP NLAN'!F170*'TS-PILE'!$D$57/SUMSQ('TS-PILE'!$D$56:$D$75))),IF('TS-PILE'!$B$58="",-1E+99,'TO HOP NLAN'!D170/ncoc+IF(SUMSQ('TS-PILE'!$E$56:$E$75)=0,0,'TO HOP NLAN'!E170*'TS-PILE'!$E$58/SUMSQ('TS-PILE'!$E$56:$E$75))+IF(SUMSQ('TS-PILE'!$D$56:$D$75)=0,0,'TO HOP NLAN'!F170*'TS-PILE'!$D$58/SUMSQ('TS-PILE'!$D$56:$D$75))),IF('TS-PILE'!$B$59="",-1E+99,'TO HOP NLAN'!D170/ncoc+IF(SUMSQ('TS-PILE'!$E$56:$E$75)=0,0,'TO HOP NLAN'!E170*'TS-PILE'!$E$59/SUMSQ('TS-PILE'!$E$56:$E$75))+IF(SUMSQ('TS-PILE'!$D$56:$D$75)=0,0,'TO HOP NLAN'!F170*'TS-PILE'!$D$59/SUMSQ('TS-PILE'!$D$56:$D$75))),IF('TS-PILE'!$B$60="",-1E+99,'TO HOP NLAN'!D170/ncoc+IF(SUMSQ('TS-PILE'!$E$56:$E$75)=0,0,'TO HOP NLAN'!E170*'TS-PILE'!$E$60/SUMSQ('TS-PILE'!$E$56:$E$75))+IF(SUMSQ('TS-PILE'!$D$56:$D$75)=0,0,'TO HOP NLAN'!F170*'TS-PILE'!$D$60/SUMSQ('TS-PILE'!$D$56:$D$75))),IF('TS-PILE'!$B$61="",-1E+99,'TO HOP NLAN'!D170/ncoc+IF(SUMSQ('TS-PILE'!$E$56:$E$75)=0,0,'TO HOP NLAN'!E170*'TS-PILE'!$E$61/SUMSQ('TS-PILE'!$E$56:$E$75))+IF(SUMSQ('TS-PILE'!$D$56:$D$75)=0,0,'TO HOP NLAN'!F170*'TS-PILE'!$D$61/SUMSQ('TS-PILE'!$D$56:$D$75))),IF('TS-PILE'!$B$62="",-1E+99,'TO HOP NLAN'!D170/ncoc+IF(SUMSQ('TS-PILE'!$E$56:$E$75)=0,0,'TO HOP NLAN'!E170*'TS-PILE'!$E$62/SUMSQ('TS-PILE'!$E$56:$E$75))+IF(SUMSQ('TS-PILE'!$D$56:$D$75)=0,0,'TO HOP NLAN'!F170*'TS-PILE'!$D$62/SUMSQ('TS-PILE'!$D$56:$D$75))),IF('TS-PILE'!$B$63="",-1E+99,'TO HOP NLAN'!D170/ncoc+IF(SUMSQ('TS-PILE'!$E$56:$E$75)=0,0,'TO HOP NLAN'!E170*'TS-PILE'!$E$63/SUMSQ('TS-PILE'!$E$56:$E$75))+IF(SUMSQ('TS-PILE'!$D$56:$D$75)=0,0,'TO HOP NLAN'!F170*'TS-PILE'!$D$63/SUMSQ('TS-PILE'!$D$56:$D$75))),IF('TS-PILE'!$B$64="",-1E+99,'TO HOP NLAN'!D170/ncoc+IF(SUMSQ('TS-PILE'!$E$56:$E$75)=0,0,'TO HOP NLAN'!E170*'TS-PILE'!$E$64/SUMSQ('TS-PILE'!$E$56:$E$75))+IF(SUMSQ('TS-PILE'!$D$56:$D$75)=0,0,'TO HOP NLAN'!F170*'TS-PILE'!$D$64/SUMSQ('TS-PILE'!$D$56:$D$75))),IF('TS-PILE'!$B$65="",-1E+99,'TO HOP NLAN'!D170/ncoc+IF(SUMSQ('TS-PILE'!$E$56:$E$75)=0,0,'TO HOP NLAN'!E170*'TS-PILE'!$E$65/SUMSQ('TS-PILE'!$E$56:$E$75))+IF(SUMSQ('TS-PILE'!$D$56:$D$75)=0,0,'TO HOP NLAN'!F170*'TS-PILE'!$D$65/SUMSQ('TS-PILE'!$D$56:$D$75))),IF('TS-PILE'!$B$66="",-1E+99,'TO HOP NLAN'!D170/ncoc+IF(SUMSQ('TS-PILE'!$E$56:$E$75)=0,0,'TO HOP NLAN'!E170*'TS-PILE'!$E$66/SUMSQ('TS-PILE'!$E$56:$E$75))+IF(SUMSQ('TS-PILE'!$D$56:$D$75)=0,0,'TO HOP NLAN'!F170*'TS-PILE'!$D$66/SUMSQ('TS-PILE'!$D$56:$D$75))),IF('TS-PILE'!$B$67="",-1E+99,'TO HOP NLAN'!D170/ncoc+IF(SUMSQ('TS-PILE'!$E$56:$E$75)=0,0,'TO HOP NLAN'!E170*'TS-PILE'!$E$67/SUMSQ('TS-PILE'!$E$56:$E$75))+IF(SUMSQ('TS-PILE'!$D$56:$D$75)=0,0,'TO HOP NLAN'!F170*'TS-PILE'!$D$67/SUMSQ('TS-PILE'!$D$56:$D$75))),IF('TS-PILE'!$B$68="",-1E+99,'TO HOP NLAN'!D170/ncoc+IF(SUMSQ('TS-PILE'!$E$56:$E$75)=0,0,'TO HOP NLAN'!E170*'TS-PILE'!$E$68/SUMSQ('TS-PILE'!$E$56:$E$75))+IF(SUMSQ('TS-PILE'!$D$56:$D$75)=0,0,'TO HOP NLAN'!F170*'TS-PILE'!$D$68/SUMSQ('TS-PILE'!$D$56:$D$75))),IF('TS-PILE'!$B$69="",-1E+99,'TO HOP NLAN'!D170/ncoc+IF(SUMSQ('TS-PILE'!$E$56:$E$75)=0,0,'TO HOP NLAN'!E170*'TS-PILE'!$E$69/SUMSQ('TS-PILE'!$E$56:$E$75))+IF(SUMSQ('TS-PILE'!$D$56:$D$75)=0,0,'TO HOP NLAN'!F170*'TS-PILE'!$D$69/SUMSQ('TS-PILE'!$D$56:$D$75))),IF('TS-PILE'!$B$70="",-1E+99,'TO HOP NLAN'!D170/ncoc+IF(SUMSQ('TS-PILE'!$E$56:$E$75)=0,0,'TO HOP NLAN'!E170*'TS-PILE'!$E$70/SUMSQ('TS-PILE'!$E$56:$E$75))+IF(SUMSQ('TS-PILE'!$D$56:$D$75)=0,0,'TO HOP NLAN'!F170*'TS-PILE'!$D$70/SUMSQ('TS-PILE'!$D$56:$D$75))),IF('TS-PILE'!$B$71="",-1E+99,'TO HOP NLAN'!D170/ncoc+IF(SUMSQ('TS-PILE'!$E$56:$E$75)=0,0,'TO HOP NLAN'!E170*'TS-PILE'!$E$71/SUMSQ('TS-PILE'!$E$56:$E$75))+IF(SUMSQ('TS-PILE'!$D$56:$D$75)=0,0,'TO HOP NLAN'!F170*'TS-PILE'!$D$71/SUMSQ('TS-PILE'!$D$56:$D$75))),IF('TS-PILE'!$B$72="",-1E+99,'TO HOP NLAN'!D170/ncoc+IF(SUMSQ('TS-PILE'!$E$56:$E$75)=0,0,'TO HOP NLAN'!E170*'TS-PILE'!$E$72/SUMSQ('TS-PILE'!$E$56:$E$75))+IF(SUMSQ('TS-PILE'!$D$56:$D$75)=0,0,'TO HOP NLAN'!F170*'TS-PILE'!$D$72/SUMSQ('TS-PILE'!$D$56:$D$75))),IF('TS-PILE'!$B$73="",-1E+99,'TO HOP NLAN'!D170/ncoc+IF(SUMSQ('TS-PILE'!$E$56:$E$75)=0,0,'TO HOP NLAN'!E170*'TS-PILE'!$E$73/SUMSQ('TS-PILE'!$E$56:$E$75))+IF(SUMSQ('TS-PILE'!$D$56:$D$75)=0,0,'TO HOP NLAN'!F170*'TS-PILE'!$D$73/SUMSQ('TS-PILE'!$D$56:$D$75))),IF('TS-PILE'!$B$74="",-1E+99,'TO HOP NLAN'!D170/ncoc+IF(SUMSQ('TS-PILE'!$E$56:$E$75)=0,0,'TO HOP NLAN'!E170*'TS-PILE'!$E$74/SUMSQ('TS-PILE'!$E$56:$E$75))+IF(SUMSQ('TS-PILE'!$D$56:$D$75)=0,0,'TO HOP NLAN'!F170*'TS-PILE'!$D$74/SUMSQ('TS-PILE'!$D$56:$D$75))),IF('TS-PILE'!$B$75="",-1E+99,'TO HOP NLAN'!D170/ncoc+IF(SUMSQ('TS-PILE'!$E$56:$E$75)=0,0,'TO HOP NLAN'!E170*'TS-PILE'!$E$75/SUMSQ('TS-PILE'!$E$56:$E$75))+IF(SUMSQ('TS-PILE'!$D$56:$D$75)=0,0,'TO HOP NLAN'!F170*'TS-PILE'!$D$75/SUMSQ('TS-PILE'!$D$56:$D$75)))))</f>
        <v>0</v>
      </c>
      <c r="D170" s="46">
        <f>IF(A170="",0,MIN(IF('TS-PILE'!$B$56="",1E+99,'TO HOP NLAN'!D170/ncoc+IF(SUMSQ('TS-PILE'!$E$56:$E$75)=0,0,'TO HOP NLAN'!E170*'TS-PILE'!$E$56/SUMSQ('TS-PILE'!$E$56:$E$75))+IF(SUMSQ('TS-PILE'!$D$56:$D$75)=0,0,'TO HOP NLAN'!F170*'TS-PILE'!$D$56/SUMSQ('TS-PILE'!$D$56:$D$75))),IF('TS-PILE'!$B$57="",1E+99,'TO HOP NLAN'!D170/ncoc+IF(SUMSQ('TS-PILE'!$E$56:$E$75)=0,0,'TO HOP NLAN'!E170*'TS-PILE'!$E$57/SUMSQ('TS-PILE'!$E$56:$E$75))+IF(SUMSQ('TS-PILE'!$D$56:$D$75)=0,0,'TO HOP NLAN'!F170*'TS-PILE'!$D$57/SUMSQ('TS-PILE'!$D$56:$D$75))),IF('TS-PILE'!$B$58="",1E+99,'TO HOP NLAN'!D170/ncoc+IF(SUMSQ('TS-PILE'!$E$56:$E$75)=0,0,'TO HOP NLAN'!E170*'TS-PILE'!$E$58/SUMSQ('TS-PILE'!$E$56:$E$75))+IF(SUMSQ('TS-PILE'!$D$56:$D$75)=0,0,'TO HOP NLAN'!F170*'TS-PILE'!$D$58/SUMSQ('TS-PILE'!$D$56:$D$75))),IF('TS-PILE'!$B$59="",1E+99,'TO HOP NLAN'!D170/ncoc+IF(SUMSQ('TS-PILE'!$E$56:$E$75)=0,0,'TO HOP NLAN'!E170*'TS-PILE'!$E$59/SUMSQ('TS-PILE'!$E$56:$E$75))+IF(SUMSQ('TS-PILE'!$D$56:$D$75)=0,0,'TO HOP NLAN'!F170*'TS-PILE'!$D$59/SUMSQ('TS-PILE'!$D$56:$D$75))),IF('TS-PILE'!$B$60="",1E+99,'TO HOP NLAN'!D170/ncoc+IF(SUMSQ('TS-PILE'!$E$56:$E$75)=0,0,'TO HOP NLAN'!E170*'TS-PILE'!$E$60/SUMSQ('TS-PILE'!$E$56:$E$75))+IF(SUMSQ('TS-PILE'!$D$56:$D$75)=0,0,'TO HOP NLAN'!F170*'TS-PILE'!$D$60/SUMSQ('TS-PILE'!$D$56:$D$75))),IF('TS-PILE'!$B$61="",1E+99,'TO HOP NLAN'!D170/ncoc+IF(SUMSQ('TS-PILE'!$E$56:$E$75)=0,0,'TO HOP NLAN'!E170*'TS-PILE'!$E$61/SUMSQ('TS-PILE'!$E$56:$E$75))+IF(SUMSQ('TS-PILE'!$D$56:$D$75)=0,0,'TO HOP NLAN'!F170*'TS-PILE'!$D$61/SUMSQ('TS-PILE'!$D$56:$D$75))),IF('TS-PILE'!$B$62="",1E+99,'TO HOP NLAN'!D170/ncoc+IF(SUMSQ('TS-PILE'!$E$56:$E$75)=0,0,'TO HOP NLAN'!E170*'TS-PILE'!$E$62/SUMSQ('TS-PILE'!$E$56:$E$75))+IF(SUMSQ('TS-PILE'!$D$56:$D$75)=0,0,'TO HOP NLAN'!F170*'TS-PILE'!$D$62/SUMSQ('TS-PILE'!$D$56:$D$75))),IF('TS-PILE'!$B$63="",1E+99,'TO HOP NLAN'!D170/ncoc+IF(SUMSQ('TS-PILE'!$E$56:$E$75)=0,0,'TO HOP NLAN'!E170*'TS-PILE'!$E$63/SUMSQ('TS-PILE'!$E$56:$E$75))+IF(SUMSQ('TS-PILE'!$D$56:$D$75)=0,0,'TO HOP NLAN'!F170*'TS-PILE'!$D$63/SUMSQ('TS-PILE'!$D$56:$D$75))),IF('TS-PILE'!$B$64="",1E+99,'TO HOP NLAN'!D170/ncoc+IF(SUMSQ('TS-PILE'!$E$56:$E$75)=0,0,'TO HOP NLAN'!E170*'TS-PILE'!$E$64/SUMSQ('TS-PILE'!$E$56:$E$75))+IF(SUMSQ('TS-PILE'!$D$56:$D$75)=0,0,'TO HOP NLAN'!F170*'TS-PILE'!$D$64/SUMSQ('TS-PILE'!$D$56:$D$75))),IF('TS-PILE'!$B$65="",1E+99,'TO HOP NLAN'!D170/ncoc+IF(SUMSQ('TS-PILE'!$E$56:$E$75)=0,0,'TO HOP NLAN'!E170*'TS-PILE'!$E$65/SUMSQ('TS-PILE'!$E$56:$E$75))+IF(SUMSQ('TS-PILE'!$D$56:$D$75)=0,0,'TO HOP NLAN'!F170*'TS-PILE'!$D$65/SUMSQ('TS-PILE'!$D$56:$D$75))),IF('TS-PILE'!$B$66="",1E+99,'TO HOP NLAN'!D170/ncoc+IF(SUMSQ('TS-PILE'!$E$56:$E$75)=0,0,'TO HOP NLAN'!E170*'TS-PILE'!$E$66/SUMSQ('TS-PILE'!$E$56:$E$75))+IF(SUMSQ('TS-PILE'!$D$56:$D$75)=0,0,'TO HOP NLAN'!F170*'TS-PILE'!$D$66/SUMSQ('TS-PILE'!$D$56:$D$75))),IF('TS-PILE'!$B$67="",1E+99,'TO HOP NLAN'!D170/ncoc+IF(SUMSQ('TS-PILE'!$E$56:$E$75)=0,0,'TO HOP NLAN'!E170*'TS-PILE'!$E$67/SUMSQ('TS-PILE'!$E$56:$E$75))+IF(SUMSQ('TS-PILE'!$D$56:$D$75)=0,0,'TO HOP NLAN'!F170*'TS-PILE'!$D$67/SUMSQ('TS-PILE'!$D$56:$D$75))),IF('TS-PILE'!$B$68="",1E+99,'TO HOP NLAN'!D170/ncoc+IF(SUMSQ('TS-PILE'!$E$56:$E$75)=0,0,'TO HOP NLAN'!E170*'TS-PILE'!$E$68/SUMSQ('TS-PILE'!$E$56:$E$75))+IF(SUMSQ('TS-PILE'!$D$56:$D$75)=0,0,'TO HOP NLAN'!F170*'TS-PILE'!$D$68/SUMSQ('TS-PILE'!$D$56:$D$75))),IF('TS-PILE'!$B$69="",1E+99,'TO HOP NLAN'!D170/ncoc+IF(SUMSQ('TS-PILE'!$E$56:$E$75)=0,0,'TO HOP NLAN'!E170*'TS-PILE'!$E$69/SUMSQ('TS-PILE'!$E$56:$E$75))+IF(SUMSQ('TS-PILE'!$D$56:$D$75)=0,0,'TO HOP NLAN'!F170*'TS-PILE'!$D$69/SUMSQ('TS-PILE'!$D$56:$D$75))),IF('TS-PILE'!$B$70="",1E+99,'TO HOP NLAN'!D170/ncoc+IF(SUMSQ('TS-PILE'!$E$56:$E$75)=0,0,'TO HOP NLAN'!E170*'TS-PILE'!$E$70/SUMSQ('TS-PILE'!$E$56:$E$75))+IF(SUMSQ('TS-PILE'!$D$56:$D$75)=0,0,'TO HOP NLAN'!F170*'TS-PILE'!$D$70/SUMSQ('TS-PILE'!$D$56:$D$75))),IF('TS-PILE'!$B$71="",1E+99,'TO HOP NLAN'!D170/ncoc+IF(SUMSQ('TS-PILE'!$E$56:$E$75)=0,0,'TO HOP NLAN'!E170*'TS-PILE'!$E$71/SUMSQ('TS-PILE'!$E$56:$E$75))+IF(SUMSQ('TS-PILE'!$D$56:$D$75)=0,0,'TO HOP NLAN'!F170*'TS-PILE'!$D$71/SUMSQ('TS-PILE'!$D$56:$D$75))),IF('TS-PILE'!$B$72="",1E+99,'TO HOP NLAN'!D170/ncoc+IF(SUMSQ('TS-PILE'!$E$56:$E$75)=0,0,'TO HOP NLAN'!E170*'TS-PILE'!$E$72/SUMSQ('TS-PILE'!$E$56:$E$75))+IF(SUMSQ('TS-PILE'!$D$56:$D$75)=0,0,'TO HOP NLAN'!F170*'TS-PILE'!$D$72/SUMSQ('TS-PILE'!$D$56:$D$75))),IF('TS-PILE'!$B$73="",1E+99,'TO HOP NLAN'!D170/ncoc+IF(SUMSQ('TS-PILE'!$E$56:$E$75)=0,0,'TO HOP NLAN'!E170*'TS-PILE'!$E$73/SUMSQ('TS-PILE'!$E$56:$E$75))+IF(SUMSQ('TS-PILE'!$D$56:$D$75)=0,0,'TO HOP NLAN'!F170*'TS-PILE'!$D$73/SUMSQ('TS-PILE'!$D$56:$D$75))),IF('TS-PILE'!$B$74="",1E+99,'TO HOP NLAN'!D170/ncoc+IF(SUMSQ('TS-PILE'!$E$56:$E$75)=0,0,'TO HOP NLAN'!E170*'TS-PILE'!$E$74/SUMSQ('TS-PILE'!$E$56:$E$75))+IF(SUMSQ('TS-PILE'!$D$56:$D$75)=0,0,'TO HOP NLAN'!F170*'TS-PILE'!$D$74/SUMSQ('TS-PILE'!$D$56:$D$75))),IF('TS-PILE'!$B$75="",1E+99,'TO HOP NLAN'!D170/ncoc+IF(SUMSQ('TS-PILE'!$E$56:$E$75)=0,0,'TO HOP NLAN'!E170*'TS-PILE'!$E$75/SUMSQ('TS-PILE'!$E$56:$E$75))+IF(SUMSQ('TS-PILE'!$D$56:$D$75)=0,0,'TO HOP NLAN'!F170*'TS-PILE'!$D$75/SUMSQ('TS-PILE'!$D$56:$D$75)))))</f>
        <v>0</v>
      </c>
      <c r="E170" s="46">
        <f t="shared" si="8"/>
        <v>-9.9999999999999997E+98</v>
      </c>
      <c r="F170" s="46">
        <f t="shared" si="9"/>
        <v>9.9999999999999997E+98</v>
      </c>
      <c r="G170" s="46">
        <f t="shared" si="10"/>
        <v>-9.9999999999999997E+98</v>
      </c>
      <c r="H170" s="46">
        <f t="shared" si="11"/>
        <v>9.9999999999999997E+98</v>
      </c>
    </row>
    <row r="171" spans="1:8" x14ac:dyDescent="0.3">
      <c r="A171" s="40" t="str">
        <f>'TO HOP NLAN'!A171</f>
        <v/>
      </c>
      <c r="B171" s="40" t="str">
        <f>'TO HOP NLAN'!L171</f>
        <v>STRENGTH</v>
      </c>
      <c r="C171" s="46">
        <f>IF(A171="",0,MAX(IF('TS-PILE'!$B$56="",-1E+99,'TO HOP NLAN'!D171/ncoc+IF(SUMSQ('TS-PILE'!$E$56:$E$75)=0,0,'TO HOP NLAN'!E171*'TS-PILE'!$E$56/SUMSQ('TS-PILE'!$E$56:$E$75))+IF(SUMSQ('TS-PILE'!$D$56:$D$75)=0,0,'TO HOP NLAN'!F171*'TS-PILE'!$D$56/SUMSQ('TS-PILE'!$D$56:$D$75))),IF('TS-PILE'!$B$57="",-1E+99,'TO HOP NLAN'!D171/ncoc+IF(SUMSQ('TS-PILE'!$E$56:$E$75)=0,0,'TO HOP NLAN'!E171*'TS-PILE'!$E$57/SUMSQ('TS-PILE'!$E$56:$E$75))+IF(SUMSQ('TS-PILE'!$D$56:$D$75)=0,0,'TO HOP NLAN'!F171*'TS-PILE'!$D$57/SUMSQ('TS-PILE'!$D$56:$D$75))),IF('TS-PILE'!$B$58="",-1E+99,'TO HOP NLAN'!D171/ncoc+IF(SUMSQ('TS-PILE'!$E$56:$E$75)=0,0,'TO HOP NLAN'!E171*'TS-PILE'!$E$58/SUMSQ('TS-PILE'!$E$56:$E$75))+IF(SUMSQ('TS-PILE'!$D$56:$D$75)=0,0,'TO HOP NLAN'!F171*'TS-PILE'!$D$58/SUMSQ('TS-PILE'!$D$56:$D$75))),IF('TS-PILE'!$B$59="",-1E+99,'TO HOP NLAN'!D171/ncoc+IF(SUMSQ('TS-PILE'!$E$56:$E$75)=0,0,'TO HOP NLAN'!E171*'TS-PILE'!$E$59/SUMSQ('TS-PILE'!$E$56:$E$75))+IF(SUMSQ('TS-PILE'!$D$56:$D$75)=0,0,'TO HOP NLAN'!F171*'TS-PILE'!$D$59/SUMSQ('TS-PILE'!$D$56:$D$75))),IF('TS-PILE'!$B$60="",-1E+99,'TO HOP NLAN'!D171/ncoc+IF(SUMSQ('TS-PILE'!$E$56:$E$75)=0,0,'TO HOP NLAN'!E171*'TS-PILE'!$E$60/SUMSQ('TS-PILE'!$E$56:$E$75))+IF(SUMSQ('TS-PILE'!$D$56:$D$75)=0,0,'TO HOP NLAN'!F171*'TS-PILE'!$D$60/SUMSQ('TS-PILE'!$D$56:$D$75))),IF('TS-PILE'!$B$61="",-1E+99,'TO HOP NLAN'!D171/ncoc+IF(SUMSQ('TS-PILE'!$E$56:$E$75)=0,0,'TO HOP NLAN'!E171*'TS-PILE'!$E$61/SUMSQ('TS-PILE'!$E$56:$E$75))+IF(SUMSQ('TS-PILE'!$D$56:$D$75)=0,0,'TO HOP NLAN'!F171*'TS-PILE'!$D$61/SUMSQ('TS-PILE'!$D$56:$D$75))),IF('TS-PILE'!$B$62="",-1E+99,'TO HOP NLAN'!D171/ncoc+IF(SUMSQ('TS-PILE'!$E$56:$E$75)=0,0,'TO HOP NLAN'!E171*'TS-PILE'!$E$62/SUMSQ('TS-PILE'!$E$56:$E$75))+IF(SUMSQ('TS-PILE'!$D$56:$D$75)=0,0,'TO HOP NLAN'!F171*'TS-PILE'!$D$62/SUMSQ('TS-PILE'!$D$56:$D$75))),IF('TS-PILE'!$B$63="",-1E+99,'TO HOP NLAN'!D171/ncoc+IF(SUMSQ('TS-PILE'!$E$56:$E$75)=0,0,'TO HOP NLAN'!E171*'TS-PILE'!$E$63/SUMSQ('TS-PILE'!$E$56:$E$75))+IF(SUMSQ('TS-PILE'!$D$56:$D$75)=0,0,'TO HOP NLAN'!F171*'TS-PILE'!$D$63/SUMSQ('TS-PILE'!$D$56:$D$75))),IF('TS-PILE'!$B$64="",-1E+99,'TO HOP NLAN'!D171/ncoc+IF(SUMSQ('TS-PILE'!$E$56:$E$75)=0,0,'TO HOP NLAN'!E171*'TS-PILE'!$E$64/SUMSQ('TS-PILE'!$E$56:$E$75))+IF(SUMSQ('TS-PILE'!$D$56:$D$75)=0,0,'TO HOP NLAN'!F171*'TS-PILE'!$D$64/SUMSQ('TS-PILE'!$D$56:$D$75))),IF('TS-PILE'!$B$65="",-1E+99,'TO HOP NLAN'!D171/ncoc+IF(SUMSQ('TS-PILE'!$E$56:$E$75)=0,0,'TO HOP NLAN'!E171*'TS-PILE'!$E$65/SUMSQ('TS-PILE'!$E$56:$E$75))+IF(SUMSQ('TS-PILE'!$D$56:$D$75)=0,0,'TO HOP NLAN'!F171*'TS-PILE'!$D$65/SUMSQ('TS-PILE'!$D$56:$D$75))),IF('TS-PILE'!$B$66="",-1E+99,'TO HOP NLAN'!D171/ncoc+IF(SUMSQ('TS-PILE'!$E$56:$E$75)=0,0,'TO HOP NLAN'!E171*'TS-PILE'!$E$66/SUMSQ('TS-PILE'!$E$56:$E$75))+IF(SUMSQ('TS-PILE'!$D$56:$D$75)=0,0,'TO HOP NLAN'!F171*'TS-PILE'!$D$66/SUMSQ('TS-PILE'!$D$56:$D$75))),IF('TS-PILE'!$B$67="",-1E+99,'TO HOP NLAN'!D171/ncoc+IF(SUMSQ('TS-PILE'!$E$56:$E$75)=0,0,'TO HOP NLAN'!E171*'TS-PILE'!$E$67/SUMSQ('TS-PILE'!$E$56:$E$75))+IF(SUMSQ('TS-PILE'!$D$56:$D$75)=0,0,'TO HOP NLAN'!F171*'TS-PILE'!$D$67/SUMSQ('TS-PILE'!$D$56:$D$75))),IF('TS-PILE'!$B$68="",-1E+99,'TO HOP NLAN'!D171/ncoc+IF(SUMSQ('TS-PILE'!$E$56:$E$75)=0,0,'TO HOP NLAN'!E171*'TS-PILE'!$E$68/SUMSQ('TS-PILE'!$E$56:$E$75))+IF(SUMSQ('TS-PILE'!$D$56:$D$75)=0,0,'TO HOP NLAN'!F171*'TS-PILE'!$D$68/SUMSQ('TS-PILE'!$D$56:$D$75))),IF('TS-PILE'!$B$69="",-1E+99,'TO HOP NLAN'!D171/ncoc+IF(SUMSQ('TS-PILE'!$E$56:$E$75)=0,0,'TO HOP NLAN'!E171*'TS-PILE'!$E$69/SUMSQ('TS-PILE'!$E$56:$E$75))+IF(SUMSQ('TS-PILE'!$D$56:$D$75)=0,0,'TO HOP NLAN'!F171*'TS-PILE'!$D$69/SUMSQ('TS-PILE'!$D$56:$D$75))),IF('TS-PILE'!$B$70="",-1E+99,'TO HOP NLAN'!D171/ncoc+IF(SUMSQ('TS-PILE'!$E$56:$E$75)=0,0,'TO HOP NLAN'!E171*'TS-PILE'!$E$70/SUMSQ('TS-PILE'!$E$56:$E$75))+IF(SUMSQ('TS-PILE'!$D$56:$D$75)=0,0,'TO HOP NLAN'!F171*'TS-PILE'!$D$70/SUMSQ('TS-PILE'!$D$56:$D$75))),IF('TS-PILE'!$B$71="",-1E+99,'TO HOP NLAN'!D171/ncoc+IF(SUMSQ('TS-PILE'!$E$56:$E$75)=0,0,'TO HOP NLAN'!E171*'TS-PILE'!$E$71/SUMSQ('TS-PILE'!$E$56:$E$75))+IF(SUMSQ('TS-PILE'!$D$56:$D$75)=0,0,'TO HOP NLAN'!F171*'TS-PILE'!$D$71/SUMSQ('TS-PILE'!$D$56:$D$75))),IF('TS-PILE'!$B$72="",-1E+99,'TO HOP NLAN'!D171/ncoc+IF(SUMSQ('TS-PILE'!$E$56:$E$75)=0,0,'TO HOP NLAN'!E171*'TS-PILE'!$E$72/SUMSQ('TS-PILE'!$E$56:$E$75))+IF(SUMSQ('TS-PILE'!$D$56:$D$75)=0,0,'TO HOP NLAN'!F171*'TS-PILE'!$D$72/SUMSQ('TS-PILE'!$D$56:$D$75))),IF('TS-PILE'!$B$73="",-1E+99,'TO HOP NLAN'!D171/ncoc+IF(SUMSQ('TS-PILE'!$E$56:$E$75)=0,0,'TO HOP NLAN'!E171*'TS-PILE'!$E$73/SUMSQ('TS-PILE'!$E$56:$E$75))+IF(SUMSQ('TS-PILE'!$D$56:$D$75)=0,0,'TO HOP NLAN'!F171*'TS-PILE'!$D$73/SUMSQ('TS-PILE'!$D$56:$D$75))),IF('TS-PILE'!$B$74="",-1E+99,'TO HOP NLAN'!D171/ncoc+IF(SUMSQ('TS-PILE'!$E$56:$E$75)=0,0,'TO HOP NLAN'!E171*'TS-PILE'!$E$74/SUMSQ('TS-PILE'!$E$56:$E$75))+IF(SUMSQ('TS-PILE'!$D$56:$D$75)=0,0,'TO HOP NLAN'!F171*'TS-PILE'!$D$74/SUMSQ('TS-PILE'!$D$56:$D$75))),IF('TS-PILE'!$B$75="",-1E+99,'TO HOP NLAN'!D171/ncoc+IF(SUMSQ('TS-PILE'!$E$56:$E$75)=0,0,'TO HOP NLAN'!E171*'TS-PILE'!$E$75/SUMSQ('TS-PILE'!$E$56:$E$75))+IF(SUMSQ('TS-PILE'!$D$56:$D$75)=0,0,'TO HOP NLAN'!F171*'TS-PILE'!$D$75/SUMSQ('TS-PILE'!$D$56:$D$75)))))</f>
        <v>0</v>
      </c>
      <c r="D171" s="46">
        <f>IF(A171="",0,MIN(IF('TS-PILE'!$B$56="",1E+99,'TO HOP NLAN'!D171/ncoc+IF(SUMSQ('TS-PILE'!$E$56:$E$75)=0,0,'TO HOP NLAN'!E171*'TS-PILE'!$E$56/SUMSQ('TS-PILE'!$E$56:$E$75))+IF(SUMSQ('TS-PILE'!$D$56:$D$75)=0,0,'TO HOP NLAN'!F171*'TS-PILE'!$D$56/SUMSQ('TS-PILE'!$D$56:$D$75))),IF('TS-PILE'!$B$57="",1E+99,'TO HOP NLAN'!D171/ncoc+IF(SUMSQ('TS-PILE'!$E$56:$E$75)=0,0,'TO HOP NLAN'!E171*'TS-PILE'!$E$57/SUMSQ('TS-PILE'!$E$56:$E$75))+IF(SUMSQ('TS-PILE'!$D$56:$D$75)=0,0,'TO HOP NLAN'!F171*'TS-PILE'!$D$57/SUMSQ('TS-PILE'!$D$56:$D$75))),IF('TS-PILE'!$B$58="",1E+99,'TO HOP NLAN'!D171/ncoc+IF(SUMSQ('TS-PILE'!$E$56:$E$75)=0,0,'TO HOP NLAN'!E171*'TS-PILE'!$E$58/SUMSQ('TS-PILE'!$E$56:$E$75))+IF(SUMSQ('TS-PILE'!$D$56:$D$75)=0,0,'TO HOP NLAN'!F171*'TS-PILE'!$D$58/SUMSQ('TS-PILE'!$D$56:$D$75))),IF('TS-PILE'!$B$59="",1E+99,'TO HOP NLAN'!D171/ncoc+IF(SUMSQ('TS-PILE'!$E$56:$E$75)=0,0,'TO HOP NLAN'!E171*'TS-PILE'!$E$59/SUMSQ('TS-PILE'!$E$56:$E$75))+IF(SUMSQ('TS-PILE'!$D$56:$D$75)=0,0,'TO HOP NLAN'!F171*'TS-PILE'!$D$59/SUMSQ('TS-PILE'!$D$56:$D$75))),IF('TS-PILE'!$B$60="",1E+99,'TO HOP NLAN'!D171/ncoc+IF(SUMSQ('TS-PILE'!$E$56:$E$75)=0,0,'TO HOP NLAN'!E171*'TS-PILE'!$E$60/SUMSQ('TS-PILE'!$E$56:$E$75))+IF(SUMSQ('TS-PILE'!$D$56:$D$75)=0,0,'TO HOP NLAN'!F171*'TS-PILE'!$D$60/SUMSQ('TS-PILE'!$D$56:$D$75))),IF('TS-PILE'!$B$61="",1E+99,'TO HOP NLAN'!D171/ncoc+IF(SUMSQ('TS-PILE'!$E$56:$E$75)=0,0,'TO HOP NLAN'!E171*'TS-PILE'!$E$61/SUMSQ('TS-PILE'!$E$56:$E$75))+IF(SUMSQ('TS-PILE'!$D$56:$D$75)=0,0,'TO HOP NLAN'!F171*'TS-PILE'!$D$61/SUMSQ('TS-PILE'!$D$56:$D$75))),IF('TS-PILE'!$B$62="",1E+99,'TO HOP NLAN'!D171/ncoc+IF(SUMSQ('TS-PILE'!$E$56:$E$75)=0,0,'TO HOP NLAN'!E171*'TS-PILE'!$E$62/SUMSQ('TS-PILE'!$E$56:$E$75))+IF(SUMSQ('TS-PILE'!$D$56:$D$75)=0,0,'TO HOP NLAN'!F171*'TS-PILE'!$D$62/SUMSQ('TS-PILE'!$D$56:$D$75))),IF('TS-PILE'!$B$63="",1E+99,'TO HOP NLAN'!D171/ncoc+IF(SUMSQ('TS-PILE'!$E$56:$E$75)=0,0,'TO HOP NLAN'!E171*'TS-PILE'!$E$63/SUMSQ('TS-PILE'!$E$56:$E$75))+IF(SUMSQ('TS-PILE'!$D$56:$D$75)=0,0,'TO HOP NLAN'!F171*'TS-PILE'!$D$63/SUMSQ('TS-PILE'!$D$56:$D$75))),IF('TS-PILE'!$B$64="",1E+99,'TO HOP NLAN'!D171/ncoc+IF(SUMSQ('TS-PILE'!$E$56:$E$75)=0,0,'TO HOP NLAN'!E171*'TS-PILE'!$E$64/SUMSQ('TS-PILE'!$E$56:$E$75))+IF(SUMSQ('TS-PILE'!$D$56:$D$75)=0,0,'TO HOP NLAN'!F171*'TS-PILE'!$D$64/SUMSQ('TS-PILE'!$D$56:$D$75))),IF('TS-PILE'!$B$65="",1E+99,'TO HOP NLAN'!D171/ncoc+IF(SUMSQ('TS-PILE'!$E$56:$E$75)=0,0,'TO HOP NLAN'!E171*'TS-PILE'!$E$65/SUMSQ('TS-PILE'!$E$56:$E$75))+IF(SUMSQ('TS-PILE'!$D$56:$D$75)=0,0,'TO HOP NLAN'!F171*'TS-PILE'!$D$65/SUMSQ('TS-PILE'!$D$56:$D$75))),IF('TS-PILE'!$B$66="",1E+99,'TO HOP NLAN'!D171/ncoc+IF(SUMSQ('TS-PILE'!$E$56:$E$75)=0,0,'TO HOP NLAN'!E171*'TS-PILE'!$E$66/SUMSQ('TS-PILE'!$E$56:$E$75))+IF(SUMSQ('TS-PILE'!$D$56:$D$75)=0,0,'TO HOP NLAN'!F171*'TS-PILE'!$D$66/SUMSQ('TS-PILE'!$D$56:$D$75))),IF('TS-PILE'!$B$67="",1E+99,'TO HOP NLAN'!D171/ncoc+IF(SUMSQ('TS-PILE'!$E$56:$E$75)=0,0,'TO HOP NLAN'!E171*'TS-PILE'!$E$67/SUMSQ('TS-PILE'!$E$56:$E$75))+IF(SUMSQ('TS-PILE'!$D$56:$D$75)=0,0,'TO HOP NLAN'!F171*'TS-PILE'!$D$67/SUMSQ('TS-PILE'!$D$56:$D$75))),IF('TS-PILE'!$B$68="",1E+99,'TO HOP NLAN'!D171/ncoc+IF(SUMSQ('TS-PILE'!$E$56:$E$75)=0,0,'TO HOP NLAN'!E171*'TS-PILE'!$E$68/SUMSQ('TS-PILE'!$E$56:$E$75))+IF(SUMSQ('TS-PILE'!$D$56:$D$75)=0,0,'TO HOP NLAN'!F171*'TS-PILE'!$D$68/SUMSQ('TS-PILE'!$D$56:$D$75))),IF('TS-PILE'!$B$69="",1E+99,'TO HOP NLAN'!D171/ncoc+IF(SUMSQ('TS-PILE'!$E$56:$E$75)=0,0,'TO HOP NLAN'!E171*'TS-PILE'!$E$69/SUMSQ('TS-PILE'!$E$56:$E$75))+IF(SUMSQ('TS-PILE'!$D$56:$D$75)=0,0,'TO HOP NLAN'!F171*'TS-PILE'!$D$69/SUMSQ('TS-PILE'!$D$56:$D$75))),IF('TS-PILE'!$B$70="",1E+99,'TO HOP NLAN'!D171/ncoc+IF(SUMSQ('TS-PILE'!$E$56:$E$75)=0,0,'TO HOP NLAN'!E171*'TS-PILE'!$E$70/SUMSQ('TS-PILE'!$E$56:$E$75))+IF(SUMSQ('TS-PILE'!$D$56:$D$75)=0,0,'TO HOP NLAN'!F171*'TS-PILE'!$D$70/SUMSQ('TS-PILE'!$D$56:$D$75))),IF('TS-PILE'!$B$71="",1E+99,'TO HOP NLAN'!D171/ncoc+IF(SUMSQ('TS-PILE'!$E$56:$E$75)=0,0,'TO HOP NLAN'!E171*'TS-PILE'!$E$71/SUMSQ('TS-PILE'!$E$56:$E$75))+IF(SUMSQ('TS-PILE'!$D$56:$D$75)=0,0,'TO HOP NLAN'!F171*'TS-PILE'!$D$71/SUMSQ('TS-PILE'!$D$56:$D$75))),IF('TS-PILE'!$B$72="",1E+99,'TO HOP NLAN'!D171/ncoc+IF(SUMSQ('TS-PILE'!$E$56:$E$75)=0,0,'TO HOP NLAN'!E171*'TS-PILE'!$E$72/SUMSQ('TS-PILE'!$E$56:$E$75))+IF(SUMSQ('TS-PILE'!$D$56:$D$75)=0,0,'TO HOP NLAN'!F171*'TS-PILE'!$D$72/SUMSQ('TS-PILE'!$D$56:$D$75))),IF('TS-PILE'!$B$73="",1E+99,'TO HOP NLAN'!D171/ncoc+IF(SUMSQ('TS-PILE'!$E$56:$E$75)=0,0,'TO HOP NLAN'!E171*'TS-PILE'!$E$73/SUMSQ('TS-PILE'!$E$56:$E$75))+IF(SUMSQ('TS-PILE'!$D$56:$D$75)=0,0,'TO HOP NLAN'!F171*'TS-PILE'!$D$73/SUMSQ('TS-PILE'!$D$56:$D$75))),IF('TS-PILE'!$B$74="",1E+99,'TO HOP NLAN'!D171/ncoc+IF(SUMSQ('TS-PILE'!$E$56:$E$75)=0,0,'TO HOP NLAN'!E171*'TS-PILE'!$E$74/SUMSQ('TS-PILE'!$E$56:$E$75))+IF(SUMSQ('TS-PILE'!$D$56:$D$75)=0,0,'TO HOP NLAN'!F171*'TS-PILE'!$D$74/SUMSQ('TS-PILE'!$D$56:$D$75))),IF('TS-PILE'!$B$75="",1E+99,'TO HOP NLAN'!D171/ncoc+IF(SUMSQ('TS-PILE'!$E$56:$E$75)=0,0,'TO HOP NLAN'!E171*'TS-PILE'!$E$75/SUMSQ('TS-PILE'!$E$56:$E$75))+IF(SUMSQ('TS-PILE'!$D$56:$D$75)=0,0,'TO HOP NLAN'!F171*'TS-PILE'!$D$75/SUMSQ('TS-PILE'!$D$56:$D$75)))))</f>
        <v>0</v>
      </c>
      <c r="E171" s="46">
        <f t="shared" si="8"/>
        <v>-9.9999999999999997E+98</v>
      </c>
      <c r="F171" s="46">
        <f t="shared" si="9"/>
        <v>9.9999999999999997E+98</v>
      </c>
      <c r="G171" s="46">
        <f t="shared" si="10"/>
        <v>-9.9999999999999997E+98</v>
      </c>
      <c r="H171" s="46">
        <f t="shared" si="11"/>
        <v>9.9999999999999997E+98</v>
      </c>
    </row>
    <row r="172" spans="1:8" x14ac:dyDescent="0.3">
      <c r="A172" s="40" t="str">
        <f>'TO HOP NLAN'!A172</f>
        <v/>
      </c>
      <c r="B172" s="40" t="str">
        <f>'TO HOP NLAN'!L172</f>
        <v>STRENGTH</v>
      </c>
      <c r="C172" s="46">
        <f>IF(A172="",0,MAX(IF('TS-PILE'!$B$56="",-1E+99,'TO HOP NLAN'!D172/ncoc+IF(SUMSQ('TS-PILE'!$E$56:$E$75)=0,0,'TO HOP NLAN'!E172*'TS-PILE'!$E$56/SUMSQ('TS-PILE'!$E$56:$E$75))+IF(SUMSQ('TS-PILE'!$D$56:$D$75)=0,0,'TO HOP NLAN'!F172*'TS-PILE'!$D$56/SUMSQ('TS-PILE'!$D$56:$D$75))),IF('TS-PILE'!$B$57="",-1E+99,'TO HOP NLAN'!D172/ncoc+IF(SUMSQ('TS-PILE'!$E$56:$E$75)=0,0,'TO HOP NLAN'!E172*'TS-PILE'!$E$57/SUMSQ('TS-PILE'!$E$56:$E$75))+IF(SUMSQ('TS-PILE'!$D$56:$D$75)=0,0,'TO HOP NLAN'!F172*'TS-PILE'!$D$57/SUMSQ('TS-PILE'!$D$56:$D$75))),IF('TS-PILE'!$B$58="",-1E+99,'TO HOP NLAN'!D172/ncoc+IF(SUMSQ('TS-PILE'!$E$56:$E$75)=0,0,'TO HOP NLAN'!E172*'TS-PILE'!$E$58/SUMSQ('TS-PILE'!$E$56:$E$75))+IF(SUMSQ('TS-PILE'!$D$56:$D$75)=0,0,'TO HOP NLAN'!F172*'TS-PILE'!$D$58/SUMSQ('TS-PILE'!$D$56:$D$75))),IF('TS-PILE'!$B$59="",-1E+99,'TO HOP NLAN'!D172/ncoc+IF(SUMSQ('TS-PILE'!$E$56:$E$75)=0,0,'TO HOP NLAN'!E172*'TS-PILE'!$E$59/SUMSQ('TS-PILE'!$E$56:$E$75))+IF(SUMSQ('TS-PILE'!$D$56:$D$75)=0,0,'TO HOP NLAN'!F172*'TS-PILE'!$D$59/SUMSQ('TS-PILE'!$D$56:$D$75))),IF('TS-PILE'!$B$60="",-1E+99,'TO HOP NLAN'!D172/ncoc+IF(SUMSQ('TS-PILE'!$E$56:$E$75)=0,0,'TO HOP NLAN'!E172*'TS-PILE'!$E$60/SUMSQ('TS-PILE'!$E$56:$E$75))+IF(SUMSQ('TS-PILE'!$D$56:$D$75)=0,0,'TO HOP NLAN'!F172*'TS-PILE'!$D$60/SUMSQ('TS-PILE'!$D$56:$D$75))),IF('TS-PILE'!$B$61="",-1E+99,'TO HOP NLAN'!D172/ncoc+IF(SUMSQ('TS-PILE'!$E$56:$E$75)=0,0,'TO HOP NLAN'!E172*'TS-PILE'!$E$61/SUMSQ('TS-PILE'!$E$56:$E$75))+IF(SUMSQ('TS-PILE'!$D$56:$D$75)=0,0,'TO HOP NLAN'!F172*'TS-PILE'!$D$61/SUMSQ('TS-PILE'!$D$56:$D$75))),IF('TS-PILE'!$B$62="",-1E+99,'TO HOP NLAN'!D172/ncoc+IF(SUMSQ('TS-PILE'!$E$56:$E$75)=0,0,'TO HOP NLAN'!E172*'TS-PILE'!$E$62/SUMSQ('TS-PILE'!$E$56:$E$75))+IF(SUMSQ('TS-PILE'!$D$56:$D$75)=0,0,'TO HOP NLAN'!F172*'TS-PILE'!$D$62/SUMSQ('TS-PILE'!$D$56:$D$75))),IF('TS-PILE'!$B$63="",-1E+99,'TO HOP NLAN'!D172/ncoc+IF(SUMSQ('TS-PILE'!$E$56:$E$75)=0,0,'TO HOP NLAN'!E172*'TS-PILE'!$E$63/SUMSQ('TS-PILE'!$E$56:$E$75))+IF(SUMSQ('TS-PILE'!$D$56:$D$75)=0,0,'TO HOP NLAN'!F172*'TS-PILE'!$D$63/SUMSQ('TS-PILE'!$D$56:$D$75))),IF('TS-PILE'!$B$64="",-1E+99,'TO HOP NLAN'!D172/ncoc+IF(SUMSQ('TS-PILE'!$E$56:$E$75)=0,0,'TO HOP NLAN'!E172*'TS-PILE'!$E$64/SUMSQ('TS-PILE'!$E$56:$E$75))+IF(SUMSQ('TS-PILE'!$D$56:$D$75)=0,0,'TO HOP NLAN'!F172*'TS-PILE'!$D$64/SUMSQ('TS-PILE'!$D$56:$D$75))),IF('TS-PILE'!$B$65="",-1E+99,'TO HOP NLAN'!D172/ncoc+IF(SUMSQ('TS-PILE'!$E$56:$E$75)=0,0,'TO HOP NLAN'!E172*'TS-PILE'!$E$65/SUMSQ('TS-PILE'!$E$56:$E$75))+IF(SUMSQ('TS-PILE'!$D$56:$D$75)=0,0,'TO HOP NLAN'!F172*'TS-PILE'!$D$65/SUMSQ('TS-PILE'!$D$56:$D$75))),IF('TS-PILE'!$B$66="",-1E+99,'TO HOP NLAN'!D172/ncoc+IF(SUMSQ('TS-PILE'!$E$56:$E$75)=0,0,'TO HOP NLAN'!E172*'TS-PILE'!$E$66/SUMSQ('TS-PILE'!$E$56:$E$75))+IF(SUMSQ('TS-PILE'!$D$56:$D$75)=0,0,'TO HOP NLAN'!F172*'TS-PILE'!$D$66/SUMSQ('TS-PILE'!$D$56:$D$75))),IF('TS-PILE'!$B$67="",-1E+99,'TO HOP NLAN'!D172/ncoc+IF(SUMSQ('TS-PILE'!$E$56:$E$75)=0,0,'TO HOP NLAN'!E172*'TS-PILE'!$E$67/SUMSQ('TS-PILE'!$E$56:$E$75))+IF(SUMSQ('TS-PILE'!$D$56:$D$75)=0,0,'TO HOP NLAN'!F172*'TS-PILE'!$D$67/SUMSQ('TS-PILE'!$D$56:$D$75))),IF('TS-PILE'!$B$68="",-1E+99,'TO HOP NLAN'!D172/ncoc+IF(SUMSQ('TS-PILE'!$E$56:$E$75)=0,0,'TO HOP NLAN'!E172*'TS-PILE'!$E$68/SUMSQ('TS-PILE'!$E$56:$E$75))+IF(SUMSQ('TS-PILE'!$D$56:$D$75)=0,0,'TO HOP NLAN'!F172*'TS-PILE'!$D$68/SUMSQ('TS-PILE'!$D$56:$D$75))),IF('TS-PILE'!$B$69="",-1E+99,'TO HOP NLAN'!D172/ncoc+IF(SUMSQ('TS-PILE'!$E$56:$E$75)=0,0,'TO HOP NLAN'!E172*'TS-PILE'!$E$69/SUMSQ('TS-PILE'!$E$56:$E$75))+IF(SUMSQ('TS-PILE'!$D$56:$D$75)=0,0,'TO HOP NLAN'!F172*'TS-PILE'!$D$69/SUMSQ('TS-PILE'!$D$56:$D$75))),IF('TS-PILE'!$B$70="",-1E+99,'TO HOP NLAN'!D172/ncoc+IF(SUMSQ('TS-PILE'!$E$56:$E$75)=0,0,'TO HOP NLAN'!E172*'TS-PILE'!$E$70/SUMSQ('TS-PILE'!$E$56:$E$75))+IF(SUMSQ('TS-PILE'!$D$56:$D$75)=0,0,'TO HOP NLAN'!F172*'TS-PILE'!$D$70/SUMSQ('TS-PILE'!$D$56:$D$75))),IF('TS-PILE'!$B$71="",-1E+99,'TO HOP NLAN'!D172/ncoc+IF(SUMSQ('TS-PILE'!$E$56:$E$75)=0,0,'TO HOP NLAN'!E172*'TS-PILE'!$E$71/SUMSQ('TS-PILE'!$E$56:$E$75))+IF(SUMSQ('TS-PILE'!$D$56:$D$75)=0,0,'TO HOP NLAN'!F172*'TS-PILE'!$D$71/SUMSQ('TS-PILE'!$D$56:$D$75))),IF('TS-PILE'!$B$72="",-1E+99,'TO HOP NLAN'!D172/ncoc+IF(SUMSQ('TS-PILE'!$E$56:$E$75)=0,0,'TO HOP NLAN'!E172*'TS-PILE'!$E$72/SUMSQ('TS-PILE'!$E$56:$E$75))+IF(SUMSQ('TS-PILE'!$D$56:$D$75)=0,0,'TO HOP NLAN'!F172*'TS-PILE'!$D$72/SUMSQ('TS-PILE'!$D$56:$D$75))),IF('TS-PILE'!$B$73="",-1E+99,'TO HOP NLAN'!D172/ncoc+IF(SUMSQ('TS-PILE'!$E$56:$E$75)=0,0,'TO HOP NLAN'!E172*'TS-PILE'!$E$73/SUMSQ('TS-PILE'!$E$56:$E$75))+IF(SUMSQ('TS-PILE'!$D$56:$D$75)=0,0,'TO HOP NLAN'!F172*'TS-PILE'!$D$73/SUMSQ('TS-PILE'!$D$56:$D$75))),IF('TS-PILE'!$B$74="",-1E+99,'TO HOP NLAN'!D172/ncoc+IF(SUMSQ('TS-PILE'!$E$56:$E$75)=0,0,'TO HOP NLAN'!E172*'TS-PILE'!$E$74/SUMSQ('TS-PILE'!$E$56:$E$75))+IF(SUMSQ('TS-PILE'!$D$56:$D$75)=0,0,'TO HOP NLAN'!F172*'TS-PILE'!$D$74/SUMSQ('TS-PILE'!$D$56:$D$75))),IF('TS-PILE'!$B$75="",-1E+99,'TO HOP NLAN'!D172/ncoc+IF(SUMSQ('TS-PILE'!$E$56:$E$75)=0,0,'TO HOP NLAN'!E172*'TS-PILE'!$E$75/SUMSQ('TS-PILE'!$E$56:$E$75))+IF(SUMSQ('TS-PILE'!$D$56:$D$75)=0,0,'TO HOP NLAN'!F172*'TS-PILE'!$D$75/SUMSQ('TS-PILE'!$D$56:$D$75)))))</f>
        <v>0</v>
      </c>
      <c r="D172" s="46">
        <f>IF(A172="",0,MIN(IF('TS-PILE'!$B$56="",1E+99,'TO HOP NLAN'!D172/ncoc+IF(SUMSQ('TS-PILE'!$E$56:$E$75)=0,0,'TO HOP NLAN'!E172*'TS-PILE'!$E$56/SUMSQ('TS-PILE'!$E$56:$E$75))+IF(SUMSQ('TS-PILE'!$D$56:$D$75)=0,0,'TO HOP NLAN'!F172*'TS-PILE'!$D$56/SUMSQ('TS-PILE'!$D$56:$D$75))),IF('TS-PILE'!$B$57="",1E+99,'TO HOP NLAN'!D172/ncoc+IF(SUMSQ('TS-PILE'!$E$56:$E$75)=0,0,'TO HOP NLAN'!E172*'TS-PILE'!$E$57/SUMSQ('TS-PILE'!$E$56:$E$75))+IF(SUMSQ('TS-PILE'!$D$56:$D$75)=0,0,'TO HOP NLAN'!F172*'TS-PILE'!$D$57/SUMSQ('TS-PILE'!$D$56:$D$75))),IF('TS-PILE'!$B$58="",1E+99,'TO HOP NLAN'!D172/ncoc+IF(SUMSQ('TS-PILE'!$E$56:$E$75)=0,0,'TO HOP NLAN'!E172*'TS-PILE'!$E$58/SUMSQ('TS-PILE'!$E$56:$E$75))+IF(SUMSQ('TS-PILE'!$D$56:$D$75)=0,0,'TO HOP NLAN'!F172*'TS-PILE'!$D$58/SUMSQ('TS-PILE'!$D$56:$D$75))),IF('TS-PILE'!$B$59="",1E+99,'TO HOP NLAN'!D172/ncoc+IF(SUMSQ('TS-PILE'!$E$56:$E$75)=0,0,'TO HOP NLAN'!E172*'TS-PILE'!$E$59/SUMSQ('TS-PILE'!$E$56:$E$75))+IF(SUMSQ('TS-PILE'!$D$56:$D$75)=0,0,'TO HOP NLAN'!F172*'TS-PILE'!$D$59/SUMSQ('TS-PILE'!$D$56:$D$75))),IF('TS-PILE'!$B$60="",1E+99,'TO HOP NLAN'!D172/ncoc+IF(SUMSQ('TS-PILE'!$E$56:$E$75)=0,0,'TO HOP NLAN'!E172*'TS-PILE'!$E$60/SUMSQ('TS-PILE'!$E$56:$E$75))+IF(SUMSQ('TS-PILE'!$D$56:$D$75)=0,0,'TO HOP NLAN'!F172*'TS-PILE'!$D$60/SUMSQ('TS-PILE'!$D$56:$D$75))),IF('TS-PILE'!$B$61="",1E+99,'TO HOP NLAN'!D172/ncoc+IF(SUMSQ('TS-PILE'!$E$56:$E$75)=0,0,'TO HOP NLAN'!E172*'TS-PILE'!$E$61/SUMSQ('TS-PILE'!$E$56:$E$75))+IF(SUMSQ('TS-PILE'!$D$56:$D$75)=0,0,'TO HOP NLAN'!F172*'TS-PILE'!$D$61/SUMSQ('TS-PILE'!$D$56:$D$75))),IF('TS-PILE'!$B$62="",1E+99,'TO HOP NLAN'!D172/ncoc+IF(SUMSQ('TS-PILE'!$E$56:$E$75)=0,0,'TO HOP NLAN'!E172*'TS-PILE'!$E$62/SUMSQ('TS-PILE'!$E$56:$E$75))+IF(SUMSQ('TS-PILE'!$D$56:$D$75)=0,0,'TO HOP NLAN'!F172*'TS-PILE'!$D$62/SUMSQ('TS-PILE'!$D$56:$D$75))),IF('TS-PILE'!$B$63="",1E+99,'TO HOP NLAN'!D172/ncoc+IF(SUMSQ('TS-PILE'!$E$56:$E$75)=0,0,'TO HOP NLAN'!E172*'TS-PILE'!$E$63/SUMSQ('TS-PILE'!$E$56:$E$75))+IF(SUMSQ('TS-PILE'!$D$56:$D$75)=0,0,'TO HOP NLAN'!F172*'TS-PILE'!$D$63/SUMSQ('TS-PILE'!$D$56:$D$75))),IF('TS-PILE'!$B$64="",1E+99,'TO HOP NLAN'!D172/ncoc+IF(SUMSQ('TS-PILE'!$E$56:$E$75)=0,0,'TO HOP NLAN'!E172*'TS-PILE'!$E$64/SUMSQ('TS-PILE'!$E$56:$E$75))+IF(SUMSQ('TS-PILE'!$D$56:$D$75)=0,0,'TO HOP NLAN'!F172*'TS-PILE'!$D$64/SUMSQ('TS-PILE'!$D$56:$D$75))),IF('TS-PILE'!$B$65="",1E+99,'TO HOP NLAN'!D172/ncoc+IF(SUMSQ('TS-PILE'!$E$56:$E$75)=0,0,'TO HOP NLAN'!E172*'TS-PILE'!$E$65/SUMSQ('TS-PILE'!$E$56:$E$75))+IF(SUMSQ('TS-PILE'!$D$56:$D$75)=0,0,'TO HOP NLAN'!F172*'TS-PILE'!$D$65/SUMSQ('TS-PILE'!$D$56:$D$75))),IF('TS-PILE'!$B$66="",1E+99,'TO HOP NLAN'!D172/ncoc+IF(SUMSQ('TS-PILE'!$E$56:$E$75)=0,0,'TO HOP NLAN'!E172*'TS-PILE'!$E$66/SUMSQ('TS-PILE'!$E$56:$E$75))+IF(SUMSQ('TS-PILE'!$D$56:$D$75)=0,0,'TO HOP NLAN'!F172*'TS-PILE'!$D$66/SUMSQ('TS-PILE'!$D$56:$D$75))),IF('TS-PILE'!$B$67="",1E+99,'TO HOP NLAN'!D172/ncoc+IF(SUMSQ('TS-PILE'!$E$56:$E$75)=0,0,'TO HOP NLAN'!E172*'TS-PILE'!$E$67/SUMSQ('TS-PILE'!$E$56:$E$75))+IF(SUMSQ('TS-PILE'!$D$56:$D$75)=0,0,'TO HOP NLAN'!F172*'TS-PILE'!$D$67/SUMSQ('TS-PILE'!$D$56:$D$75))),IF('TS-PILE'!$B$68="",1E+99,'TO HOP NLAN'!D172/ncoc+IF(SUMSQ('TS-PILE'!$E$56:$E$75)=0,0,'TO HOP NLAN'!E172*'TS-PILE'!$E$68/SUMSQ('TS-PILE'!$E$56:$E$75))+IF(SUMSQ('TS-PILE'!$D$56:$D$75)=0,0,'TO HOP NLAN'!F172*'TS-PILE'!$D$68/SUMSQ('TS-PILE'!$D$56:$D$75))),IF('TS-PILE'!$B$69="",1E+99,'TO HOP NLAN'!D172/ncoc+IF(SUMSQ('TS-PILE'!$E$56:$E$75)=0,0,'TO HOP NLAN'!E172*'TS-PILE'!$E$69/SUMSQ('TS-PILE'!$E$56:$E$75))+IF(SUMSQ('TS-PILE'!$D$56:$D$75)=0,0,'TO HOP NLAN'!F172*'TS-PILE'!$D$69/SUMSQ('TS-PILE'!$D$56:$D$75))),IF('TS-PILE'!$B$70="",1E+99,'TO HOP NLAN'!D172/ncoc+IF(SUMSQ('TS-PILE'!$E$56:$E$75)=0,0,'TO HOP NLAN'!E172*'TS-PILE'!$E$70/SUMSQ('TS-PILE'!$E$56:$E$75))+IF(SUMSQ('TS-PILE'!$D$56:$D$75)=0,0,'TO HOP NLAN'!F172*'TS-PILE'!$D$70/SUMSQ('TS-PILE'!$D$56:$D$75))),IF('TS-PILE'!$B$71="",1E+99,'TO HOP NLAN'!D172/ncoc+IF(SUMSQ('TS-PILE'!$E$56:$E$75)=0,0,'TO HOP NLAN'!E172*'TS-PILE'!$E$71/SUMSQ('TS-PILE'!$E$56:$E$75))+IF(SUMSQ('TS-PILE'!$D$56:$D$75)=0,0,'TO HOP NLAN'!F172*'TS-PILE'!$D$71/SUMSQ('TS-PILE'!$D$56:$D$75))),IF('TS-PILE'!$B$72="",1E+99,'TO HOP NLAN'!D172/ncoc+IF(SUMSQ('TS-PILE'!$E$56:$E$75)=0,0,'TO HOP NLAN'!E172*'TS-PILE'!$E$72/SUMSQ('TS-PILE'!$E$56:$E$75))+IF(SUMSQ('TS-PILE'!$D$56:$D$75)=0,0,'TO HOP NLAN'!F172*'TS-PILE'!$D$72/SUMSQ('TS-PILE'!$D$56:$D$75))),IF('TS-PILE'!$B$73="",1E+99,'TO HOP NLAN'!D172/ncoc+IF(SUMSQ('TS-PILE'!$E$56:$E$75)=0,0,'TO HOP NLAN'!E172*'TS-PILE'!$E$73/SUMSQ('TS-PILE'!$E$56:$E$75))+IF(SUMSQ('TS-PILE'!$D$56:$D$75)=0,0,'TO HOP NLAN'!F172*'TS-PILE'!$D$73/SUMSQ('TS-PILE'!$D$56:$D$75))),IF('TS-PILE'!$B$74="",1E+99,'TO HOP NLAN'!D172/ncoc+IF(SUMSQ('TS-PILE'!$E$56:$E$75)=0,0,'TO HOP NLAN'!E172*'TS-PILE'!$E$74/SUMSQ('TS-PILE'!$E$56:$E$75))+IF(SUMSQ('TS-PILE'!$D$56:$D$75)=0,0,'TO HOP NLAN'!F172*'TS-PILE'!$D$74/SUMSQ('TS-PILE'!$D$56:$D$75))),IF('TS-PILE'!$B$75="",1E+99,'TO HOP NLAN'!D172/ncoc+IF(SUMSQ('TS-PILE'!$E$56:$E$75)=0,0,'TO HOP NLAN'!E172*'TS-PILE'!$E$75/SUMSQ('TS-PILE'!$E$56:$E$75))+IF(SUMSQ('TS-PILE'!$D$56:$D$75)=0,0,'TO HOP NLAN'!F172*'TS-PILE'!$D$75/SUMSQ('TS-PILE'!$D$56:$D$75)))))</f>
        <v>0</v>
      </c>
      <c r="E172" s="46">
        <f t="shared" si="8"/>
        <v>-9.9999999999999997E+98</v>
      </c>
      <c r="F172" s="46">
        <f t="shared" si="9"/>
        <v>9.9999999999999997E+98</v>
      </c>
      <c r="G172" s="46">
        <f t="shared" si="10"/>
        <v>-9.9999999999999997E+98</v>
      </c>
      <c r="H172" s="46">
        <f t="shared" si="11"/>
        <v>9.9999999999999997E+98</v>
      </c>
    </row>
    <row r="173" spans="1:8" x14ac:dyDescent="0.3">
      <c r="A173" s="40" t="str">
        <f>'TO HOP NLAN'!A173</f>
        <v/>
      </c>
      <c r="B173" s="40" t="str">
        <f>'TO HOP NLAN'!L173</f>
        <v>STRENGTH</v>
      </c>
      <c r="C173" s="46">
        <f>IF(A173="",0,MAX(IF('TS-PILE'!$B$56="",-1E+99,'TO HOP NLAN'!D173/ncoc+IF(SUMSQ('TS-PILE'!$E$56:$E$75)=0,0,'TO HOP NLAN'!E173*'TS-PILE'!$E$56/SUMSQ('TS-PILE'!$E$56:$E$75))+IF(SUMSQ('TS-PILE'!$D$56:$D$75)=0,0,'TO HOP NLAN'!F173*'TS-PILE'!$D$56/SUMSQ('TS-PILE'!$D$56:$D$75))),IF('TS-PILE'!$B$57="",-1E+99,'TO HOP NLAN'!D173/ncoc+IF(SUMSQ('TS-PILE'!$E$56:$E$75)=0,0,'TO HOP NLAN'!E173*'TS-PILE'!$E$57/SUMSQ('TS-PILE'!$E$56:$E$75))+IF(SUMSQ('TS-PILE'!$D$56:$D$75)=0,0,'TO HOP NLAN'!F173*'TS-PILE'!$D$57/SUMSQ('TS-PILE'!$D$56:$D$75))),IF('TS-PILE'!$B$58="",-1E+99,'TO HOP NLAN'!D173/ncoc+IF(SUMSQ('TS-PILE'!$E$56:$E$75)=0,0,'TO HOP NLAN'!E173*'TS-PILE'!$E$58/SUMSQ('TS-PILE'!$E$56:$E$75))+IF(SUMSQ('TS-PILE'!$D$56:$D$75)=0,0,'TO HOP NLAN'!F173*'TS-PILE'!$D$58/SUMSQ('TS-PILE'!$D$56:$D$75))),IF('TS-PILE'!$B$59="",-1E+99,'TO HOP NLAN'!D173/ncoc+IF(SUMSQ('TS-PILE'!$E$56:$E$75)=0,0,'TO HOP NLAN'!E173*'TS-PILE'!$E$59/SUMSQ('TS-PILE'!$E$56:$E$75))+IF(SUMSQ('TS-PILE'!$D$56:$D$75)=0,0,'TO HOP NLAN'!F173*'TS-PILE'!$D$59/SUMSQ('TS-PILE'!$D$56:$D$75))),IF('TS-PILE'!$B$60="",-1E+99,'TO HOP NLAN'!D173/ncoc+IF(SUMSQ('TS-PILE'!$E$56:$E$75)=0,0,'TO HOP NLAN'!E173*'TS-PILE'!$E$60/SUMSQ('TS-PILE'!$E$56:$E$75))+IF(SUMSQ('TS-PILE'!$D$56:$D$75)=0,0,'TO HOP NLAN'!F173*'TS-PILE'!$D$60/SUMSQ('TS-PILE'!$D$56:$D$75))),IF('TS-PILE'!$B$61="",-1E+99,'TO HOP NLAN'!D173/ncoc+IF(SUMSQ('TS-PILE'!$E$56:$E$75)=0,0,'TO HOP NLAN'!E173*'TS-PILE'!$E$61/SUMSQ('TS-PILE'!$E$56:$E$75))+IF(SUMSQ('TS-PILE'!$D$56:$D$75)=0,0,'TO HOP NLAN'!F173*'TS-PILE'!$D$61/SUMSQ('TS-PILE'!$D$56:$D$75))),IF('TS-PILE'!$B$62="",-1E+99,'TO HOP NLAN'!D173/ncoc+IF(SUMSQ('TS-PILE'!$E$56:$E$75)=0,0,'TO HOP NLAN'!E173*'TS-PILE'!$E$62/SUMSQ('TS-PILE'!$E$56:$E$75))+IF(SUMSQ('TS-PILE'!$D$56:$D$75)=0,0,'TO HOP NLAN'!F173*'TS-PILE'!$D$62/SUMSQ('TS-PILE'!$D$56:$D$75))),IF('TS-PILE'!$B$63="",-1E+99,'TO HOP NLAN'!D173/ncoc+IF(SUMSQ('TS-PILE'!$E$56:$E$75)=0,0,'TO HOP NLAN'!E173*'TS-PILE'!$E$63/SUMSQ('TS-PILE'!$E$56:$E$75))+IF(SUMSQ('TS-PILE'!$D$56:$D$75)=0,0,'TO HOP NLAN'!F173*'TS-PILE'!$D$63/SUMSQ('TS-PILE'!$D$56:$D$75))),IF('TS-PILE'!$B$64="",-1E+99,'TO HOP NLAN'!D173/ncoc+IF(SUMSQ('TS-PILE'!$E$56:$E$75)=0,0,'TO HOP NLAN'!E173*'TS-PILE'!$E$64/SUMSQ('TS-PILE'!$E$56:$E$75))+IF(SUMSQ('TS-PILE'!$D$56:$D$75)=0,0,'TO HOP NLAN'!F173*'TS-PILE'!$D$64/SUMSQ('TS-PILE'!$D$56:$D$75))),IF('TS-PILE'!$B$65="",-1E+99,'TO HOP NLAN'!D173/ncoc+IF(SUMSQ('TS-PILE'!$E$56:$E$75)=0,0,'TO HOP NLAN'!E173*'TS-PILE'!$E$65/SUMSQ('TS-PILE'!$E$56:$E$75))+IF(SUMSQ('TS-PILE'!$D$56:$D$75)=0,0,'TO HOP NLAN'!F173*'TS-PILE'!$D$65/SUMSQ('TS-PILE'!$D$56:$D$75))),IF('TS-PILE'!$B$66="",-1E+99,'TO HOP NLAN'!D173/ncoc+IF(SUMSQ('TS-PILE'!$E$56:$E$75)=0,0,'TO HOP NLAN'!E173*'TS-PILE'!$E$66/SUMSQ('TS-PILE'!$E$56:$E$75))+IF(SUMSQ('TS-PILE'!$D$56:$D$75)=0,0,'TO HOP NLAN'!F173*'TS-PILE'!$D$66/SUMSQ('TS-PILE'!$D$56:$D$75))),IF('TS-PILE'!$B$67="",-1E+99,'TO HOP NLAN'!D173/ncoc+IF(SUMSQ('TS-PILE'!$E$56:$E$75)=0,0,'TO HOP NLAN'!E173*'TS-PILE'!$E$67/SUMSQ('TS-PILE'!$E$56:$E$75))+IF(SUMSQ('TS-PILE'!$D$56:$D$75)=0,0,'TO HOP NLAN'!F173*'TS-PILE'!$D$67/SUMSQ('TS-PILE'!$D$56:$D$75))),IF('TS-PILE'!$B$68="",-1E+99,'TO HOP NLAN'!D173/ncoc+IF(SUMSQ('TS-PILE'!$E$56:$E$75)=0,0,'TO HOP NLAN'!E173*'TS-PILE'!$E$68/SUMSQ('TS-PILE'!$E$56:$E$75))+IF(SUMSQ('TS-PILE'!$D$56:$D$75)=0,0,'TO HOP NLAN'!F173*'TS-PILE'!$D$68/SUMSQ('TS-PILE'!$D$56:$D$75))),IF('TS-PILE'!$B$69="",-1E+99,'TO HOP NLAN'!D173/ncoc+IF(SUMSQ('TS-PILE'!$E$56:$E$75)=0,0,'TO HOP NLAN'!E173*'TS-PILE'!$E$69/SUMSQ('TS-PILE'!$E$56:$E$75))+IF(SUMSQ('TS-PILE'!$D$56:$D$75)=0,0,'TO HOP NLAN'!F173*'TS-PILE'!$D$69/SUMSQ('TS-PILE'!$D$56:$D$75))),IF('TS-PILE'!$B$70="",-1E+99,'TO HOP NLAN'!D173/ncoc+IF(SUMSQ('TS-PILE'!$E$56:$E$75)=0,0,'TO HOP NLAN'!E173*'TS-PILE'!$E$70/SUMSQ('TS-PILE'!$E$56:$E$75))+IF(SUMSQ('TS-PILE'!$D$56:$D$75)=0,0,'TO HOP NLAN'!F173*'TS-PILE'!$D$70/SUMSQ('TS-PILE'!$D$56:$D$75))),IF('TS-PILE'!$B$71="",-1E+99,'TO HOP NLAN'!D173/ncoc+IF(SUMSQ('TS-PILE'!$E$56:$E$75)=0,0,'TO HOP NLAN'!E173*'TS-PILE'!$E$71/SUMSQ('TS-PILE'!$E$56:$E$75))+IF(SUMSQ('TS-PILE'!$D$56:$D$75)=0,0,'TO HOP NLAN'!F173*'TS-PILE'!$D$71/SUMSQ('TS-PILE'!$D$56:$D$75))),IF('TS-PILE'!$B$72="",-1E+99,'TO HOP NLAN'!D173/ncoc+IF(SUMSQ('TS-PILE'!$E$56:$E$75)=0,0,'TO HOP NLAN'!E173*'TS-PILE'!$E$72/SUMSQ('TS-PILE'!$E$56:$E$75))+IF(SUMSQ('TS-PILE'!$D$56:$D$75)=0,0,'TO HOP NLAN'!F173*'TS-PILE'!$D$72/SUMSQ('TS-PILE'!$D$56:$D$75))),IF('TS-PILE'!$B$73="",-1E+99,'TO HOP NLAN'!D173/ncoc+IF(SUMSQ('TS-PILE'!$E$56:$E$75)=0,0,'TO HOP NLAN'!E173*'TS-PILE'!$E$73/SUMSQ('TS-PILE'!$E$56:$E$75))+IF(SUMSQ('TS-PILE'!$D$56:$D$75)=0,0,'TO HOP NLAN'!F173*'TS-PILE'!$D$73/SUMSQ('TS-PILE'!$D$56:$D$75))),IF('TS-PILE'!$B$74="",-1E+99,'TO HOP NLAN'!D173/ncoc+IF(SUMSQ('TS-PILE'!$E$56:$E$75)=0,0,'TO HOP NLAN'!E173*'TS-PILE'!$E$74/SUMSQ('TS-PILE'!$E$56:$E$75))+IF(SUMSQ('TS-PILE'!$D$56:$D$75)=0,0,'TO HOP NLAN'!F173*'TS-PILE'!$D$74/SUMSQ('TS-PILE'!$D$56:$D$75))),IF('TS-PILE'!$B$75="",-1E+99,'TO HOP NLAN'!D173/ncoc+IF(SUMSQ('TS-PILE'!$E$56:$E$75)=0,0,'TO HOP NLAN'!E173*'TS-PILE'!$E$75/SUMSQ('TS-PILE'!$E$56:$E$75))+IF(SUMSQ('TS-PILE'!$D$56:$D$75)=0,0,'TO HOP NLAN'!F173*'TS-PILE'!$D$75/SUMSQ('TS-PILE'!$D$56:$D$75)))))</f>
        <v>0</v>
      </c>
      <c r="D173" s="46">
        <f>IF(A173="",0,MIN(IF('TS-PILE'!$B$56="",1E+99,'TO HOP NLAN'!D173/ncoc+IF(SUMSQ('TS-PILE'!$E$56:$E$75)=0,0,'TO HOP NLAN'!E173*'TS-PILE'!$E$56/SUMSQ('TS-PILE'!$E$56:$E$75))+IF(SUMSQ('TS-PILE'!$D$56:$D$75)=0,0,'TO HOP NLAN'!F173*'TS-PILE'!$D$56/SUMSQ('TS-PILE'!$D$56:$D$75))),IF('TS-PILE'!$B$57="",1E+99,'TO HOP NLAN'!D173/ncoc+IF(SUMSQ('TS-PILE'!$E$56:$E$75)=0,0,'TO HOP NLAN'!E173*'TS-PILE'!$E$57/SUMSQ('TS-PILE'!$E$56:$E$75))+IF(SUMSQ('TS-PILE'!$D$56:$D$75)=0,0,'TO HOP NLAN'!F173*'TS-PILE'!$D$57/SUMSQ('TS-PILE'!$D$56:$D$75))),IF('TS-PILE'!$B$58="",1E+99,'TO HOP NLAN'!D173/ncoc+IF(SUMSQ('TS-PILE'!$E$56:$E$75)=0,0,'TO HOP NLAN'!E173*'TS-PILE'!$E$58/SUMSQ('TS-PILE'!$E$56:$E$75))+IF(SUMSQ('TS-PILE'!$D$56:$D$75)=0,0,'TO HOP NLAN'!F173*'TS-PILE'!$D$58/SUMSQ('TS-PILE'!$D$56:$D$75))),IF('TS-PILE'!$B$59="",1E+99,'TO HOP NLAN'!D173/ncoc+IF(SUMSQ('TS-PILE'!$E$56:$E$75)=0,0,'TO HOP NLAN'!E173*'TS-PILE'!$E$59/SUMSQ('TS-PILE'!$E$56:$E$75))+IF(SUMSQ('TS-PILE'!$D$56:$D$75)=0,0,'TO HOP NLAN'!F173*'TS-PILE'!$D$59/SUMSQ('TS-PILE'!$D$56:$D$75))),IF('TS-PILE'!$B$60="",1E+99,'TO HOP NLAN'!D173/ncoc+IF(SUMSQ('TS-PILE'!$E$56:$E$75)=0,0,'TO HOP NLAN'!E173*'TS-PILE'!$E$60/SUMSQ('TS-PILE'!$E$56:$E$75))+IF(SUMSQ('TS-PILE'!$D$56:$D$75)=0,0,'TO HOP NLAN'!F173*'TS-PILE'!$D$60/SUMSQ('TS-PILE'!$D$56:$D$75))),IF('TS-PILE'!$B$61="",1E+99,'TO HOP NLAN'!D173/ncoc+IF(SUMSQ('TS-PILE'!$E$56:$E$75)=0,0,'TO HOP NLAN'!E173*'TS-PILE'!$E$61/SUMSQ('TS-PILE'!$E$56:$E$75))+IF(SUMSQ('TS-PILE'!$D$56:$D$75)=0,0,'TO HOP NLAN'!F173*'TS-PILE'!$D$61/SUMSQ('TS-PILE'!$D$56:$D$75))),IF('TS-PILE'!$B$62="",1E+99,'TO HOP NLAN'!D173/ncoc+IF(SUMSQ('TS-PILE'!$E$56:$E$75)=0,0,'TO HOP NLAN'!E173*'TS-PILE'!$E$62/SUMSQ('TS-PILE'!$E$56:$E$75))+IF(SUMSQ('TS-PILE'!$D$56:$D$75)=0,0,'TO HOP NLAN'!F173*'TS-PILE'!$D$62/SUMSQ('TS-PILE'!$D$56:$D$75))),IF('TS-PILE'!$B$63="",1E+99,'TO HOP NLAN'!D173/ncoc+IF(SUMSQ('TS-PILE'!$E$56:$E$75)=0,0,'TO HOP NLAN'!E173*'TS-PILE'!$E$63/SUMSQ('TS-PILE'!$E$56:$E$75))+IF(SUMSQ('TS-PILE'!$D$56:$D$75)=0,0,'TO HOP NLAN'!F173*'TS-PILE'!$D$63/SUMSQ('TS-PILE'!$D$56:$D$75))),IF('TS-PILE'!$B$64="",1E+99,'TO HOP NLAN'!D173/ncoc+IF(SUMSQ('TS-PILE'!$E$56:$E$75)=0,0,'TO HOP NLAN'!E173*'TS-PILE'!$E$64/SUMSQ('TS-PILE'!$E$56:$E$75))+IF(SUMSQ('TS-PILE'!$D$56:$D$75)=0,0,'TO HOP NLAN'!F173*'TS-PILE'!$D$64/SUMSQ('TS-PILE'!$D$56:$D$75))),IF('TS-PILE'!$B$65="",1E+99,'TO HOP NLAN'!D173/ncoc+IF(SUMSQ('TS-PILE'!$E$56:$E$75)=0,0,'TO HOP NLAN'!E173*'TS-PILE'!$E$65/SUMSQ('TS-PILE'!$E$56:$E$75))+IF(SUMSQ('TS-PILE'!$D$56:$D$75)=0,0,'TO HOP NLAN'!F173*'TS-PILE'!$D$65/SUMSQ('TS-PILE'!$D$56:$D$75))),IF('TS-PILE'!$B$66="",1E+99,'TO HOP NLAN'!D173/ncoc+IF(SUMSQ('TS-PILE'!$E$56:$E$75)=0,0,'TO HOP NLAN'!E173*'TS-PILE'!$E$66/SUMSQ('TS-PILE'!$E$56:$E$75))+IF(SUMSQ('TS-PILE'!$D$56:$D$75)=0,0,'TO HOP NLAN'!F173*'TS-PILE'!$D$66/SUMSQ('TS-PILE'!$D$56:$D$75))),IF('TS-PILE'!$B$67="",1E+99,'TO HOP NLAN'!D173/ncoc+IF(SUMSQ('TS-PILE'!$E$56:$E$75)=0,0,'TO HOP NLAN'!E173*'TS-PILE'!$E$67/SUMSQ('TS-PILE'!$E$56:$E$75))+IF(SUMSQ('TS-PILE'!$D$56:$D$75)=0,0,'TO HOP NLAN'!F173*'TS-PILE'!$D$67/SUMSQ('TS-PILE'!$D$56:$D$75))),IF('TS-PILE'!$B$68="",1E+99,'TO HOP NLAN'!D173/ncoc+IF(SUMSQ('TS-PILE'!$E$56:$E$75)=0,0,'TO HOP NLAN'!E173*'TS-PILE'!$E$68/SUMSQ('TS-PILE'!$E$56:$E$75))+IF(SUMSQ('TS-PILE'!$D$56:$D$75)=0,0,'TO HOP NLAN'!F173*'TS-PILE'!$D$68/SUMSQ('TS-PILE'!$D$56:$D$75))),IF('TS-PILE'!$B$69="",1E+99,'TO HOP NLAN'!D173/ncoc+IF(SUMSQ('TS-PILE'!$E$56:$E$75)=0,0,'TO HOP NLAN'!E173*'TS-PILE'!$E$69/SUMSQ('TS-PILE'!$E$56:$E$75))+IF(SUMSQ('TS-PILE'!$D$56:$D$75)=0,0,'TO HOP NLAN'!F173*'TS-PILE'!$D$69/SUMSQ('TS-PILE'!$D$56:$D$75))),IF('TS-PILE'!$B$70="",1E+99,'TO HOP NLAN'!D173/ncoc+IF(SUMSQ('TS-PILE'!$E$56:$E$75)=0,0,'TO HOP NLAN'!E173*'TS-PILE'!$E$70/SUMSQ('TS-PILE'!$E$56:$E$75))+IF(SUMSQ('TS-PILE'!$D$56:$D$75)=0,0,'TO HOP NLAN'!F173*'TS-PILE'!$D$70/SUMSQ('TS-PILE'!$D$56:$D$75))),IF('TS-PILE'!$B$71="",1E+99,'TO HOP NLAN'!D173/ncoc+IF(SUMSQ('TS-PILE'!$E$56:$E$75)=0,0,'TO HOP NLAN'!E173*'TS-PILE'!$E$71/SUMSQ('TS-PILE'!$E$56:$E$75))+IF(SUMSQ('TS-PILE'!$D$56:$D$75)=0,0,'TO HOP NLAN'!F173*'TS-PILE'!$D$71/SUMSQ('TS-PILE'!$D$56:$D$75))),IF('TS-PILE'!$B$72="",1E+99,'TO HOP NLAN'!D173/ncoc+IF(SUMSQ('TS-PILE'!$E$56:$E$75)=0,0,'TO HOP NLAN'!E173*'TS-PILE'!$E$72/SUMSQ('TS-PILE'!$E$56:$E$75))+IF(SUMSQ('TS-PILE'!$D$56:$D$75)=0,0,'TO HOP NLAN'!F173*'TS-PILE'!$D$72/SUMSQ('TS-PILE'!$D$56:$D$75))),IF('TS-PILE'!$B$73="",1E+99,'TO HOP NLAN'!D173/ncoc+IF(SUMSQ('TS-PILE'!$E$56:$E$75)=0,0,'TO HOP NLAN'!E173*'TS-PILE'!$E$73/SUMSQ('TS-PILE'!$E$56:$E$75))+IF(SUMSQ('TS-PILE'!$D$56:$D$75)=0,0,'TO HOP NLAN'!F173*'TS-PILE'!$D$73/SUMSQ('TS-PILE'!$D$56:$D$75))),IF('TS-PILE'!$B$74="",1E+99,'TO HOP NLAN'!D173/ncoc+IF(SUMSQ('TS-PILE'!$E$56:$E$75)=0,0,'TO HOP NLAN'!E173*'TS-PILE'!$E$74/SUMSQ('TS-PILE'!$E$56:$E$75))+IF(SUMSQ('TS-PILE'!$D$56:$D$75)=0,0,'TO HOP NLAN'!F173*'TS-PILE'!$D$74/SUMSQ('TS-PILE'!$D$56:$D$75))),IF('TS-PILE'!$B$75="",1E+99,'TO HOP NLAN'!D173/ncoc+IF(SUMSQ('TS-PILE'!$E$56:$E$75)=0,0,'TO HOP NLAN'!E173*'TS-PILE'!$E$75/SUMSQ('TS-PILE'!$E$56:$E$75))+IF(SUMSQ('TS-PILE'!$D$56:$D$75)=0,0,'TO HOP NLAN'!F173*'TS-PILE'!$D$75/SUMSQ('TS-PILE'!$D$56:$D$75)))))</f>
        <v>0</v>
      </c>
      <c r="E173" s="46">
        <f t="shared" si="8"/>
        <v>-9.9999999999999997E+98</v>
      </c>
      <c r="F173" s="46">
        <f t="shared" si="9"/>
        <v>9.9999999999999997E+98</v>
      </c>
      <c r="G173" s="46">
        <f t="shared" si="10"/>
        <v>-9.9999999999999997E+98</v>
      </c>
      <c r="H173" s="46">
        <f t="shared" si="11"/>
        <v>9.9999999999999997E+98</v>
      </c>
    </row>
    <row r="174" spans="1:8" x14ac:dyDescent="0.3">
      <c r="A174" s="40" t="str">
        <f>'TO HOP NLAN'!A174</f>
        <v/>
      </c>
      <c r="B174" s="40" t="str">
        <f>'TO HOP NLAN'!L174</f>
        <v>STRENGTH</v>
      </c>
      <c r="C174" s="46">
        <f>IF(A174="",0,MAX(IF('TS-PILE'!$B$56="",-1E+99,'TO HOP NLAN'!D174/ncoc+IF(SUMSQ('TS-PILE'!$E$56:$E$75)=0,0,'TO HOP NLAN'!E174*'TS-PILE'!$E$56/SUMSQ('TS-PILE'!$E$56:$E$75))+IF(SUMSQ('TS-PILE'!$D$56:$D$75)=0,0,'TO HOP NLAN'!F174*'TS-PILE'!$D$56/SUMSQ('TS-PILE'!$D$56:$D$75))),IF('TS-PILE'!$B$57="",-1E+99,'TO HOP NLAN'!D174/ncoc+IF(SUMSQ('TS-PILE'!$E$56:$E$75)=0,0,'TO HOP NLAN'!E174*'TS-PILE'!$E$57/SUMSQ('TS-PILE'!$E$56:$E$75))+IF(SUMSQ('TS-PILE'!$D$56:$D$75)=0,0,'TO HOP NLAN'!F174*'TS-PILE'!$D$57/SUMSQ('TS-PILE'!$D$56:$D$75))),IF('TS-PILE'!$B$58="",-1E+99,'TO HOP NLAN'!D174/ncoc+IF(SUMSQ('TS-PILE'!$E$56:$E$75)=0,0,'TO HOP NLAN'!E174*'TS-PILE'!$E$58/SUMSQ('TS-PILE'!$E$56:$E$75))+IF(SUMSQ('TS-PILE'!$D$56:$D$75)=0,0,'TO HOP NLAN'!F174*'TS-PILE'!$D$58/SUMSQ('TS-PILE'!$D$56:$D$75))),IF('TS-PILE'!$B$59="",-1E+99,'TO HOP NLAN'!D174/ncoc+IF(SUMSQ('TS-PILE'!$E$56:$E$75)=0,0,'TO HOP NLAN'!E174*'TS-PILE'!$E$59/SUMSQ('TS-PILE'!$E$56:$E$75))+IF(SUMSQ('TS-PILE'!$D$56:$D$75)=0,0,'TO HOP NLAN'!F174*'TS-PILE'!$D$59/SUMSQ('TS-PILE'!$D$56:$D$75))),IF('TS-PILE'!$B$60="",-1E+99,'TO HOP NLAN'!D174/ncoc+IF(SUMSQ('TS-PILE'!$E$56:$E$75)=0,0,'TO HOP NLAN'!E174*'TS-PILE'!$E$60/SUMSQ('TS-PILE'!$E$56:$E$75))+IF(SUMSQ('TS-PILE'!$D$56:$D$75)=0,0,'TO HOP NLAN'!F174*'TS-PILE'!$D$60/SUMSQ('TS-PILE'!$D$56:$D$75))),IF('TS-PILE'!$B$61="",-1E+99,'TO HOP NLAN'!D174/ncoc+IF(SUMSQ('TS-PILE'!$E$56:$E$75)=0,0,'TO HOP NLAN'!E174*'TS-PILE'!$E$61/SUMSQ('TS-PILE'!$E$56:$E$75))+IF(SUMSQ('TS-PILE'!$D$56:$D$75)=0,0,'TO HOP NLAN'!F174*'TS-PILE'!$D$61/SUMSQ('TS-PILE'!$D$56:$D$75))),IF('TS-PILE'!$B$62="",-1E+99,'TO HOP NLAN'!D174/ncoc+IF(SUMSQ('TS-PILE'!$E$56:$E$75)=0,0,'TO HOP NLAN'!E174*'TS-PILE'!$E$62/SUMSQ('TS-PILE'!$E$56:$E$75))+IF(SUMSQ('TS-PILE'!$D$56:$D$75)=0,0,'TO HOP NLAN'!F174*'TS-PILE'!$D$62/SUMSQ('TS-PILE'!$D$56:$D$75))),IF('TS-PILE'!$B$63="",-1E+99,'TO HOP NLAN'!D174/ncoc+IF(SUMSQ('TS-PILE'!$E$56:$E$75)=0,0,'TO HOP NLAN'!E174*'TS-PILE'!$E$63/SUMSQ('TS-PILE'!$E$56:$E$75))+IF(SUMSQ('TS-PILE'!$D$56:$D$75)=0,0,'TO HOP NLAN'!F174*'TS-PILE'!$D$63/SUMSQ('TS-PILE'!$D$56:$D$75))),IF('TS-PILE'!$B$64="",-1E+99,'TO HOP NLAN'!D174/ncoc+IF(SUMSQ('TS-PILE'!$E$56:$E$75)=0,0,'TO HOP NLAN'!E174*'TS-PILE'!$E$64/SUMSQ('TS-PILE'!$E$56:$E$75))+IF(SUMSQ('TS-PILE'!$D$56:$D$75)=0,0,'TO HOP NLAN'!F174*'TS-PILE'!$D$64/SUMSQ('TS-PILE'!$D$56:$D$75))),IF('TS-PILE'!$B$65="",-1E+99,'TO HOP NLAN'!D174/ncoc+IF(SUMSQ('TS-PILE'!$E$56:$E$75)=0,0,'TO HOP NLAN'!E174*'TS-PILE'!$E$65/SUMSQ('TS-PILE'!$E$56:$E$75))+IF(SUMSQ('TS-PILE'!$D$56:$D$75)=0,0,'TO HOP NLAN'!F174*'TS-PILE'!$D$65/SUMSQ('TS-PILE'!$D$56:$D$75))),IF('TS-PILE'!$B$66="",-1E+99,'TO HOP NLAN'!D174/ncoc+IF(SUMSQ('TS-PILE'!$E$56:$E$75)=0,0,'TO HOP NLAN'!E174*'TS-PILE'!$E$66/SUMSQ('TS-PILE'!$E$56:$E$75))+IF(SUMSQ('TS-PILE'!$D$56:$D$75)=0,0,'TO HOP NLAN'!F174*'TS-PILE'!$D$66/SUMSQ('TS-PILE'!$D$56:$D$75))),IF('TS-PILE'!$B$67="",-1E+99,'TO HOP NLAN'!D174/ncoc+IF(SUMSQ('TS-PILE'!$E$56:$E$75)=0,0,'TO HOP NLAN'!E174*'TS-PILE'!$E$67/SUMSQ('TS-PILE'!$E$56:$E$75))+IF(SUMSQ('TS-PILE'!$D$56:$D$75)=0,0,'TO HOP NLAN'!F174*'TS-PILE'!$D$67/SUMSQ('TS-PILE'!$D$56:$D$75))),IF('TS-PILE'!$B$68="",-1E+99,'TO HOP NLAN'!D174/ncoc+IF(SUMSQ('TS-PILE'!$E$56:$E$75)=0,0,'TO HOP NLAN'!E174*'TS-PILE'!$E$68/SUMSQ('TS-PILE'!$E$56:$E$75))+IF(SUMSQ('TS-PILE'!$D$56:$D$75)=0,0,'TO HOP NLAN'!F174*'TS-PILE'!$D$68/SUMSQ('TS-PILE'!$D$56:$D$75))),IF('TS-PILE'!$B$69="",-1E+99,'TO HOP NLAN'!D174/ncoc+IF(SUMSQ('TS-PILE'!$E$56:$E$75)=0,0,'TO HOP NLAN'!E174*'TS-PILE'!$E$69/SUMSQ('TS-PILE'!$E$56:$E$75))+IF(SUMSQ('TS-PILE'!$D$56:$D$75)=0,0,'TO HOP NLAN'!F174*'TS-PILE'!$D$69/SUMSQ('TS-PILE'!$D$56:$D$75))),IF('TS-PILE'!$B$70="",-1E+99,'TO HOP NLAN'!D174/ncoc+IF(SUMSQ('TS-PILE'!$E$56:$E$75)=0,0,'TO HOP NLAN'!E174*'TS-PILE'!$E$70/SUMSQ('TS-PILE'!$E$56:$E$75))+IF(SUMSQ('TS-PILE'!$D$56:$D$75)=0,0,'TO HOP NLAN'!F174*'TS-PILE'!$D$70/SUMSQ('TS-PILE'!$D$56:$D$75))),IF('TS-PILE'!$B$71="",-1E+99,'TO HOP NLAN'!D174/ncoc+IF(SUMSQ('TS-PILE'!$E$56:$E$75)=0,0,'TO HOP NLAN'!E174*'TS-PILE'!$E$71/SUMSQ('TS-PILE'!$E$56:$E$75))+IF(SUMSQ('TS-PILE'!$D$56:$D$75)=0,0,'TO HOP NLAN'!F174*'TS-PILE'!$D$71/SUMSQ('TS-PILE'!$D$56:$D$75))),IF('TS-PILE'!$B$72="",-1E+99,'TO HOP NLAN'!D174/ncoc+IF(SUMSQ('TS-PILE'!$E$56:$E$75)=0,0,'TO HOP NLAN'!E174*'TS-PILE'!$E$72/SUMSQ('TS-PILE'!$E$56:$E$75))+IF(SUMSQ('TS-PILE'!$D$56:$D$75)=0,0,'TO HOP NLAN'!F174*'TS-PILE'!$D$72/SUMSQ('TS-PILE'!$D$56:$D$75))),IF('TS-PILE'!$B$73="",-1E+99,'TO HOP NLAN'!D174/ncoc+IF(SUMSQ('TS-PILE'!$E$56:$E$75)=0,0,'TO HOP NLAN'!E174*'TS-PILE'!$E$73/SUMSQ('TS-PILE'!$E$56:$E$75))+IF(SUMSQ('TS-PILE'!$D$56:$D$75)=0,0,'TO HOP NLAN'!F174*'TS-PILE'!$D$73/SUMSQ('TS-PILE'!$D$56:$D$75))),IF('TS-PILE'!$B$74="",-1E+99,'TO HOP NLAN'!D174/ncoc+IF(SUMSQ('TS-PILE'!$E$56:$E$75)=0,0,'TO HOP NLAN'!E174*'TS-PILE'!$E$74/SUMSQ('TS-PILE'!$E$56:$E$75))+IF(SUMSQ('TS-PILE'!$D$56:$D$75)=0,0,'TO HOP NLAN'!F174*'TS-PILE'!$D$74/SUMSQ('TS-PILE'!$D$56:$D$75))),IF('TS-PILE'!$B$75="",-1E+99,'TO HOP NLAN'!D174/ncoc+IF(SUMSQ('TS-PILE'!$E$56:$E$75)=0,0,'TO HOP NLAN'!E174*'TS-PILE'!$E$75/SUMSQ('TS-PILE'!$E$56:$E$75))+IF(SUMSQ('TS-PILE'!$D$56:$D$75)=0,0,'TO HOP NLAN'!F174*'TS-PILE'!$D$75/SUMSQ('TS-PILE'!$D$56:$D$75)))))</f>
        <v>0</v>
      </c>
      <c r="D174" s="46">
        <f>IF(A174="",0,MIN(IF('TS-PILE'!$B$56="",1E+99,'TO HOP NLAN'!D174/ncoc+IF(SUMSQ('TS-PILE'!$E$56:$E$75)=0,0,'TO HOP NLAN'!E174*'TS-PILE'!$E$56/SUMSQ('TS-PILE'!$E$56:$E$75))+IF(SUMSQ('TS-PILE'!$D$56:$D$75)=0,0,'TO HOP NLAN'!F174*'TS-PILE'!$D$56/SUMSQ('TS-PILE'!$D$56:$D$75))),IF('TS-PILE'!$B$57="",1E+99,'TO HOP NLAN'!D174/ncoc+IF(SUMSQ('TS-PILE'!$E$56:$E$75)=0,0,'TO HOP NLAN'!E174*'TS-PILE'!$E$57/SUMSQ('TS-PILE'!$E$56:$E$75))+IF(SUMSQ('TS-PILE'!$D$56:$D$75)=0,0,'TO HOP NLAN'!F174*'TS-PILE'!$D$57/SUMSQ('TS-PILE'!$D$56:$D$75))),IF('TS-PILE'!$B$58="",1E+99,'TO HOP NLAN'!D174/ncoc+IF(SUMSQ('TS-PILE'!$E$56:$E$75)=0,0,'TO HOP NLAN'!E174*'TS-PILE'!$E$58/SUMSQ('TS-PILE'!$E$56:$E$75))+IF(SUMSQ('TS-PILE'!$D$56:$D$75)=0,0,'TO HOP NLAN'!F174*'TS-PILE'!$D$58/SUMSQ('TS-PILE'!$D$56:$D$75))),IF('TS-PILE'!$B$59="",1E+99,'TO HOP NLAN'!D174/ncoc+IF(SUMSQ('TS-PILE'!$E$56:$E$75)=0,0,'TO HOP NLAN'!E174*'TS-PILE'!$E$59/SUMSQ('TS-PILE'!$E$56:$E$75))+IF(SUMSQ('TS-PILE'!$D$56:$D$75)=0,0,'TO HOP NLAN'!F174*'TS-PILE'!$D$59/SUMSQ('TS-PILE'!$D$56:$D$75))),IF('TS-PILE'!$B$60="",1E+99,'TO HOP NLAN'!D174/ncoc+IF(SUMSQ('TS-PILE'!$E$56:$E$75)=0,0,'TO HOP NLAN'!E174*'TS-PILE'!$E$60/SUMSQ('TS-PILE'!$E$56:$E$75))+IF(SUMSQ('TS-PILE'!$D$56:$D$75)=0,0,'TO HOP NLAN'!F174*'TS-PILE'!$D$60/SUMSQ('TS-PILE'!$D$56:$D$75))),IF('TS-PILE'!$B$61="",1E+99,'TO HOP NLAN'!D174/ncoc+IF(SUMSQ('TS-PILE'!$E$56:$E$75)=0,0,'TO HOP NLAN'!E174*'TS-PILE'!$E$61/SUMSQ('TS-PILE'!$E$56:$E$75))+IF(SUMSQ('TS-PILE'!$D$56:$D$75)=0,0,'TO HOP NLAN'!F174*'TS-PILE'!$D$61/SUMSQ('TS-PILE'!$D$56:$D$75))),IF('TS-PILE'!$B$62="",1E+99,'TO HOP NLAN'!D174/ncoc+IF(SUMSQ('TS-PILE'!$E$56:$E$75)=0,0,'TO HOP NLAN'!E174*'TS-PILE'!$E$62/SUMSQ('TS-PILE'!$E$56:$E$75))+IF(SUMSQ('TS-PILE'!$D$56:$D$75)=0,0,'TO HOP NLAN'!F174*'TS-PILE'!$D$62/SUMSQ('TS-PILE'!$D$56:$D$75))),IF('TS-PILE'!$B$63="",1E+99,'TO HOP NLAN'!D174/ncoc+IF(SUMSQ('TS-PILE'!$E$56:$E$75)=0,0,'TO HOP NLAN'!E174*'TS-PILE'!$E$63/SUMSQ('TS-PILE'!$E$56:$E$75))+IF(SUMSQ('TS-PILE'!$D$56:$D$75)=0,0,'TO HOP NLAN'!F174*'TS-PILE'!$D$63/SUMSQ('TS-PILE'!$D$56:$D$75))),IF('TS-PILE'!$B$64="",1E+99,'TO HOP NLAN'!D174/ncoc+IF(SUMSQ('TS-PILE'!$E$56:$E$75)=0,0,'TO HOP NLAN'!E174*'TS-PILE'!$E$64/SUMSQ('TS-PILE'!$E$56:$E$75))+IF(SUMSQ('TS-PILE'!$D$56:$D$75)=0,0,'TO HOP NLAN'!F174*'TS-PILE'!$D$64/SUMSQ('TS-PILE'!$D$56:$D$75))),IF('TS-PILE'!$B$65="",1E+99,'TO HOP NLAN'!D174/ncoc+IF(SUMSQ('TS-PILE'!$E$56:$E$75)=0,0,'TO HOP NLAN'!E174*'TS-PILE'!$E$65/SUMSQ('TS-PILE'!$E$56:$E$75))+IF(SUMSQ('TS-PILE'!$D$56:$D$75)=0,0,'TO HOP NLAN'!F174*'TS-PILE'!$D$65/SUMSQ('TS-PILE'!$D$56:$D$75))),IF('TS-PILE'!$B$66="",1E+99,'TO HOP NLAN'!D174/ncoc+IF(SUMSQ('TS-PILE'!$E$56:$E$75)=0,0,'TO HOP NLAN'!E174*'TS-PILE'!$E$66/SUMSQ('TS-PILE'!$E$56:$E$75))+IF(SUMSQ('TS-PILE'!$D$56:$D$75)=0,0,'TO HOP NLAN'!F174*'TS-PILE'!$D$66/SUMSQ('TS-PILE'!$D$56:$D$75))),IF('TS-PILE'!$B$67="",1E+99,'TO HOP NLAN'!D174/ncoc+IF(SUMSQ('TS-PILE'!$E$56:$E$75)=0,0,'TO HOP NLAN'!E174*'TS-PILE'!$E$67/SUMSQ('TS-PILE'!$E$56:$E$75))+IF(SUMSQ('TS-PILE'!$D$56:$D$75)=0,0,'TO HOP NLAN'!F174*'TS-PILE'!$D$67/SUMSQ('TS-PILE'!$D$56:$D$75))),IF('TS-PILE'!$B$68="",1E+99,'TO HOP NLAN'!D174/ncoc+IF(SUMSQ('TS-PILE'!$E$56:$E$75)=0,0,'TO HOP NLAN'!E174*'TS-PILE'!$E$68/SUMSQ('TS-PILE'!$E$56:$E$75))+IF(SUMSQ('TS-PILE'!$D$56:$D$75)=0,0,'TO HOP NLAN'!F174*'TS-PILE'!$D$68/SUMSQ('TS-PILE'!$D$56:$D$75))),IF('TS-PILE'!$B$69="",1E+99,'TO HOP NLAN'!D174/ncoc+IF(SUMSQ('TS-PILE'!$E$56:$E$75)=0,0,'TO HOP NLAN'!E174*'TS-PILE'!$E$69/SUMSQ('TS-PILE'!$E$56:$E$75))+IF(SUMSQ('TS-PILE'!$D$56:$D$75)=0,0,'TO HOP NLAN'!F174*'TS-PILE'!$D$69/SUMSQ('TS-PILE'!$D$56:$D$75))),IF('TS-PILE'!$B$70="",1E+99,'TO HOP NLAN'!D174/ncoc+IF(SUMSQ('TS-PILE'!$E$56:$E$75)=0,0,'TO HOP NLAN'!E174*'TS-PILE'!$E$70/SUMSQ('TS-PILE'!$E$56:$E$75))+IF(SUMSQ('TS-PILE'!$D$56:$D$75)=0,0,'TO HOP NLAN'!F174*'TS-PILE'!$D$70/SUMSQ('TS-PILE'!$D$56:$D$75))),IF('TS-PILE'!$B$71="",1E+99,'TO HOP NLAN'!D174/ncoc+IF(SUMSQ('TS-PILE'!$E$56:$E$75)=0,0,'TO HOP NLAN'!E174*'TS-PILE'!$E$71/SUMSQ('TS-PILE'!$E$56:$E$75))+IF(SUMSQ('TS-PILE'!$D$56:$D$75)=0,0,'TO HOP NLAN'!F174*'TS-PILE'!$D$71/SUMSQ('TS-PILE'!$D$56:$D$75))),IF('TS-PILE'!$B$72="",1E+99,'TO HOP NLAN'!D174/ncoc+IF(SUMSQ('TS-PILE'!$E$56:$E$75)=0,0,'TO HOP NLAN'!E174*'TS-PILE'!$E$72/SUMSQ('TS-PILE'!$E$56:$E$75))+IF(SUMSQ('TS-PILE'!$D$56:$D$75)=0,0,'TO HOP NLAN'!F174*'TS-PILE'!$D$72/SUMSQ('TS-PILE'!$D$56:$D$75))),IF('TS-PILE'!$B$73="",1E+99,'TO HOP NLAN'!D174/ncoc+IF(SUMSQ('TS-PILE'!$E$56:$E$75)=0,0,'TO HOP NLAN'!E174*'TS-PILE'!$E$73/SUMSQ('TS-PILE'!$E$56:$E$75))+IF(SUMSQ('TS-PILE'!$D$56:$D$75)=0,0,'TO HOP NLAN'!F174*'TS-PILE'!$D$73/SUMSQ('TS-PILE'!$D$56:$D$75))),IF('TS-PILE'!$B$74="",1E+99,'TO HOP NLAN'!D174/ncoc+IF(SUMSQ('TS-PILE'!$E$56:$E$75)=0,0,'TO HOP NLAN'!E174*'TS-PILE'!$E$74/SUMSQ('TS-PILE'!$E$56:$E$75))+IF(SUMSQ('TS-PILE'!$D$56:$D$75)=0,0,'TO HOP NLAN'!F174*'TS-PILE'!$D$74/SUMSQ('TS-PILE'!$D$56:$D$75))),IF('TS-PILE'!$B$75="",1E+99,'TO HOP NLAN'!D174/ncoc+IF(SUMSQ('TS-PILE'!$E$56:$E$75)=0,0,'TO HOP NLAN'!E174*'TS-PILE'!$E$75/SUMSQ('TS-PILE'!$E$56:$E$75))+IF(SUMSQ('TS-PILE'!$D$56:$D$75)=0,0,'TO HOP NLAN'!F174*'TS-PILE'!$D$75/SUMSQ('TS-PILE'!$D$56:$D$75)))))</f>
        <v>0</v>
      </c>
      <c r="E174" s="46">
        <f t="shared" si="8"/>
        <v>-9.9999999999999997E+98</v>
      </c>
      <c r="F174" s="46">
        <f t="shared" si="9"/>
        <v>9.9999999999999997E+98</v>
      </c>
      <c r="G174" s="46">
        <f t="shared" si="10"/>
        <v>-9.9999999999999997E+98</v>
      </c>
      <c r="H174" s="46">
        <f t="shared" si="11"/>
        <v>9.9999999999999997E+98</v>
      </c>
    </row>
    <row r="175" spans="1:8" x14ac:dyDescent="0.3">
      <c r="A175" s="40" t="str">
        <f>'TO HOP NLAN'!A175</f>
        <v/>
      </c>
      <c r="B175" s="40" t="str">
        <f>'TO HOP NLAN'!L175</f>
        <v>STRENGTH</v>
      </c>
      <c r="C175" s="46">
        <f>IF(A175="",0,MAX(IF('TS-PILE'!$B$56="",-1E+99,'TO HOP NLAN'!D175/ncoc+IF(SUMSQ('TS-PILE'!$E$56:$E$75)=0,0,'TO HOP NLAN'!E175*'TS-PILE'!$E$56/SUMSQ('TS-PILE'!$E$56:$E$75))+IF(SUMSQ('TS-PILE'!$D$56:$D$75)=0,0,'TO HOP NLAN'!F175*'TS-PILE'!$D$56/SUMSQ('TS-PILE'!$D$56:$D$75))),IF('TS-PILE'!$B$57="",-1E+99,'TO HOP NLAN'!D175/ncoc+IF(SUMSQ('TS-PILE'!$E$56:$E$75)=0,0,'TO HOP NLAN'!E175*'TS-PILE'!$E$57/SUMSQ('TS-PILE'!$E$56:$E$75))+IF(SUMSQ('TS-PILE'!$D$56:$D$75)=0,0,'TO HOP NLAN'!F175*'TS-PILE'!$D$57/SUMSQ('TS-PILE'!$D$56:$D$75))),IF('TS-PILE'!$B$58="",-1E+99,'TO HOP NLAN'!D175/ncoc+IF(SUMSQ('TS-PILE'!$E$56:$E$75)=0,0,'TO HOP NLAN'!E175*'TS-PILE'!$E$58/SUMSQ('TS-PILE'!$E$56:$E$75))+IF(SUMSQ('TS-PILE'!$D$56:$D$75)=0,0,'TO HOP NLAN'!F175*'TS-PILE'!$D$58/SUMSQ('TS-PILE'!$D$56:$D$75))),IF('TS-PILE'!$B$59="",-1E+99,'TO HOP NLAN'!D175/ncoc+IF(SUMSQ('TS-PILE'!$E$56:$E$75)=0,0,'TO HOP NLAN'!E175*'TS-PILE'!$E$59/SUMSQ('TS-PILE'!$E$56:$E$75))+IF(SUMSQ('TS-PILE'!$D$56:$D$75)=0,0,'TO HOP NLAN'!F175*'TS-PILE'!$D$59/SUMSQ('TS-PILE'!$D$56:$D$75))),IF('TS-PILE'!$B$60="",-1E+99,'TO HOP NLAN'!D175/ncoc+IF(SUMSQ('TS-PILE'!$E$56:$E$75)=0,0,'TO HOP NLAN'!E175*'TS-PILE'!$E$60/SUMSQ('TS-PILE'!$E$56:$E$75))+IF(SUMSQ('TS-PILE'!$D$56:$D$75)=0,0,'TO HOP NLAN'!F175*'TS-PILE'!$D$60/SUMSQ('TS-PILE'!$D$56:$D$75))),IF('TS-PILE'!$B$61="",-1E+99,'TO HOP NLAN'!D175/ncoc+IF(SUMSQ('TS-PILE'!$E$56:$E$75)=0,0,'TO HOP NLAN'!E175*'TS-PILE'!$E$61/SUMSQ('TS-PILE'!$E$56:$E$75))+IF(SUMSQ('TS-PILE'!$D$56:$D$75)=0,0,'TO HOP NLAN'!F175*'TS-PILE'!$D$61/SUMSQ('TS-PILE'!$D$56:$D$75))),IF('TS-PILE'!$B$62="",-1E+99,'TO HOP NLAN'!D175/ncoc+IF(SUMSQ('TS-PILE'!$E$56:$E$75)=0,0,'TO HOP NLAN'!E175*'TS-PILE'!$E$62/SUMSQ('TS-PILE'!$E$56:$E$75))+IF(SUMSQ('TS-PILE'!$D$56:$D$75)=0,0,'TO HOP NLAN'!F175*'TS-PILE'!$D$62/SUMSQ('TS-PILE'!$D$56:$D$75))),IF('TS-PILE'!$B$63="",-1E+99,'TO HOP NLAN'!D175/ncoc+IF(SUMSQ('TS-PILE'!$E$56:$E$75)=0,0,'TO HOP NLAN'!E175*'TS-PILE'!$E$63/SUMSQ('TS-PILE'!$E$56:$E$75))+IF(SUMSQ('TS-PILE'!$D$56:$D$75)=0,0,'TO HOP NLAN'!F175*'TS-PILE'!$D$63/SUMSQ('TS-PILE'!$D$56:$D$75))),IF('TS-PILE'!$B$64="",-1E+99,'TO HOP NLAN'!D175/ncoc+IF(SUMSQ('TS-PILE'!$E$56:$E$75)=0,0,'TO HOP NLAN'!E175*'TS-PILE'!$E$64/SUMSQ('TS-PILE'!$E$56:$E$75))+IF(SUMSQ('TS-PILE'!$D$56:$D$75)=0,0,'TO HOP NLAN'!F175*'TS-PILE'!$D$64/SUMSQ('TS-PILE'!$D$56:$D$75))),IF('TS-PILE'!$B$65="",-1E+99,'TO HOP NLAN'!D175/ncoc+IF(SUMSQ('TS-PILE'!$E$56:$E$75)=0,0,'TO HOP NLAN'!E175*'TS-PILE'!$E$65/SUMSQ('TS-PILE'!$E$56:$E$75))+IF(SUMSQ('TS-PILE'!$D$56:$D$75)=0,0,'TO HOP NLAN'!F175*'TS-PILE'!$D$65/SUMSQ('TS-PILE'!$D$56:$D$75))),IF('TS-PILE'!$B$66="",-1E+99,'TO HOP NLAN'!D175/ncoc+IF(SUMSQ('TS-PILE'!$E$56:$E$75)=0,0,'TO HOP NLAN'!E175*'TS-PILE'!$E$66/SUMSQ('TS-PILE'!$E$56:$E$75))+IF(SUMSQ('TS-PILE'!$D$56:$D$75)=0,0,'TO HOP NLAN'!F175*'TS-PILE'!$D$66/SUMSQ('TS-PILE'!$D$56:$D$75))),IF('TS-PILE'!$B$67="",-1E+99,'TO HOP NLAN'!D175/ncoc+IF(SUMSQ('TS-PILE'!$E$56:$E$75)=0,0,'TO HOP NLAN'!E175*'TS-PILE'!$E$67/SUMSQ('TS-PILE'!$E$56:$E$75))+IF(SUMSQ('TS-PILE'!$D$56:$D$75)=0,0,'TO HOP NLAN'!F175*'TS-PILE'!$D$67/SUMSQ('TS-PILE'!$D$56:$D$75))),IF('TS-PILE'!$B$68="",-1E+99,'TO HOP NLAN'!D175/ncoc+IF(SUMSQ('TS-PILE'!$E$56:$E$75)=0,0,'TO HOP NLAN'!E175*'TS-PILE'!$E$68/SUMSQ('TS-PILE'!$E$56:$E$75))+IF(SUMSQ('TS-PILE'!$D$56:$D$75)=0,0,'TO HOP NLAN'!F175*'TS-PILE'!$D$68/SUMSQ('TS-PILE'!$D$56:$D$75))),IF('TS-PILE'!$B$69="",-1E+99,'TO HOP NLAN'!D175/ncoc+IF(SUMSQ('TS-PILE'!$E$56:$E$75)=0,0,'TO HOP NLAN'!E175*'TS-PILE'!$E$69/SUMSQ('TS-PILE'!$E$56:$E$75))+IF(SUMSQ('TS-PILE'!$D$56:$D$75)=0,0,'TO HOP NLAN'!F175*'TS-PILE'!$D$69/SUMSQ('TS-PILE'!$D$56:$D$75))),IF('TS-PILE'!$B$70="",-1E+99,'TO HOP NLAN'!D175/ncoc+IF(SUMSQ('TS-PILE'!$E$56:$E$75)=0,0,'TO HOP NLAN'!E175*'TS-PILE'!$E$70/SUMSQ('TS-PILE'!$E$56:$E$75))+IF(SUMSQ('TS-PILE'!$D$56:$D$75)=0,0,'TO HOP NLAN'!F175*'TS-PILE'!$D$70/SUMSQ('TS-PILE'!$D$56:$D$75))),IF('TS-PILE'!$B$71="",-1E+99,'TO HOP NLAN'!D175/ncoc+IF(SUMSQ('TS-PILE'!$E$56:$E$75)=0,0,'TO HOP NLAN'!E175*'TS-PILE'!$E$71/SUMSQ('TS-PILE'!$E$56:$E$75))+IF(SUMSQ('TS-PILE'!$D$56:$D$75)=0,0,'TO HOP NLAN'!F175*'TS-PILE'!$D$71/SUMSQ('TS-PILE'!$D$56:$D$75))),IF('TS-PILE'!$B$72="",-1E+99,'TO HOP NLAN'!D175/ncoc+IF(SUMSQ('TS-PILE'!$E$56:$E$75)=0,0,'TO HOP NLAN'!E175*'TS-PILE'!$E$72/SUMSQ('TS-PILE'!$E$56:$E$75))+IF(SUMSQ('TS-PILE'!$D$56:$D$75)=0,0,'TO HOP NLAN'!F175*'TS-PILE'!$D$72/SUMSQ('TS-PILE'!$D$56:$D$75))),IF('TS-PILE'!$B$73="",-1E+99,'TO HOP NLAN'!D175/ncoc+IF(SUMSQ('TS-PILE'!$E$56:$E$75)=0,0,'TO HOP NLAN'!E175*'TS-PILE'!$E$73/SUMSQ('TS-PILE'!$E$56:$E$75))+IF(SUMSQ('TS-PILE'!$D$56:$D$75)=0,0,'TO HOP NLAN'!F175*'TS-PILE'!$D$73/SUMSQ('TS-PILE'!$D$56:$D$75))),IF('TS-PILE'!$B$74="",-1E+99,'TO HOP NLAN'!D175/ncoc+IF(SUMSQ('TS-PILE'!$E$56:$E$75)=0,0,'TO HOP NLAN'!E175*'TS-PILE'!$E$74/SUMSQ('TS-PILE'!$E$56:$E$75))+IF(SUMSQ('TS-PILE'!$D$56:$D$75)=0,0,'TO HOP NLAN'!F175*'TS-PILE'!$D$74/SUMSQ('TS-PILE'!$D$56:$D$75))),IF('TS-PILE'!$B$75="",-1E+99,'TO HOP NLAN'!D175/ncoc+IF(SUMSQ('TS-PILE'!$E$56:$E$75)=0,0,'TO HOP NLAN'!E175*'TS-PILE'!$E$75/SUMSQ('TS-PILE'!$E$56:$E$75))+IF(SUMSQ('TS-PILE'!$D$56:$D$75)=0,0,'TO HOP NLAN'!F175*'TS-PILE'!$D$75/SUMSQ('TS-PILE'!$D$56:$D$75)))))</f>
        <v>0</v>
      </c>
      <c r="D175" s="46">
        <f>IF(A175="",0,MIN(IF('TS-PILE'!$B$56="",1E+99,'TO HOP NLAN'!D175/ncoc+IF(SUMSQ('TS-PILE'!$E$56:$E$75)=0,0,'TO HOP NLAN'!E175*'TS-PILE'!$E$56/SUMSQ('TS-PILE'!$E$56:$E$75))+IF(SUMSQ('TS-PILE'!$D$56:$D$75)=0,0,'TO HOP NLAN'!F175*'TS-PILE'!$D$56/SUMSQ('TS-PILE'!$D$56:$D$75))),IF('TS-PILE'!$B$57="",1E+99,'TO HOP NLAN'!D175/ncoc+IF(SUMSQ('TS-PILE'!$E$56:$E$75)=0,0,'TO HOP NLAN'!E175*'TS-PILE'!$E$57/SUMSQ('TS-PILE'!$E$56:$E$75))+IF(SUMSQ('TS-PILE'!$D$56:$D$75)=0,0,'TO HOP NLAN'!F175*'TS-PILE'!$D$57/SUMSQ('TS-PILE'!$D$56:$D$75))),IF('TS-PILE'!$B$58="",1E+99,'TO HOP NLAN'!D175/ncoc+IF(SUMSQ('TS-PILE'!$E$56:$E$75)=0,0,'TO HOP NLAN'!E175*'TS-PILE'!$E$58/SUMSQ('TS-PILE'!$E$56:$E$75))+IF(SUMSQ('TS-PILE'!$D$56:$D$75)=0,0,'TO HOP NLAN'!F175*'TS-PILE'!$D$58/SUMSQ('TS-PILE'!$D$56:$D$75))),IF('TS-PILE'!$B$59="",1E+99,'TO HOP NLAN'!D175/ncoc+IF(SUMSQ('TS-PILE'!$E$56:$E$75)=0,0,'TO HOP NLAN'!E175*'TS-PILE'!$E$59/SUMSQ('TS-PILE'!$E$56:$E$75))+IF(SUMSQ('TS-PILE'!$D$56:$D$75)=0,0,'TO HOP NLAN'!F175*'TS-PILE'!$D$59/SUMSQ('TS-PILE'!$D$56:$D$75))),IF('TS-PILE'!$B$60="",1E+99,'TO HOP NLAN'!D175/ncoc+IF(SUMSQ('TS-PILE'!$E$56:$E$75)=0,0,'TO HOP NLAN'!E175*'TS-PILE'!$E$60/SUMSQ('TS-PILE'!$E$56:$E$75))+IF(SUMSQ('TS-PILE'!$D$56:$D$75)=0,0,'TO HOP NLAN'!F175*'TS-PILE'!$D$60/SUMSQ('TS-PILE'!$D$56:$D$75))),IF('TS-PILE'!$B$61="",1E+99,'TO HOP NLAN'!D175/ncoc+IF(SUMSQ('TS-PILE'!$E$56:$E$75)=0,0,'TO HOP NLAN'!E175*'TS-PILE'!$E$61/SUMSQ('TS-PILE'!$E$56:$E$75))+IF(SUMSQ('TS-PILE'!$D$56:$D$75)=0,0,'TO HOP NLAN'!F175*'TS-PILE'!$D$61/SUMSQ('TS-PILE'!$D$56:$D$75))),IF('TS-PILE'!$B$62="",1E+99,'TO HOP NLAN'!D175/ncoc+IF(SUMSQ('TS-PILE'!$E$56:$E$75)=0,0,'TO HOP NLAN'!E175*'TS-PILE'!$E$62/SUMSQ('TS-PILE'!$E$56:$E$75))+IF(SUMSQ('TS-PILE'!$D$56:$D$75)=0,0,'TO HOP NLAN'!F175*'TS-PILE'!$D$62/SUMSQ('TS-PILE'!$D$56:$D$75))),IF('TS-PILE'!$B$63="",1E+99,'TO HOP NLAN'!D175/ncoc+IF(SUMSQ('TS-PILE'!$E$56:$E$75)=0,0,'TO HOP NLAN'!E175*'TS-PILE'!$E$63/SUMSQ('TS-PILE'!$E$56:$E$75))+IF(SUMSQ('TS-PILE'!$D$56:$D$75)=0,0,'TO HOP NLAN'!F175*'TS-PILE'!$D$63/SUMSQ('TS-PILE'!$D$56:$D$75))),IF('TS-PILE'!$B$64="",1E+99,'TO HOP NLAN'!D175/ncoc+IF(SUMSQ('TS-PILE'!$E$56:$E$75)=0,0,'TO HOP NLAN'!E175*'TS-PILE'!$E$64/SUMSQ('TS-PILE'!$E$56:$E$75))+IF(SUMSQ('TS-PILE'!$D$56:$D$75)=0,0,'TO HOP NLAN'!F175*'TS-PILE'!$D$64/SUMSQ('TS-PILE'!$D$56:$D$75))),IF('TS-PILE'!$B$65="",1E+99,'TO HOP NLAN'!D175/ncoc+IF(SUMSQ('TS-PILE'!$E$56:$E$75)=0,0,'TO HOP NLAN'!E175*'TS-PILE'!$E$65/SUMSQ('TS-PILE'!$E$56:$E$75))+IF(SUMSQ('TS-PILE'!$D$56:$D$75)=0,0,'TO HOP NLAN'!F175*'TS-PILE'!$D$65/SUMSQ('TS-PILE'!$D$56:$D$75))),IF('TS-PILE'!$B$66="",1E+99,'TO HOP NLAN'!D175/ncoc+IF(SUMSQ('TS-PILE'!$E$56:$E$75)=0,0,'TO HOP NLAN'!E175*'TS-PILE'!$E$66/SUMSQ('TS-PILE'!$E$56:$E$75))+IF(SUMSQ('TS-PILE'!$D$56:$D$75)=0,0,'TO HOP NLAN'!F175*'TS-PILE'!$D$66/SUMSQ('TS-PILE'!$D$56:$D$75))),IF('TS-PILE'!$B$67="",1E+99,'TO HOP NLAN'!D175/ncoc+IF(SUMSQ('TS-PILE'!$E$56:$E$75)=0,0,'TO HOP NLAN'!E175*'TS-PILE'!$E$67/SUMSQ('TS-PILE'!$E$56:$E$75))+IF(SUMSQ('TS-PILE'!$D$56:$D$75)=0,0,'TO HOP NLAN'!F175*'TS-PILE'!$D$67/SUMSQ('TS-PILE'!$D$56:$D$75))),IF('TS-PILE'!$B$68="",1E+99,'TO HOP NLAN'!D175/ncoc+IF(SUMSQ('TS-PILE'!$E$56:$E$75)=0,0,'TO HOP NLAN'!E175*'TS-PILE'!$E$68/SUMSQ('TS-PILE'!$E$56:$E$75))+IF(SUMSQ('TS-PILE'!$D$56:$D$75)=0,0,'TO HOP NLAN'!F175*'TS-PILE'!$D$68/SUMSQ('TS-PILE'!$D$56:$D$75))),IF('TS-PILE'!$B$69="",1E+99,'TO HOP NLAN'!D175/ncoc+IF(SUMSQ('TS-PILE'!$E$56:$E$75)=0,0,'TO HOP NLAN'!E175*'TS-PILE'!$E$69/SUMSQ('TS-PILE'!$E$56:$E$75))+IF(SUMSQ('TS-PILE'!$D$56:$D$75)=0,0,'TO HOP NLAN'!F175*'TS-PILE'!$D$69/SUMSQ('TS-PILE'!$D$56:$D$75))),IF('TS-PILE'!$B$70="",1E+99,'TO HOP NLAN'!D175/ncoc+IF(SUMSQ('TS-PILE'!$E$56:$E$75)=0,0,'TO HOP NLAN'!E175*'TS-PILE'!$E$70/SUMSQ('TS-PILE'!$E$56:$E$75))+IF(SUMSQ('TS-PILE'!$D$56:$D$75)=0,0,'TO HOP NLAN'!F175*'TS-PILE'!$D$70/SUMSQ('TS-PILE'!$D$56:$D$75))),IF('TS-PILE'!$B$71="",1E+99,'TO HOP NLAN'!D175/ncoc+IF(SUMSQ('TS-PILE'!$E$56:$E$75)=0,0,'TO HOP NLAN'!E175*'TS-PILE'!$E$71/SUMSQ('TS-PILE'!$E$56:$E$75))+IF(SUMSQ('TS-PILE'!$D$56:$D$75)=0,0,'TO HOP NLAN'!F175*'TS-PILE'!$D$71/SUMSQ('TS-PILE'!$D$56:$D$75))),IF('TS-PILE'!$B$72="",1E+99,'TO HOP NLAN'!D175/ncoc+IF(SUMSQ('TS-PILE'!$E$56:$E$75)=0,0,'TO HOP NLAN'!E175*'TS-PILE'!$E$72/SUMSQ('TS-PILE'!$E$56:$E$75))+IF(SUMSQ('TS-PILE'!$D$56:$D$75)=0,0,'TO HOP NLAN'!F175*'TS-PILE'!$D$72/SUMSQ('TS-PILE'!$D$56:$D$75))),IF('TS-PILE'!$B$73="",1E+99,'TO HOP NLAN'!D175/ncoc+IF(SUMSQ('TS-PILE'!$E$56:$E$75)=0,0,'TO HOP NLAN'!E175*'TS-PILE'!$E$73/SUMSQ('TS-PILE'!$E$56:$E$75))+IF(SUMSQ('TS-PILE'!$D$56:$D$75)=0,0,'TO HOP NLAN'!F175*'TS-PILE'!$D$73/SUMSQ('TS-PILE'!$D$56:$D$75))),IF('TS-PILE'!$B$74="",1E+99,'TO HOP NLAN'!D175/ncoc+IF(SUMSQ('TS-PILE'!$E$56:$E$75)=0,0,'TO HOP NLAN'!E175*'TS-PILE'!$E$74/SUMSQ('TS-PILE'!$E$56:$E$75))+IF(SUMSQ('TS-PILE'!$D$56:$D$75)=0,0,'TO HOP NLAN'!F175*'TS-PILE'!$D$74/SUMSQ('TS-PILE'!$D$56:$D$75))),IF('TS-PILE'!$B$75="",1E+99,'TO HOP NLAN'!D175/ncoc+IF(SUMSQ('TS-PILE'!$E$56:$E$75)=0,0,'TO HOP NLAN'!E175*'TS-PILE'!$E$75/SUMSQ('TS-PILE'!$E$56:$E$75))+IF(SUMSQ('TS-PILE'!$D$56:$D$75)=0,0,'TO HOP NLAN'!F175*'TS-PILE'!$D$75/SUMSQ('TS-PILE'!$D$56:$D$75)))))</f>
        <v>0</v>
      </c>
      <c r="E175" s="46">
        <f t="shared" si="8"/>
        <v>-9.9999999999999997E+98</v>
      </c>
      <c r="F175" s="46">
        <f t="shared" si="9"/>
        <v>9.9999999999999997E+98</v>
      </c>
      <c r="G175" s="46">
        <f t="shared" si="10"/>
        <v>-9.9999999999999997E+98</v>
      </c>
      <c r="H175" s="46">
        <f t="shared" si="11"/>
        <v>9.9999999999999997E+98</v>
      </c>
    </row>
    <row r="176" spans="1:8" x14ac:dyDescent="0.3">
      <c r="A176" s="40" t="str">
        <f>'TO HOP NLAN'!A176</f>
        <v/>
      </c>
      <c r="B176" s="40" t="str">
        <f>'TO HOP NLAN'!L176</f>
        <v>STRENGTH</v>
      </c>
      <c r="C176" s="46">
        <f>IF(A176="",0,MAX(IF('TS-PILE'!$B$56="",-1E+99,'TO HOP NLAN'!D176/ncoc+IF(SUMSQ('TS-PILE'!$E$56:$E$75)=0,0,'TO HOP NLAN'!E176*'TS-PILE'!$E$56/SUMSQ('TS-PILE'!$E$56:$E$75))+IF(SUMSQ('TS-PILE'!$D$56:$D$75)=0,0,'TO HOP NLAN'!F176*'TS-PILE'!$D$56/SUMSQ('TS-PILE'!$D$56:$D$75))),IF('TS-PILE'!$B$57="",-1E+99,'TO HOP NLAN'!D176/ncoc+IF(SUMSQ('TS-PILE'!$E$56:$E$75)=0,0,'TO HOP NLAN'!E176*'TS-PILE'!$E$57/SUMSQ('TS-PILE'!$E$56:$E$75))+IF(SUMSQ('TS-PILE'!$D$56:$D$75)=0,0,'TO HOP NLAN'!F176*'TS-PILE'!$D$57/SUMSQ('TS-PILE'!$D$56:$D$75))),IF('TS-PILE'!$B$58="",-1E+99,'TO HOP NLAN'!D176/ncoc+IF(SUMSQ('TS-PILE'!$E$56:$E$75)=0,0,'TO HOP NLAN'!E176*'TS-PILE'!$E$58/SUMSQ('TS-PILE'!$E$56:$E$75))+IF(SUMSQ('TS-PILE'!$D$56:$D$75)=0,0,'TO HOP NLAN'!F176*'TS-PILE'!$D$58/SUMSQ('TS-PILE'!$D$56:$D$75))),IF('TS-PILE'!$B$59="",-1E+99,'TO HOP NLAN'!D176/ncoc+IF(SUMSQ('TS-PILE'!$E$56:$E$75)=0,0,'TO HOP NLAN'!E176*'TS-PILE'!$E$59/SUMSQ('TS-PILE'!$E$56:$E$75))+IF(SUMSQ('TS-PILE'!$D$56:$D$75)=0,0,'TO HOP NLAN'!F176*'TS-PILE'!$D$59/SUMSQ('TS-PILE'!$D$56:$D$75))),IF('TS-PILE'!$B$60="",-1E+99,'TO HOP NLAN'!D176/ncoc+IF(SUMSQ('TS-PILE'!$E$56:$E$75)=0,0,'TO HOP NLAN'!E176*'TS-PILE'!$E$60/SUMSQ('TS-PILE'!$E$56:$E$75))+IF(SUMSQ('TS-PILE'!$D$56:$D$75)=0,0,'TO HOP NLAN'!F176*'TS-PILE'!$D$60/SUMSQ('TS-PILE'!$D$56:$D$75))),IF('TS-PILE'!$B$61="",-1E+99,'TO HOP NLAN'!D176/ncoc+IF(SUMSQ('TS-PILE'!$E$56:$E$75)=0,0,'TO HOP NLAN'!E176*'TS-PILE'!$E$61/SUMSQ('TS-PILE'!$E$56:$E$75))+IF(SUMSQ('TS-PILE'!$D$56:$D$75)=0,0,'TO HOP NLAN'!F176*'TS-PILE'!$D$61/SUMSQ('TS-PILE'!$D$56:$D$75))),IF('TS-PILE'!$B$62="",-1E+99,'TO HOP NLAN'!D176/ncoc+IF(SUMSQ('TS-PILE'!$E$56:$E$75)=0,0,'TO HOP NLAN'!E176*'TS-PILE'!$E$62/SUMSQ('TS-PILE'!$E$56:$E$75))+IF(SUMSQ('TS-PILE'!$D$56:$D$75)=0,0,'TO HOP NLAN'!F176*'TS-PILE'!$D$62/SUMSQ('TS-PILE'!$D$56:$D$75))),IF('TS-PILE'!$B$63="",-1E+99,'TO HOP NLAN'!D176/ncoc+IF(SUMSQ('TS-PILE'!$E$56:$E$75)=0,0,'TO HOP NLAN'!E176*'TS-PILE'!$E$63/SUMSQ('TS-PILE'!$E$56:$E$75))+IF(SUMSQ('TS-PILE'!$D$56:$D$75)=0,0,'TO HOP NLAN'!F176*'TS-PILE'!$D$63/SUMSQ('TS-PILE'!$D$56:$D$75))),IF('TS-PILE'!$B$64="",-1E+99,'TO HOP NLAN'!D176/ncoc+IF(SUMSQ('TS-PILE'!$E$56:$E$75)=0,0,'TO HOP NLAN'!E176*'TS-PILE'!$E$64/SUMSQ('TS-PILE'!$E$56:$E$75))+IF(SUMSQ('TS-PILE'!$D$56:$D$75)=0,0,'TO HOP NLAN'!F176*'TS-PILE'!$D$64/SUMSQ('TS-PILE'!$D$56:$D$75))),IF('TS-PILE'!$B$65="",-1E+99,'TO HOP NLAN'!D176/ncoc+IF(SUMSQ('TS-PILE'!$E$56:$E$75)=0,0,'TO HOP NLAN'!E176*'TS-PILE'!$E$65/SUMSQ('TS-PILE'!$E$56:$E$75))+IF(SUMSQ('TS-PILE'!$D$56:$D$75)=0,0,'TO HOP NLAN'!F176*'TS-PILE'!$D$65/SUMSQ('TS-PILE'!$D$56:$D$75))),IF('TS-PILE'!$B$66="",-1E+99,'TO HOP NLAN'!D176/ncoc+IF(SUMSQ('TS-PILE'!$E$56:$E$75)=0,0,'TO HOP NLAN'!E176*'TS-PILE'!$E$66/SUMSQ('TS-PILE'!$E$56:$E$75))+IF(SUMSQ('TS-PILE'!$D$56:$D$75)=0,0,'TO HOP NLAN'!F176*'TS-PILE'!$D$66/SUMSQ('TS-PILE'!$D$56:$D$75))),IF('TS-PILE'!$B$67="",-1E+99,'TO HOP NLAN'!D176/ncoc+IF(SUMSQ('TS-PILE'!$E$56:$E$75)=0,0,'TO HOP NLAN'!E176*'TS-PILE'!$E$67/SUMSQ('TS-PILE'!$E$56:$E$75))+IF(SUMSQ('TS-PILE'!$D$56:$D$75)=0,0,'TO HOP NLAN'!F176*'TS-PILE'!$D$67/SUMSQ('TS-PILE'!$D$56:$D$75))),IF('TS-PILE'!$B$68="",-1E+99,'TO HOP NLAN'!D176/ncoc+IF(SUMSQ('TS-PILE'!$E$56:$E$75)=0,0,'TO HOP NLAN'!E176*'TS-PILE'!$E$68/SUMSQ('TS-PILE'!$E$56:$E$75))+IF(SUMSQ('TS-PILE'!$D$56:$D$75)=0,0,'TO HOP NLAN'!F176*'TS-PILE'!$D$68/SUMSQ('TS-PILE'!$D$56:$D$75))),IF('TS-PILE'!$B$69="",-1E+99,'TO HOP NLAN'!D176/ncoc+IF(SUMSQ('TS-PILE'!$E$56:$E$75)=0,0,'TO HOP NLAN'!E176*'TS-PILE'!$E$69/SUMSQ('TS-PILE'!$E$56:$E$75))+IF(SUMSQ('TS-PILE'!$D$56:$D$75)=0,0,'TO HOP NLAN'!F176*'TS-PILE'!$D$69/SUMSQ('TS-PILE'!$D$56:$D$75))),IF('TS-PILE'!$B$70="",-1E+99,'TO HOP NLAN'!D176/ncoc+IF(SUMSQ('TS-PILE'!$E$56:$E$75)=0,0,'TO HOP NLAN'!E176*'TS-PILE'!$E$70/SUMSQ('TS-PILE'!$E$56:$E$75))+IF(SUMSQ('TS-PILE'!$D$56:$D$75)=0,0,'TO HOP NLAN'!F176*'TS-PILE'!$D$70/SUMSQ('TS-PILE'!$D$56:$D$75))),IF('TS-PILE'!$B$71="",-1E+99,'TO HOP NLAN'!D176/ncoc+IF(SUMSQ('TS-PILE'!$E$56:$E$75)=0,0,'TO HOP NLAN'!E176*'TS-PILE'!$E$71/SUMSQ('TS-PILE'!$E$56:$E$75))+IF(SUMSQ('TS-PILE'!$D$56:$D$75)=0,0,'TO HOP NLAN'!F176*'TS-PILE'!$D$71/SUMSQ('TS-PILE'!$D$56:$D$75))),IF('TS-PILE'!$B$72="",-1E+99,'TO HOP NLAN'!D176/ncoc+IF(SUMSQ('TS-PILE'!$E$56:$E$75)=0,0,'TO HOP NLAN'!E176*'TS-PILE'!$E$72/SUMSQ('TS-PILE'!$E$56:$E$75))+IF(SUMSQ('TS-PILE'!$D$56:$D$75)=0,0,'TO HOP NLAN'!F176*'TS-PILE'!$D$72/SUMSQ('TS-PILE'!$D$56:$D$75))),IF('TS-PILE'!$B$73="",-1E+99,'TO HOP NLAN'!D176/ncoc+IF(SUMSQ('TS-PILE'!$E$56:$E$75)=0,0,'TO HOP NLAN'!E176*'TS-PILE'!$E$73/SUMSQ('TS-PILE'!$E$56:$E$75))+IF(SUMSQ('TS-PILE'!$D$56:$D$75)=0,0,'TO HOP NLAN'!F176*'TS-PILE'!$D$73/SUMSQ('TS-PILE'!$D$56:$D$75))),IF('TS-PILE'!$B$74="",-1E+99,'TO HOP NLAN'!D176/ncoc+IF(SUMSQ('TS-PILE'!$E$56:$E$75)=0,0,'TO HOP NLAN'!E176*'TS-PILE'!$E$74/SUMSQ('TS-PILE'!$E$56:$E$75))+IF(SUMSQ('TS-PILE'!$D$56:$D$75)=0,0,'TO HOP NLAN'!F176*'TS-PILE'!$D$74/SUMSQ('TS-PILE'!$D$56:$D$75))),IF('TS-PILE'!$B$75="",-1E+99,'TO HOP NLAN'!D176/ncoc+IF(SUMSQ('TS-PILE'!$E$56:$E$75)=0,0,'TO HOP NLAN'!E176*'TS-PILE'!$E$75/SUMSQ('TS-PILE'!$E$56:$E$75))+IF(SUMSQ('TS-PILE'!$D$56:$D$75)=0,0,'TO HOP NLAN'!F176*'TS-PILE'!$D$75/SUMSQ('TS-PILE'!$D$56:$D$75)))))</f>
        <v>0</v>
      </c>
      <c r="D176" s="46">
        <f>IF(A176="",0,MIN(IF('TS-PILE'!$B$56="",1E+99,'TO HOP NLAN'!D176/ncoc+IF(SUMSQ('TS-PILE'!$E$56:$E$75)=0,0,'TO HOP NLAN'!E176*'TS-PILE'!$E$56/SUMSQ('TS-PILE'!$E$56:$E$75))+IF(SUMSQ('TS-PILE'!$D$56:$D$75)=0,0,'TO HOP NLAN'!F176*'TS-PILE'!$D$56/SUMSQ('TS-PILE'!$D$56:$D$75))),IF('TS-PILE'!$B$57="",1E+99,'TO HOP NLAN'!D176/ncoc+IF(SUMSQ('TS-PILE'!$E$56:$E$75)=0,0,'TO HOP NLAN'!E176*'TS-PILE'!$E$57/SUMSQ('TS-PILE'!$E$56:$E$75))+IF(SUMSQ('TS-PILE'!$D$56:$D$75)=0,0,'TO HOP NLAN'!F176*'TS-PILE'!$D$57/SUMSQ('TS-PILE'!$D$56:$D$75))),IF('TS-PILE'!$B$58="",1E+99,'TO HOP NLAN'!D176/ncoc+IF(SUMSQ('TS-PILE'!$E$56:$E$75)=0,0,'TO HOP NLAN'!E176*'TS-PILE'!$E$58/SUMSQ('TS-PILE'!$E$56:$E$75))+IF(SUMSQ('TS-PILE'!$D$56:$D$75)=0,0,'TO HOP NLAN'!F176*'TS-PILE'!$D$58/SUMSQ('TS-PILE'!$D$56:$D$75))),IF('TS-PILE'!$B$59="",1E+99,'TO HOP NLAN'!D176/ncoc+IF(SUMSQ('TS-PILE'!$E$56:$E$75)=0,0,'TO HOP NLAN'!E176*'TS-PILE'!$E$59/SUMSQ('TS-PILE'!$E$56:$E$75))+IF(SUMSQ('TS-PILE'!$D$56:$D$75)=0,0,'TO HOP NLAN'!F176*'TS-PILE'!$D$59/SUMSQ('TS-PILE'!$D$56:$D$75))),IF('TS-PILE'!$B$60="",1E+99,'TO HOP NLAN'!D176/ncoc+IF(SUMSQ('TS-PILE'!$E$56:$E$75)=0,0,'TO HOP NLAN'!E176*'TS-PILE'!$E$60/SUMSQ('TS-PILE'!$E$56:$E$75))+IF(SUMSQ('TS-PILE'!$D$56:$D$75)=0,0,'TO HOP NLAN'!F176*'TS-PILE'!$D$60/SUMSQ('TS-PILE'!$D$56:$D$75))),IF('TS-PILE'!$B$61="",1E+99,'TO HOP NLAN'!D176/ncoc+IF(SUMSQ('TS-PILE'!$E$56:$E$75)=0,0,'TO HOP NLAN'!E176*'TS-PILE'!$E$61/SUMSQ('TS-PILE'!$E$56:$E$75))+IF(SUMSQ('TS-PILE'!$D$56:$D$75)=0,0,'TO HOP NLAN'!F176*'TS-PILE'!$D$61/SUMSQ('TS-PILE'!$D$56:$D$75))),IF('TS-PILE'!$B$62="",1E+99,'TO HOP NLAN'!D176/ncoc+IF(SUMSQ('TS-PILE'!$E$56:$E$75)=0,0,'TO HOP NLAN'!E176*'TS-PILE'!$E$62/SUMSQ('TS-PILE'!$E$56:$E$75))+IF(SUMSQ('TS-PILE'!$D$56:$D$75)=0,0,'TO HOP NLAN'!F176*'TS-PILE'!$D$62/SUMSQ('TS-PILE'!$D$56:$D$75))),IF('TS-PILE'!$B$63="",1E+99,'TO HOP NLAN'!D176/ncoc+IF(SUMSQ('TS-PILE'!$E$56:$E$75)=0,0,'TO HOP NLAN'!E176*'TS-PILE'!$E$63/SUMSQ('TS-PILE'!$E$56:$E$75))+IF(SUMSQ('TS-PILE'!$D$56:$D$75)=0,0,'TO HOP NLAN'!F176*'TS-PILE'!$D$63/SUMSQ('TS-PILE'!$D$56:$D$75))),IF('TS-PILE'!$B$64="",1E+99,'TO HOP NLAN'!D176/ncoc+IF(SUMSQ('TS-PILE'!$E$56:$E$75)=0,0,'TO HOP NLAN'!E176*'TS-PILE'!$E$64/SUMSQ('TS-PILE'!$E$56:$E$75))+IF(SUMSQ('TS-PILE'!$D$56:$D$75)=0,0,'TO HOP NLAN'!F176*'TS-PILE'!$D$64/SUMSQ('TS-PILE'!$D$56:$D$75))),IF('TS-PILE'!$B$65="",1E+99,'TO HOP NLAN'!D176/ncoc+IF(SUMSQ('TS-PILE'!$E$56:$E$75)=0,0,'TO HOP NLAN'!E176*'TS-PILE'!$E$65/SUMSQ('TS-PILE'!$E$56:$E$75))+IF(SUMSQ('TS-PILE'!$D$56:$D$75)=0,0,'TO HOP NLAN'!F176*'TS-PILE'!$D$65/SUMSQ('TS-PILE'!$D$56:$D$75))),IF('TS-PILE'!$B$66="",1E+99,'TO HOP NLAN'!D176/ncoc+IF(SUMSQ('TS-PILE'!$E$56:$E$75)=0,0,'TO HOP NLAN'!E176*'TS-PILE'!$E$66/SUMSQ('TS-PILE'!$E$56:$E$75))+IF(SUMSQ('TS-PILE'!$D$56:$D$75)=0,0,'TO HOP NLAN'!F176*'TS-PILE'!$D$66/SUMSQ('TS-PILE'!$D$56:$D$75))),IF('TS-PILE'!$B$67="",1E+99,'TO HOP NLAN'!D176/ncoc+IF(SUMSQ('TS-PILE'!$E$56:$E$75)=0,0,'TO HOP NLAN'!E176*'TS-PILE'!$E$67/SUMSQ('TS-PILE'!$E$56:$E$75))+IF(SUMSQ('TS-PILE'!$D$56:$D$75)=0,0,'TO HOP NLAN'!F176*'TS-PILE'!$D$67/SUMSQ('TS-PILE'!$D$56:$D$75))),IF('TS-PILE'!$B$68="",1E+99,'TO HOP NLAN'!D176/ncoc+IF(SUMSQ('TS-PILE'!$E$56:$E$75)=0,0,'TO HOP NLAN'!E176*'TS-PILE'!$E$68/SUMSQ('TS-PILE'!$E$56:$E$75))+IF(SUMSQ('TS-PILE'!$D$56:$D$75)=0,0,'TO HOP NLAN'!F176*'TS-PILE'!$D$68/SUMSQ('TS-PILE'!$D$56:$D$75))),IF('TS-PILE'!$B$69="",1E+99,'TO HOP NLAN'!D176/ncoc+IF(SUMSQ('TS-PILE'!$E$56:$E$75)=0,0,'TO HOP NLAN'!E176*'TS-PILE'!$E$69/SUMSQ('TS-PILE'!$E$56:$E$75))+IF(SUMSQ('TS-PILE'!$D$56:$D$75)=0,0,'TO HOP NLAN'!F176*'TS-PILE'!$D$69/SUMSQ('TS-PILE'!$D$56:$D$75))),IF('TS-PILE'!$B$70="",1E+99,'TO HOP NLAN'!D176/ncoc+IF(SUMSQ('TS-PILE'!$E$56:$E$75)=0,0,'TO HOP NLAN'!E176*'TS-PILE'!$E$70/SUMSQ('TS-PILE'!$E$56:$E$75))+IF(SUMSQ('TS-PILE'!$D$56:$D$75)=0,0,'TO HOP NLAN'!F176*'TS-PILE'!$D$70/SUMSQ('TS-PILE'!$D$56:$D$75))),IF('TS-PILE'!$B$71="",1E+99,'TO HOP NLAN'!D176/ncoc+IF(SUMSQ('TS-PILE'!$E$56:$E$75)=0,0,'TO HOP NLAN'!E176*'TS-PILE'!$E$71/SUMSQ('TS-PILE'!$E$56:$E$75))+IF(SUMSQ('TS-PILE'!$D$56:$D$75)=0,0,'TO HOP NLAN'!F176*'TS-PILE'!$D$71/SUMSQ('TS-PILE'!$D$56:$D$75))),IF('TS-PILE'!$B$72="",1E+99,'TO HOP NLAN'!D176/ncoc+IF(SUMSQ('TS-PILE'!$E$56:$E$75)=0,0,'TO HOP NLAN'!E176*'TS-PILE'!$E$72/SUMSQ('TS-PILE'!$E$56:$E$75))+IF(SUMSQ('TS-PILE'!$D$56:$D$75)=0,0,'TO HOP NLAN'!F176*'TS-PILE'!$D$72/SUMSQ('TS-PILE'!$D$56:$D$75))),IF('TS-PILE'!$B$73="",1E+99,'TO HOP NLAN'!D176/ncoc+IF(SUMSQ('TS-PILE'!$E$56:$E$75)=0,0,'TO HOP NLAN'!E176*'TS-PILE'!$E$73/SUMSQ('TS-PILE'!$E$56:$E$75))+IF(SUMSQ('TS-PILE'!$D$56:$D$75)=0,0,'TO HOP NLAN'!F176*'TS-PILE'!$D$73/SUMSQ('TS-PILE'!$D$56:$D$75))),IF('TS-PILE'!$B$74="",1E+99,'TO HOP NLAN'!D176/ncoc+IF(SUMSQ('TS-PILE'!$E$56:$E$75)=0,0,'TO HOP NLAN'!E176*'TS-PILE'!$E$74/SUMSQ('TS-PILE'!$E$56:$E$75))+IF(SUMSQ('TS-PILE'!$D$56:$D$75)=0,0,'TO HOP NLAN'!F176*'TS-PILE'!$D$74/SUMSQ('TS-PILE'!$D$56:$D$75))),IF('TS-PILE'!$B$75="",1E+99,'TO HOP NLAN'!D176/ncoc+IF(SUMSQ('TS-PILE'!$E$56:$E$75)=0,0,'TO HOP NLAN'!E176*'TS-PILE'!$E$75/SUMSQ('TS-PILE'!$E$56:$E$75))+IF(SUMSQ('TS-PILE'!$D$56:$D$75)=0,0,'TO HOP NLAN'!F176*'TS-PILE'!$D$75/SUMSQ('TS-PILE'!$D$56:$D$75)))))</f>
        <v>0</v>
      </c>
      <c r="E176" s="46">
        <f t="shared" si="8"/>
        <v>-9.9999999999999997E+98</v>
      </c>
      <c r="F176" s="46">
        <f t="shared" si="9"/>
        <v>9.9999999999999997E+98</v>
      </c>
      <c r="G176" s="46">
        <f t="shared" si="10"/>
        <v>-9.9999999999999997E+98</v>
      </c>
      <c r="H176" s="46">
        <f t="shared" si="11"/>
        <v>9.9999999999999997E+98</v>
      </c>
    </row>
    <row r="177" spans="1:8" x14ac:dyDescent="0.3">
      <c r="A177" s="40" t="str">
        <f>'TO HOP NLAN'!A177</f>
        <v/>
      </c>
      <c r="B177" s="40" t="str">
        <f>'TO HOP NLAN'!L177</f>
        <v>STRENGTH</v>
      </c>
      <c r="C177" s="46">
        <f>IF(A177="",0,MAX(IF('TS-PILE'!$B$56="",-1E+99,'TO HOP NLAN'!D177/ncoc+IF(SUMSQ('TS-PILE'!$E$56:$E$75)=0,0,'TO HOP NLAN'!E177*'TS-PILE'!$E$56/SUMSQ('TS-PILE'!$E$56:$E$75))+IF(SUMSQ('TS-PILE'!$D$56:$D$75)=0,0,'TO HOP NLAN'!F177*'TS-PILE'!$D$56/SUMSQ('TS-PILE'!$D$56:$D$75))),IF('TS-PILE'!$B$57="",-1E+99,'TO HOP NLAN'!D177/ncoc+IF(SUMSQ('TS-PILE'!$E$56:$E$75)=0,0,'TO HOP NLAN'!E177*'TS-PILE'!$E$57/SUMSQ('TS-PILE'!$E$56:$E$75))+IF(SUMSQ('TS-PILE'!$D$56:$D$75)=0,0,'TO HOP NLAN'!F177*'TS-PILE'!$D$57/SUMSQ('TS-PILE'!$D$56:$D$75))),IF('TS-PILE'!$B$58="",-1E+99,'TO HOP NLAN'!D177/ncoc+IF(SUMSQ('TS-PILE'!$E$56:$E$75)=0,0,'TO HOP NLAN'!E177*'TS-PILE'!$E$58/SUMSQ('TS-PILE'!$E$56:$E$75))+IF(SUMSQ('TS-PILE'!$D$56:$D$75)=0,0,'TO HOP NLAN'!F177*'TS-PILE'!$D$58/SUMSQ('TS-PILE'!$D$56:$D$75))),IF('TS-PILE'!$B$59="",-1E+99,'TO HOP NLAN'!D177/ncoc+IF(SUMSQ('TS-PILE'!$E$56:$E$75)=0,0,'TO HOP NLAN'!E177*'TS-PILE'!$E$59/SUMSQ('TS-PILE'!$E$56:$E$75))+IF(SUMSQ('TS-PILE'!$D$56:$D$75)=0,0,'TO HOP NLAN'!F177*'TS-PILE'!$D$59/SUMSQ('TS-PILE'!$D$56:$D$75))),IF('TS-PILE'!$B$60="",-1E+99,'TO HOP NLAN'!D177/ncoc+IF(SUMSQ('TS-PILE'!$E$56:$E$75)=0,0,'TO HOP NLAN'!E177*'TS-PILE'!$E$60/SUMSQ('TS-PILE'!$E$56:$E$75))+IF(SUMSQ('TS-PILE'!$D$56:$D$75)=0,0,'TO HOP NLAN'!F177*'TS-PILE'!$D$60/SUMSQ('TS-PILE'!$D$56:$D$75))),IF('TS-PILE'!$B$61="",-1E+99,'TO HOP NLAN'!D177/ncoc+IF(SUMSQ('TS-PILE'!$E$56:$E$75)=0,0,'TO HOP NLAN'!E177*'TS-PILE'!$E$61/SUMSQ('TS-PILE'!$E$56:$E$75))+IF(SUMSQ('TS-PILE'!$D$56:$D$75)=0,0,'TO HOP NLAN'!F177*'TS-PILE'!$D$61/SUMSQ('TS-PILE'!$D$56:$D$75))),IF('TS-PILE'!$B$62="",-1E+99,'TO HOP NLAN'!D177/ncoc+IF(SUMSQ('TS-PILE'!$E$56:$E$75)=0,0,'TO HOP NLAN'!E177*'TS-PILE'!$E$62/SUMSQ('TS-PILE'!$E$56:$E$75))+IF(SUMSQ('TS-PILE'!$D$56:$D$75)=0,0,'TO HOP NLAN'!F177*'TS-PILE'!$D$62/SUMSQ('TS-PILE'!$D$56:$D$75))),IF('TS-PILE'!$B$63="",-1E+99,'TO HOP NLAN'!D177/ncoc+IF(SUMSQ('TS-PILE'!$E$56:$E$75)=0,0,'TO HOP NLAN'!E177*'TS-PILE'!$E$63/SUMSQ('TS-PILE'!$E$56:$E$75))+IF(SUMSQ('TS-PILE'!$D$56:$D$75)=0,0,'TO HOP NLAN'!F177*'TS-PILE'!$D$63/SUMSQ('TS-PILE'!$D$56:$D$75))),IF('TS-PILE'!$B$64="",-1E+99,'TO HOP NLAN'!D177/ncoc+IF(SUMSQ('TS-PILE'!$E$56:$E$75)=0,0,'TO HOP NLAN'!E177*'TS-PILE'!$E$64/SUMSQ('TS-PILE'!$E$56:$E$75))+IF(SUMSQ('TS-PILE'!$D$56:$D$75)=0,0,'TO HOP NLAN'!F177*'TS-PILE'!$D$64/SUMSQ('TS-PILE'!$D$56:$D$75))),IF('TS-PILE'!$B$65="",-1E+99,'TO HOP NLAN'!D177/ncoc+IF(SUMSQ('TS-PILE'!$E$56:$E$75)=0,0,'TO HOP NLAN'!E177*'TS-PILE'!$E$65/SUMSQ('TS-PILE'!$E$56:$E$75))+IF(SUMSQ('TS-PILE'!$D$56:$D$75)=0,0,'TO HOP NLAN'!F177*'TS-PILE'!$D$65/SUMSQ('TS-PILE'!$D$56:$D$75))),IF('TS-PILE'!$B$66="",-1E+99,'TO HOP NLAN'!D177/ncoc+IF(SUMSQ('TS-PILE'!$E$56:$E$75)=0,0,'TO HOP NLAN'!E177*'TS-PILE'!$E$66/SUMSQ('TS-PILE'!$E$56:$E$75))+IF(SUMSQ('TS-PILE'!$D$56:$D$75)=0,0,'TO HOP NLAN'!F177*'TS-PILE'!$D$66/SUMSQ('TS-PILE'!$D$56:$D$75))),IF('TS-PILE'!$B$67="",-1E+99,'TO HOP NLAN'!D177/ncoc+IF(SUMSQ('TS-PILE'!$E$56:$E$75)=0,0,'TO HOP NLAN'!E177*'TS-PILE'!$E$67/SUMSQ('TS-PILE'!$E$56:$E$75))+IF(SUMSQ('TS-PILE'!$D$56:$D$75)=0,0,'TO HOP NLAN'!F177*'TS-PILE'!$D$67/SUMSQ('TS-PILE'!$D$56:$D$75))),IF('TS-PILE'!$B$68="",-1E+99,'TO HOP NLAN'!D177/ncoc+IF(SUMSQ('TS-PILE'!$E$56:$E$75)=0,0,'TO HOP NLAN'!E177*'TS-PILE'!$E$68/SUMSQ('TS-PILE'!$E$56:$E$75))+IF(SUMSQ('TS-PILE'!$D$56:$D$75)=0,0,'TO HOP NLAN'!F177*'TS-PILE'!$D$68/SUMSQ('TS-PILE'!$D$56:$D$75))),IF('TS-PILE'!$B$69="",-1E+99,'TO HOP NLAN'!D177/ncoc+IF(SUMSQ('TS-PILE'!$E$56:$E$75)=0,0,'TO HOP NLAN'!E177*'TS-PILE'!$E$69/SUMSQ('TS-PILE'!$E$56:$E$75))+IF(SUMSQ('TS-PILE'!$D$56:$D$75)=0,0,'TO HOP NLAN'!F177*'TS-PILE'!$D$69/SUMSQ('TS-PILE'!$D$56:$D$75))),IF('TS-PILE'!$B$70="",-1E+99,'TO HOP NLAN'!D177/ncoc+IF(SUMSQ('TS-PILE'!$E$56:$E$75)=0,0,'TO HOP NLAN'!E177*'TS-PILE'!$E$70/SUMSQ('TS-PILE'!$E$56:$E$75))+IF(SUMSQ('TS-PILE'!$D$56:$D$75)=0,0,'TO HOP NLAN'!F177*'TS-PILE'!$D$70/SUMSQ('TS-PILE'!$D$56:$D$75))),IF('TS-PILE'!$B$71="",-1E+99,'TO HOP NLAN'!D177/ncoc+IF(SUMSQ('TS-PILE'!$E$56:$E$75)=0,0,'TO HOP NLAN'!E177*'TS-PILE'!$E$71/SUMSQ('TS-PILE'!$E$56:$E$75))+IF(SUMSQ('TS-PILE'!$D$56:$D$75)=0,0,'TO HOP NLAN'!F177*'TS-PILE'!$D$71/SUMSQ('TS-PILE'!$D$56:$D$75))),IF('TS-PILE'!$B$72="",-1E+99,'TO HOP NLAN'!D177/ncoc+IF(SUMSQ('TS-PILE'!$E$56:$E$75)=0,0,'TO HOP NLAN'!E177*'TS-PILE'!$E$72/SUMSQ('TS-PILE'!$E$56:$E$75))+IF(SUMSQ('TS-PILE'!$D$56:$D$75)=0,0,'TO HOP NLAN'!F177*'TS-PILE'!$D$72/SUMSQ('TS-PILE'!$D$56:$D$75))),IF('TS-PILE'!$B$73="",-1E+99,'TO HOP NLAN'!D177/ncoc+IF(SUMSQ('TS-PILE'!$E$56:$E$75)=0,0,'TO HOP NLAN'!E177*'TS-PILE'!$E$73/SUMSQ('TS-PILE'!$E$56:$E$75))+IF(SUMSQ('TS-PILE'!$D$56:$D$75)=0,0,'TO HOP NLAN'!F177*'TS-PILE'!$D$73/SUMSQ('TS-PILE'!$D$56:$D$75))),IF('TS-PILE'!$B$74="",-1E+99,'TO HOP NLAN'!D177/ncoc+IF(SUMSQ('TS-PILE'!$E$56:$E$75)=0,0,'TO HOP NLAN'!E177*'TS-PILE'!$E$74/SUMSQ('TS-PILE'!$E$56:$E$75))+IF(SUMSQ('TS-PILE'!$D$56:$D$75)=0,0,'TO HOP NLAN'!F177*'TS-PILE'!$D$74/SUMSQ('TS-PILE'!$D$56:$D$75))),IF('TS-PILE'!$B$75="",-1E+99,'TO HOP NLAN'!D177/ncoc+IF(SUMSQ('TS-PILE'!$E$56:$E$75)=0,0,'TO HOP NLAN'!E177*'TS-PILE'!$E$75/SUMSQ('TS-PILE'!$E$56:$E$75))+IF(SUMSQ('TS-PILE'!$D$56:$D$75)=0,0,'TO HOP NLAN'!F177*'TS-PILE'!$D$75/SUMSQ('TS-PILE'!$D$56:$D$75)))))</f>
        <v>0</v>
      </c>
      <c r="D177" s="46">
        <f>IF(A177="",0,MIN(IF('TS-PILE'!$B$56="",1E+99,'TO HOP NLAN'!D177/ncoc+IF(SUMSQ('TS-PILE'!$E$56:$E$75)=0,0,'TO HOP NLAN'!E177*'TS-PILE'!$E$56/SUMSQ('TS-PILE'!$E$56:$E$75))+IF(SUMSQ('TS-PILE'!$D$56:$D$75)=0,0,'TO HOP NLAN'!F177*'TS-PILE'!$D$56/SUMSQ('TS-PILE'!$D$56:$D$75))),IF('TS-PILE'!$B$57="",1E+99,'TO HOP NLAN'!D177/ncoc+IF(SUMSQ('TS-PILE'!$E$56:$E$75)=0,0,'TO HOP NLAN'!E177*'TS-PILE'!$E$57/SUMSQ('TS-PILE'!$E$56:$E$75))+IF(SUMSQ('TS-PILE'!$D$56:$D$75)=0,0,'TO HOP NLAN'!F177*'TS-PILE'!$D$57/SUMSQ('TS-PILE'!$D$56:$D$75))),IF('TS-PILE'!$B$58="",1E+99,'TO HOP NLAN'!D177/ncoc+IF(SUMSQ('TS-PILE'!$E$56:$E$75)=0,0,'TO HOP NLAN'!E177*'TS-PILE'!$E$58/SUMSQ('TS-PILE'!$E$56:$E$75))+IF(SUMSQ('TS-PILE'!$D$56:$D$75)=0,0,'TO HOP NLAN'!F177*'TS-PILE'!$D$58/SUMSQ('TS-PILE'!$D$56:$D$75))),IF('TS-PILE'!$B$59="",1E+99,'TO HOP NLAN'!D177/ncoc+IF(SUMSQ('TS-PILE'!$E$56:$E$75)=0,0,'TO HOP NLAN'!E177*'TS-PILE'!$E$59/SUMSQ('TS-PILE'!$E$56:$E$75))+IF(SUMSQ('TS-PILE'!$D$56:$D$75)=0,0,'TO HOP NLAN'!F177*'TS-PILE'!$D$59/SUMSQ('TS-PILE'!$D$56:$D$75))),IF('TS-PILE'!$B$60="",1E+99,'TO HOP NLAN'!D177/ncoc+IF(SUMSQ('TS-PILE'!$E$56:$E$75)=0,0,'TO HOP NLAN'!E177*'TS-PILE'!$E$60/SUMSQ('TS-PILE'!$E$56:$E$75))+IF(SUMSQ('TS-PILE'!$D$56:$D$75)=0,0,'TO HOP NLAN'!F177*'TS-PILE'!$D$60/SUMSQ('TS-PILE'!$D$56:$D$75))),IF('TS-PILE'!$B$61="",1E+99,'TO HOP NLAN'!D177/ncoc+IF(SUMSQ('TS-PILE'!$E$56:$E$75)=0,0,'TO HOP NLAN'!E177*'TS-PILE'!$E$61/SUMSQ('TS-PILE'!$E$56:$E$75))+IF(SUMSQ('TS-PILE'!$D$56:$D$75)=0,0,'TO HOP NLAN'!F177*'TS-PILE'!$D$61/SUMSQ('TS-PILE'!$D$56:$D$75))),IF('TS-PILE'!$B$62="",1E+99,'TO HOP NLAN'!D177/ncoc+IF(SUMSQ('TS-PILE'!$E$56:$E$75)=0,0,'TO HOP NLAN'!E177*'TS-PILE'!$E$62/SUMSQ('TS-PILE'!$E$56:$E$75))+IF(SUMSQ('TS-PILE'!$D$56:$D$75)=0,0,'TO HOP NLAN'!F177*'TS-PILE'!$D$62/SUMSQ('TS-PILE'!$D$56:$D$75))),IF('TS-PILE'!$B$63="",1E+99,'TO HOP NLAN'!D177/ncoc+IF(SUMSQ('TS-PILE'!$E$56:$E$75)=0,0,'TO HOP NLAN'!E177*'TS-PILE'!$E$63/SUMSQ('TS-PILE'!$E$56:$E$75))+IF(SUMSQ('TS-PILE'!$D$56:$D$75)=0,0,'TO HOP NLAN'!F177*'TS-PILE'!$D$63/SUMSQ('TS-PILE'!$D$56:$D$75))),IF('TS-PILE'!$B$64="",1E+99,'TO HOP NLAN'!D177/ncoc+IF(SUMSQ('TS-PILE'!$E$56:$E$75)=0,0,'TO HOP NLAN'!E177*'TS-PILE'!$E$64/SUMSQ('TS-PILE'!$E$56:$E$75))+IF(SUMSQ('TS-PILE'!$D$56:$D$75)=0,0,'TO HOP NLAN'!F177*'TS-PILE'!$D$64/SUMSQ('TS-PILE'!$D$56:$D$75))),IF('TS-PILE'!$B$65="",1E+99,'TO HOP NLAN'!D177/ncoc+IF(SUMSQ('TS-PILE'!$E$56:$E$75)=0,0,'TO HOP NLAN'!E177*'TS-PILE'!$E$65/SUMSQ('TS-PILE'!$E$56:$E$75))+IF(SUMSQ('TS-PILE'!$D$56:$D$75)=0,0,'TO HOP NLAN'!F177*'TS-PILE'!$D$65/SUMSQ('TS-PILE'!$D$56:$D$75))),IF('TS-PILE'!$B$66="",1E+99,'TO HOP NLAN'!D177/ncoc+IF(SUMSQ('TS-PILE'!$E$56:$E$75)=0,0,'TO HOP NLAN'!E177*'TS-PILE'!$E$66/SUMSQ('TS-PILE'!$E$56:$E$75))+IF(SUMSQ('TS-PILE'!$D$56:$D$75)=0,0,'TO HOP NLAN'!F177*'TS-PILE'!$D$66/SUMSQ('TS-PILE'!$D$56:$D$75))),IF('TS-PILE'!$B$67="",1E+99,'TO HOP NLAN'!D177/ncoc+IF(SUMSQ('TS-PILE'!$E$56:$E$75)=0,0,'TO HOP NLAN'!E177*'TS-PILE'!$E$67/SUMSQ('TS-PILE'!$E$56:$E$75))+IF(SUMSQ('TS-PILE'!$D$56:$D$75)=0,0,'TO HOP NLAN'!F177*'TS-PILE'!$D$67/SUMSQ('TS-PILE'!$D$56:$D$75))),IF('TS-PILE'!$B$68="",1E+99,'TO HOP NLAN'!D177/ncoc+IF(SUMSQ('TS-PILE'!$E$56:$E$75)=0,0,'TO HOP NLAN'!E177*'TS-PILE'!$E$68/SUMSQ('TS-PILE'!$E$56:$E$75))+IF(SUMSQ('TS-PILE'!$D$56:$D$75)=0,0,'TO HOP NLAN'!F177*'TS-PILE'!$D$68/SUMSQ('TS-PILE'!$D$56:$D$75))),IF('TS-PILE'!$B$69="",1E+99,'TO HOP NLAN'!D177/ncoc+IF(SUMSQ('TS-PILE'!$E$56:$E$75)=0,0,'TO HOP NLAN'!E177*'TS-PILE'!$E$69/SUMSQ('TS-PILE'!$E$56:$E$75))+IF(SUMSQ('TS-PILE'!$D$56:$D$75)=0,0,'TO HOP NLAN'!F177*'TS-PILE'!$D$69/SUMSQ('TS-PILE'!$D$56:$D$75))),IF('TS-PILE'!$B$70="",1E+99,'TO HOP NLAN'!D177/ncoc+IF(SUMSQ('TS-PILE'!$E$56:$E$75)=0,0,'TO HOP NLAN'!E177*'TS-PILE'!$E$70/SUMSQ('TS-PILE'!$E$56:$E$75))+IF(SUMSQ('TS-PILE'!$D$56:$D$75)=0,0,'TO HOP NLAN'!F177*'TS-PILE'!$D$70/SUMSQ('TS-PILE'!$D$56:$D$75))),IF('TS-PILE'!$B$71="",1E+99,'TO HOP NLAN'!D177/ncoc+IF(SUMSQ('TS-PILE'!$E$56:$E$75)=0,0,'TO HOP NLAN'!E177*'TS-PILE'!$E$71/SUMSQ('TS-PILE'!$E$56:$E$75))+IF(SUMSQ('TS-PILE'!$D$56:$D$75)=0,0,'TO HOP NLAN'!F177*'TS-PILE'!$D$71/SUMSQ('TS-PILE'!$D$56:$D$75))),IF('TS-PILE'!$B$72="",1E+99,'TO HOP NLAN'!D177/ncoc+IF(SUMSQ('TS-PILE'!$E$56:$E$75)=0,0,'TO HOP NLAN'!E177*'TS-PILE'!$E$72/SUMSQ('TS-PILE'!$E$56:$E$75))+IF(SUMSQ('TS-PILE'!$D$56:$D$75)=0,0,'TO HOP NLAN'!F177*'TS-PILE'!$D$72/SUMSQ('TS-PILE'!$D$56:$D$75))),IF('TS-PILE'!$B$73="",1E+99,'TO HOP NLAN'!D177/ncoc+IF(SUMSQ('TS-PILE'!$E$56:$E$75)=0,0,'TO HOP NLAN'!E177*'TS-PILE'!$E$73/SUMSQ('TS-PILE'!$E$56:$E$75))+IF(SUMSQ('TS-PILE'!$D$56:$D$75)=0,0,'TO HOP NLAN'!F177*'TS-PILE'!$D$73/SUMSQ('TS-PILE'!$D$56:$D$75))),IF('TS-PILE'!$B$74="",1E+99,'TO HOP NLAN'!D177/ncoc+IF(SUMSQ('TS-PILE'!$E$56:$E$75)=0,0,'TO HOP NLAN'!E177*'TS-PILE'!$E$74/SUMSQ('TS-PILE'!$E$56:$E$75))+IF(SUMSQ('TS-PILE'!$D$56:$D$75)=0,0,'TO HOP NLAN'!F177*'TS-PILE'!$D$74/SUMSQ('TS-PILE'!$D$56:$D$75))),IF('TS-PILE'!$B$75="",1E+99,'TO HOP NLAN'!D177/ncoc+IF(SUMSQ('TS-PILE'!$E$56:$E$75)=0,0,'TO HOP NLAN'!E177*'TS-PILE'!$E$75/SUMSQ('TS-PILE'!$E$56:$E$75))+IF(SUMSQ('TS-PILE'!$D$56:$D$75)=0,0,'TO HOP NLAN'!F177*'TS-PILE'!$D$75/SUMSQ('TS-PILE'!$D$56:$D$75)))))</f>
        <v>0</v>
      </c>
      <c r="E177" s="46">
        <f t="shared" si="8"/>
        <v>-9.9999999999999997E+98</v>
      </c>
      <c r="F177" s="46">
        <f t="shared" si="9"/>
        <v>9.9999999999999997E+98</v>
      </c>
      <c r="G177" s="46">
        <f t="shared" si="10"/>
        <v>-9.9999999999999997E+98</v>
      </c>
      <c r="H177" s="46">
        <f t="shared" si="11"/>
        <v>9.9999999999999997E+98</v>
      </c>
    </row>
    <row r="178" spans="1:8" x14ac:dyDescent="0.3">
      <c r="A178" s="40" t="str">
        <f>'TO HOP NLAN'!A178</f>
        <v/>
      </c>
      <c r="B178" s="40" t="str">
        <f>'TO HOP NLAN'!L178</f>
        <v>STRENGTH</v>
      </c>
      <c r="C178" s="46">
        <f>IF(A178="",0,MAX(IF('TS-PILE'!$B$56="",-1E+99,'TO HOP NLAN'!D178/ncoc+IF(SUMSQ('TS-PILE'!$E$56:$E$75)=0,0,'TO HOP NLAN'!E178*'TS-PILE'!$E$56/SUMSQ('TS-PILE'!$E$56:$E$75))+IF(SUMSQ('TS-PILE'!$D$56:$D$75)=0,0,'TO HOP NLAN'!F178*'TS-PILE'!$D$56/SUMSQ('TS-PILE'!$D$56:$D$75))),IF('TS-PILE'!$B$57="",-1E+99,'TO HOP NLAN'!D178/ncoc+IF(SUMSQ('TS-PILE'!$E$56:$E$75)=0,0,'TO HOP NLAN'!E178*'TS-PILE'!$E$57/SUMSQ('TS-PILE'!$E$56:$E$75))+IF(SUMSQ('TS-PILE'!$D$56:$D$75)=0,0,'TO HOP NLAN'!F178*'TS-PILE'!$D$57/SUMSQ('TS-PILE'!$D$56:$D$75))),IF('TS-PILE'!$B$58="",-1E+99,'TO HOP NLAN'!D178/ncoc+IF(SUMSQ('TS-PILE'!$E$56:$E$75)=0,0,'TO HOP NLAN'!E178*'TS-PILE'!$E$58/SUMSQ('TS-PILE'!$E$56:$E$75))+IF(SUMSQ('TS-PILE'!$D$56:$D$75)=0,0,'TO HOP NLAN'!F178*'TS-PILE'!$D$58/SUMSQ('TS-PILE'!$D$56:$D$75))),IF('TS-PILE'!$B$59="",-1E+99,'TO HOP NLAN'!D178/ncoc+IF(SUMSQ('TS-PILE'!$E$56:$E$75)=0,0,'TO HOP NLAN'!E178*'TS-PILE'!$E$59/SUMSQ('TS-PILE'!$E$56:$E$75))+IF(SUMSQ('TS-PILE'!$D$56:$D$75)=0,0,'TO HOP NLAN'!F178*'TS-PILE'!$D$59/SUMSQ('TS-PILE'!$D$56:$D$75))),IF('TS-PILE'!$B$60="",-1E+99,'TO HOP NLAN'!D178/ncoc+IF(SUMSQ('TS-PILE'!$E$56:$E$75)=0,0,'TO HOP NLAN'!E178*'TS-PILE'!$E$60/SUMSQ('TS-PILE'!$E$56:$E$75))+IF(SUMSQ('TS-PILE'!$D$56:$D$75)=0,0,'TO HOP NLAN'!F178*'TS-PILE'!$D$60/SUMSQ('TS-PILE'!$D$56:$D$75))),IF('TS-PILE'!$B$61="",-1E+99,'TO HOP NLAN'!D178/ncoc+IF(SUMSQ('TS-PILE'!$E$56:$E$75)=0,0,'TO HOP NLAN'!E178*'TS-PILE'!$E$61/SUMSQ('TS-PILE'!$E$56:$E$75))+IF(SUMSQ('TS-PILE'!$D$56:$D$75)=0,0,'TO HOP NLAN'!F178*'TS-PILE'!$D$61/SUMSQ('TS-PILE'!$D$56:$D$75))),IF('TS-PILE'!$B$62="",-1E+99,'TO HOP NLAN'!D178/ncoc+IF(SUMSQ('TS-PILE'!$E$56:$E$75)=0,0,'TO HOP NLAN'!E178*'TS-PILE'!$E$62/SUMSQ('TS-PILE'!$E$56:$E$75))+IF(SUMSQ('TS-PILE'!$D$56:$D$75)=0,0,'TO HOP NLAN'!F178*'TS-PILE'!$D$62/SUMSQ('TS-PILE'!$D$56:$D$75))),IF('TS-PILE'!$B$63="",-1E+99,'TO HOP NLAN'!D178/ncoc+IF(SUMSQ('TS-PILE'!$E$56:$E$75)=0,0,'TO HOP NLAN'!E178*'TS-PILE'!$E$63/SUMSQ('TS-PILE'!$E$56:$E$75))+IF(SUMSQ('TS-PILE'!$D$56:$D$75)=0,0,'TO HOP NLAN'!F178*'TS-PILE'!$D$63/SUMSQ('TS-PILE'!$D$56:$D$75))),IF('TS-PILE'!$B$64="",-1E+99,'TO HOP NLAN'!D178/ncoc+IF(SUMSQ('TS-PILE'!$E$56:$E$75)=0,0,'TO HOP NLAN'!E178*'TS-PILE'!$E$64/SUMSQ('TS-PILE'!$E$56:$E$75))+IF(SUMSQ('TS-PILE'!$D$56:$D$75)=0,0,'TO HOP NLAN'!F178*'TS-PILE'!$D$64/SUMSQ('TS-PILE'!$D$56:$D$75))),IF('TS-PILE'!$B$65="",-1E+99,'TO HOP NLAN'!D178/ncoc+IF(SUMSQ('TS-PILE'!$E$56:$E$75)=0,0,'TO HOP NLAN'!E178*'TS-PILE'!$E$65/SUMSQ('TS-PILE'!$E$56:$E$75))+IF(SUMSQ('TS-PILE'!$D$56:$D$75)=0,0,'TO HOP NLAN'!F178*'TS-PILE'!$D$65/SUMSQ('TS-PILE'!$D$56:$D$75))),IF('TS-PILE'!$B$66="",-1E+99,'TO HOP NLAN'!D178/ncoc+IF(SUMSQ('TS-PILE'!$E$56:$E$75)=0,0,'TO HOP NLAN'!E178*'TS-PILE'!$E$66/SUMSQ('TS-PILE'!$E$56:$E$75))+IF(SUMSQ('TS-PILE'!$D$56:$D$75)=0,0,'TO HOP NLAN'!F178*'TS-PILE'!$D$66/SUMSQ('TS-PILE'!$D$56:$D$75))),IF('TS-PILE'!$B$67="",-1E+99,'TO HOP NLAN'!D178/ncoc+IF(SUMSQ('TS-PILE'!$E$56:$E$75)=0,0,'TO HOP NLAN'!E178*'TS-PILE'!$E$67/SUMSQ('TS-PILE'!$E$56:$E$75))+IF(SUMSQ('TS-PILE'!$D$56:$D$75)=0,0,'TO HOP NLAN'!F178*'TS-PILE'!$D$67/SUMSQ('TS-PILE'!$D$56:$D$75))),IF('TS-PILE'!$B$68="",-1E+99,'TO HOP NLAN'!D178/ncoc+IF(SUMSQ('TS-PILE'!$E$56:$E$75)=0,0,'TO HOP NLAN'!E178*'TS-PILE'!$E$68/SUMSQ('TS-PILE'!$E$56:$E$75))+IF(SUMSQ('TS-PILE'!$D$56:$D$75)=0,0,'TO HOP NLAN'!F178*'TS-PILE'!$D$68/SUMSQ('TS-PILE'!$D$56:$D$75))),IF('TS-PILE'!$B$69="",-1E+99,'TO HOP NLAN'!D178/ncoc+IF(SUMSQ('TS-PILE'!$E$56:$E$75)=0,0,'TO HOP NLAN'!E178*'TS-PILE'!$E$69/SUMSQ('TS-PILE'!$E$56:$E$75))+IF(SUMSQ('TS-PILE'!$D$56:$D$75)=0,0,'TO HOP NLAN'!F178*'TS-PILE'!$D$69/SUMSQ('TS-PILE'!$D$56:$D$75))),IF('TS-PILE'!$B$70="",-1E+99,'TO HOP NLAN'!D178/ncoc+IF(SUMSQ('TS-PILE'!$E$56:$E$75)=0,0,'TO HOP NLAN'!E178*'TS-PILE'!$E$70/SUMSQ('TS-PILE'!$E$56:$E$75))+IF(SUMSQ('TS-PILE'!$D$56:$D$75)=0,0,'TO HOP NLAN'!F178*'TS-PILE'!$D$70/SUMSQ('TS-PILE'!$D$56:$D$75))),IF('TS-PILE'!$B$71="",-1E+99,'TO HOP NLAN'!D178/ncoc+IF(SUMSQ('TS-PILE'!$E$56:$E$75)=0,0,'TO HOP NLAN'!E178*'TS-PILE'!$E$71/SUMSQ('TS-PILE'!$E$56:$E$75))+IF(SUMSQ('TS-PILE'!$D$56:$D$75)=0,0,'TO HOP NLAN'!F178*'TS-PILE'!$D$71/SUMSQ('TS-PILE'!$D$56:$D$75))),IF('TS-PILE'!$B$72="",-1E+99,'TO HOP NLAN'!D178/ncoc+IF(SUMSQ('TS-PILE'!$E$56:$E$75)=0,0,'TO HOP NLAN'!E178*'TS-PILE'!$E$72/SUMSQ('TS-PILE'!$E$56:$E$75))+IF(SUMSQ('TS-PILE'!$D$56:$D$75)=0,0,'TO HOP NLAN'!F178*'TS-PILE'!$D$72/SUMSQ('TS-PILE'!$D$56:$D$75))),IF('TS-PILE'!$B$73="",-1E+99,'TO HOP NLAN'!D178/ncoc+IF(SUMSQ('TS-PILE'!$E$56:$E$75)=0,0,'TO HOP NLAN'!E178*'TS-PILE'!$E$73/SUMSQ('TS-PILE'!$E$56:$E$75))+IF(SUMSQ('TS-PILE'!$D$56:$D$75)=0,0,'TO HOP NLAN'!F178*'TS-PILE'!$D$73/SUMSQ('TS-PILE'!$D$56:$D$75))),IF('TS-PILE'!$B$74="",-1E+99,'TO HOP NLAN'!D178/ncoc+IF(SUMSQ('TS-PILE'!$E$56:$E$75)=0,0,'TO HOP NLAN'!E178*'TS-PILE'!$E$74/SUMSQ('TS-PILE'!$E$56:$E$75))+IF(SUMSQ('TS-PILE'!$D$56:$D$75)=0,0,'TO HOP NLAN'!F178*'TS-PILE'!$D$74/SUMSQ('TS-PILE'!$D$56:$D$75))),IF('TS-PILE'!$B$75="",-1E+99,'TO HOP NLAN'!D178/ncoc+IF(SUMSQ('TS-PILE'!$E$56:$E$75)=0,0,'TO HOP NLAN'!E178*'TS-PILE'!$E$75/SUMSQ('TS-PILE'!$E$56:$E$75))+IF(SUMSQ('TS-PILE'!$D$56:$D$75)=0,0,'TO HOP NLAN'!F178*'TS-PILE'!$D$75/SUMSQ('TS-PILE'!$D$56:$D$75)))))</f>
        <v>0</v>
      </c>
      <c r="D178" s="46">
        <f>IF(A178="",0,MIN(IF('TS-PILE'!$B$56="",1E+99,'TO HOP NLAN'!D178/ncoc+IF(SUMSQ('TS-PILE'!$E$56:$E$75)=0,0,'TO HOP NLAN'!E178*'TS-PILE'!$E$56/SUMSQ('TS-PILE'!$E$56:$E$75))+IF(SUMSQ('TS-PILE'!$D$56:$D$75)=0,0,'TO HOP NLAN'!F178*'TS-PILE'!$D$56/SUMSQ('TS-PILE'!$D$56:$D$75))),IF('TS-PILE'!$B$57="",1E+99,'TO HOP NLAN'!D178/ncoc+IF(SUMSQ('TS-PILE'!$E$56:$E$75)=0,0,'TO HOP NLAN'!E178*'TS-PILE'!$E$57/SUMSQ('TS-PILE'!$E$56:$E$75))+IF(SUMSQ('TS-PILE'!$D$56:$D$75)=0,0,'TO HOP NLAN'!F178*'TS-PILE'!$D$57/SUMSQ('TS-PILE'!$D$56:$D$75))),IF('TS-PILE'!$B$58="",1E+99,'TO HOP NLAN'!D178/ncoc+IF(SUMSQ('TS-PILE'!$E$56:$E$75)=0,0,'TO HOP NLAN'!E178*'TS-PILE'!$E$58/SUMSQ('TS-PILE'!$E$56:$E$75))+IF(SUMSQ('TS-PILE'!$D$56:$D$75)=0,0,'TO HOP NLAN'!F178*'TS-PILE'!$D$58/SUMSQ('TS-PILE'!$D$56:$D$75))),IF('TS-PILE'!$B$59="",1E+99,'TO HOP NLAN'!D178/ncoc+IF(SUMSQ('TS-PILE'!$E$56:$E$75)=0,0,'TO HOP NLAN'!E178*'TS-PILE'!$E$59/SUMSQ('TS-PILE'!$E$56:$E$75))+IF(SUMSQ('TS-PILE'!$D$56:$D$75)=0,0,'TO HOP NLAN'!F178*'TS-PILE'!$D$59/SUMSQ('TS-PILE'!$D$56:$D$75))),IF('TS-PILE'!$B$60="",1E+99,'TO HOP NLAN'!D178/ncoc+IF(SUMSQ('TS-PILE'!$E$56:$E$75)=0,0,'TO HOP NLAN'!E178*'TS-PILE'!$E$60/SUMSQ('TS-PILE'!$E$56:$E$75))+IF(SUMSQ('TS-PILE'!$D$56:$D$75)=0,0,'TO HOP NLAN'!F178*'TS-PILE'!$D$60/SUMSQ('TS-PILE'!$D$56:$D$75))),IF('TS-PILE'!$B$61="",1E+99,'TO HOP NLAN'!D178/ncoc+IF(SUMSQ('TS-PILE'!$E$56:$E$75)=0,0,'TO HOP NLAN'!E178*'TS-PILE'!$E$61/SUMSQ('TS-PILE'!$E$56:$E$75))+IF(SUMSQ('TS-PILE'!$D$56:$D$75)=0,0,'TO HOP NLAN'!F178*'TS-PILE'!$D$61/SUMSQ('TS-PILE'!$D$56:$D$75))),IF('TS-PILE'!$B$62="",1E+99,'TO HOP NLAN'!D178/ncoc+IF(SUMSQ('TS-PILE'!$E$56:$E$75)=0,0,'TO HOP NLAN'!E178*'TS-PILE'!$E$62/SUMSQ('TS-PILE'!$E$56:$E$75))+IF(SUMSQ('TS-PILE'!$D$56:$D$75)=0,0,'TO HOP NLAN'!F178*'TS-PILE'!$D$62/SUMSQ('TS-PILE'!$D$56:$D$75))),IF('TS-PILE'!$B$63="",1E+99,'TO HOP NLAN'!D178/ncoc+IF(SUMSQ('TS-PILE'!$E$56:$E$75)=0,0,'TO HOP NLAN'!E178*'TS-PILE'!$E$63/SUMSQ('TS-PILE'!$E$56:$E$75))+IF(SUMSQ('TS-PILE'!$D$56:$D$75)=0,0,'TO HOP NLAN'!F178*'TS-PILE'!$D$63/SUMSQ('TS-PILE'!$D$56:$D$75))),IF('TS-PILE'!$B$64="",1E+99,'TO HOP NLAN'!D178/ncoc+IF(SUMSQ('TS-PILE'!$E$56:$E$75)=0,0,'TO HOP NLAN'!E178*'TS-PILE'!$E$64/SUMSQ('TS-PILE'!$E$56:$E$75))+IF(SUMSQ('TS-PILE'!$D$56:$D$75)=0,0,'TO HOP NLAN'!F178*'TS-PILE'!$D$64/SUMSQ('TS-PILE'!$D$56:$D$75))),IF('TS-PILE'!$B$65="",1E+99,'TO HOP NLAN'!D178/ncoc+IF(SUMSQ('TS-PILE'!$E$56:$E$75)=0,0,'TO HOP NLAN'!E178*'TS-PILE'!$E$65/SUMSQ('TS-PILE'!$E$56:$E$75))+IF(SUMSQ('TS-PILE'!$D$56:$D$75)=0,0,'TO HOP NLAN'!F178*'TS-PILE'!$D$65/SUMSQ('TS-PILE'!$D$56:$D$75))),IF('TS-PILE'!$B$66="",1E+99,'TO HOP NLAN'!D178/ncoc+IF(SUMSQ('TS-PILE'!$E$56:$E$75)=0,0,'TO HOP NLAN'!E178*'TS-PILE'!$E$66/SUMSQ('TS-PILE'!$E$56:$E$75))+IF(SUMSQ('TS-PILE'!$D$56:$D$75)=0,0,'TO HOP NLAN'!F178*'TS-PILE'!$D$66/SUMSQ('TS-PILE'!$D$56:$D$75))),IF('TS-PILE'!$B$67="",1E+99,'TO HOP NLAN'!D178/ncoc+IF(SUMSQ('TS-PILE'!$E$56:$E$75)=0,0,'TO HOP NLAN'!E178*'TS-PILE'!$E$67/SUMSQ('TS-PILE'!$E$56:$E$75))+IF(SUMSQ('TS-PILE'!$D$56:$D$75)=0,0,'TO HOP NLAN'!F178*'TS-PILE'!$D$67/SUMSQ('TS-PILE'!$D$56:$D$75))),IF('TS-PILE'!$B$68="",1E+99,'TO HOP NLAN'!D178/ncoc+IF(SUMSQ('TS-PILE'!$E$56:$E$75)=0,0,'TO HOP NLAN'!E178*'TS-PILE'!$E$68/SUMSQ('TS-PILE'!$E$56:$E$75))+IF(SUMSQ('TS-PILE'!$D$56:$D$75)=0,0,'TO HOP NLAN'!F178*'TS-PILE'!$D$68/SUMSQ('TS-PILE'!$D$56:$D$75))),IF('TS-PILE'!$B$69="",1E+99,'TO HOP NLAN'!D178/ncoc+IF(SUMSQ('TS-PILE'!$E$56:$E$75)=0,0,'TO HOP NLAN'!E178*'TS-PILE'!$E$69/SUMSQ('TS-PILE'!$E$56:$E$75))+IF(SUMSQ('TS-PILE'!$D$56:$D$75)=0,0,'TO HOP NLAN'!F178*'TS-PILE'!$D$69/SUMSQ('TS-PILE'!$D$56:$D$75))),IF('TS-PILE'!$B$70="",1E+99,'TO HOP NLAN'!D178/ncoc+IF(SUMSQ('TS-PILE'!$E$56:$E$75)=0,0,'TO HOP NLAN'!E178*'TS-PILE'!$E$70/SUMSQ('TS-PILE'!$E$56:$E$75))+IF(SUMSQ('TS-PILE'!$D$56:$D$75)=0,0,'TO HOP NLAN'!F178*'TS-PILE'!$D$70/SUMSQ('TS-PILE'!$D$56:$D$75))),IF('TS-PILE'!$B$71="",1E+99,'TO HOP NLAN'!D178/ncoc+IF(SUMSQ('TS-PILE'!$E$56:$E$75)=0,0,'TO HOP NLAN'!E178*'TS-PILE'!$E$71/SUMSQ('TS-PILE'!$E$56:$E$75))+IF(SUMSQ('TS-PILE'!$D$56:$D$75)=0,0,'TO HOP NLAN'!F178*'TS-PILE'!$D$71/SUMSQ('TS-PILE'!$D$56:$D$75))),IF('TS-PILE'!$B$72="",1E+99,'TO HOP NLAN'!D178/ncoc+IF(SUMSQ('TS-PILE'!$E$56:$E$75)=0,0,'TO HOP NLAN'!E178*'TS-PILE'!$E$72/SUMSQ('TS-PILE'!$E$56:$E$75))+IF(SUMSQ('TS-PILE'!$D$56:$D$75)=0,0,'TO HOP NLAN'!F178*'TS-PILE'!$D$72/SUMSQ('TS-PILE'!$D$56:$D$75))),IF('TS-PILE'!$B$73="",1E+99,'TO HOP NLAN'!D178/ncoc+IF(SUMSQ('TS-PILE'!$E$56:$E$75)=0,0,'TO HOP NLAN'!E178*'TS-PILE'!$E$73/SUMSQ('TS-PILE'!$E$56:$E$75))+IF(SUMSQ('TS-PILE'!$D$56:$D$75)=0,0,'TO HOP NLAN'!F178*'TS-PILE'!$D$73/SUMSQ('TS-PILE'!$D$56:$D$75))),IF('TS-PILE'!$B$74="",1E+99,'TO HOP NLAN'!D178/ncoc+IF(SUMSQ('TS-PILE'!$E$56:$E$75)=0,0,'TO HOP NLAN'!E178*'TS-PILE'!$E$74/SUMSQ('TS-PILE'!$E$56:$E$75))+IF(SUMSQ('TS-PILE'!$D$56:$D$75)=0,0,'TO HOP NLAN'!F178*'TS-PILE'!$D$74/SUMSQ('TS-PILE'!$D$56:$D$75))),IF('TS-PILE'!$B$75="",1E+99,'TO HOP NLAN'!D178/ncoc+IF(SUMSQ('TS-PILE'!$E$56:$E$75)=0,0,'TO HOP NLAN'!E178*'TS-PILE'!$E$75/SUMSQ('TS-PILE'!$E$56:$E$75))+IF(SUMSQ('TS-PILE'!$D$56:$D$75)=0,0,'TO HOP NLAN'!F178*'TS-PILE'!$D$75/SUMSQ('TS-PILE'!$D$56:$D$75)))))</f>
        <v>0</v>
      </c>
      <c r="E178" s="46">
        <f t="shared" si="8"/>
        <v>-9.9999999999999997E+98</v>
      </c>
      <c r="F178" s="46">
        <f t="shared" si="9"/>
        <v>9.9999999999999997E+98</v>
      </c>
      <c r="G178" s="46">
        <f t="shared" si="10"/>
        <v>-9.9999999999999997E+98</v>
      </c>
      <c r="H178" s="46">
        <f t="shared" si="11"/>
        <v>9.9999999999999997E+98</v>
      </c>
    </row>
    <row r="179" spans="1:8" x14ac:dyDescent="0.3">
      <c r="A179" s="40" t="str">
        <f>'TO HOP NLAN'!A179</f>
        <v/>
      </c>
      <c r="B179" s="40" t="str">
        <f>'TO HOP NLAN'!L179</f>
        <v>STRENGTH</v>
      </c>
      <c r="C179" s="46">
        <f>IF(A179="",0,MAX(IF('TS-PILE'!$B$56="",-1E+99,'TO HOP NLAN'!D179/ncoc+IF(SUMSQ('TS-PILE'!$E$56:$E$75)=0,0,'TO HOP NLAN'!E179*'TS-PILE'!$E$56/SUMSQ('TS-PILE'!$E$56:$E$75))+IF(SUMSQ('TS-PILE'!$D$56:$D$75)=0,0,'TO HOP NLAN'!F179*'TS-PILE'!$D$56/SUMSQ('TS-PILE'!$D$56:$D$75))),IF('TS-PILE'!$B$57="",-1E+99,'TO HOP NLAN'!D179/ncoc+IF(SUMSQ('TS-PILE'!$E$56:$E$75)=0,0,'TO HOP NLAN'!E179*'TS-PILE'!$E$57/SUMSQ('TS-PILE'!$E$56:$E$75))+IF(SUMSQ('TS-PILE'!$D$56:$D$75)=0,0,'TO HOP NLAN'!F179*'TS-PILE'!$D$57/SUMSQ('TS-PILE'!$D$56:$D$75))),IF('TS-PILE'!$B$58="",-1E+99,'TO HOP NLAN'!D179/ncoc+IF(SUMSQ('TS-PILE'!$E$56:$E$75)=0,0,'TO HOP NLAN'!E179*'TS-PILE'!$E$58/SUMSQ('TS-PILE'!$E$56:$E$75))+IF(SUMSQ('TS-PILE'!$D$56:$D$75)=0,0,'TO HOP NLAN'!F179*'TS-PILE'!$D$58/SUMSQ('TS-PILE'!$D$56:$D$75))),IF('TS-PILE'!$B$59="",-1E+99,'TO HOP NLAN'!D179/ncoc+IF(SUMSQ('TS-PILE'!$E$56:$E$75)=0,0,'TO HOP NLAN'!E179*'TS-PILE'!$E$59/SUMSQ('TS-PILE'!$E$56:$E$75))+IF(SUMSQ('TS-PILE'!$D$56:$D$75)=0,0,'TO HOP NLAN'!F179*'TS-PILE'!$D$59/SUMSQ('TS-PILE'!$D$56:$D$75))),IF('TS-PILE'!$B$60="",-1E+99,'TO HOP NLAN'!D179/ncoc+IF(SUMSQ('TS-PILE'!$E$56:$E$75)=0,0,'TO HOP NLAN'!E179*'TS-PILE'!$E$60/SUMSQ('TS-PILE'!$E$56:$E$75))+IF(SUMSQ('TS-PILE'!$D$56:$D$75)=0,0,'TO HOP NLAN'!F179*'TS-PILE'!$D$60/SUMSQ('TS-PILE'!$D$56:$D$75))),IF('TS-PILE'!$B$61="",-1E+99,'TO HOP NLAN'!D179/ncoc+IF(SUMSQ('TS-PILE'!$E$56:$E$75)=0,0,'TO HOP NLAN'!E179*'TS-PILE'!$E$61/SUMSQ('TS-PILE'!$E$56:$E$75))+IF(SUMSQ('TS-PILE'!$D$56:$D$75)=0,0,'TO HOP NLAN'!F179*'TS-PILE'!$D$61/SUMSQ('TS-PILE'!$D$56:$D$75))),IF('TS-PILE'!$B$62="",-1E+99,'TO HOP NLAN'!D179/ncoc+IF(SUMSQ('TS-PILE'!$E$56:$E$75)=0,0,'TO HOP NLAN'!E179*'TS-PILE'!$E$62/SUMSQ('TS-PILE'!$E$56:$E$75))+IF(SUMSQ('TS-PILE'!$D$56:$D$75)=0,0,'TO HOP NLAN'!F179*'TS-PILE'!$D$62/SUMSQ('TS-PILE'!$D$56:$D$75))),IF('TS-PILE'!$B$63="",-1E+99,'TO HOP NLAN'!D179/ncoc+IF(SUMSQ('TS-PILE'!$E$56:$E$75)=0,0,'TO HOP NLAN'!E179*'TS-PILE'!$E$63/SUMSQ('TS-PILE'!$E$56:$E$75))+IF(SUMSQ('TS-PILE'!$D$56:$D$75)=0,0,'TO HOP NLAN'!F179*'TS-PILE'!$D$63/SUMSQ('TS-PILE'!$D$56:$D$75))),IF('TS-PILE'!$B$64="",-1E+99,'TO HOP NLAN'!D179/ncoc+IF(SUMSQ('TS-PILE'!$E$56:$E$75)=0,0,'TO HOP NLAN'!E179*'TS-PILE'!$E$64/SUMSQ('TS-PILE'!$E$56:$E$75))+IF(SUMSQ('TS-PILE'!$D$56:$D$75)=0,0,'TO HOP NLAN'!F179*'TS-PILE'!$D$64/SUMSQ('TS-PILE'!$D$56:$D$75))),IF('TS-PILE'!$B$65="",-1E+99,'TO HOP NLAN'!D179/ncoc+IF(SUMSQ('TS-PILE'!$E$56:$E$75)=0,0,'TO HOP NLAN'!E179*'TS-PILE'!$E$65/SUMSQ('TS-PILE'!$E$56:$E$75))+IF(SUMSQ('TS-PILE'!$D$56:$D$75)=0,0,'TO HOP NLAN'!F179*'TS-PILE'!$D$65/SUMSQ('TS-PILE'!$D$56:$D$75))),IF('TS-PILE'!$B$66="",-1E+99,'TO HOP NLAN'!D179/ncoc+IF(SUMSQ('TS-PILE'!$E$56:$E$75)=0,0,'TO HOP NLAN'!E179*'TS-PILE'!$E$66/SUMSQ('TS-PILE'!$E$56:$E$75))+IF(SUMSQ('TS-PILE'!$D$56:$D$75)=0,0,'TO HOP NLAN'!F179*'TS-PILE'!$D$66/SUMSQ('TS-PILE'!$D$56:$D$75))),IF('TS-PILE'!$B$67="",-1E+99,'TO HOP NLAN'!D179/ncoc+IF(SUMSQ('TS-PILE'!$E$56:$E$75)=0,0,'TO HOP NLAN'!E179*'TS-PILE'!$E$67/SUMSQ('TS-PILE'!$E$56:$E$75))+IF(SUMSQ('TS-PILE'!$D$56:$D$75)=0,0,'TO HOP NLAN'!F179*'TS-PILE'!$D$67/SUMSQ('TS-PILE'!$D$56:$D$75))),IF('TS-PILE'!$B$68="",-1E+99,'TO HOP NLAN'!D179/ncoc+IF(SUMSQ('TS-PILE'!$E$56:$E$75)=0,0,'TO HOP NLAN'!E179*'TS-PILE'!$E$68/SUMSQ('TS-PILE'!$E$56:$E$75))+IF(SUMSQ('TS-PILE'!$D$56:$D$75)=0,0,'TO HOP NLAN'!F179*'TS-PILE'!$D$68/SUMSQ('TS-PILE'!$D$56:$D$75))),IF('TS-PILE'!$B$69="",-1E+99,'TO HOP NLAN'!D179/ncoc+IF(SUMSQ('TS-PILE'!$E$56:$E$75)=0,0,'TO HOP NLAN'!E179*'TS-PILE'!$E$69/SUMSQ('TS-PILE'!$E$56:$E$75))+IF(SUMSQ('TS-PILE'!$D$56:$D$75)=0,0,'TO HOP NLAN'!F179*'TS-PILE'!$D$69/SUMSQ('TS-PILE'!$D$56:$D$75))),IF('TS-PILE'!$B$70="",-1E+99,'TO HOP NLAN'!D179/ncoc+IF(SUMSQ('TS-PILE'!$E$56:$E$75)=0,0,'TO HOP NLAN'!E179*'TS-PILE'!$E$70/SUMSQ('TS-PILE'!$E$56:$E$75))+IF(SUMSQ('TS-PILE'!$D$56:$D$75)=0,0,'TO HOP NLAN'!F179*'TS-PILE'!$D$70/SUMSQ('TS-PILE'!$D$56:$D$75))),IF('TS-PILE'!$B$71="",-1E+99,'TO HOP NLAN'!D179/ncoc+IF(SUMSQ('TS-PILE'!$E$56:$E$75)=0,0,'TO HOP NLAN'!E179*'TS-PILE'!$E$71/SUMSQ('TS-PILE'!$E$56:$E$75))+IF(SUMSQ('TS-PILE'!$D$56:$D$75)=0,0,'TO HOP NLAN'!F179*'TS-PILE'!$D$71/SUMSQ('TS-PILE'!$D$56:$D$75))),IF('TS-PILE'!$B$72="",-1E+99,'TO HOP NLAN'!D179/ncoc+IF(SUMSQ('TS-PILE'!$E$56:$E$75)=0,0,'TO HOP NLAN'!E179*'TS-PILE'!$E$72/SUMSQ('TS-PILE'!$E$56:$E$75))+IF(SUMSQ('TS-PILE'!$D$56:$D$75)=0,0,'TO HOP NLAN'!F179*'TS-PILE'!$D$72/SUMSQ('TS-PILE'!$D$56:$D$75))),IF('TS-PILE'!$B$73="",-1E+99,'TO HOP NLAN'!D179/ncoc+IF(SUMSQ('TS-PILE'!$E$56:$E$75)=0,0,'TO HOP NLAN'!E179*'TS-PILE'!$E$73/SUMSQ('TS-PILE'!$E$56:$E$75))+IF(SUMSQ('TS-PILE'!$D$56:$D$75)=0,0,'TO HOP NLAN'!F179*'TS-PILE'!$D$73/SUMSQ('TS-PILE'!$D$56:$D$75))),IF('TS-PILE'!$B$74="",-1E+99,'TO HOP NLAN'!D179/ncoc+IF(SUMSQ('TS-PILE'!$E$56:$E$75)=0,0,'TO HOP NLAN'!E179*'TS-PILE'!$E$74/SUMSQ('TS-PILE'!$E$56:$E$75))+IF(SUMSQ('TS-PILE'!$D$56:$D$75)=0,0,'TO HOP NLAN'!F179*'TS-PILE'!$D$74/SUMSQ('TS-PILE'!$D$56:$D$75))),IF('TS-PILE'!$B$75="",-1E+99,'TO HOP NLAN'!D179/ncoc+IF(SUMSQ('TS-PILE'!$E$56:$E$75)=0,0,'TO HOP NLAN'!E179*'TS-PILE'!$E$75/SUMSQ('TS-PILE'!$E$56:$E$75))+IF(SUMSQ('TS-PILE'!$D$56:$D$75)=0,0,'TO HOP NLAN'!F179*'TS-PILE'!$D$75/SUMSQ('TS-PILE'!$D$56:$D$75)))))</f>
        <v>0</v>
      </c>
      <c r="D179" s="46">
        <f>IF(A179="",0,MIN(IF('TS-PILE'!$B$56="",1E+99,'TO HOP NLAN'!D179/ncoc+IF(SUMSQ('TS-PILE'!$E$56:$E$75)=0,0,'TO HOP NLAN'!E179*'TS-PILE'!$E$56/SUMSQ('TS-PILE'!$E$56:$E$75))+IF(SUMSQ('TS-PILE'!$D$56:$D$75)=0,0,'TO HOP NLAN'!F179*'TS-PILE'!$D$56/SUMSQ('TS-PILE'!$D$56:$D$75))),IF('TS-PILE'!$B$57="",1E+99,'TO HOP NLAN'!D179/ncoc+IF(SUMSQ('TS-PILE'!$E$56:$E$75)=0,0,'TO HOP NLAN'!E179*'TS-PILE'!$E$57/SUMSQ('TS-PILE'!$E$56:$E$75))+IF(SUMSQ('TS-PILE'!$D$56:$D$75)=0,0,'TO HOP NLAN'!F179*'TS-PILE'!$D$57/SUMSQ('TS-PILE'!$D$56:$D$75))),IF('TS-PILE'!$B$58="",1E+99,'TO HOP NLAN'!D179/ncoc+IF(SUMSQ('TS-PILE'!$E$56:$E$75)=0,0,'TO HOP NLAN'!E179*'TS-PILE'!$E$58/SUMSQ('TS-PILE'!$E$56:$E$75))+IF(SUMSQ('TS-PILE'!$D$56:$D$75)=0,0,'TO HOP NLAN'!F179*'TS-PILE'!$D$58/SUMSQ('TS-PILE'!$D$56:$D$75))),IF('TS-PILE'!$B$59="",1E+99,'TO HOP NLAN'!D179/ncoc+IF(SUMSQ('TS-PILE'!$E$56:$E$75)=0,0,'TO HOP NLAN'!E179*'TS-PILE'!$E$59/SUMSQ('TS-PILE'!$E$56:$E$75))+IF(SUMSQ('TS-PILE'!$D$56:$D$75)=0,0,'TO HOP NLAN'!F179*'TS-PILE'!$D$59/SUMSQ('TS-PILE'!$D$56:$D$75))),IF('TS-PILE'!$B$60="",1E+99,'TO HOP NLAN'!D179/ncoc+IF(SUMSQ('TS-PILE'!$E$56:$E$75)=0,0,'TO HOP NLAN'!E179*'TS-PILE'!$E$60/SUMSQ('TS-PILE'!$E$56:$E$75))+IF(SUMSQ('TS-PILE'!$D$56:$D$75)=0,0,'TO HOP NLAN'!F179*'TS-PILE'!$D$60/SUMSQ('TS-PILE'!$D$56:$D$75))),IF('TS-PILE'!$B$61="",1E+99,'TO HOP NLAN'!D179/ncoc+IF(SUMSQ('TS-PILE'!$E$56:$E$75)=0,0,'TO HOP NLAN'!E179*'TS-PILE'!$E$61/SUMSQ('TS-PILE'!$E$56:$E$75))+IF(SUMSQ('TS-PILE'!$D$56:$D$75)=0,0,'TO HOP NLAN'!F179*'TS-PILE'!$D$61/SUMSQ('TS-PILE'!$D$56:$D$75))),IF('TS-PILE'!$B$62="",1E+99,'TO HOP NLAN'!D179/ncoc+IF(SUMSQ('TS-PILE'!$E$56:$E$75)=0,0,'TO HOP NLAN'!E179*'TS-PILE'!$E$62/SUMSQ('TS-PILE'!$E$56:$E$75))+IF(SUMSQ('TS-PILE'!$D$56:$D$75)=0,0,'TO HOP NLAN'!F179*'TS-PILE'!$D$62/SUMSQ('TS-PILE'!$D$56:$D$75))),IF('TS-PILE'!$B$63="",1E+99,'TO HOP NLAN'!D179/ncoc+IF(SUMSQ('TS-PILE'!$E$56:$E$75)=0,0,'TO HOP NLAN'!E179*'TS-PILE'!$E$63/SUMSQ('TS-PILE'!$E$56:$E$75))+IF(SUMSQ('TS-PILE'!$D$56:$D$75)=0,0,'TO HOP NLAN'!F179*'TS-PILE'!$D$63/SUMSQ('TS-PILE'!$D$56:$D$75))),IF('TS-PILE'!$B$64="",1E+99,'TO HOP NLAN'!D179/ncoc+IF(SUMSQ('TS-PILE'!$E$56:$E$75)=0,0,'TO HOP NLAN'!E179*'TS-PILE'!$E$64/SUMSQ('TS-PILE'!$E$56:$E$75))+IF(SUMSQ('TS-PILE'!$D$56:$D$75)=0,0,'TO HOP NLAN'!F179*'TS-PILE'!$D$64/SUMSQ('TS-PILE'!$D$56:$D$75))),IF('TS-PILE'!$B$65="",1E+99,'TO HOP NLAN'!D179/ncoc+IF(SUMSQ('TS-PILE'!$E$56:$E$75)=0,0,'TO HOP NLAN'!E179*'TS-PILE'!$E$65/SUMSQ('TS-PILE'!$E$56:$E$75))+IF(SUMSQ('TS-PILE'!$D$56:$D$75)=0,0,'TO HOP NLAN'!F179*'TS-PILE'!$D$65/SUMSQ('TS-PILE'!$D$56:$D$75))),IF('TS-PILE'!$B$66="",1E+99,'TO HOP NLAN'!D179/ncoc+IF(SUMSQ('TS-PILE'!$E$56:$E$75)=0,0,'TO HOP NLAN'!E179*'TS-PILE'!$E$66/SUMSQ('TS-PILE'!$E$56:$E$75))+IF(SUMSQ('TS-PILE'!$D$56:$D$75)=0,0,'TO HOP NLAN'!F179*'TS-PILE'!$D$66/SUMSQ('TS-PILE'!$D$56:$D$75))),IF('TS-PILE'!$B$67="",1E+99,'TO HOP NLAN'!D179/ncoc+IF(SUMSQ('TS-PILE'!$E$56:$E$75)=0,0,'TO HOP NLAN'!E179*'TS-PILE'!$E$67/SUMSQ('TS-PILE'!$E$56:$E$75))+IF(SUMSQ('TS-PILE'!$D$56:$D$75)=0,0,'TO HOP NLAN'!F179*'TS-PILE'!$D$67/SUMSQ('TS-PILE'!$D$56:$D$75))),IF('TS-PILE'!$B$68="",1E+99,'TO HOP NLAN'!D179/ncoc+IF(SUMSQ('TS-PILE'!$E$56:$E$75)=0,0,'TO HOP NLAN'!E179*'TS-PILE'!$E$68/SUMSQ('TS-PILE'!$E$56:$E$75))+IF(SUMSQ('TS-PILE'!$D$56:$D$75)=0,0,'TO HOP NLAN'!F179*'TS-PILE'!$D$68/SUMSQ('TS-PILE'!$D$56:$D$75))),IF('TS-PILE'!$B$69="",1E+99,'TO HOP NLAN'!D179/ncoc+IF(SUMSQ('TS-PILE'!$E$56:$E$75)=0,0,'TO HOP NLAN'!E179*'TS-PILE'!$E$69/SUMSQ('TS-PILE'!$E$56:$E$75))+IF(SUMSQ('TS-PILE'!$D$56:$D$75)=0,0,'TO HOP NLAN'!F179*'TS-PILE'!$D$69/SUMSQ('TS-PILE'!$D$56:$D$75))),IF('TS-PILE'!$B$70="",1E+99,'TO HOP NLAN'!D179/ncoc+IF(SUMSQ('TS-PILE'!$E$56:$E$75)=0,0,'TO HOP NLAN'!E179*'TS-PILE'!$E$70/SUMSQ('TS-PILE'!$E$56:$E$75))+IF(SUMSQ('TS-PILE'!$D$56:$D$75)=0,0,'TO HOP NLAN'!F179*'TS-PILE'!$D$70/SUMSQ('TS-PILE'!$D$56:$D$75))),IF('TS-PILE'!$B$71="",1E+99,'TO HOP NLAN'!D179/ncoc+IF(SUMSQ('TS-PILE'!$E$56:$E$75)=0,0,'TO HOP NLAN'!E179*'TS-PILE'!$E$71/SUMSQ('TS-PILE'!$E$56:$E$75))+IF(SUMSQ('TS-PILE'!$D$56:$D$75)=0,0,'TO HOP NLAN'!F179*'TS-PILE'!$D$71/SUMSQ('TS-PILE'!$D$56:$D$75))),IF('TS-PILE'!$B$72="",1E+99,'TO HOP NLAN'!D179/ncoc+IF(SUMSQ('TS-PILE'!$E$56:$E$75)=0,0,'TO HOP NLAN'!E179*'TS-PILE'!$E$72/SUMSQ('TS-PILE'!$E$56:$E$75))+IF(SUMSQ('TS-PILE'!$D$56:$D$75)=0,0,'TO HOP NLAN'!F179*'TS-PILE'!$D$72/SUMSQ('TS-PILE'!$D$56:$D$75))),IF('TS-PILE'!$B$73="",1E+99,'TO HOP NLAN'!D179/ncoc+IF(SUMSQ('TS-PILE'!$E$56:$E$75)=0,0,'TO HOP NLAN'!E179*'TS-PILE'!$E$73/SUMSQ('TS-PILE'!$E$56:$E$75))+IF(SUMSQ('TS-PILE'!$D$56:$D$75)=0,0,'TO HOP NLAN'!F179*'TS-PILE'!$D$73/SUMSQ('TS-PILE'!$D$56:$D$75))),IF('TS-PILE'!$B$74="",1E+99,'TO HOP NLAN'!D179/ncoc+IF(SUMSQ('TS-PILE'!$E$56:$E$75)=0,0,'TO HOP NLAN'!E179*'TS-PILE'!$E$74/SUMSQ('TS-PILE'!$E$56:$E$75))+IF(SUMSQ('TS-PILE'!$D$56:$D$75)=0,0,'TO HOP NLAN'!F179*'TS-PILE'!$D$74/SUMSQ('TS-PILE'!$D$56:$D$75))),IF('TS-PILE'!$B$75="",1E+99,'TO HOP NLAN'!D179/ncoc+IF(SUMSQ('TS-PILE'!$E$56:$E$75)=0,0,'TO HOP NLAN'!E179*'TS-PILE'!$E$75/SUMSQ('TS-PILE'!$E$56:$E$75))+IF(SUMSQ('TS-PILE'!$D$56:$D$75)=0,0,'TO HOP NLAN'!F179*'TS-PILE'!$D$75/SUMSQ('TS-PILE'!$D$56:$D$75)))))</f>
        <v>0</v>
      </c>
      <c r="E179" s="46">
        <f t="shared" si="8"/>
        <v>-9.9999999999999997E+98</v>
      </c>
      <c r="F179" s="46">
        <f t="shared" si="9"/>
        <v>9.9999999999999997E+98</v>
      </c>
      <c r="G179" s="46">
        <f t="shared" si="10"/>
        <v>-9.9999999999999997E+98</v>
      </c>
      <c r="H179" s="46">
        <f t="shared" si="11"/>
        <v>9.9999999999999997E+98</v>
      </c>
    </row>
    <row r="180" spans="1:8" x14ac:dyDescent="0.3">
      <c r="A180" s="40" t="str">
        <f>'TO HOP NLAN'!A180</f>
        <v/>
      </c>
      <c r="B180" s="40" t="str">
        <f>'TO HOP NLAN'!L180</f>
        <v>STRENGTH</v>
      </c>
      <c r="C180" s="46">
        <f>IF(A180="",0,MAX(IF('TS-PILE'!$B$56="",-1E+99,'TO HOP NLAN'!D180/ncoc+IF(SUMSQ('TS-PILE'!$E$56:$E$75)=0,0,'TO HOP NLAN'!E180*'TS-PILE'!$E$56/SUMSQ('TS-PILE'!$E$56:$E$75))+IF(SUMSQ('TS-PILE'!$D$56:$D$75)=0,0,'TO HOP NLAN'!F180*'TS-PILE'!$D$56/SUMSQ('TS-PILE'!$D$56:$D$75))),IF('TS-PILE'!$B$57="",-1E+99,'TO HOP NLAN'!D180/ncoc+IF(SUMSQ('TS-PILE'!$E$56:$E$75)=0,0,'TO HOP NLAN'!E180*'TS-PILE'!$E$57/SUMSQ('TS-PILE'!$E$56:$E$75))+IF(SUMSQ('TS-PILE'!$D$56:$D$75)=0,0,'TO HOP NLAN'!F180*'TS-PILE'!$D$57/SUMSQ('TS-PILE'!$D$56:$D$75))),IF('TS-PILE'!$B$58="",-1E+99,'TO HOP NLAN'!D180/ncoc+IF(SUMSQ('TS-PILE'!$E$56:$E$75)=0,0,'TO HOP NLAN'!E180*'TS-PILE'!$E$58/SUMSQ('TS-PILE'!$E$56:$E$75))+IF(SUMSQ('TS-PILE'!$D$56:$D$75)=0,0,'TO HOP NLAN'!F180*'TS-PILE'!$D$58/SUMSQ('TS-PILE'!$D$56:$D$75))),IF('TS-PILE'!$B$59="",-1E+99,'TO HOP NLAN'!D180/ncoc+IF(SUMSQ('TS-PILE'!$E$56:$E$75)=0,0,'TO HOP NLAN'!E180*'TS-PILE'!$E$59/SUMSQ('TS-PILE'!$E$56:$E$75))+IF(SUMSQ('TS-PILE'!$D$56:$D$75)=0,0,'TO HOP NLAN'!F180*'TS-PILE'!$D$59/SUMSQ('TS-PILE'!$D$56:$D$75))),IF('TS-PILE'!$B$60="",-1E+99,'TO HOP NLAN'!D180/ncoc+IF(SUMSQ('TS-PILE'!$E$56:$E$75)=0,0,'TO HOP NLAN'!E180*'TS-PILE'!$E$60/SUMSQ('TS-PILE'!$E$56:$E$75))+IF(SUMSQ('TS-PILE'!$D$56:$D$75)=0,0,'TO HOP NLAN'!F180*'TS-PILE'!$D$60/SUMSQ('TS-PILE'!$D$56:$D$75))),IF('TS-PILE'!$B$61="",-1E+99,'TO HOP NLAN'!D180/ncoc+IF(SUMSQ('TS-PILE'!$E$56:$E$75)=0,0,'TO HOP NLAN'!E180*'TS-PILE'!$E$61/SUMSQ('TS-PILE'!$E$56:$E$75))+IF(SUMSQ('TS-PILE'!$D$56:$D$75)=0,0,'TO HOP NLAN'!F180*'TS-PILE'!$D$61/SUMSQ('TS-PILE'!$D$56:$D$75))),IF('TS-PILE'!$B$62="",-1E+99,'TO HOP NLAN'!D180/ncoc+IF(SUMSQ('TS-PILE'!$E$56:$E$75)=0,0,'TO HOP NLAN'!E180*'TS-PILE'!$E$62/SUMSQ('TS-PILE'!$E$56:$E$75))+IF(SUMSQ('TS-PILE'!$D$56:$D$75)=0,0,'TO HOP NLAN'!F180*'TS-PILE'!$D$62/SUMSQ('TS-PILE'!$D$56:$D$75))),IF('TS-PILE'!$B$63="",-1E+99,'TO HOP NLAN'!D180/ncoc+IF(SUMSQ('TS-PILE'!$E$56:$E$75)=0,0,'TO HOP NLAN'!E180*'TS-PILE'!$E$63/SUMSQ('TS-PILE'!$E$56:$E$75))+IF(SUMSQ('TS-PILE'!$D$56:$D$75)=0,0,'TO HOP NLAN'!F180*'TS-PILE'!$D$63/SUMSQ('TS-PILE'!$D$56:$D$75))),IF('TS-PILE'!$B$64="",-1E+99,'TO HOP NLAN'!D180/ncoc+IF(SUMSQ('TS-PILE'!$E$56:$E$75)=0,0,'TO HOP NLAN'!E180*'TS-PILE'!$E$64/SUMSQ('TS-PILE'!$E$56:$E$75))+IF(SUMSQ('TS-PILE'!$D$56:$D$75)=0,0,'TO HOP NLAN'!F180*'TS-PILE'!$D$64/SUMSQ('TS-PILE'!$D$56:$D$75))),IF('TS-PILE'!$B$65="",-1E+99,'TO HOP NLAN'!D180/ncoc+IF(SUMSQ('TS-PILE'!$E$56:$E$75)=0,0,'TO HOP NLAN'!E180*'TS-PILE'!$E$65/SUMSQ('TS-PILE'!$E$56:$E$75))+IF(SUMSQ('TS-PILE'!$D$56:$D$75)=0,0,'TO HOP NLAN'!F180*'TS-PILE'!$D$65/SUMSQ('TS-PILE'!$D$56:$D$75))),IF('TS-PILE'!$B$66="",-1E+99,'TO HOP NLAN'!D180/ncoc+IF(SUMSQ('TS-PILE'!$E$56:$E$75)=0,0,'TO HOP NLAN'!E180*'TS-PILE'!$E$66/SUMSQ('TS-PILE'!$E$56:$E$75))+IF(SUMSQ('TS-PILE'!$D$56:$D$75)=0,0,'TO HOP NLAN'!F180*'TS-PILE'!$D$66/SUMSQ('TS-PILE'!$D$56:$D$75))),IF('TS-PILE'!$B$67="",-1E+99,'TO HOP NLAN'!D180/ncoc+IF(SUMSQ('TS-PILE'!$E$56:$E$75)=0,0,'TO HOP NLAN'!E180*'TS-PILE'!$E$67/SUMSQ('TS-PILE'!$E$56:$E$75))+IF(SUMSQ('TS-PILE'!$D$56:$D$75)=0,0,'TO HOP NLAN'!F180*'TS-PILE'!$D$67/SUMSQ('TS-PILE'!$D$56:$D$75))),IF('TS-PILE'!$B$68="",-1E+99,'TO HOP NLAN'!D180/ncoc+IF(SUMSQ('TS-PILE'!$E$56:$E$75)=0,0,'TO HOP NLAN'!E180*'TS-PILE'!$E$68/SUMSQ('TS-PILE'!$E$56:$E$75))+IF(SUMSQ('TS-PILE'!$D$56:$D$75)=0,0,'TO HOP NLAN'!F180*'TS-PILE'!$D$68/SUMSQ('TS-PILE'!$D$56:$D$75))),IF('TS-PILE'!$B$69="",-1E+99,'TO HOP NLAN'!D180/ncoc+IF(SUMSQ('TS-PILE'!$E$56:$E$75)=0,0,'TO HOP NLAN'!E180*'TS-PILE'!$E$69/SUMSQ('TS-PILE'!$E$56:$E$75))+IF(SUMSQ('TS-PILE'!$D$56:$D$75)=0,0,'TO HOP NLAN'!F180*'TS-PILE'!$D$69/SUMSQ('TS-PILE'!$D$56:$D$75))),IF('TS-PILE'!$B$70="",-1E+99,'TO HOP NLAN'!D180/ncoc+IF(SUMSQ('TS-PILE'!$E$56:$E$75)=0,0,'TO HOP NLAN'!E180*'TS-PILE'!$E$70/SUMSQ('TS-PILE'!$E$56:$E$75))+IF(SUMSQ('TS-PILE'!$D$56:$D$75)=0,0,'TO HOP NLAN'!F180*'TS-PILE'!$D$70/SUMSQ('TS-PILE'!$D$56:$D$75))),IF('TS-PILE'!$B$71="",-1E+99,'TO HOP NLAN'!D180/ncoc+IF(SUMSQ('TS-PILE'!$E$56:$E$75)=0,0,'TO HOP NLAN'!E180*'TS-PILE'!$E$71/SUMSQ('TS-PILE'!$E$56:$E$75))+IF(SUMSQ('TS-PILE'!$D$56:$D$75)=0,0,'TO HOP NLAN'!F180*'TS-PILE'!$D$71/SUMSQ('TS-PILE'!$D$56:$D$75))),IF('TS-PILE'!$B$72="",-1E+99,'TO HOP NLAN'!D180/ncoc+IF(SUMSQ('TS-PILE'!$E$56:$E$75)=0,0,'TO HOP NLAN'!E180*'TS-PILE'!$E$72/SUMSQ('TS-PILE'!$E$56:$E$75))+IF(SUMSQ('TS-PILE'!$D$56:$D$75)=0,0,'TO HOP NLAN'!F180*'TS-PILE'!$D$72/SUMSQ('TS-PILE'!$D$56:$D$75))),IF('TS-PILE'!$B$73="",-1E+99,'TO HOP NLAN'!D180/ncoc+IF(SUMSQ('TS-PILE'!$E$56:$E$75)=0,0,'TO HOP NLAN'!E180*'TS-PILE'!$E$73/SUMSQ('TS-PILE'!$E$56:$E$75))+IF(SUMSQ('TS-PILE'!$D$56:$D$75)=0,0,'TO HOP NLAN'!F180*'TS-PILE'!$D$73/SUMSQ('TS-PILE'!$D$56:$D$75))),IF('TS-PILE'!$B$74="",-1E+99,'TO HOP NLAN'!D180/ncoc+IF(SUMSQ('TS-PILE'!$E$56:$E$75)=0,0,'TO HOP NLAN'!E180*'TS-PILE'!$E$74/SUMSQ('TS-PILE'!$E$56:$E$75))+IF(SUMSQ('TS-PILE'!$D$56:$D$75)=0,0,'TO HOP NLAN'!F180*'TS-PILE'!$D$74/SUMSQ('TS-PILE'!$D$56:$D$75))),IF('TS-PILE'!$B$75="",-1E+99,'TO HOP NLAN'!D180/ncoc+IF(SUMSQ('TS-PILE'!$E$56:$E$75)=0,0,'TO HOP NLAN'!E180*'TS-PILE'!$E$75/SUMSQ('TS-PILE'!$E$56:$E$75))+IF(SUMSQ('TS-PILE'!$D$56:$D$75)=0,0,'TO HOP NLAN'!F180*'TS-PILE'!$D$75/SUMSQ('TS-PILE'!$D$56:$D$75)))))</f>
        <v>0</v>
      </c>
      <c r="D180" s="46">
        <f>IF(A180="",0,MIN(IF('TS-PILE'!$B$56="",1E+99,'TO HOP NLAN'!D180/ncoc+IF(SUMSQ('TS-PILE'!$E$56:$E$75)=0,0,'TO HOP NLAN'!E180*'TS-PILE'!$E$56/SUMSQ('TS-PILE'!$E$56:$E$75))+IF(SUMSQ('TS-PILE'!$D$56:$D$75)=0,0,'TO HOP NLAN'!F180*'TS-PILE'!$D$56/SUMSQ('TS-PILE'!$D$56:$D$75))),IF('TS-PILE'!$B$57="",1E+99,'TO HOP NLAN'!D180/ncoc+IF(SUMSQ('TS-PILE'!$E$56:$E$75)=0,0,'TO HOP NLAN'!E180*'TS-PILE'!$E$57/SUMSQ('TS-PILE'!$E$56:$E$75))+IF(SUMSQ('TS-PILE'!$D$56:$D$75)=0,0,'TO HOP NLAN'!F180*'TS-PILE'!$D$57/SUMSQ('TS-PILE'!$D$56:$D$75))),IF('TS-PILE'!$B$58="",1E+99,'TO HOP NLAN'!D180/ncoc+IF(SUMSQ('TS-PILE'!$E$56:$E$75)=0,0,'TO HOP NLAN'!E180*'TS-PILE'!$E$58/SUMSQ('TS-PILE'!$E$56:$E$75))+IF(SUMSQ('TS-PILE'!$D$56:$D$75)=0,0,'TO HOP NLAN'!F180*'TS-PILE'!$D$58/SUMSQ('TS-PILE'!$D$56:$D$75))),IF('TS-PILE'!$B$59="",1E+99,'TO HOP NLAN'!D180/ncoc+IF(SUMSQ('TS-PILE'!$E$56:$E$75)=0,0,'TO HOP NLAN'!E180*'TS-PILE'!$E$59/SUMSQ('TS-PILE'!$E$56:$E$75))+IF(SUMSQ('TS-PILE'!$D$56:$D$75)=0,0,'TO HOP NLAN'!F180*'TS-PILE'!$D$59/SUMSQ('TS-PILE'!$D$56:$D$75))),IF('TS-PILE'!$B$60="",1E+99,'TO HOP NLAN'!D180/ncoc+IF(SUMSQ('TS-PILE'!$E$56:$E$75)=0,0,'TO HOP NLAN'!E180*'TS-PILE'!$E$60/SUMSQ('TS-PILE'!$E$56:$E$75))+IF(SUMSQ('TS-PILE'!$D$56:$D$75)=0,0,'TO HOP NLAN'!F180*'TS-PILE'!$D$60/SUMSQ('TS-PILE'!$D$56:$D$75))),IF('TS-PILE'!$B$61="",1E+99,'TO HOP NLAN'!D180/ncoc+IF(SUMSQ('TS-PILE'!$E$56:$E$75)=0,0,'TO HOP NLAN'!E180*'TS-PILE'!$E$61/SUMSQ('TS-PILE'!$E$56:$E$75))+IF(SUMSQ('TS-PILE'!$D$56:$D$75)=0,0,'TO HOP NLAN'!F180*'TS-PILE'!$D$61/SUMSQ('TS-PILE'!$D$56:$D$75))),IF('TS-PILE'!$B$62="",1E+99,'TO HOP NLAN'!D180/ncoc+IF(SUMSQ('TS-PILE'!$E$56:$E$75)=0,0,'TO HOP NLAN'!E180*'TS-PILE'!$E$62/SUMSQ('TS-PILE'!$E$56:$E$75))+IF(SUMSQ('TS-PILE'!$D$56:$D$75)=0,0,'TO HOP NLAN'!F180*'TS-PILE'!$D$62/SUMSQ('TS-PILE'!$D$56:$D$75))),IF('TS-PILE'!$B$63="",1E+99,'TO HOP NLAN'!D180/ncoc+IF(SUMSQ('TS-PILE'!$E$56:$E$75)=0,0,'TO HOP NLAN'!E180*'TS-PILE'!$E$63/SUMSQ('TS-PILE'!$E$56:$E$75))+IF(SUMSQ('TS-PILE'!$D$56:$D$75)=0,0,'TO HOP NLAN'!F180*'TS-PILE'!$D$63/SUMSQ('TS-PILE'!$D$56:$D$75))),IF('TS-PILE'!$B$64="",1E+99,'TO HOP NLAN'!D180/ncoc+IF(SUMSQ('TS-PILE'!$E$56:$E$75)=0,0,'TO HOP NLAN'!E180*'TS-PILE'!$E$64/SUMSQ('TS-PILE'!$E$56:$E$75))+IF(SUMSQ('TS-PILE'!$D$56:$D$75)=0,0,'TO HOP NLAN'!F180*'TS-PILE'!$D$64/SUMSQ('TS-PILE'!$D$56:$D$75))),IF('TS-PILE'!$B$65="",1E+99,'TO HOP NLAN'!D180/ncoc+IF(SUMSQ('TS-PILE'!$E$56:$E$75)=0,0,'TO HOP NLAN'!E180*'TS-PILE'!$E$65/SUMSQ('TS-PILE'!$E$56:$E$75))+IF(SUMSQ('TS-PILE'!$D$56:$D$75)=0,0,'TO HOP NLAN'!F180*'TS-PILE'!$D$65/SUMSQ('TS-PILE'!$D$56:$D$75))),IF('TS-PILE'!$B$66="",1E+99,'TO HOP NLAN'!D180/ncoc+IF(SUMSQ('TS-PILE'!$E$56:$E$75)=0,0,'TO HOP NLAN'!E180*'TS-PILE'!$E$66/SUMSQ('TS-PILE'!$E$56:$E$75))+IF(SUMSQ('TS-PILE'!$D$56:$D$75)=0,0,'TO HOP NLAN'!F180*'TS-PILE'!$D$66/SUMSQ('TS-PILE'!$D$56:$D$75))),IF('TS-PILE'!$B$67="",1E+99,'TO HOP NLAN'!D180/ncoc+IF(SUMSQ('TS-PILE'!$E$56:$E$75)=0,0,'TO HOP NLAN'!E180*'TS-PILE'!$E$67/SUMSQ('TS-PILE'!$E$56:$E$75))+IF(SUMSQ('TS-PILE'!$D$56:$D$75)=0,0,'TO HOP NLAN'!F180*'TS-PILE'!$D$67/SUMSQ('TS-PILE'!$D$56:$D$75))),IF('TS-PILE'!$B$68="",1E+99,'TO HOP NLAN'!D180/ncoc+IF(SUMSQ('TS-PILE'!$E$56:$E$75)=0,0,'TO HOP NLAN'!E180*'TS-PILE'!$E$68/SUMSQ('TS-PILE'!$E$56:$E$75))+IF(SUMSQ('TS-PILE'!$D$56:$D$75)=0,0,'TO HOP NLAN'!F180*'TS-PILE'!$D$68/SUMSQ('TS-PILE'!$D$56:$D$75))),IF('TS-PILE'!$B$69="",1E+99,'TO HOP NLAN'!D180/ncoc+IF(SUMSQ('TS-PILE'!$E$56:$E$75)=0,0,'TO HOP NLAN'!E180*'TS-PILE'!$E$69/SUMSQ('TS-PILE'!$E$56:$E$75))+IF(SUMSQ('TS-PILE'!$D$56:$D$75)=0,0,'TO HOP NLAN'!F180*'TS-PILE'!$D$69/SUMSQ('TS-PILE'!$D$56:$D$75))),IF('TS-PILE'!$B$70="",1E+99,'TO HOP NLAN'!D180/ncoc+IF(SUMSQ('TS-PILE'!$E$56:$E$75)=0,0,'TO HOP NLAN'!E180*'TS-PILE'!$E$70/SUMSQ('TS-PILE'!$E$56:$E$75))+IF(SUMSQ('TS-PILE'!$D$56:$D$75)=0,0,'TO HOP NLAN'!F180*'TS-PILE'!$D$70/SUMSQ('TS-PILE'!$D$56:$D$75))),IF('TS-PILE'!$B$71="",1E+99,'TO HOP NLAN'!D180/ncoc+IF(SUMSQ('TS-PILE'!$E$56:$E$75)=0,0,'TO HOP NLAN'!E180*'TS-PILE'!$E$71/SUMSQ('TS-PILE'!$E$56:$E$75))+IF(SUMSQ('TS-PILE'!$D$56:$D$75)=0,0,'TO HOP NLAN'!F180*'TS-PILE'!$D$71/SUMSQ('TS-PILE'!$D$56:$D$75))),IF('TS-PILE'!$B$72="",1E+99,'TO HOP NLAN'!D180/ncoc+IF(SUMSQ('TS-PILE'!$E$56:$E$75)=0,0,'TO HOP NLAN'!E180*'TS-PILE'!$E$72/SUMSQ('TS-PILE'!$E$56:$E$75))+IF(SUMSQ('TS-PILE'!$D$56:$D$75)=0,0,'TO HOP NLAN'!F180*'TS-PILE'!$D$72/SUMSQ('TS-PILE'!$D$56:$D$75))),IF('TS-PILE'!$B$73="",1E+99,'TO HOP NLAN'!D180/ncoc+IF(SUMSQ('TS-PILE'!$E$56:$E$75)=0,0,'TO HOP NLAN'!E180*'TS-PILE'!$E$73/SUMSQ('TS-PILE'!$E$56:$E$75))+IF(SUMSQ('TS-PILE'!$D$56:$D$75)=0,0,'TO HOP NLAN'!F180*'TS-PILE'!$D$73/SUMSQ('TS-PILE'!$D$56:$D$75))),IF('TS-PILE'!$B$74="",1E+99,'TO HOP NLAN'!D180/ncoc+IF(SUMSQ('TS-PILE'!$E$56:$E$75)=0,0,'TO HOP NLAN'!E180*'TS-PILE'!$E$74/SUMSQ('TS-PILE'!$E$56:$E$75))+IF(SUMSQ('TS-PILE'!$D$56:$D$75)=0,0,'TO HOP NLAN'!F180*'TS-PILE'!$D$74/SUMSQ('TS-PILE'!$D$56:$D$75))),IF('TS-PILE'!$B$75="",1E+99,'TO HOP NLAN'!D180/ncoc+IF(SUMSQ('TS-PILE'!$E$56:$E$75)=0,0,'TO HOP NLAN'!E180*'TS-PILE'!$E$75/SUMSQ('TS-PILE'!$E$56:$E$75))+IF(SUMSQ('TS-PILE'!$D$56:$D$75)=0,0,'TO HOP NLAN'!F180*'TS-PILE'!$D$75/SUMSQ('TS-PILE'!$D$56:$D$75)))))</f>
        <v>0</v>
      </c>
      <c r="E180" s="46">
        <f t="shared" si="8"/>
        <v>-9.9999999999999997E+98</v>
      </c>
      <c r="F180" s="46">
        <f t="shared" si="9"/>
        <v>9.9999999999999997E+98</v>
      </c>
      <c r="G180" s="46">
        <f t="shared" si="10"/>
        <v>-9.9999999999999997E+98</v>
      </c>
      <c r="H180" s="46">
        <f t="shared" si="11"/>
        <v>9.9999999999999997E+98</v>
      </c>
    </row>
    <row r="181" spans="1:8" x14ac:dyDescent="0.3">
      <c r="A181" s="40" t="str">
        <f>'TO HOP NLAN'!A181</f>
        <v/>
      </c>
      <c r="B181" s="40" t="str">
        <f>'TO HOP NLAN'!L181</f>
        <v>STRENGTH</v>
      </c>
      <c r="C181" s="46">
        <f>IF(A181="",0,MAX(IF('TS-PILE'!$B$56="",-1E+99,'TO HOP NLAN'!D181/ncoc+IF(SUMSQ('TS-PILE'!$E$56:$E$75)=0,0,'TO HOP NLAN'!E181*'TS-PILE'!$E$56/SUMSQ('TS-PILE'!$E$56:$E$75))+IF(SUMSQ('TS-PILE'!$D$56:$D$75)=0,0,'TO HOP NLAN'!F181*'TS-PILE'!$D$56/SUMSQ('TS-PILE'!$D$56:$D$75))),IF('TS-PILE'!$B$57="",-1E+99,'TO HOP NLAN'!D181/ncoc+IF(SUMSQ('TS-PILE'!$E$56:$E$75)=0,0,'TO HOP NLAN'!E181*'TS-PILE'!$E$57/SUMSQ('TS-PILE'!$E$56:$E$75))+IF(SUMSQ('TS-PILE'!$D$56:$D$75)=0,0,'TO HOP NLAN'!F181*'TS-PILE'!$D$57/SUMSQ('TS-PILE'!$D$56:$D$75))),IF('TS-PILE'!$B$58="",-1E+99,'TO HOP NLAN'!D181/ncoc+IF(SUMSQ('TS-PILE'!$E$56:$E$75)=0,0,'TO HOP NLAN'!E181*'TS-PILE'!$E$58/SUMSQ('TS-PILE'!$E$56:$E$75))+IF(SUMSQ('TS-PILE'!$D$56:$D$75)=0,0,'TO HOP NLAN'!F181*'TS-PILE'!$D$58/SUMSQ('TS-PILE'!$D$56:$D$75))),IF('TS-PILE'!$B$59="",-1E+99,'TO HOP NLAN'!D181/ncoc+IF(SUMSQ('TS-PILE'!$E$56:$E$75)=0,0,'TO HOP NLAN'!E181*'TS-PILE'!$E$59/SUMSQ('TS-PILE'!$E$56:$E$75))+IF(SUMSQ('TS-PILE'!$D$56:$D$75)=0,0,'TO HOP NLAN'!F181*'TS-PILE'!$D$59/SUMSQ('TS-PILE'!$D$56:$D$75))),IF('TS-PILE'!$B$60="",-1E+99,'TO HOP NLAN'!D181/ncoc+IF(SUMSQ('TS-PILE'!$E$56:$E$75)=0,0,'TO HOP NLAN'!E181*'TS-PILE'!$E$60/SUMSQ('TS-PILE'!$E$56:$E$75))+IF(SUMSQ('TS-PILE'!$D$56:$D$75)=0,0,'TO HOP NLAN'!F181*'TS-PILE'!$D$60/SUMSQ('TS-PILE'!$D$56:$D$75))),IF('TS-PILE'!$B$61="",-1E+99,'TO HOP NLAN'!D181/ncoc+IF(SUMSQ('TS-PILE'!$E$56:$E$75)=0,0,'TO HOP NLAN'!E181*'TS-PILE'!$E$61/SUMSQ('TS-PILE'!$E$56:$E$75))+IF(SUMSQ('TS-PILE'!$D$56:$D$75)=0,0,'TO HOP NLAN'!F181*'TS-PILE'!$D$61/SUMSQ('TS-PILE'!$D$56:$D$75))),IF('TS-PILE'!$B$62="",-1E+99,'TO HOP NLAN'!D181/ncoc+IF(SUMSQ('TS-PILE'!$E$56:$E$75)=0,0,'TO HOP NLAN'!E181*'TS-PILE'!$E$62/SUMSQ('TS-PILE'!$E$56:$E$75))+IF(SUMSQ('TS-PILE'!$D$56:$D$75)=0,0,'TO HOP NLAN'!F181*'TS-PILE'!$D$62/SUMSQ('TS-PILE'!$D$56:$D$75))),IF('TS-PILE'!$B$63="",-1E+99,'TO HOP NLAN'!D181/ncoc+IF(SUMSQ('TS-PILE'!$E$56:$E$75)=0,0,'TO HOP NLAN'!E181*'TS-PILE'!$E$63/SUMSQ('TS-PILE'!$E$56:$E$75))+IF(SUMSQ('TS-PILE'!$D$56:$D$75)=0,0,'TO HOP NLAN'!F181*'TS-PILE'!$D$63/SUMSQ('TS-PILE'!$D$56:$D$75))),IF('TS-PILE'!$B$64="",-1E+99,'TO HOP NLAN'!D181/ncoc+IF(SUMSQ('TS-PILE'!$E$56:$E$75)=0,0,'TO HOP NLAN'!E181*'TS-PILE'!$E$64/SUMSQ('TS-PILE'!$E$56:$E$75))+IF(SUMSQ('TS-PILE'!$D$56:$D$75)=0,0,'TO HOP NLAN'!F181*'TS-PILE'!$D$64/SUMSQ('TS-PILE'!$D$56:$D$75))),IF('TS-PILE'!$B$65="",-1E+99,'TO HOP NLAN'!D181/ncoc+IF(SUMSQ('TS-PILE'!$E$56:$E$75)=0,0,'TO HOP NLAN'!E181*'TS-PILE'!$E$65/SUMSQ('TS-PILE'!$E$56:$E$75))+IF(SUMSQ('TS-PILE'!$D$56:$D$75)=0,0,'TO HOP NLAN'!F181*'TS-PILE'!$D$65/SUMSQ('TS-PILE'!$D$56:$D$75))),IF('TS-PILE'!$B$66="",-1E+99,'TO HOP NLAN'!D181/ncoc+IF(SUMSQ('TS-PILE'!$E$56:$E$75)=0,0,'TO HOP NLAN'!E181*'TS-PILE'!$E$66/SUMSQ('TS-PILE'!$E$56:$E$75))+IF(SUMSQ('TS-PILE'!$D$56:$D$75)=0,0,'TO HOP NLAN'!F181*'TS-PILE'!$D$66/SUMSQ('TS-PILE'!$D$56:$D$75))),IF('TS-PILE'!$B$67="",-1E+99,'TO HOP NLAN'!D181/ncoc+IF(SUMSQ('TS-PILE'!$E$56:$E$75)=0,0,'TO HOP NLAN'!E181*'TS-PILE'!$E$67/SUMSQ('TS-PILE'!$E$56:$E$75))+IF(SUMSQ('TS-PILE'!$D$56:$D$75)=0,0,'TO HOP NLAN'!F181*'TS-PILE'!$D$67/SUMSQ('TS-PILE'!$D$56:$D$75))),IF('TS-PILE'!$B$68="",-1E+99,'TO HOP NLAN'!D181/ncoc+IF(SUMSQ('TS-PILE'!$E$56:$E$75)=0,0,'TO HOP NLAN'!E181*'TS-PILE'!$E$68/SUMSQ('TS-PILE'!$E$56:$E$75))+IF(SUMSQ('TS-PILE'!$D$56:$D$75)=0,0,'TO HOP NLAN'!F181*'TS-PILE'!$D$68/SUMSQ('TS-PILE'!$D$56:$D$75))),IF('TS-PILE'!$B$69="",-1E+99,'TO HOP NLAN'!D181/ncoc+IF(SUMSQ('TS-PILE'!$E$56:$E$75)=0,0,'TO HOP NLAN'!E181*'TS-PILE'!$E$69/SUMSQ('TS-PILE'!$E$56:$E$75))+IF(SUMSQ('TS-PILE'!$D$56:$D$75)=0,0,'TO HOP NLAN'!F181*'TS-PILE'!$D$69/SUMSQ('TS-PILE'!$D$56:$D$75))),IF('TS-PILE'!$B$70="",-1E+99,'TO HOP NLAN'!D181/ncoc+IF(SUMSQ('TS-PILE'!$E$56:$E$75)=0,0,'TO HOP NLAN'!E181*'TS-PILE'!$E$70/SUMSQ('TS-PILE'!$E$56:$E$75))+IF(SUMSQ('TS-PILE'!$D$56:$D$75)=0,0,'TO HOP NLAN'!F181*'TS-PILE'!$D$70/SUMSQ('TS-PILE'!$D$56:$D$75))),IF('TS-PILE'!$B$71="",-1E+99,'TO HOP NLAN'!D181/ncoc+IF(SUMSQ('TS-PILE'!$E$56:$E$75)=0,0,'TO HOP NLAN'!E181*'TS-PILE'!$E$71/SUMSQ('TS-PILE'!$E$56:$E$75))+IF(SUMSQ('TS-PILE'!$D$56:$D$75)=0,0,'TO HOP NLAN'!F181*'TS-PILE'!$D$71/SUMSQ('TS-PILE'!$D$56:$D$75))),IF('TS-PILE'!$B$72="",-1E+99,'TO HOP NLAN'!D181/ncoc+IF(SUMSQ('TS-PILE'!$E$56:$E$75)=0,0,'TO HOP NLAN'!E181*'TS-PILE'!$E$72/SUMSQ('TS-PILE'!$E$56:$E$75))+IF(SUMSQ('TS-PILE'!$D$56:$D$75)=0,0,'TO HOP NLAN'!F181*'TS-PILE'!$D$72/SUMSQ('TS-PILE'!$D$56:$D$75))),IF('TS-PILE'!$B$73="",-1E+99,'TO HOP NLAN'!D181/ncoc+IF(SUMSQ('TS-PILE'!$E$56:$E$75)=0,0,'TO HOP NLAN'!E181*'TS-PILE'!$E$73/SUMSQ('TS-PILE'!$E$56:$E$75))+IF(SUMSQ('TS-PILE'!$D$56:$D$75)=0,0,'TO HOP NLAN'!F181*'TS-PILE'!$D$73/SUMSQ('TS-PILE'!$D$56:$D$75))),IF('TS-PILE'!$B$74="",-1E+99,'TO HOP NLAN'!D181/ncoc+IF(SUMSQ('TS-PILE'!$E$56:$E$75)=0,0,'TO HOP NLAN'!E181*'TS-PILE'!$E$74/SUMSQ('TS-PILE'!$E$56:$E$75))+IF(SUMSQ('TS-PILE'!$D$56:$D$75)=0,0,'TO HOP NLAN'!F181*'TS-PILE'!$D$74/SUMSQ('TS-PILE'!$D$56:$D$75))),IF('TS-PILE'!$B$75="",-1E+99,'TO HOP NLAN'!D181/ncoc+IF(SUMSQ('TS-PILE'!$E$56:$E$75)=0,0,'TO HOP NLAN'!E181*'TS-PILE'!$E$75/SUMSQ('TS-PILE'!$E$56:$E$75))+IF(SUMSQ('TS-PILE'!$D$56:$D$75)=0,0,'TO HOP NLAN'!F181*'TS-PILE'!$D$75/SUMSQ('TS-PILE'!$D$56:$D$75)))))</f>
        <v>0</v>
      </c>
      <c r="D181" s="46">
        <f>IF(A181="",0,MIN(IF('TS-PILE'!$B$56="",1E+99,'TO HOP NLAN'!D181/ncoc+IF(SUMSQ('TS-PILE'!$E$56:$E$75)=0,0,'TO HOP NLAN'!E181*'TS-PILE'!$E$56/SUMSQ('TS-PILE'!$E$56:$E$75))+IF(SUMSQ('TS-PILE'!$D$56:$D$75)=0,0,'TO HOP NLAN'!F181*'TS-PILE'!$D$56/SUMSQ('TS-PILE'!$D$56:$D$75))),IF('TS-PILE'!$B$57="",1E+99,'TO HOP NLAN'!D181/ncoc+IF(SUMSQ('TS-PILE'!$E$56:$E$75)=0,0,'TO HOP NLAN'!E181*'TS-PILE'!$E$57/SUMSQ('TS-PILE'!$E$56:$E$75))+IF(SUMSQ('TS-PILE'!$D$56:$D$75)=0,0,'TO HOP NLAN'!F181*'TS-PILE'!$D$57/SUMSQ('TS-PILE'!$D$56:$D$75))),IF('TS-PILE'!$B$58="",1E+99,'TO HOP NLAN'!D181/ncoc+IF(SUMSQ('TS-PILE'!$E$56:$E$75)=0,0,'TO HOP NLAN'!E181*'TS-PILE'!$E$58/SUMSQ('TS-PILE'!$E$56:$E$75))+IF(SUMSQ('TS-PILE'!$D$56:$D$75)=0,0,'TO HOP NLAN'!F181*'TS-PILE'!$D$58/SUMSQ('TS-PILE'!$D$56:$D$75))),IF('TS-PILE'!$B$59="",1E+99,'TO HOP NLAN'!D181/ncoc+IF(SUMSQ('TS-PILE'!$E$56:$E$75)=0,0,'TO HOP NLAN'!E181*'TS-PILE'!$E$59/SUMSQ('TS-PILE'!$E$56:$E$75))+IF(SUMSQ('TS-PILE'!$D$56:$D$75)=0,0,'TO HOP NLAN'!F181*'TS-PILE'!$D$59/SUMSQ('TS-PILE'!$D$56:$D$75))),IF('TS-PILE'!$B$60="",1E+99,'TO HOP NLAN'!D181/ncoc+IF(SUMSQ('TS-PILE'!$E$56:$E$75)=0,0,'TO HOP NLAN'!E181*'TS-PILE'!$E$60/SUMSQ('TS-PILE'!$E$56:$E$75))+IF(SUMSQ('TS-PILE'!$D$56:$D$75)=0,0,'TO HOP NLAN'!F181*'TS-PILE'!$D$60/SUMSQ('TS-PILE'!$D$56:$D$75))),IF('TS-PILE'!$B$61="",1E+99,'TO HOP NLAN'!D181/ncoc+IF(SUMSQ('TS-PILE'!$E$56:$E$75)=0,0,'TO HOP NLAN'!E181*'TS-PILE'!$E$61/SUMSQ('TS-PILE'!$E$56:$E$75))+IF(SUMSQ('TS-PILE'!$D$56:$D$75)=0,0,'TO HOP NLAN'!F181*'TS-PILE'!$D$61/SUMSQ('TS-PILE'!$D$56:$D$75))),IF('TS-PILE'!$B$62="",1E+99,'TO HOP NLAN'!D181/ncoc+IF(SUMSQ('TS-PILE'!$E$56:$E$75)=0,0,'TO HOP NLAN'!E181*'TS-PILE'!$E$62/SUMSQ('TS-PILE'!$E$56:$E$75))+IF(SUMSQ('TS-PILE'!$D$56:$D$75)=0,0,'TO HOP NLAN'!F181*'TS-PILE'!$D$62/SUMSQ('TS-PILE'!$D$56:$D$75))),IF('TS-PILE'!$B$63="",1E+99,'TO HOP NLAN'!D181/ncoc+IF(SUMSQ('TS-PILE'!$E$56:$E$75)=0,0,'TO HOP NLAN'!E181*'TS-PILE'!$E$63/SUMSQ('TS-PILE'!$E$56:$E$75))+IF(SUMSQ('TS-PILE'!$D$56:$D$75)=0,0,'TO HOP NLAN'!F181*'TS-PILE'!$D$63/SUMSQ('TS-PILE'!$D$56:$D$75))),IF('TS-PILE'!$B$64="",1E+99,'TO HOP NLAN'!D181/ncoc+IF(SUMSQ('TS-PILE'!$E$56:$E$75)=0,0,'TO HOP NLAN'!E181*'TS-PILE'!$E$64/SUMSQ('TS-PILE'!$E$56:$E$75))+IF(SUMSQ('TS-PILE'!$D$56:$D$75)=0,0,'TO HOP NLAN'!F181*'TS-PILE'!$D$64/SUMSQ('TS-PILE'!$D$56:$D$75))),IF('TS-PILE'!$B$65="",1E+99,'TO HOP NLAN'!D181/ncoc+IF(SUMSQ('TS-PILE'!$E$56:$E$75)=0,0,'TO HOP NLAN'!E181*'TS-PILE'!$E$65/SUMSQ('TS-PILE'!$E$56:$E$75))+IF(SUMSQ('TS-PILE'!$D$56:$D$75)=0,0,'TO HOP NLAN'!F181*'TS-PILE'!$D$65/SUMSQ('TS-PILE'!$D$56:$D$75))),IF('TS-PILE'!$B$66="",1E+99,'TO HOP NLAN'!D181/ncoc+IF(SUMSQ('TS-PILE'!$E$56:$E$75)=0,0,'TO HOP NLAN'!E181*'TS-PILE'!$E$66/SUMSQ('TS-PILE'!$E$56:$E$75))+IF(SUMSQ('TS-PILE'!$D$56:$D$75)=0,0,'TO HOP NLAN'!F181*'TS-PILE'!$D$66/SUMSQ('TS-PILE'!$D$56:$D$75))),IF('TS-PILE'!$B$67="",1E+99,'TO HOP NLAN'!D181/ncoc+IF(SUMSQ('TS-PILE'!$E$56:$E$75)=0,0,'TO HOP NLAN'!E181*'TS-PILE'!$E$67/SUMSQ('TS-PILE'!$E$56:$E$75))+IF(SUMSQ('TS-PILE'!$D$56:$D$75)=0,0,'TO HOP NLAN'!F181*'TS-PILE'!$D$67/SUMSQ('TS-PILE'!$D$56:$D$75))),IF('TS-PILE'!$B$68="",1E+99,'TO HOP NLAN'!D181/ncoc+IF(SUMSQ('TS-PILE'!$E$56:$E$75)=0,0,'TO HOP NLAN'!E181*'TS-PILE'!$E$68/SUMSQ('TS-PILE'!$E$56:$E$75))+IF(SUMSQ('TS-PILE'!$D$56:$D$75)=0,0,'TO HOP NLAN'!F181*'TS-PILE'!$D$68/SUMSQ('TS-PILE'!$D$56:$D$75))),IF('TS-PILE'!$B$69="",1E+99,'TO HOP NLAN'!D181/ncoc+IF(SUMSQ('TS-PILE'!$E$56:$E$75)=0,0,'TO HOP NLAN'!E181*'TS-PILE'!$E$69/SUMSQ('TS-PILE'!$E$56:$E$75))+IF(SUMSQ('TS-PILE'!$D$56:$D$75)=0,0,'TO HOP NLAN'!F181*'TS-PILE'!$D$69/SUMSQ('TS-PILE'!$D$56:$D$75))),IF('TS-PILE'!$B$70="",1E+99,'TO HOP NLAN'!D181/ncoc+IF(SUMSQ('TS-PILE'!$E$56:$E$75)=0,0,'TO HOP NLAN'!E181*'TS-PILE'!$E$70/SUMSQ('TS-PILE'!$E$56:$E$75))+IF(SUMSQ('TS-PILE'!$D$56:$D$75)=0,0,'TO HOP NLAN'!F181*'TS-PILE'!$D$70/SUMSQ('TS-PILE'!$D$56:$D$75))),IF('TS-PILE'!$B$71="",1E+99,'TO HOP NLAN'!D181/ncoc+IF(SUMSQ('TS-PILE'!$E$56:$E$75)=0,0,'TO HOP NLAN'!E181*'TS-PILE'!$E$71/SUMSQ('TS-PILE'!$E$56:$E$75))+IF(SUMSQ('TS-PILE'!$D$56:$D$75)=0,0,'TO HOP NLAN'!F181*'TS-PILE'!$D$71/SUMSQ('TS-PILE'!$D$56:$D$75))),IF('TS-PILE'!$B$72="",1E+99,'TO HOP NLAN'!D181/ncoc+IF(SUMSQ('TS-PILE'!$E$56:$E$75)=0,0,'TO HOP NLAN'!E181*'TS-PILE'!$E$72/SUMSQ('TS-PILE'!$E$56:$E$75))+IF(SUMSQ('TS-PILE'!$D$56:$D$75)=0,0,'TO HOP NLAN'!F181*'TS-PILE'!$D$72/SUMSQ('TS-PILE'!$D$56:$D$75))),IF('TS-PILE'!$B$73="",1E+99,'TO HOP NLAN'!D181/ncoc+IF(SUMSQ('TS-PILE'!$E$56:$E$75)=0,0,'TO HOP NLAN'!E181*'TS-PILE'!$E$73/SUMSQ('TS-PILE'!$E$56:$E$75))+IF(SUMSQ('TS-PILE'!$D$56:$D$75)=0,0,'TO HOP NLAN'!F181*'TS-PILE'!$D$73/SUMSQ('TS-PILE'!$D$56:$D$75))),IF('TS-PILE'!$B$74="",1E+99,'TO HOP NLAN'!D181/ncoc+IF(SUMSQ('TS-PILE'!$E$56:$E$75)=0,0,'TO HOP NLAN'!E181*'TS-PILE'!$E$74/SUMSQ('TS-PILE'!$E$56:$E$75))+IF(SUMSQ('TS-PILE'!$D$56:$D$75)=0,0,'TO HOP NLAN'!F181*'TS-PILE'!$D$74/SUMSQ('TS-PILE'!$D$56:$D$75))),IF('TS-PILE'!$B$75="",1E+99,'TO HOP NLAN'!D181/ncoc+IF(SUMSQ('TS-PILE'!$E$56:$E$75)=0,0,'TO HOP NLAN'!E181*'TS-PILE'!$E$75/SUMSQ('TS-PILE'!$E$56:$E$75))+IF(SUMSQ('TS-PILE'!$D$56:$D$75)=0,0,'TO HOP NLAN'!F181*'TS-PILE'!$D$75/SUMSQ('TS-PILE'!$D$56:$D$75)))))</f>
        <v>0</v>
      </c>
      <c r="E181" s="46">
        <f t="shared" si="8"/>
        <v>-9.9999999999999997E+98</v>
      </c>
      <c r="F181" s="46">
        <f t="shared" si="9"/>
        <v>9.9999999999999997E+98</v>
      </c>
      <c r="G181" s="46">
        <f t="shared" si="10"/>
        <v>-9.9999999999999997E+98</v>
      </c>
      <c r="H181" s="46">
        <f t="shared" si="11"/>
        <v>9.9999999999999997E+98</v>
      </c>
    </row>
    <row r="182" spans="1:8" x14ac:dyDescent="0.3">
      <c r="A182" s="40" t="str">
        <f>'TO HOP NLAN'!A182</f>
        <v/>
      </c>
      <c r="B182" s="40" t="str">
        <f>'TO HOP NLAN'!L182</f>
        <v>STRENGTH</v>
      </c>
      <c r="C182" s="46">
        <f>IF(A182="",0,MAX(IF('TS-PILE'!$B$56="",-1E+99,'TO HOP NLAN'!D182/ncoc+IF(SUMSQ('TS-PILE'!$E$56:$E$75)=0,0,'TO HOP NLAN'!E182*'TS-PILE'!$E$56/SUMSQ('TS-PILE'!$E$56:$E$75))+IF(SUMSQ('TS-PILE'!$D$56:$D$75)=0,0,'TO HOP NLAN'!F182*'TS-PILE'!$D$56/SUMSQ('TS-PILE'!$D$56:$D$75))),IF('TS-PILE'!$B$57="",-1E+99,'TO HOP NLAN'!D182/ncoc+IF(SUMSQ('TS-PILE'!$E$56:$E$75)=0,0,'TO HOP NLAN'!E182*'TS-PILE'!$E$57/SUMSQ('TS-PILE'!$E$56:$E$75))+IF(SUMSQ('TS-PILE'!$D$56:$D$75)=0,0,'TO HOP NLAN'!F182*'TS-PILE'!$D$57/SUMSQ('TS-PILE'!$D$56:$D$75))),IF('TS-PILE'!$B$58="",-1E+99,'TO HOP NLAN'!D182/ncoc+IF(SUMSQ('TS-PILE'!$E$56:$E$75)=0,0,'TO HOP NLAN'!E182*'TS-PILE'!$E$58/SUMSQ('TS-PILE'!$E$56:$E$75))+IF(SUMSQ('TS-PILE'!$D$56:$D$75)=0,0,'TO HOP NLAN'!F182*'TS-PILE'!$D$58/SUMSQ('TS-PILE'!$D$56:$D$75))),IF('TS-PILE'!$B$59="",-1E+99,'TO HOP NLAN'!D182/ncoc+IF(SUMSQ('TS-PILE'!$E$56:$E$75)=0,0,'TO HOP NLAN'!E182*'TS-PILE'!$E$59/SUMSQ('TS-PILE'!$E$56:$E$75))+IF(SUMSQ('TS-PILE'!$D$56:$D$75)=0,0,'TO HOP NLAN'!F182*'TS-PILE'!$D$59/SUMSQ('TS-PILE'!$D$56:$D$75))),IF('TS-PILE'!$B$60="",-1E+99,'TO HOP NLAN'!D182/ncoc+IF(SUMSQ('TS-PILE'!$E$56:$E$75)=0,0,'TO HOP NLAN'!E182*'TS-PILE'!$E$60/SUMSQ('TS-PILE'!$E$56:$E$75))+IF(SUMSQ('TS-PILE'!$D$56:$D$75)=0,0,'TO HOP NLAN'!F182*'TS-PILE'!$D$60/SUMSQ('TS-PILE'!$D$56:$D$75))),IF('TS-PILE'!$B$61="",-1E+99,'TO HOP NLAN'!D182/ncoc+IF(SUMSQ('TS-PILE'!$E$56:$E$75)=0,0,'TO HOP NLAN'!E182*'TS-PILE'!$E$61/SUMSQ('TS-PILE'!$E$56:$E$75))+IF(SUMSQ('TS-PILE'!$D$56:$D$75)=0,0,'TO HOP NLAN'!F182*'TS-PILE'!$D$61/SUMSQ('TS-PILE'!$D$56:$D$75))),IF('TS-PILE'!$B$62="",-1E+99,'TO HOP NLAN'!D182/ncoc+IF(SUMSQ('TS-PILE'!$E$56:$E$75)=0,0,'TO HOP NLAN'!E182*'TS-PILE'!$E$62/SUMSQ('TS-PILE'!$E$56:$E$75))+IF(SUMSQ('TS-PILE'!$D$56:$D$75)=0,0,'TO HOP NLAN'!F182*'TS-PILE'!$D$62/SUMSQ('TS-PILE'!$D$56:$D$75))),IF('TS-PILE'!$B$63="",-1E+99,'TO HOP NLAN'!D182/ncoc+IF(SUMSQ('TS-PILE'!$E$56:$E$75)=0,0,'TO HOP NLAN'!E182*'TS-PILE'!$E$63/SUMSQ('TS-PILE'!$E$56:$E$75))+IF(SUMSQ('TS-PILE'!$D$56:$D$75)=0,0,'TO HOP NLAN'!F182*'TS-PILE'!$D$63/SUMSQ('TS-PILE'!$D$56:$D$75))),IF('TS-PILE'!$B$64="",-1E+99,'TO HOP NLAN'!D182/ncoc+IF(SUMSQ('TS-PILE'!$E$56:$E$75)=0,0,'TO HOP NLAN'!E182*'TS-PILE'!$E$64/SUMSQ('TS-PILE'!$E$56:$E$75))+IF(SUMSQ('TS-PILE'!$D$56:$D$75)=0,0,'TO HOP NLAN'!F182*'TS-PILE'!$D$64/SUMSQ('TS-PILE'!$D$56:$D$75))),IF('TS-PILE'!$B$65="",-1E+99,'TO HOP NLAN'!D182/ncoc+IF(SUMSQ('TS-PILE'!$E$56:$E$75)=0,0,'TO HOP NLAN'!E182*'TS-PILE'!$E$65/SUMSQ('TS-PILE'!$E$56:$E$75))+IF(SUMSQ('TS-PILE'!$D$56:$D$75)=0,0,'TO HOP NLAN'!F182*'TS-PILE'!$D$65/SUMSQ('TS-PILE'!$D$56:$D$75))),IF('TS-PILE'!$B$66="",-1E+99,'TO HOP NLAN'!D182/ncoc+IF(SUMSQ('TS-PILE'!$E$56:$E$75)=0,0,'TO HOP NLAN'!E182*'TS-PILE'!$E$66/SUMSQ('TS-PILE'!$E$56:$E$75))+IF(SUMSQ('TS-PILE'!$D$56:$D$75)=0,0,'TO HOP NLAN'!F182*'TS-PILE'!$D$66/SUMSQ('TS-PILE'!$D$56:$D$75))),IF('TS-PILE'!$B$67="",-1E+99,'TO HOP NLAN'!D182/ncoc+IF(SUMSQ('TS-PILE'!$E$56:$E$75)=0,0,'TO HOP NLAN'!E182*'TS-PILE'!$E$67/SUMSQ('TS-PILE'!$E$56:$E$75))+IF(SUMSQ('TS-PILE'!$D$56:$D$75)=0,0,'TO HOP NLAN'!F182*'TS-PILE'!$D$67/SUMSQ('TS-PILE'!$D$56:$D$75))),IF('TS-PILE'!$B$68="",-1E+99,'TO HOP NLAN'!D182/ncoc+IF(SUMSQ('TS-PILE'!$E$56:$E$75)=0,0,'TO HOP NLAN'!E182*'TS-PILE'!$E$68/SUMSQ('TS-PILE'!$E$56:$E$75))+IF(SUMSQ('TS-PILE'!$D$56:$D$75)=0,0,'TO HOP NLAN'!F182*'TS-PILE'!$D$68/SUMSQ('TS-PILE'!$D$56:$D$75))),IF('TS-PILE'!$B$69="",-1E+99,'TO HOP NLAN'!D182/ncoc+IF(SUMSQ('TS-PILE'!$E$56:$E$75)=0,0,'TO HOP NLAN'!E182*'TS-PILE'!$E$69/SUMSQ('TS-PILE'!$E$56:$E$75))+IF(SUMSQ('TS-PILE'!$D$56:$D$75)=0,0,'TO HOP NLAN'!F182*'TS-PILE'!$D$69/SUMSQ('TS-PILE'!$D$56:$D$75))),IF('TS-PILE'!$B$70="",-1E+99,'TO HOP NLAN'!D182/ncoc+IF(SUMSQ('TS-PILE'!$E$56:$E$75)=0,0,'TO HOP NLAN'!E182*'TS-PILE'!$E$70/SUMSQ('TS-PILE'!$E$56:$E$75))+IF(SUMSQ('TS-PILE'!$D$56:$D$75)=0,0,'TO HOP NLAN'!F182*'TS-PILE'!$D$70/SUMSQ('TS-PILE'!$D$56:$D$75))),IF('TS-PILE'!$B$71="",-1E+99,'TO HOP NLAN'!D182/ncoc+IF(SUMSQ('TS-PILE'!$E$56:$E$75)=0,0,'TO HOP NLAN'!E182*'TS-PILE'!$E$71/SUMSQ('TS-PILE'!$E$56:$E$75))+IF(SUMSQ('TS-PILE'!$D$56:$D$75)=0,0,'TO HOP NLAN'!F182*'TS-PILE'!$D$71/SUMSQ('TS-PILE'!$D$56:$D$75))),IF('TS-PILE'!$B$72="",-1E+99,'TO HOP NLAN'!D182/ncoc+IF(SUMSQ('TS-PILE'!$E$56:$E$75)=0,0,'TO HOP NLAN'!E182*'TS-PILE'!$E$72/SUMSQ('TS-PILE'!$E$56:$E$75))+IF(SUMSQ('TS-PILE'!$D$56:$D$75)=0,0,'TO HOP NLAN'!F182*'TS-PILE'!$D$72/SUMSQ('TS-PILE'!$D$56:$D$75))),IF('TS-PILE'!$B$73="",-1E+99,'TO HOP NLAN'!D182/ncoc+IF(SUMSQ('TS-PILE'!$E$56:$E$75)=0,0,'TO HOP NLAN'!E182*'TS-PILE'!$E$73/SUMSQ('TS-PILE'!$E$56:$E$75))+IF(SUMSQ('TS-PILE'!$D$56:$D$75)=0,0,'TO HOP NLAN'!F182*'TS-PILE'!$D$73/SUMSQ('TS-PILE'!$D$56:$D$75))),IF('TS-PILE'!$B$74="",-1E+99,'TO HOP NLAN'!D182/ncoc+IF(SUMSQ('TS-PILE'!$E$56:$E$75)=0,0,'TO HOP NLAN'!E182*'TS-PILE'!$E$74/SUMSQ('TS-PILE'!$E$56:$E$75))+IF(SUMSQ('TS-PILE'!$D$56:$D$75)=0,0,'TO HOP NLAN'!F182*'TS-PILE'!$D$74/SUMSQ('TS-PILE'!$D$56:$D$75))),IF('TS-PILE'!$B$75="",-1E+99,'TO HOP NLAN'!D182/ncoc+IF(SUMSQ('TS-PILE'!$E$56:$E$75)=0,0,'TO HOP NLAN'!E182*'TS-PILE'!$E$75/SUMSQ('TS-PILE'!$E$56:$E$75))+IF(SUMSQ('TS-PILE'!$D$56:$D$75)=0,0,'TO HOP NLAN'!F182*'TS-PILE'!$D$75/SUMSQ('TS-PILE'!$D$56:$D$75)))))</f>
        <v>0</v>
      </c>
      <c r="D182" s="46">
        <f>IF(A182="",0,MIN(IF('TS-PILE'!$B$56="",1E+99,'TO HOP NLAN'!D182/ncoc+IF(SUMSQ('TS-PILE'!$E$56:$E$75)=0,0,'TO HOP NLAN'!E182*'TS-PILE'!$E$56/SUMSQ('TS-PILE'!$E$56:$E$75))+IF(SUMSQ('TS-PILE'!$D$56:$D$75)=0,0,'TO HOP NLAN'!F182*'TS-PILE'!$D$56/SUMSQ('TS-PILE'!$D$56:$D$75))),IF('TS-PILE'!$B$57="",1E+99,'TO HOP NLAN'!D182/ncoc+IF(SUMSQ('TS-PILE'!$E$56:$E$75)=0,0,'TO HOP NLAN'!E182*'TS-PILE'!$E$57/SUMSQ('TS-PILE'!$E$56:$E$75))+IF(SUMSQ('TS-PILE'!$D$56:$D$75)=0,0,'TO HOP NLAN'!F182*'TS-PILE'!$D$57/SUMSQ('TS-PILE'!$D$56:$D$75))),IF('TS-PILE'!$B$58="",1E+99,'TO HOP NLAN'!D182/ncoc+IF(SUMSQ('TS-PILE'!$E$56:$E$75)=0,0,'TO HOP NLAN'!E182*'TS-PILE'!$E$58/SUMSQ('TS-PILE'!$E$56:$E$75))+IF(SUMSQ('TS-PILE'!$D$56:$D$75)=0,0,'TO HOP NLAN'!F182*'TS-PILE'!$D$58/SUMSQ('TS-PILE'!$D$56:$D$75))),IF('TS-PILE'!$B$59="",1E+99,'TO HOP NLAN'!D182/ncoc+IF(SUMSQ('TS-PILE'!$E$56:$E$75)=0,0,'TO HOP NLAN'!E182*'TS-PILE'!$E$59/SUMSQ('TS-PILE'!$E$56:$E$75))+IF(SUMSQ('TS-PILE'!$D$56:$D$75)=0,0,'TO HOP NLAN'!F182*'TS-PILE'!$D$59/SUMSQ('TS-PILE'!$D$56:$D$75))),IF('TS-PILE'!$B$60="",1E+99,'TO HOP NLAN'!D182/ncoc+IF(SUMSQ('TS-PILE'!$E$56:$E$75)=0,0,'TO HOP NLAN'!E182*'TS-PILE'!$E$60/SUMSQ('TS-PILE'!$E$56:$E$75))+IF(SUMSQ('TS-PILE'!$D$56:$D$75)=0,0,'TO HOP NLAN'!F182*'TS-PILE'!$D$60/SUMSQ('TS-PILE'!$D$56:$D$75))),IF('TS-PILE'!$B$61="",1E+99,'TO HOP NLAN'!D182/ncoc+IF(SUMSQ('TS-PILE'!$E$56:$E$75)=0,0,'TO HOP NLAN'!E182*'TS-PILE'!$E$61/SUMSQ('TS-PILE'!$E$56:$E$75))+IF(SUMSQ('TS-PILE'!$D$56:$D$75)=0,0,'TO HOP NLAN'!F182*'TS-PILE'!$D$61/SUMSQ('TS-PILE'!$D$56:$D$75))),IF('TS-PILE'!$B$62="",1E+99,'TO HOP NLAN'!D182/ncoc+IF(SUMSQ('TS-PILE'!$E$56:$E$75)=0,0,'TO HOP NLAN'!E182*'TS-PILE'!$E$62/SUMSQ('TS-PILE'!$E$56:$E$75))+IF(SUMSQ('TS-PILE'!$D$56:$D$75)=0,0,'TO HOP NLAN'!F182*'TS-PILE'!$D$62/SUMSQ('TS-PILE'!$D$56:$D$75))),IF('TS-PILE'!$B$63="",1E+99,'TO HOP NLAN'!D182/ncoc+IF(SUMSQ('TS-PILE'!$E$56:$E$75)=0,0,'TO HOP NLAN'!E182*'TS-PILE'!$E$63/SUMSQ('TS-PILE'!$E$56:$E$75))+IF(SUMSQ('TS-PILE'!$D$56:$D$75)=0,0,'TO HOP NLAN'!F182*'TS-PILE'!$D$63/SUMSQ('TS-PILE'!$D$56:$D$75))),IF('TS-PILE'!$B$64="",1E+99,'TO HOP NLAN'!D182/ncoc+IF(SUMSQ('TS-PILE'!$E$56:$E$75)=0,0,'TO HOP NLAN'!E182*'TS-PILE'!$E$64/SUMSQ('TS-PILE'!$E$56:$E$75))+IF(SUMSQ('TS-PILE'!$D$56:$D$75)=0,0,'TO HOP NLAN'!F182*'TS-PILE'!$D$64/SUMSQ('TS-PILE'!$D$56:$D$75))),IF('TS-PILE'!$B$65="",1E+99,'TO HOP NLAN'!D182/ncoc+IF(SUMSQ('TS-PILE'!$E$56:$E$75)=0,0,'TO HOP NLAN'!E182*'TS-PILE'!$E$65/SUMSQ('TS-PILE'!$E$56:$E$75))+IF(SUMSQ('TS-PILE'!$D$56:$D$75)=0,0,'TO HOP NLAN'!F182*'TS-PILE'!$D$65/SUMSQ('TS-PILE'!$D$56:$D$75))),IF('TS-PILE'!$B$66="",1E+99,'TO HOP NLAN'!D182/ncoc+IF(SUMSQ('TS-PILE'!$E$56:$E$75)=0,0,'TO HOP NLAN'!E182*'TS-PILE'!$E$66/SUMSQ('TS-PILE'!$E$56:$E$75))+IF(SUMSQ('TS-PILE'!$D$56:$D$75)=0,0,'TO HOP NLAN'!F182*'TS-PILE'!$D$66/SUMSQ('TS-PILE'!$D$56:$D$75))),IF('TS-PILE'!$B$67="",1E+99,'TO HOP NLAN'!D182/ncoc+IF(SUMSQ('TS-PILE'!$E$56:$E$75)=0,0,'TO HOP NLAN'!E182*'TS-PILE'!$E$67/SUMSQ('TS-PILE'!$E$56:$E$75))+IF(SUMSQ('TS-PILE'!$D$56:$D$75)=0,0,'TO HOP NLAN'!F182*'TS-PILE'!$D$67/SUMSQ('TS-PILE'!$D$56:$D$75))),IF('TS-PILE'!$B$68="",1E+99,'TO HOP NLAN'!D182/ncoc+IF(SUMSQ('TS-PILE'!$E$56:$E$75)=0,0,'TO HOP NLAN'!E182*'TS-PILE'!$E$68/SUMSQ('TS-PILE'!$E$56:$E$75))+IF(SUMSQ('TS-PILE'!$D$56:$D$75)=0,0,'TO HOP NLAN'!F182*'TS-PILE'!$D$68/SUMSQ('TS-PILE'!$D$56:$D$75))),IF('TS-PILE'!$B$69="",1E+99,'TO HOP NLAN'!D182/ncoc+IF(SUMSQ('TS-PILE'!$E$56:$E$75)=0,0,'TO HOP NLAN'!E182*'TS-PILE'!$E$69/SUMSQ('TS-PILE'!$E$56:$E$75))+IF(SUMSQ('TS-PILE'!$D$56:$D$75)=0,0,'TO HOP NLAN'!F182*'TS-PILE'!$D$69/SUMSQ('TS-PILE'!$D$56:$D$75))),IF('TS-PILE'!$B$70="",1E+99,'TO HOP NLAN'!D182/ncoc+IF(SUMSQ('TS-PILE'!$E$56:$E$75)=0,0,'TO HOP NLAN'!E182*'TS-PILE'!$E$70/SUMSQ('TS-PILE'!$E$56:$E$75))+IF(SUMSQ('TS-PILE'!$D$56:$D$75)=0,0,'TO HOP NLAN'!F182*'TS-PILE'!$D$70/SUMSQ('TS-PILE'!$D$56:$D$75))),IF('TS-PILE'!$B$71="",1E+99,'TO HOP NLAN'!D182/ncoc+IF(SUMSQ('TS-PILE'!$E$56:$E$75)=0,0,'TO HOP NLAN'!E182*'TS-PILE'!$E$71/SUMSQ('TS-PILE'!$E$56:$E$75))+IF(SUMSQ('TS-PILE'!$D$56:$D$75)=0,0,'TO HOP NLAN'!F182*'TS-PILE'!$D$71/SUMSQ('TS-PILE'!$D$56:$D$75))),IF('TS-PILE'!$B$72="",1E+99,'TO HOP NLAN'!D182/ncoc+IF(SUMSQ('TS-PILE'!$E$56:$E$75)=0,0,'TO HOP NLAN'!E182*'TS-PILE'!$E$72/SUMSQ('TS-PILE'!$E$56:$E$75))+IF(SUMSQ('TS-PILE'!$D$56:$D$75)=0,0,'TO HOP NLAN'!F182*'TS-PILE'!$D$72/SUMSQ('TS-PILE'!$D$56:$D$75))),IF('TS-PILE'!$B$73="",1E+99,'TO HOP NLAN'!D182/ncoc+IF(SUMSQ('TS-PILE'!$E$56:$E$75)=0,0,'TO HOP NLAN'!E182*'TS-PILE'!$E$73/SUMSQ('TS-PILE'!$E$56:$E$75))+IF(SUMSQ('TS-PILE'!$D$56:$D$75)=0,0,'TO HOP NLAN'!F182*'TS-PILE'!$D$73/SUMSQ('TS-PILE'!$D$56:$D$75))),IF('TS-PILE'!$B$74="",1E+99,'TO HOP NLAN'!D182/ncoc+IF(SUMSQ('TS-PILE'!$E$56:$E$75)=0,0,'TO HOP NLAN'!E182*'TS-PILE'!$E$74/SUMSQ('TS-PILE'!$E$56:$E$75))+IF(SUMSQ('TS-PILE'!$D$56:$D$75)=0,0,'TO HOP NLAN'!F182*'TS-PILE'!$D$74/SUMSQ('TS-PILE'!$D$56:$D$75))),IF('TS-PILE'!$B$75="",1E+99,'TO HOP NLAN'!D182/ncoc+IF(SUMSQ('TS-PILE'!$E$56:$E$75)=0,0,'TO HOP NLAN'!E182*'TS-PILE'!$E$75/SUMSQ('TS-PILE'!$E$56:$E$75))+IF(SUMSQ('TS-PILE'!$D$56:$D$75)=0,0,'TO HOP NLAN'!F182*'TS-PILE'!$D$75/SUMSQ('TS-PILE'!$D$56:$D$75)))))</f>
        <v>0</v>
      </c>
      <c r="E182" s="46">
        <f t="shared" si="8"/>
        <v>-9.9999999999999997E+98</v>
      </c>
      <c r="F182" s="46">
        <f t="shared" si="9"/>
        <v>9.9999999999999997E+98</v>
      </c>
      <c r="G182" s="46">
        <f t="shared" si="10"/>
        <v>-9.9999999999999997E+98</v>
      </c>
      <c r="H182" s="46">
        <f t="shared" si="11"/>
        <v>9.9999999999999997E+98</v>
      </c>
    </row>
    <row r="183" spans="1:8" x14ac:dyDescent="0.3">
      <c r="A183" s="40" t="str">
        <f>'TO HOP NLAN'!A183</f>
        <v/>
      </c>
      <c r="B183" s="40" t="str">
        <f>'TO HOP NLAN'!L183</f>
        <v>STRENGTH</v>
      </c>
      <c r="C183" s="46">
        <f>IF(A183="",0,MAX(IF('TS-PILE'!$B$56="",-1E+99,'TO HOP NLAN'!D183/ncoc+IF(SUMSQ('TS-PILE'!$E$56:$E$75)=0,0,'TO HOP NLAN'!E183*'TS-PILE'!$E$56/SUMSQ('TS-PILE'!$E$56:$E$75))+IF(SUMSQ('TS-PILE'!$D$56:$D$75)=0,0,'TO HOP NLAN'!F183*'TS-PILE'!$D$56/SUMSQ('TS-PILE'!$D$56:$D$75))),IF('TS-PILE'!$B$57="",-1E+99,'TO HOP NLAN'!D183/ncoc+IF(SUMSQ('TS-PILE'!$E$56:$E$75)=0,0,'TO HOP NLAN'!E183*'TS-PILE'!$E$57/SUMSQ('TS-PILE'!$E$56:$E$75))+IF(SUMSQ('TS-PILE'!$D$56:$D$75)=0,0,'TO HOP NLAN'!F183*'TS-PILE'!$D$57/SUMSQ('TS-PILE'!$D$56:$D$75))),IF('TS-PILE'!$B$58="",-1E+99,'TO HOP NLAN'!D183/ncoc+IF(SUMSQ('TS-PILE'!$E$56:$E$75)=0,0,'TO HOP NLAN'!E183*'TS-PILE'!$E$58/SUMSQ('TS-PILE'!$E$56:$E$75))+IF(SUMSQ('TS-PILE'!$D$56:$D$75)=0,0,'TO HOP NLAN'!F183*'TS-PILE'!$D$58/SUMSQ('TS-PILE'!$D$56:$D$75))),IF('TS-PILE'!$B$59="",-1E+99,'TO HOP NLAN'!D183/ncoc+IF(SUMSQ('TS-PILE'!$E$56:$E$75)=0,0,'TO HOP NLAN'!E183*'TS-PILE'!$E$59/SUMSQ('TS-PILE'!$E$56:$E$75))+IF(SUMSQ('TS-PILE'!$D$56:$D$75)=0,0,'TO HOP NLAN'!F183*'TS-PILE'!$D$59/SUMSQ('TS-PILE'!$D$56:$D$75))),IF('TS-PILE'!$B$60="",-1E+99,'TO HOP NLAN'!D183/ncoc+IF(SUMSQ('TS-PILE'!$E$56:$E$75)=0,0,'TO HOP NLAN'!E183*'TS-PILE'!$E$60/SUMSQ('TS-PILE'!$E$56:$E$75))+IF(SUMSQ('TS-PILE'!$D$56:$D$75)=0,0,'TO HOP NLAN'!F183*'TS-PILE'!$D$60/SUMSQ('TS-PILE'!$D$56:$D$75))),IF('TS-PILE'!$B$61="",-1E+99,'TO HOP NLAN'!D183/ncoc+IF(SUMSQ('TS-PILE'!$E$56:$E$75)=0,0,'TO HOP NLAN'!E183*'TS-PILE'!$E$61/SUMSQ('TS-PILE'!$E$56:$E$75))+IF(SUMSQ('TS-PILE'!$D$56:$D$75)=0,0,'TO HOP NLAN'!F183*'TS-PILE'!$D$61/SUMSQ('TS-PILE'!$D$56:$D$75))),IF('TS-PILE'!$B$62="",-1E+99,'TO HOP NLAN'!D183/ncoc+IF(SUMSQ('TS-PILE'!$E$56:$E$75)=0,0,'TO HOP NLAN'!E183*'TS-PILE'!$E$62/SUMSQ('TS-PILE'!$E$56:$E$75))+IF(SUMSQ('TS-PILE'!$D$56:$D$75)=0,0,'TO HOP NLAN'!F183*'TS-PILE'!$D$62/SUMSQ('TS-PILE'!$D$56:$D$75))),IF('TS-PILE'!$B$63="",-1E+99,'TO HOP NLAN'!D183/ncoc+IF(SUMSQ('TS-PILE'!$E$56:$E$75)=0,0,'TO HOP NLAN'!E183*'TS-PILE'!$E$63/SUMSQ('TS-PILE'!$E$56:$E$75))+IF(SUMSQ('TS-PILE'!$D$56:$D$75)=0,0,'TO HOP NLAN'!F183*'TS-PILE'!$D$63/SUMSQ('TS-PILE'!$D$56:$D$75))),IF('TS-PILE'!$B$64="",-1E+99,'TO HOP NLAN'!D183/ncoc+IF(SUMSQ('TS-PILE'!$E$56:$E$75)=0,0,'TO HOP NLAN'!E183*'TS-PILE'!$E$64/SUMSQ('TS-PILE'!$E$56:$E$75))+IF(SUMSQ('TS-PILE'!$D$56:$D$75)=0,0,'TO HOP NLAN'!F183*'TS-PILE'!$D$64/SUMSQ('TS-PILE'!$D$56:$D$75))),IF('TS-PILE'!$B$65="",-1E+99,'TO HOP NLAN'!D183/ncoc+IF(SUMSQ('TS-PILE'!$E$56:$E$75)=0,0,'TO HOP NLAN'!E183*'TS-PILE'!$E$65/SUMSQ('TS-PILE'!$E$56:$E$75))+IF(SUMSQ('TS-PILE'!$D$56:$D$75)=0,0,'TO HOP NLAN'!F183*'TS-PILE'!$D$65/SUMSQ('TS-PILE'!$D$56:$D$75))),IF('TS-PILE'!$B$66="",-1E+99,'TO HOP NLAN'!D183/ncoc+IF(SUMSQ('TS-PILE'!$E$56:$E$75)=0,0,'TO HOP NLAN'!E183*'TS-PILE'!$E$66/SUMSQ('TS-PILE'!$E$56:$E$75))+IF(SUMSQ('TS-PILE'!$D$56:$D$75)=0,0,'TO HOP NLAN'!F183*'TS-PILE'!$D$66/SUMSQ('TS-PILE'!$D$56:$D$75))),IF('TS-PILE'!$B$67="",-1E+99,'TO HOP NLAN'!D183/ncoc+IF(SUMSQ('TS-PILE'!$E$56:$E$75)=0,0,'TO HOP NLAN'!E183*'TS-PILE'!$E$67/SUMSQ('TS-PILE'!$E$56:$E$75))+IF(SUMSQ('TS-PILE'!$D$56:$D$75)=0,0,'TO HOP NLAN'!F183*'TS-PILE'!$D$67/SUMSQ('TS-PILE'!$D$56:$D$75))),IF('TS-PILE'!$B$68="",-1E+99,'TO HOP NLAN'!D183/ncoc+IF(SUMSQ('TS-PILE'!$E$56:$E$75)=0,0,'TO HOP NLAN'!E183*'TS-PILE'!$E$68/SUMSQ('TS-PILE'!$E$56:$E$75))+IF(SUMSQ('TS-PILE'!$D$56:$D$75)=0,0,'TO HOP NLAN'!F183*'TS-PILE'!$D$68/SUMSQ('TS-PILE'!$D$56:$D$75))),IF('TS-PILE'!$B$69="",-1E+99,'TO HOP NLAN'!D183/ncoc+IF(SUMSQ('TS-PILE'!$E$56:$E$75)=0,0,'TO HOP NLAN'!E183*'TS-PILE'!$E$69/SUMSQ('TS-PILE'!$E$56:$E$75))+IF(SUMSQ('TS-PILE'!$D$56:$D$75)=0,0,'TO HOP NLAN'!F183*'TS-PILE'!$D$69/SUMSQ('TS-PILE'!$D$56:$D$75))),IF('TS-PILE'!$B$70="",-1E+99,'TO HOP NLAN'!D183/ncoc+IF(SUMSQ('TS-PILE'!$E$56:$E$75)=0,0,'TO HOP NLAN'!E183*'TS-PILE'!$E$70/SUMSQ('TS-PILE'!$E$56:$E$75))+IF(SUMSQ('TS-PILE'!$D$56:$D$75)=0,0,'TO HOP NLAN'!F183*'TS-PILE'!$D$70/SUMSQ('TS-PILE'!$D$56:$D$75))),IF('TS-PILE'!$B$71="",-1E+99,'TO HOP NLAN'!D183/ncoc+IF(SUMSQ('TS-PILE'!$E$56:$E$75)=0,0,'TO HOP NLAN'!E183*'TS-PILE'!$E$71/SUMSQ('TS-PILE'!$E$56:$E$75))+IF(SUMSQ('TS-PILE'!$D$56:$D$75)=0,0,'TO HOP NLAN'!F183*'TS-PILE'!$D$71/SUMSQ('TS-PILE'!$D$56:$D$75))),IF('TS-PILE'!$B$72="",-1E+99,'TO HOP NLAN'!D183/ncoc+IF(SUMSQ('TS-PILE'!$E$56:$E$75)=0,0,'TO HOP NLAN'!E183*'TS-PILE'!$E$72/SUMSQ('TS-PILE'!$E$56:$E$75))+IF(SUMSQ('TS-PILE'!$D$56:$D$75)=0,0,'TO HOP NLAN'!F183*'TS-PILE'!$D$72/SUMSQ('TS-PILE'!$D$56:$D$75))),IF('TS-PILE'!$B$73="",-1E+99,'TO HOP NLAN'!D183/ncoc+IF(SUMSQ('TS-PILE'!$E$56:$E$75)=0,0,'TO HOP NLAN'!E183*'TS-PILE'!$E$73/SUMSQ('TS-PILE'!$E$56:$E$75))+IF(SUMSQ('TS-PILE'!$D$56:$D$75)=0,0,'TO HOP NLAN'!F183*'TS-PILE'!$D$73/SUMSQ('TS-PILE'!$D$56:$D$75))),IF('TS-PILE'!$B$74="",-1E+99,'TO HOP NLAN'!D183/ncoc+IF(SUMSQ('TS-PILE'!$E$56:$E$75)=0,0,'TO HOP NLAN'!E183*'TS-PILE'!$E$74/SUMSQ('TS-PILE'!$E$56:$E$75))+IF(SUMSQ('TS-PILE'!$D$56:$D$75)=0,0,'TO HOP NLAN'!F183*'TS-PILE'!$D$74/SUMSQ('TS-PILE'!$D$56:$D$75))),IF('TS-PILE'!$B$75="",-1E+99,'TO HOP NLAN'!D183/ncoc+IF(SUMSQ('TS-PILE'!$E$56:$E$75)=0,0,'TO HOP NLAN'!E183*'TS-PILE'!$E$75/SUMSQ('TS-PILE'!$E$56:$E$75))+IF(SUMSQ('TS-PILE'!$D$56:$D$75)=0,0,'TO HOP NLAN'!F183*'TS-PILE'!$D$75/SUMSQ('TS-PILE'!$D$56:$D$75)))))</f>
        <v>0</v>
      </c>
      <c r="D183" s="46">
        <f>IF(A183="",0,MIN(IF('TS-PILE'!$B$56="",1E+99,'TO HOP NLAN'!D183/ncoc+IF(SUMSQ('TS-PILE'!$E$56:$E$75)=0,0,'TO HOP NLAN'!E183*'TS-PILE'!$E$56/SUMSQ('TS-PILE'!$E$56:$E$75))+IF(SUMSQ('TS-PILE'!$D$56:$D$75)=0,0,'TO HOP NLAN'!F183*'TS-PILE'!$D$56/SUMSQ('TS-PILE'!$D$56:$D$75))),IF('TS-PILE'!$B$57="",1E+99,'TO HOP NLAN'!D183/ncoc+IF(SUMSQ('TS-PILE'!$E$56:$E$75)=0,0,'TO HOP NLAN'!E183*'TS-PILE'!$E$57/SUMSQ('TS-PILE'!$E$56:$E$75))+IF(SUMSQ('TS-PILE'!$D$56:$D$75)=0,0,'TO HOP NLAN'!F183*'TS-PILE'!$D$57/SUMSQ('TS-PILE'!$D$56:$D$75))),IF('TS-PILE'!$B$58="",1E+99,'TO HOP NLAN'!D183/ncoc+IF(SUMSQ('TS-PILE'!$E$56:$E$75)=0,0,'TO HOP NLAN'!E183*'TS-PILE'!$E$58/SUMSQ('TS-PILE'!$E$56:$E$75))+IF(SUMSQ('TS-PILE'!$D$56:$D$75)=0,0,'TO HOP NLAN'!F183*'TS-PILE'!$D$58/SUMSQ('TS-PILE'!$D$56:$D$75))),IF('TS-PILE'!$B$59="",1E+99,'TO HOP NLAN'!D183/ncoc+IF(SUMSQ('TS-PILE'!$E$56:$E$75)=0,0,'TO HOP NLAN'!E183*'TS-PILE'!$E$59/SUMSQ('TS-PILE'!$E$56:$E$75))+IF(SUMSQ('TS-PILE'!$D$56:$D$75)=0,0,'TO HOP NLAN'!F183*'TS-PILE'!$D$59/SUMSQ('TS-PILE'!$D$56:$D$75))),IF('TS-PILE'!$B$60="",1E+99,'TO HOP NLAN'!D183/ncoc+IF(SUMSQ('TS-PILE'!$E$56:$E$75)=0,0,'TO HOP NLAN'!E183*'TS-PILE'!$E$60/SUMSQ('TS-PILE'!$E$56:$E$75))+IF(SUMSQ('TS-PILE'!$D$56:$D$75)=0,0,'TO HOP NLAN'!F183*'TS-PILE'!$D$60/SUMSQ('TS-PILE'!$D$56:$D$75))),IF('TS-PILE'!$B$61="",1E+99,'TO HOP NLAN'!D183/ncoc+IF(SUMSQ('TS-PILE'!$E$56:$E$75)=0,0,'TO HOP NLAN'!E183*'TS-PILE'!$E$61/SUMSQ('TS-PILE'!$E$56:$E$75))+IF(SUMSQ('TS-PILE'!$D$56:$D$75)=0,0,'TO HOP NLAN'!F183*'TS-PILE'!$D$61/SUMSQ('TS-PILE'!$D$56:$D$75))),IF('TS-PILE'!$B$62="",1E+99,'TO HOP NLAN'!D183/ncoc+IF(SUMSQ('TS-PILE'!$E$56:$E$75)=0,0,'TO HOP NLAN'!E183*'TS-PILE'!$E$62/SUMSQ('TS-PILE'!$E$56:$E$75))+IF(SUMSQ('TS-PILE'!$D$56:$D$75)=0,0,'TO HOP NLAN'!F183*'TS-PILE'!$D$62/SUMSQ('TS-PILE'!$D$56:$D$75))),IF('TS-PILE'!$B$63="",1E+99,'TO HOP NLAN'!D183/ncoc+IF(SUMSQ('TS-PILE'!$E$56:$E$75)=0,0,'TO HOP NLAN'!E183*'TS-PILE'!$E$63/SUMSQ('TS-PILE'!$E$56:$E$75))+IF(SUMSQ('TS-PILE'!$D$56:$D$75)=0,0,'TO HOP NLAN'!F183*'TS-PILE'!$D$63/SUMSQ('TS-PILE'!$D$56:$D$75))),IF('TS-PILE'!$B$64="",1E+99,'TO HOP NLAN'!D183/ncoc+IF(SUMSQ('TS-PILE'!$E$56:$E$75)=0,0,'TO HOP NLAN'!E183*'TS-PILE'!$E$64/SUMSQ('TS-PILE'!$E$56:$E$75))+IF(SUMSQ('TS-PILE'!$D$56:$D$75)=0,0,'TO HOP NLAN'!F183*'TS-PILE'!$D$64/SUMSQ('TS-PILE'!$D$56:$D$75))),IF('TS-PILE'!$B$65="",1E+99,'TO HOP NLAN'!D183/ncoc+IF(SUMSQ('TS-PILE'!$E$56:$E$75)=0,0,'TO HOP NLAN'!E183*'TS-PILE'!$E$65/SUMSQ('TS-PILE'!$E$56:$E$75))+IF(SUMSQ('TS-PILE'!$D$56:$D$75)=0,0,'TO HOP NLAN'!F183*'TS-PILE'!$D$65/SUMSQ('TS-PILE'!$D$56:$D$75))),IF('TS-PILE'!$B$66="",1E+99,'TO HOP NLAN'!D183/ncoc+IF(SUMSQ('TS-PILE'!$E$56:$E$75)=0,0,'TO HOP NLAN'!E183*'TS-PILE'!$E$66/SUMSQ('TS-PILE'!$E$56:$E$75))+IF(SUMSQ('TS-PILE'!$D$56:$D$75)=0,0,'TO HOP NLAN'!F183*'TS-PILE'!$D$66/SUMSQ('TS-PILE'!$D$56:$D$75))),IF('TS-PILE'!$B$67="",1E+99,'TO HOP NLAN'!D183/ncoc+IF(SUMSQ('TS-PILE'!$E$56:$E$75)=0,0,'TO HOP NLAN'!E183*'TS-PILE'!$E$67/SUMSQ('TS-PILE'!$E$56:$E$75))+IF(SUMSQ('TS-PILE'!$D$56:$D$75)=0,0,'TO HOP NLAN'!F183*'TS-PILE'!$D$67/SUMSQ('TS-PILE'!$D$56:$D$75))),IF('TS-PILE'!$B$68="",1E+99,'TO HOP NLAN'!D183/ncoc+IF(SUMSQ('TS-PILE'!$E$56:$E$75)=0,0,'TO HOP NLAN'!E183*'TS-PILE'!$E$68/SUMSQ('TS-PILE'!$E$56:$E$75))+IF(SUMSQ('TS-PILE'!$D$56:$D$75)=0,0,'TO HOP NLAN'!F183*'TS-PILE'!$D$68/SUMSQ('TS-PILE'!$D$56:$D$75))),IF('TS-PILE'!$B$69="",1E+99,'TO HOP NLAN'!D183/ncoc+IF(SUMSQ('TS-PILE'!$E$56:$E$75)=0,0,'TO HOP NLAN'!E183*'TS-PILE'!$E$69/SUMSQ('TS-PILE'!$E$56:$E$75))+IF(SUMSQ('TS-PILE'!$D$56:$D$75)=0,0,'TO HOP NLAN'!F183*'TS-PILE'!$D$69/SUMSQ('TS-PILE'!$D$56:$D$75))),IF('TS-PILE'!$B$70="",1E+99,'TO HOP NLAN'!D183/ncoc+IF(SUMSQ('TS-PILE'!$E$56:$E$75)=0,0,'TO HOP NLAN'!E183*'TS-PILE'!$E$70/SUMSQ('TS-PILE'!$E$56:$E$75))+IF(SUMSQ('TS-PILE'!$D$56:$D$75)=0,0,'TO HOP NLAN'!F183*'TS-PILE'!$D$70/SUMSQ('TS-PILE'!$D$56:$D$75))),IF('TS-PILE'!$B$71="",1E+99,'TO HOP NLAN'!D183/ncoc+IF(SUMSQ('TS-PILE'!$E$56:$E$75)=0,0,'TO HOP NLAN'!E183*'TS-PILE'!$E$71/SUMSQ('TS-PILE'!$E$56:$E$75))+IF(SUMSQ('TS-PILE'!$D$56:$D$75)=0,0,'TO HOP NLAN'!F183*'TS-PILE'!$D$71/SUMSQ('TS-PILE'!$D$56:$D$75))),IF('TS-PILE'!$B$72="",1E+99,'TO HOP NLAN'!D183/ncoc+IF(SUMSQ('TS-PILE'!$E$56:$E$75)=0,0,'TO HOP NLAN'!E183*'TS-PILE'!$E$72/SUMSQ('TS-PILE'!$E$56:$E$75))+IF(SUMSQ('TS-PILE'!$D$56:$D$75)=0,0,'TO HOP NLAN'!F183*'TS-PILE'!$D$72/SUMSQ('TS-PILE'!$D$56:$D$75))),IF('TS-PILE'!$B$73="",1E+99,'TO HOP NLAN'!D183/ncoc+IF(SUMSQ('TS-PILE'!$E$56:$E$75)=0,0,'TO HOP NLAN'!E183*'TS-PILE'!$E$73/SUMSQ('TS-PILE'!$E$56:$E$75))+IF(SUMSQ('TS-PILE'!$D$56:$D$75)=0,0,'TO HOP NLAN'!F183*'TS-PILE'!$D$73/SUMSQ('TS-PILE'!$D$56:$D$75))),IF('TS-PILE'!$B$74="",1E+99,'TO HOP NLAN'!D183/ncoc+IF(SUMSQ('TS-PILE'!$E$56:$E$75)=0,0,'TO HOP NLAN'!E183*'TS-PILE'!$E$74/SUMSQ('TS-PILE'!$E$56:$E$75))+IF(SUMSQ('TS-PILE'!$D$56:$D$75)=0,0,'TO HOP NLAN'!F183*'TS-PILE'!$D$74/SUMSQ('TS-PILE'!$D$56:$D$75))),IF('TS-PILE'!$B$75="",1E+99,'TO HOP NLAN'!D183/ncoc+IF(SUMSQ('TS-PILE'!$E$56:$E$75)=0,0,'TO HOP NLAN'!E183*'TS-PILE'!$E$75/SUMSQ('TS-PILE'!$E$56:$E$75))+IF(SUMSQ('TS-PILE'!$D$56:$D$75)=0,0,'TO HOP NLAN'!F183*'TS-PILE'!$D$75/SUMSQ('TS-PILE'!$D$56:$D$75)))))</f>
        <v>0</v>
      </c>
      <c r="E183" s="46">
        <f t="shared" si="8"/>
        <v>-9.9999999999999997E+98</v>
      </c>
      <c r="F183" s="46">
        <f t="shared" si="9"/>
        <v>9.9999999999999997E+98</v>
      </c>
      <c r="G183" s="46">
        <f t="shared" si="10"/>
        <v>-9.9999999999999997E+98</v>
      </c>
      <c r="H183" s="46">
        <f t="shared" si="11"/>
        <v>9.9999999999999997E+98</v>
      </c>
    </row>
    <row r="184" spans="1:8" x14ac:dyDescent="0.3">
      <c r="A184" s="40" t="str">
        <f>'TO HOP NLAN'!A184</f>
        <v/>
      </c>
      <c r="B184" s="40" t="str">
        <f>'TO HOP NLAN'!L184</f>
        <v>STRENGTH</v>
      </c>
      <c r="C184" s="46">
        <f>IF(A184="",0,MAX(IF('TS-PILE'!$B$56="",-1E+99,'TO HOP NLAN'!D184/ncoc+IF(SUMSQ('TS-PILE'!$E$56:$E$75)=0,0,'TO HOP NLAN'!E184*'TS-PILE'!$E$56/SUMSQ('TS-PILE'!$E$56:$E$75))+IF(SUMSQ('TS-PILE'!$D$56:$D$75)=0,0,'TO HOP NLAN'!F184*'TS-PILE'!$D$56/SUMSQ('TS-PILE'!$D$56:$D$75))),IF('TS-PILE'!$B$57="",-1E+99,'TO HOP NLAN'!D184/ncoc+IF(SUMSQ('TS-PILE'!$E$56:$E$75)=0,0,'TO HOP NLAN'!E184*'TS-PILE'!$E$57/SUMSQ('TS-PILE'!$E$56:$E$75))+IF(SUMSQ('TS-PILE'!$D$56:$D$75)=0,0,'TO HOP NLAN'!F184*'TS-PILE'!$D$57/SUMSQ('TS-PILE'!$D$56:$D$75))),IF('TS-PILE'!$B$58="",-1E+99,'TO HOP NLAN'!D184/ncoc+IF(SUMSQ('TS-PILE'!$E$56:$E$75)=0,0,'TO HOP NLAN'!E184*'TS-PILE'!$E$58/SUMSQ('TS-PILE'!$E$56:$E$75))+IF(SUMSQ('TS-PILE'!$D$56:$D$75)=0,0,'TO HOP NLAN'!F184*'TS-PILE'!$D$58/SUMSQ('TS-PILE'!$D$56:$D$75))),IF('TS-PILE'!$B$59="",-1E+99,'TO HOP NLAN'!D184/ncoc+IF(SUMSQ('TS-PILE'!$E$56:$E$75)=0,0,'TO HOP NLAN'!E184*'TS-PILE'!$E$59/SUMSQ('TS-PILE'!$E$56:$E$75))+IF(SUMSQ('TS-PILE'!$D$56:$D$75)=0,0,'TO HOP NLAN'!F184*'TS-PILE'!$D$59/SUMSQ('TS-PILE'!$D$56:$D$75))),IF('TS-PILE'!$B$60="",-1E+99,'TO HOP NLAN'!D184/ncoc+IF(SUMSQ('TS-PILE'!$E$56:$E$75)=0,0,'TO HOP NLAN'!E184*'TS-PILE'!$E$60/SUMSQ('TS-PILE'!$E$56:$E$75))+IF(SUMSQ('TS-PILE'!$D$56:$D$75)=0,0,'TO HOP NLAN'!F184*'TS-PILE'!$D$60/SUMSQ('TS-PILE'!$D$56:$D$75))),IF('TS-PILE'!$B$61="",-1E+99,'TO HOP NLAN'!D184/ncoc+IF(SUMSQ('TS-PILE'!$E$56:$E$75)=0,0,'TO HOP NLAN'!E184*'TS-PILE'!$E$61/SUMSQ('TS-PILE'!$E$56:$E$75))+IF(SUMSQ('TS-PILE'!$D$56:$D$75)=0,0,'TO HOP NLAN'!F184*'TS-PILE'!$D$61/SUMSQ('TS-PILE'!$D$56:$D$75))),IF('TS-PILE'!$B$62="",-1E+99,'TO HOP NLAN'!D184/ncoc+IF(SUMSQ('TS-PILE'!$E$56:$E$75)=0,0,'TO HOP NLAN'!E184*'TS-PILE'!$E$62/SUMSQ('TS-PILE'!$E$56:$E$75))+IF(SUMSQ('TS-PILE'!$D$56:$D$75)=0,0,'TO HOP NLAN'!F184*'TS-PILE'!$D$62/SUMSQ('TS-PILE'!$D$56:$D$75))),IF('TS-PILE'!$B$63="",-1E+99,'TO HOP NLAN'!D184/ncoc+IF(SUMSQ('TS-PILE'!$E$56:$E$75)=0,0,'TO HOP NLAN'!E184*'TS-PILE'!$E$63/SUMSQ('TS-PILE'!$E$56:$E$75))+IF(SUMSQ('TS-PILE'!$D$56:$D$75)=0,0,'TO HOP NLAN'!F184*'TS-PILE'!$D$63/SUMSQ('TS-PILE'!$D$56:$D$75))),IF('TS-PILE'!$B$64="",-1E+99,'TO HOP NLAN'!D184/ncoc+IF(SUMSQ('TS-PILE'!$E$56:$E$75)=0,0,'TO HOP NLAN'!E184*'TS-PILE'!$E$64/SUMSQ('TS-PILE'!$E$56:$E$75))+IF(SUMSQ('TS-PILE'!$D$56:$D$75)=0,0,'TO HOP NLAN'!F184*'TS-PILE'!$D$64/SUMSQ('TS-PILE'!$D$56:$D$75))),IF('TS-PILE'!$B$65="",-1E+99,'TO HOP NLAN'!D184/ncoc+IF(SUMSQ('TS-PILE'!$E$56:$E$75)=0,0,'TO HOP NLAN'!E184*'TS-PILE'!$E$65/SUMSQ('TS-PILE'!$E$56:$E$75))+IF(SUMSQ('TS-PILE'!$D$56:$D$75)=0,0,'TO HOP NLAN'!F184*'TS-PILE'!$D$65/SUMSQ('TS-PILE'!$D$56:$D$75))),IF('TS-PILE'!$B$66="",-1E+99,'TO HOP NLAN'!D184/ncoc+IF(SUMSQ('TS-PILE'!$E$56:$E$75)=0,0,'TO HOP NLAN'!E184*'TS-PILE'!$E$66/SUMSQ('TS-PILE'!$E$56:$E$75))+IF(SUMSQ('TS-PILE'!$D$56:$D$75)=0,0,'TO HOP NLAN'!F184*'TS-PILE'!$D$66/SUMSQ('TS-PILE'!$D$56:$D$75))),IF('TS-PILE'!$B$67="",-1E+99,'TO HOP NLAN'!D184/ncoc+IF(SUMSQ('TS-PILE'!$E$56:$E$75)=0,0,'TO HOP NLAN'!E184*'TS-PILE'!$E$67/SUMSQ('TS-PILE'!$E$56:$E$75))+IF(SUMSQ('TS-PILE'!$D$56:$D$75)=0,0,'TO HOP NLAN'!F184*'TS-PILE'!$D$67/SUMSQ('TS-PILE'!$D$56:$D$75))),IF('TS-PILE'!$B$68="",-1E+99,'TO HOP NLAN'!D184/ncoc+IF(SUMSQ('TS-PILE'!$E$56:$E$75)=0,0,'TO HOP NLAN'!E184*'TS-PILE'!$E$68/SUMSQ('TS-PILE'!$E$56:$E$75))+IF(SUMSQ('TS-PILE'!$D$56:$D$75)=0,0,'TO HOP NLAN'!F184*'TS-PILE'!$D$68/SUMSQ('TS-PILE'!$D$56:$D$75))),IF('TS-PILE'!$B$69="",-1E+99,'TO HOP NLAN'!D184/ncoc+IF(SUMSQ('TS-PILE'!$E$56:$E$75)=0,0,'TO HOP NLAN'!E184*'TS-PILE'!$E$69/SUMSQ('TS-PILE'!$E$56:$E$75))+IF(SUMSQ('TS-PILE'!$D$56:$D$75)=0,0,'TO HOP NLAN'!F184*'TS-PILE'!$D$69/SUMSQ('TS-PILE'!$D$56:$D$75))),IF('TS-PILE'!$B$70="",-1E+99,'TO HOP NLAN'!D184/ncoc+IF(SUMSQ('TS-PILE'!$E$56:$E$75)=0,0,'TO HOP NLAN'!E184*'TS-PILE'!$E$70/SUMSQ('TS-PILE'!$E$56:$E$75))+IF(SUMSQ('TS-PILE'!$D$56:$D$75)=0,0,'TO HOP NLAN'!F184*'TS-PILE'!$D$70/SUMSQ('TS-PILE'!$D$56:$D$75))),IF('TS-PILE'!$B$71="",-1E+99,'TO HOP NLAN'!D184/ncoc+IF(SUMSQ('TS-PILE'!$E$56:$E$75)=0,0,'TO HOP NLAN'!E184*'TS-PILE'!$E$71/SUMSQ('TS-PILE'!$E$56:$E$75))+IF(SUMSQ('TS-PILE'!$D$56:$D$75)=0,0,'TO HOP NLAN'!F184*'TS-PILE'!$D$71/SUMSQ('TS-PILE'!$D$56:$D$75))),IF('TS-PILE'!$B$72="",-1E+99,'TO HOP NLAN'!D184/ncoc+IF(SUMSQ('TS-PILE'!$E$56:$E$75)=0,0,'TO HOP NLAN'!E184*'TS-PILE'!$E$72/SUMSQ('TS-PILE'!$E$56:$E$75))+IF(SUMSQ('TS-PILE'!$D$56:$D$75)=0,0,'TO HOP NLAN'!F184*'TS-PILE'!$D$72/SUMSQ('TS-PILE'!$D$56:$D$75))),IF('TS-PILE'!$B$73="",-1E+99,'TO HOP NLAN'!D184/ncoc+IF(SUMSQ('TS-PILE'!$E$56:$E$75)=0,0,'TO HOP NLAN'!E184*'TS-PILE'!$E$73/SUMSQ('TS-PILE'!$E$56:$E$75))+IF(SUMSQ('TS-PILE'!$D$56:$D$75)=0,0,'TO HOP NLAN'!F184*'TS-PILE'!$D$73/SUMSQ('TS-PILE'!$D$56:$D$75))),IF('TS-PILE'!$B$74="",-1E+99,'TO HOP NLAN'!D184/ncoc+IF(SUMSQ('TS-PILE'!$E$56:$E$75)=0,0,'TO HOP NLAN'!E184*'TS-PILE'!$E$74/SUMSQ('TS-PILE'!$E$56:$E$75))+IF(SUMSQ('TS-PILE'!$D$56:$D$75)=0,0,'TO HOP NLAN'!F184*'TS-PILE'!$D$74/SUMSQ('TS-PILE'!$D$56:$D$75))),IF('TS-PILE'!$B$75="",-1E+99,'TO HOP NLAN'!D184/ncoc+IF(SUMSQ('TS-PILE'!$E$56:$E$75)=0,0,'TO HOP NLAN'!E184*'TS-PILE'!$E$75/SUMSQ('TS-PILE'!$E$56:$E$75))+IF(SUMSQ('TS-PILE'!$D$56:$D$75)=0,0,'TO HOP NLAN'!F184*'TS-PILE'!$D$75/SUMSQ('TS-PILE'!$D$56:$D$75)))))</f>
        <v>0</v>
      </c>
      <c r="D184" s="46">
        <f>IF(A184="",0,MIN(IF('TS-PILE'!$B$56="",1E+99,'TO HOP NLAN'!D184/ncoc+IF(SUMSQ('TS-PILE'!$E$56:$E$75)=0,0,'TO HOP NLAN'!E184*'TS-PILE'!$E$56/SUMSQ('TS-PILE'!$E$56:$E$75))+IF(SUMSQ('TS-PILE'!$D$56:$D$75)=0,0,'TO HOP NLAN'!F184*'TS-PILE'!$D$56/SUMSQ('TS-PILE'!$D$56:$D$75))),IF('TS-PILE'!$B$57="",1E+99,'TO HOP NLAN'!D184/ncoc+IF(SUMSQ('TS-PILE'!$E$56:$E$75)=0,0,'TO HOP NLAN'!E184*'TS-PILE'!$E$57/SUMSQ('TS-PILE'!$E$56:$E$75))+IF(SUMSQ('TS-PILE'!$D$56:$D$75)=0,0,'TO HOP NLAN'!F184*'TS-PILE'!$D$57/SUMSQ('TS-PILE'!$D$56:$D$75))),IF('TS-PILE'!$B$58="",1E+99,'TO HOP NLAN'!D184/ncoc+IF(SUMSQ('TS-PILE'!$E$56:$E$75)=0,0,'TO HOP NLAN'!E184*'TS-PILE'!$E$58/SUMSQ('TS-PILE'!$E$56:$E$75))+IF(SUMSQ('TS-PILE'!$D$56:$D$75)=0,0,'TO HOP NLAN'!F184*'TS-PILE'!$D$58/SUMSQ('TS-PILE'!$D$56:$D$75))),IF('TS-PILE'!$B$59="",1E+99,'TO HOP NLAN'!D184/ncoc+IF(SUMSQ('TS-PILE'!$E$56:$E$75)=0,0,'TO HOP NLAN'!E184*'TS-PILE'!$E$59/SUMSQ('TS-PILE'!$E$56:$E$75))+IF(SUMSQ('TS-PILE'!$D$56:$D$75)=0,0,'TO HOP NLAN'!F184*'TS-PILE'!$D$59/SUMSQ('TS-PILE'!$D$56:$D$75))),IF('TS-PILE'!$B$60="",1E+99,'TO HOP NLAN'!D184/ncoc+IF(SUMSQ('TS-PILE'!$E$56:$E$75)=0,0,'TO HOP NLAN'!E184*'TS-PILE'!$E$60/SUMSQ('TS-PILE'!$E$56:$E$75))+IF(SUMSQ('TS-PILE'!$D$56:$D$75)=0,0,'TO HOP NLAN'!F184*'TS-PILE'!$D$60/SUMSQ('TS-PILE'!$D$56:$D$75))),IF('TS-PILE'!$B$61="",1E+99,'TO HOP NLAN'!D184/ncoc+IF(SUMSQ('TS-PILE'!$E$56:$E$75)=0,0,'TO HOP NLAN'!E184*'TS-PILE'!$E$61/SUMSQ('TS-PILE'!$E$56:$E$75))+IF(SUMSQ('TS-PILE'!$D$56:$D$75)=0,0,'TO HOP NLAN'!F184*'TS-PILE'!$D$61/SUMSQ('TS-PILE'!$D$56:$D$75))),IF('TS-PILE'!$B$62="",1E+99,'TO HOP NLAN'!D184/ncoc+IF(SUMSQ('TS-PILE'!$E$56:$E$75)=0,0,'TO HOP NLAN'!E184*'TS-PILE'!$E$62/SUMSQ('TS-PILE'!$E$56:$E$75))+IF(SUMSQ('TS-PILE'!$D$56:$D$75)=0,0,'TO HOP NLAN'!F184*'TS-PILE'!$D$62/SUMSQ('TS-PILE'!$D$56:$D$75))),IF('TS-PILE'!$B$63="",1E+99,'TO HOP NLAN'!D184/ncoc+IF(SUMSQ('TS-PILE'!$E$56:$E$75)=0,0,'TO HOP NLAN'!E184*'TS-PILE'!$E$63/SUMSQ('TS-PILE'!$E$56:$E$75))+IF(SUMSQ('TS-PILE'!$D$56:$D$75)=0,0,'TO HOP NLAN'!F184*'TS-PILE'!$D$63/SUMSQ('TS-PILE'!$D$56:$D$75))),IF('TS-PILE'!$B$64="",1E+99,'TO HOP NLAN'!D184/ncoc+IF(SUMSQ('TS-PILE'!$E$56:$E$75)=0,0,'TO HOP NLAN'!E184*'TS-PILE'!$E$64/SUMSQ('TS-PILE'!$E$56:$E$75))+IF(SUMSQ('TS-PILE'!$D$56:$D$75)=0,0,'TO HOP NLAN'!F184*'TS-PILE'!$D$64/SUMSQ('TS-PILE'!$D$56:$D$75))),IF('TS-PILE'!$B$65="",1E+99,'TO HOP NLAN'!D184/ncoc+IF(SUMSQ('TS-PILE'!$E$56:$E$75)=0,0,'TO HOP NLAN'!E184*'TS-PILE'!$E$65/SUMSQ('TS-PILE'!$E$56:$E$75))+IF(SUMSQ('TS-PILE'!$D$56:$D$75)=0,0,'TO HOP NLAN'!F184*'TS-PILE'!$D$65/SUMSQ('TS-PILE'!$D$56:$D$75))),IF('TS-PILE'!$B$66="",1E+99,'TO HOP NLAN'!D184/ncoc+IF(SUMSQ('TS-PILE'!$E$56:$E$75)=0,0,'TO HOP NLAN'!E184*'TS-PILE'!$E$66/SUMSQ('TS-PILE'!$E$56:$E$75))+IF(SUMSQ('TS-PILE'!$D$56:$D$75)=0,0,'TO HOP NLAN'!F184*'TS-PILE'!$D$66/SUMSQ('TS-PILE'!$D$56:$D$75))),IF('TS-PILE'!$B$67="",1E+99,'TO HOP NLAN'!D184/ncoc+IF(SUMSQ('TS-PILE'!$E$56:$E$75)=0,0,'TO HOP NLAN'!E184*'TS-PILE'!$E$67/SUMSQ('TS-PILE'!$E$56:$E$75))+IF(SUMSQ('TS-PILE'!$D$56:$D$75)=0,0,'TO HOP NLAN'!F184*'TS-PILE'!$D$67/SUMSQ('TS-PILE'!$D$56:$D$75))),IF('TS-PILE'!$B$68="",1E+99,'TO HOP NLAN'!D184/ncoc+IF(SUMSQ('TS-PILE'!$E$56:$E$75)=0,0,'TO HOP NLAN'!E184*'TS-PILE'!$E$68/SUMSQ('TS-PILE'!$E$56:$E$75))+IF(SUMSQ('TS-PILE'!$D$56:$D$75)=0,0,'TO HOP NLAN'!F184*'TS-PILE'!$D$68/SUMSQ('TS-PILE'!$D$56:$D$75))),IF('TS-PILE'!$B$69="",1E+99,'TO HOP NLAN'!D184/ncoc+IF(SUMSQ('TS-PILE'!$E$56:$E$75)=0,0,'TO HOP NLAN'!E184*'TS-PILE'!$E$69/SUMSQ('TS-PILE'!$E$56:$E$75))+IF(SUMSQ('TS-PILE'!$D$56:$D$75)=0,0,'TO HOP NLAN'!F184*'TS-PILE'!$D$69/SUMSQ('TS-PILE'!$D$56:$D$75))),IF('TS-PILE'!$B$70="",1E+99,'TO HOP NLAN'!D184/ncoc+IF(SUMSQ('TS-PILE'!$E$56:$E$75)=0,0,'TO HOP NLAN'!E184*'TS-PILE'!$E$70/SUMSQ('TS-PILE'!$E$56:$E$75))+IF(SUMSQ('TS-PILE'!$D$56:$D$75)=0,0,'TO HOP NLAN'!F184*'TS-PILE'!$D$70/SUMSQ('TS-PILE'!$D$56:$D$75))),IF('TS-PILE'!$B$71="",1E+99,'TO HOP NLAN'!D184/ncoc+IF(SUMSQ('TS-PILE'!$E$56:$E$75)=0,0,'TO HOP NLAN'!E184*'TS-PILE'!$E$71/SUMSQ('TS-PILE'!$E$56:$E$75))+IF(SUMSQ('TS-PILE'!$D$56:$D$75)=0,0,'TO HOP NLAN'!F184*'TS-PILE'!$D$71/SUMSQ('TS-PILE'!$D$56:$D$75))),IF('TS-PILE'!$B$72="",1E+99,'TO HOP NLAN'!D184/ncoc+IF(SUMSQ('TS-PILE'!$E$56:$E$75)=0,0,'TO HOP NLAN'!E184*'TS-PILE'!$E$72/SUMSQ('TS-PILE'!$E$56:$E$75))+IF(SUMSQ('TS-PILE'!$D$56:$D$75)=0,0,'TO HOP NLAN'!F184*'TS-PILE'!$D$72/SUMSQ('TS-PILE'!$D$56:$D$75))),IF('TS-PILE'!$B$73="",1E+99,'TO HOP NLAN'!D184/ncoc+IF(SUMSQ('TS-PILE'!$E$56:$E$75)=0,0,'TO HOP NLAN'!E184*'TS-PILE'!$E$73/SUMSQ('TS-PILE'!$E$56:$E$75))+IF(SUMSQ('TS-PILE'!$D$56:$D$75)=0,0,'TO HOP NLAN'!F184*'TS-PILE'!$D$73/SUMSQ('TS-PILE'!$D$56:$D$75))),IF('TS-PILE'!$B$74="",1E+99,'TO HOP NLAN'!D184/ncoc+IF(SUMSQ('TS-PILE'!$E$56:$E$75)=0,0,'TO HOP NLAN'!E184*'TS-PILE'!$E$74/SUMSQ('TS-PILE'!$E$56:$E$75))+IF(SUMSQ('TS-PILE'!$D$56:$D$75)=0,0,'TO HOP NLAN'!F184*'TS-PILE'!$D$74/SUMSQ('TS-PILE'!$D$56:$D$75))),IF('TS-PILE'!$B$75="",1E+99,'TO HOP NLAN'!D184/ncoc+IF(SUMSQ('TS-PILE'!$E$56:$E$75)=0,0,'TO HOP NLAN'!E184*'TS-PILE'!$E$75/SUMSQ('TS-PILE'!$E$56:$E$75))+IF(SUMSQ('TS-PILE'!$D$56:$D$75)=0,0,'TO HOP NLAN'!F184*'TS-PILE'!$D$75/SUMSQ('TS-PILE'!$D$56:$D$75)))))</f>
        <v>0</v>
      </c>
      <c r="E184" s="46">
        <f t="shared" si="8"/>
        <v>-9.9999999999999997E+98</v>
      </c>
      <c r="F184" s="46">
        <f t="shared" si="9"/>
        <v>9.9999999999999997E+98</v>
      </c>
      <c r="G184" s="46">
        <f t="shared" si="10"/>
        <v>-9.9999999999999997E+98</v>
      </c>
      <c r="H184" s="46">
        <f t="shared" si="11"/>
        <v>9.9999999999999997E+98</v>
      </c>
    </row>
    <row r="185" spans="1:8" x14ac:dyDescent="0.3">
      <c r="A185" s="40" t="str">
        <f>'TO HOP NLAN'!A185</f>
        <v/>
      </c>
      <c r="B185" s="40" t="str">
        <f>'TO HOP NLAN'!L185</f>
        <v>STRENGTH</v>
      </c>
      <c r="C185" s="46">
        <f>IF(A185="",0,MAX(IF('TS-PILE'!$B$56="",-1E+99,'TO HOP NLAN'!D185/ncoc+IF(SUMSQ('TS-PILE'!$E$56:$E$75)=0,0,'TO HOP NLAN'!E185*'TS-PILE'!$E$56/SUMSQ('TS-PILE'!$E$56:$E$75))+IF(SUMSQ('TS-PILE'!$D$56:$D$75)=0,0,'TO HOP NLAN'!F185*'TS-PILE'!$D$56/SUMSQ('TS-PILE'!$D$56:$D$75))),IF('TS-PILE'!$B$57="",-1E+99,'TO HOP NLAN'!D185/ncoc+IF(SUMSQ('TS-PILE'!$E$56:$E$75)=0,0,'TO HOP NLAN'!E185*'TS-PILE'!$E$57/SUMSQ('TS-PILE'!$E$56:$E$75))+IF(SUMSQ('TS-PILE'!$D$56:$D$75)=0,0,'TO HOP NLAN'!F185*'TS-PILE'!$D$57/SUMSQ('TS-PILE'!$D$56:$D$75))),IF('TS-PILE'!$B$58="",-1E+99,'TO HOP NLAN'!D185/ncoc+IF(SUMSQ('TS-PILE'!$E$56:$E$75)=0,0,'TO HOP NLAN'!E185*'TS-PILE'!$E$58/SUMSQ('TS-PILE'!$E$56:$E$75))+IF(SUMSQ('TS-PILE'!$D$56:$D$75)=0,0,'TO HOP NLAN'!F185*'TS-PILE'!$D$58/SUMSQ('TS-PILE'!$D$56:$D$75))),IF('TS-PILE'!$B$59="",-1E+99,'TO HOP NLAN'!D185/ncoc+IF(SUMSQ('TS-PILE'!$E$56:$E$75)=0,0,'TO HOP NLAN'!E185*'TS-PILE'!$E$59/SUMSQ('TS-PILE'!$E$56:$E$75))+IF(SUMSQ('TS-PILE'!$D$56:$D$75)=0,0,'TO HOP NLAN'!F185*'TS-PILE'!$D$59/SUMSQ('TS-PILE'!$D$56:$D$75))),IF('TS-PILE'!$B$60="",-1E+99,'TO HOP NLAN'!D185/ncoc+IF(SUMSQ('TS-PILE'!$E$56:$E$75)=0,0,'TO HOP NLAN'!E185*'TS-PILE'!$E$60/SUMSQ('TS-PILE'!$E$56:$E$75))+IF(SUMSQ('TS-PILE'!$D$56:$D$75)=0,0,'TO HOP NLAN'!F185*'TS-PILE'!$D$60/SUMSQ('TS-PILE'!$D$56:$D$75))),IF('TS-PILE'!$B$61="",-1E+99,'TO HOP NLAN'!D185/ncoc+IF(SUMSQ('TS-PILE'!$E$56:$E$75)=0,0,'TO HOP NLAN'!E185*'TS-PILE'!$E$61/SUMSQ('TS-PILE'!$E$56:$E$75))+IF(SUMSQ('TS-PILE'!$D$56:$D$75)=0,0,'TO HOP NLAN'!F185*'TS-PILE'!$D$61/SUMSQ('TS-PILE'!$D$56:$D$75))),IF('TS-PILE'!$B$62="",-1E+99,'TO HOP NLAN'!D185/ncoc+IF(SUMSQ('TS-PILE'!$E$56:$E$75)=0,0,'TO HOP NLAN'!E185*'TS-PILE'!$E$62/SUMSQ('TS-PILE'!$E$56:$E$75))+IF(SUMSQ('TS-PILE'!$D$56:$D$75)=0,0,'TO HOP NLAN'!F185*'TS-PILE'!$D$62/SUMSQ('TS-PILE'!$D$56:$D$75))),IF('TS-PILE'!$B$63="",-1E+99,'TO HOP NLAN'!D185/ncoc+IF(SUMSQ('TS-PILE'!$E$56:$E$75)=0,0,'TO HOP NLAN'!E185*'TS-PILE'!$E$63/SUMSQ('TS-PILE'!$E$56:$E$75))+IF(SUMSQ('TS-PILE'!$D$56:$D$75)=0,0,'TO HOP NLAN'!F185*'TS-PILE'!$D$63/SUMSQ('TS-PILE'!$D$56:$D$75))),IF('TS-PILE'!$B$64="",-1E+99,'TO HOP NLAN'!D185/ncoc+IF(SUMSQ('TS-PILE'!$E$56:$E$75)=0,0,'TO HOP NLAN'!E185*'TS-PILE'!$E$64/SUMSQ('TS-PILE'!$E$56:$E$75))+IF(SUMSQ('TS-PILE'!$D$56:$D$75)=0,0,'TO HOP NLAN'!F185*'TS-PILE'!$D$64/SUMSQ('TS-PILE'!$D$56:$D$75))),IF('TS-PILE'!$B$65="",-1E+99,'TO HOP NLAN'!D185/ncoc+IF(SUMSQ('TS-PILE'!$E$56:$E$75)=0,0,'TO HOP NLAN'!E185*'TS-PILE'!$E$65/SUMSQ('TS-PILE'!$E$56:$E$75))+IF(SUMSQ('TS-PILE'!$D$56:$D$75)=0,0,'TO HOP NLAN'!F185*'TS-PILE'!$D$65/SUMSQ('TS-PILE'!$D$56:$D$75))),IF('TS-PILE'!$B$66="",-1E+99,'TO HOP NLAN'!D185/ncoc+IF(SUMSQ('TS-PILE'!$E$56:$E$75)=0,0,'TO HOP NLAN'!E185*'TS-PILE'!$E$66/SUMSQ('TS-PILE'!$E$56:$E$75))+IF(SUMSQ('TS-PILE'!$D$56:$D$75)=0,0,'TO HOP NLAN'!F185*'TS-PILE'!$D$66/SUMSQ('TS-PILE'!$D$56:$D$75))),IF('TS-PILE'!$B$67="",-1E+99,'TO HOP NLAN'!D185/ncoc+IF(SUMSQ('TS-PILE'!$E$56:$E$75)=0,0,'TO HOP NLAN'!E185*'TS-PILE'!$E$67/SUMSQ('TS-PILE'!$E$56:$E$75))+IF(SUMSQ('TS-PILE'!$D$56:$D$75)=0,0,'TO HOP NLAN'!F185*'TS-PILE'!$D$67/SUMSQ('TS-PILE'!$D$56:$D$75))),IF('TS-PILE'!$B$68="",-1E+99,'TO HOP NLAN'!D185/ncoc+IF(SUMSQ('TS-PILE'!$E$56:$E$75)=0,0,'TO HOP NLAN'!E185*'TS-PILE'!$E$68/SUMSQ('TS-PILE'!$E$56:$E$75))+IF(SUMSQ('TS-PILE'!$D$56:$D$75)=0,0,'TO HOP NLAN'!F185*'TS-PILE'!$D$68/SUMSQ('TS-PILE'!$D$56:$D$75))),IF('TS-PILE'!$B$69="",-1E+99,'TO HOP NLAN'!D185/ncoc+IF(SUMSQ('TS-PILE'!$E$56:$E$75)=0,0,'TO HOP NLAN'!E185*'TS-PILE'!$E$69/SUMSQ('TS-PILE'!$E$56:$E$75))+IF(SUMSQ('TS-PILE'!$D$56:$D$75)=0,0,'TO HOP NLAN'!F185*'TS-PILE'!$D$69/SUMSQ('TS-PILE'!$D$56:$D$75))),IF('TS-PILE'!$B$70="",-1E+99,'TO HOP NLAN'!D185/ncoc+IF(SUMSQ('TS-PILE'!$E$56:$E$75)=0,0,'TO HOP NLAN'!E185*'TS-PILE'!$E$70/SUMSQ('TS-PILE'!$E$56:$E$75))+IF(SUMSQ('TS-PILE'!$D$56:$D$75)=0,0,'TO HOP NLAN'!F185*'TS-PILE'!$D$70/SUMSQ('TS-PILE'!$D$56:$D$75))),IF('TS-PILE'!$B$71="",-1E+99,'TO HOP NLAN'!D185/ncoc+IF(SUMSQ('TS-PILE'!$E$56:$E$75)=0,0,'TO HOP NLAN'!E185*'TS-PILE'!$E$71/SUMSQ('TS-PILE'!$E$56:$E$75))+IF(SUMSQ('TS-PILE'!$D$56:$D$75)=0,0,'TO HOP NLAN'!F185*'TS-PILE'!$D$71/SUMSQ('TS-PILE'!$D$56:$D$75))),IF('TS-PILE'!$B$72="",-1E+99,'TO HOP NLAN'!D185/ncoc+IF(SUMSQ('TS-PILE'!$E$56:$E$75)=0,0,'TO HOP NLAN'!E185*'TS-PILE'!$E$72/SUMSQ('TS-PILE'!$E$56:$E$75))+IF(SUMSQ('TS-PILE'!$D$56:$D$75)=0,0,'TO HOP NLAN'!F185*'TS-PILE'!$D$72/SUMSQ('TS-PILE'!$D$56:$D$75))),IF('TS-PILE'!$B$73="",-1E+99,'TO HOP NLAN'!D185/ncoc+IF(SUMSQ('TS-PILE'!$E$56:$E$75)=0,0,'TO HOP NLAN'!E185*'TS-PILE'!$E$73/SUMSQ('TS-PILE'!$E$56:$E$75))+IF(SUMSQ('TS-PILE'!$D$56:$D$75)=0,0,'TO HOP NLAN'!F185*'TS-PILE'!$D$73/SUMSQ('TS-PILE'!$D$56:$D$75))),IF('TS-PILE'!$B$74="",-1E+99,'TO HOP NLAN'!D185/ncoc+IF(SUMSQ('TS-PILE'!$E$56:$E$75)=0,0,'TO HOP NLAN'!E185*'TS-PILE'!$E$74/SUMSQ('TS-PILE'!$E$56:$E$75))+IF(SUMSQ('TS-PILE'!$D$56:$D$75)=0,0,'TO HOP NLAN'!F185*'TS-PILE'!$D$74/SUMSQ('TS-PILE'!$D$56:$D$75))),IF('TS-PILE'!$B$75="",-1E+99,'TO HOP NLAN'!D185/ncoc+IF(SUMSQ('TS-PILE'!$E$56:$E$75)=0,0,'TO HOP NLAN'!E185*'TS-PILE'!$E$75/SUMSQ('TS-PILE'!$E$56:$E$75))+IF(SUMSQ('TS-PILE'!$D$56:$D$75)=0,0,'TO HOP NLAN'!F185*'TS-PILE'!$D$75/SUMSQ('TS-PILE'!$D$56:$D$75)))))</f>
        <v>0</v>
      </c>
      <c r="D185" s="46">
        <f>IF(A185="",0,MIN(IF('TS-PILE'!$B$56="",1E+99,'TO HOP NLAN'!D185/ncoc+IF(SUMSQ('TS-PILE'!$E$56:$E$75)=0,0,'TO HOP NLAN'!E185*'TS-PILE'!$E$56/SUMSQ('TS-PILE'!$E$56:$E$75))+IF(SUMSQ('TS-PILE'!$D$56:$D$75)=0,0,'TO HOP NLAN'!F185*'TS-PILE'!$D$56/SUMSQ('TS-PILE'!$D$56:$D$75))),IF('TS-PILE'!$B$57="",1E+99,'TO HOP NLAN'!D185/ncoc+IF(SUMSQ('TS-PILE'!$E$56:$E$75)=0,0,'TO HOP NLAN'!E185*'TS-PILE'!$E$57/SUMSQ('TS-PILE'!$E$56:$E$75))+IF(SUMSQ('TS-PILE'!$D$56:$D$75)=0,0,'TO HOP NLAN'!F185*'TS-PILE'!$D$57/SUMSQ('TS-PILE'!$D$56:$D$75))),IF('TS-PILE'!$B$58="",1E+99,'TO HOP NLAN'!D185/ncoc+IF(SUMSQ('TS-PILE'!$E$56:$E$75)=0,0,'TO HOP NLAN'!E185*'TS-PILE'!$E$58/SUMSQ('TS-PILE'!$E$56:$E$75))+IF(SUMSQ('TS-PILE'!$D$56:$D$75)=0,0,'TO HOP NLAN'!F185*'TS-PILE'!$D$58/SUMSQ('TS-PILE'!$D$56:$D$75))),IF('TS-PILE'!$B$59="",1E+99,'TO HOP NLAN'!D185/ncoc+IF(SUMSQ('TS-PILE'!$E$56:$E$75)=0,0,'TO HOP NLAN'!E185*'TS-PILE'!$E$59/SUMSQ('TS-PILE'!$E$56:$E$75))+IF(SUMSQ('TS-PILE'!$D$56:$D$75)=0,0,'TO HOP NLAN'!F185*'TS-PILE'!$D$59/SUMSQ('TS-PILE'!$D$56:$D$75))),IF('TS-PILE'!$B$60="",1E+99,'TO HOP NLAN'!D185/ncoc+IF(SUMSQ('TS-PILE'!$E$56:$E$75)=0,0,'TO HOP NLAN'!E185*'TS-PILE'!$E$60/SUMSQ('TS-PILE'!$E$56:$E$75))+IF(SUMSQ('TS-PILE'!$D$56:$D$75)=0,0,'TO HOP NLAN'!F185*'TS-PILE'!$D$60/SUMSQ('TS-PILE'!$D$56:$D$75))),IF('TS-PILE'!$B$61="",1E+99,'TO HOP NLAN'!D185/ncoc+IF(SUMSQ('TS-PILE'!$E$56:$E$75)=0,0,'TO HOP NLAN'!E185*'TS-PILE'!$E$61/SUMSQ('TS-PILE'!$E$56:$E$75))+IF(SUMSQ('TS-PILE'!$D$56:$D$75)=0,0,'TO HOP NLAN'!F185*'TS-PILE'!$D$61/SUMSQ('TS-PILE'!$D$56:$D$75))),IF('TS-PILE'!$B$62="",1E+99,'TO HOP NLAN'!D185/ncoc+IF(SUMSQ('TS-PILE'!$E$56:$E$75)=0,0,'TO HOP NLAN'!E185*'TS-PILE'!$E$62/SUMSQ('TS-PILE'!$E$56:$E$75))+IF(SUMSQ('TS-PILE'!$D$56:$D$75)=0,0,'TO HOP NLAN'!F185*'TS-PILE'!$D$62/SUMSQ('TS-PILE'!$D$56:$D$75))),IF('TS-PILE'!$B$63="",1E+99,'TO HOP NLAN'!D185/ncoc+IF(SUMSQ('TS-PILE'!$E$56:$E$75)=0,0,'TO HOP NLAN'!E185*'TS-PILE'!$E$63/SUMSQ('TS-PILE'!$E$56:$E$75))+IF(SUMSQ('TS-PILE'!$D$56:$D$75)=0,0,'TO HOP NLAN'!F185*'TS-PILE'!$D$63/SUMSQ('TS-PILE'!$D$56:$D$75))),IF('TS-PILE'!$B$64="",1E+99,'TO HOP NLAN'!D185/ncoc+IF(SUMSQ('TS-PILE'!$E$56:$E$75)=0,0,'TO HOP NLAN'!E185*'TS-PILE'!$E$64/SUMSQ('TS-PILE'!$E$56:$E$75))+IF(SUMSQ('TS-PILE'!$D$56:$D$75)=0,0,'TO HOP NLAN'!F185*'TS-PILE'!$D$64/SUMSQ('TS-PILE'!$D$56:$D$75))),IF('TS-PILE'!$B$65="",1E+99,'TO HOP NLAN'!D185/ncoc+IF(SUMSQ('TS-PILE'!$E$56:$E$75)=0,0,'TO HOP NLAN'!E185*'TS-PILE'!$E$65/SUMSQ('TS-PILE'!$E$56:$E$75))+IF(SUMSQ('TS-PILE'!$D$56:$D$75)=0,0,'TO HOP NLAN'!F185*'TS-PILE'!$D$65/SUMSQ('TS-PILE'!$D$56:$D$75))),IF('TS-PILE'!$B$66="",1E+99,'TO HOP NLAN'!D185/ncoc+IF(SUMSQ('TS-PILE'!$E$56:$E$75)=0,0,'TO HOP NLAN'!E185*'TS-PILE'!$E$66/SUMSQ('TS-PILE'!$E$56:$E$75))+IF(SUMSQ('TS-PILE'!$D$56:$D$75)=0,0,'TO HOP NLAN'!F185*'TS-PILE'!$D$66/SUMSQ('TS-PILE'!$D$56:$D$75))),IF('TS-PILE'!$B$67="",1E+99,'TO HOP NLAN'!D185/ncoc+IF(SUMSQ('TS-PILE'!$E$56:$E$75)=0,0,'TO HOP NLAN'!E185*'TS-PILE'!$E$67/SUMSQ('TS-PILE'!$E$56:$E$75))+IF(SUMSQ('TS-PILE'!$D$56:$D$75)=0,0,'TO HOP NLAN'!F185*'TS-PILE'!$D$67/SUMSQ('TS-PILE'!$D$56:$D$75))),IF('TS-PILE'!$B$68="",1E+99,'TO HOP NLAN'!D185/ncoc+IF(SUMSQ('TS-PILE'!$E$56:$E$75)=0,0,'TO HOP NLAN'!E185*'TS-PILE'!$E$68/SUMSQ('TS-PILE'!$E$56:$E$75))+IF(SUMSQ('TS-PILE'!$D$56:$D$75)=0,0,'TO HOP NLAN'!F185*'TS-PILE'!$D$68/SUMSQ('TS-PILE'!$D$56:$D$75))),IF('TS-PILE'!$B$69="",1E+99,'TO HOP NLAN'!D185/ncoc+IF(SUMSQ('TS-PILE'!$E$56:$E$75)=0,0,'TO HOP NLAN'!E185*'TS-PILE'!$E$69/SUMSQ('TS-PILE'!$E$56:$E$75))+IF(SUMSQ('TS-PILE'!$D$56:$D$75)=0,0,'TO HOP NLAN'!F185*'TS-PILE'!$D$69/SUMSQ('TS-PILE'!$D$56:$D$75))),IF('TS-PILE'!$B$70="",1E+99,'TO HOP NLAN'!D185/ncoc+IF(SUMSQ('TS-PILE'!$E$56:$E$75)=0,0,'TO HOP NLAN'!E185*'TS-PILE'!$E$70/SUMSQ('TS-PILE'!$E$56:$E$75))+IF(SUMSQ('TS-PILE'!$D$56:$D$75)=0,0,'TO HOP NLAN'!F185*'TS-PILE'!$D$70/SUMSQ('TS-PILE'!$D$56:$D$75))),IF('TS-PILE'!$B$71="",1E+99,'TO HOP NLAN'!D185/ncoc+IF(SUMSQ('TS-PILE'!$E$56:$E$75)=0,0,'TO HOP NLAN'!E185*'TS-PILE'!$E$71/SUMSQ('TS-PILE'!$E$56:$E$75))+IF(SUMSQ('TS-PILE'!$D$56:$D$75)=0,0,'TO HOP NLAN'!F185*'TS-PILE'!$D$71/SUMSQ('TS-PILE'!$D$56:$D$75))),IF('TS-PILE'!$B$72="",1E+99,'TO HOP NLAN'!D185/ncoc+IF(SUMSQ('TS-PILE'!$E$56:$E$75)=0,0,'TO HOP NLAN'!E185*'TS-PILE'!$E$72/SUMSQ('TS-PILE'!$E$56:$E$75))+IF(SUMSQ('TS-PILE'!$D$56:$D$75)=0,0,'TO HOP NLAN'!F185*'TS-PILE'!$D$72/SUMSQ('TS-PILE'!$D$56:$D$75))),IF('TS-PILE'!$B$73="",1E+99,'TO HOP NLAN'!D185/ncoc+IF(SUMSQ('TS-PILE'!$E$56:$E$75)=0,0,'TO HOP NLAN'!E185*'TS-PILE'!$E$73/SUMSQ('TS-PILE'!$E$56:$E$75))+IF(SUMSQ('TS-PILE'!$D$56:$D$75)=0,0,'TO HOP NLAN'!F185*'TS-PILE'!$D$73/SUMSQ('TS-PILE'!$D$56:$D$75))),IF('TS-PILE'!$B$74="",1E+99,'TO HOP NLAN'!D185/ncoc+IF(SUMSQ('TS-PILE'!$E$56:$E$75)=0,0,'TO HOP NLAN'!E185*'TS-PILE'!$E$74/SUMSQ('TS-PILE'!$E$56:$E$75))+IF(SUMSQ('TS-PILE'!$D$56:$D$75)=0,0,'TO HOP NLAN'!F185*'TS-PILE'!$D$74/SUMSQ('TS-PILE'!$D$56:$D$75))),IF('TS-PILE'!$B$75="",1E+99,'TO HOP NLAN'!D185/ncoc+IF(SUMSQ('TS-PILE'!$E$56:$E$75)=0,0,'TO HOP NLAN'!E185*'TS-PILE'!$E$75/SUMSQ('TS-PILE'!$E$56:$E$75))+IF(SUMSQ('TS-PILE'!$D$56:$D$75)=0,0,'TO HOP NLAN'!F185*'TS-PILE'!$D$75/SUMSQ('TS-PILE'!$D$56:$D$75)))))</f>
        <v>0</v>
      </c>
      <c r="E185" s="46">
        <f t="shared" si="8"/>
        <v>-9.9999999999999997E+98</v>
      </c>
      <c r="F185" s="46">
        <f t="shared" si="9"/>
        <v>9.9999999999999997E+98</v>
      </c>
      <c r="G185" s="46">
        <f t="shared" si="10"/>
        <v>-9.9999999999999997E+98</v>
      </c>
      <c r="H185" s="46">
        <f t="shared" si="11"/>
        <v>9.9999999999999997E+98</v>
      </c>
    </row>
    <row r="186" spans="1:8" x14ac:dyDescent="0.3">
      <c r="A186" s="40" t="str">
        <f>'TO HOP NLAN'!A186</f>
        <v/>
      </c>
      <c r="B186" s="40" t="str">
        <f>'TO HOP NLAN'!L186</f>
        <v>STRENGTH</v>
      </c>
      <c r="C186" s="46">
        <f>IF(A186="",0,MAX(IF('TS-PILE'!$B$56="",-1E+99,'TO HOP NLAN'!D186/ncoc+IF(SUMSQ('TS-PILE'!$E$56:$E$75)=0,0,'TO HOP NLAN'!E186*'TS-PILE'!$E$56/SUMSQ('TS-PILE'!$E$56:$E$75))+IF(SUMSQ('TS-PILE'!$D$56:$D$75)=0,0,'TO HOP NLAN'!F186*'TS-PILE'!$D$56/SUMSQ('TS-PILE'!$D$56:$D$75))),IF('TS-PILE'!$B$57="",-1E+99,'TO HOP NLAN'!D186/ncoc+IF(SUMSQ('TS-PILE'!$E$56:$E$75)=0,0,'TO HOP NLAN'!E186*'TS-PILE'!$E$57/SUMSQ('TS-PILE'!$E$56:$E$75))+IF(SUMSQ('TS-PILE'!$D$56:$D$75)=0,0,'TO HOP NLAN'!F186*'TS-PILE'!$D$57/SUMSQ('TS-PILE'!$D$56:$D$75))),IF('TS-PILE'!$B$58="",-1E+99,'TO HOP NLAN'!D186/ncoc+IF(SUMSQ('TS-PILE'!$E$56:$E$75)=0,0,'TO HOP NLAN'!E186*'TS-PILE'!$E$58/SUMSQ('TS-PILE'!$E$56:$E$75))+IF(SUMSQ('TS-PILE'!$D$56:$D$75)=0,0,'TO HOP NLAN'!F186*'TS-PILE'!$D$58/SUMSQ('TS-PILE'!$D$56:$D$75))),IF('TS-PILE'!$B$59="",-1E+99,'TO HOP NLAN'!D186/ncoc+IF(SUMSQ('TS-PILE'!$E$56:$E$75)=0,0,'TO HOP NLAN'!E186*'TS-PILE'!$E$59/SUMSQ('TS-PILE'!$E$56:$E$75))+IF(SUMSQ('TS-PILE'!$D$56:$D$75)=0,0,'TO HOP NLAN'!F186*'TS-PILE'!$D$59/SUMSQ('TS-PILE'!$D$56:$D$75))),IF('TS-PILE'!$B$60="",-1E+99,'TO HOP NLAN'!D186/ncoc+IF(SUMSQ('TS-PILE'!$E$56:$E$75)=0,0,'TO HOP NLAN'!E186*'TS-PILE'!$E$60/SUMSQ('TS-PILE'!$E$56:$E$75))+IF(SUMSQ('TS-PILE'!$D$56:$D$75)=0,0,'TO HOP NLAN'!F186*'TS-PILE'!$D$60/SUMSQ('TS-PILE'!$D$56:$D$75))),IF('TS-PILE'!$B$61="",-1E+99,'TO HOP NLAN'!D186/ncoc+IF(SUMSQ('TS-PILE'!$E$56:$E$75)=0,0,'TO HOP NLAN'!E186*'TS-PILE'!$E$61/SUMSQ('TS-PILE'!$E$56:$E$75))+IF(SUMSQ('TS-PILE'!$D$56:$D$75)=0,0,'TO HOP NLAN'!F186*'TS-PILE'!$D$61/SUMSQ('TS-PILE'!$D$56:$D$75))),IF('TS-PILE'!$B$62="",-1E+99,'TO HOP NLAN'!D186/ncoc+IF(SUMSQ('TS-PILE'!$E$56:$E$75)=0,0,'TO HOP NLAN'!E186*'TS-PILE'!$E$62/SUMSQ('TS-PILE'!$E$56:$E$75))+IF(SUMSQ('TS-PILE'!$D$56:$D$75)=0,0,'TO HOP NLAN'!F186*'TS-PILE'!$D$62/SUMSQ('TS-PILE'!$D$56:$D$75))),IF('TS-PILE'!$B$63="",-1E+99,'TO HOP NLAN'!D186/ncoc+IF(SUMSQ('TS-PILE'!$E$56:$E$75)=0,0,'TO HOP NLAN'!E186*'TS-PILE'!$E$63/SUMSQ('TS-PILE'!$E$56:$E$75))+IF(SUMSQ('TS-PILE'!$D$56:$D$75)=0,0,'TO HOP NLAN'!F186*'TS-PILE'!$D$63/SUMSQ('TS-PILE'!$D$56:$D$75))),IF('TS-PILE'!$B$64="",-1E+99,'TO HOP NLAN'!D186/ncoc+IF(SUMSQ('TS-PILE'!$E$56:$E$75)=0,0,'TO HOP NLAN'!E186*'TS-PILE'!$E$64/SUMSQ('TS-PILE'!$E$56:$E$75))+IF(SUMSQ('TS-PILE'!$D$56:$D$75)=0,0,'TO HOP NLAN'!F186*'TS-PILE'!$D$64/SUMSQ('TS-PILE'!$D$56:$D$75))),IF('TS-PILE'!$B$65="",-1E+99,'TO HOP NLAN'!D186/ncoc+IF(SUMSQ('TS-PILE'!$E$56:$E$75)=0,0,'TO HOP NLAN'!E186*'TS-PILE'!$E$65/SUMSQ('TS-PILE'!$E$56:$E$75))+IF(SUMSQ('TS-PILE'!$D$56:$D$75)=0,0,'TO HOP NLAN'!F186*'TS-PILE'!$D$65/SUMSQ('TS-PILE'!$D$56:$D$75))),IF('TS-PILE'!$B$66="",-1E+99,'TO HOP NLAN'!D186/ncoc+IF(SUMSQ('TS-PILE'!$E$56:$E$75)=0,0,'TO HOP NLAN'!E186*'TS-PILE'!$E$66/SUMSQ('TS-PILE'!$E$56:$E$75))+IF(SUMSQ('TS-PILE'!$D$56:$D$75)=0,0,'TO HOP NLAN'!F186*'TS-PILE'!$D$66/SUMSQ('TS-PILE'!$D$56:$D$75))),IF('TS-PILE'!$B$67="",-1E+99,'TO HOP NLAN'!D186/ncoc+IF(SUMSQ('TS-PILE'!$E$56:$E$75)=0,0,'TO HOP NLAN'!E186*'TS-PILE'!$E$67/SUMSQ('TS-PILE'!$E$56:$E$75))+IF(SUMSQ('TS-PILE'!$D$56:$D$75)=0,0,'TO HOP NLAN'!F186*'TS-PILE'!$D$67/SUMSQ('TS-PILE'!$D$56:$D$75))),IF('TS-PILE'!$B$68="",-1E+99,'TO HOP NLAN'!D186/ncoc+IF(SUMSQ('TS-PILE'!$E$56:$E$75)=0,0,'TO HOP NLAN'!E186*'TS-PILE'!$E$68/SUMSQ('TS-PILE'!$E$56:$E$75))+IF(SUMSQ('TS-PILE'!$D$56:$D$75)=0,0,'TO HOP NLAN'!F186*'TS-PILE'!$D$68/SUMSQ('TS-PILE'!$D$56:$D$75))),IF('TS-PILE'!$B$69="",-1E+99,'TO HOP NLAN'!D186/ncoc+IF(SUMSQ('TS-PILE'!$E$56:$E$75)=0,0,'TO HOP NLAN'!E186*'TS-PILE'!$E$69/SUMSQ('TS-PILE'!$E$56:$E$75))+IF(SUMSQ('TS-PILE'!$D$56:$D$75)=0,0,'TO HOP NLAN'!F186*'TS-PILE'!$D$69/SUMSQ('TS-PILE'!$D$56:$D$75))),IF('TS-PILE'!$B$70="",-1E+99,'TO HOP NLAN'!D186/ncoc+IF(SUMSQ('TS-PILE'!$E$56:$E$75)=0,0,'TO HOP NLAN'!E186*'TS-PILE'!$E$70/SUMSQ('TS-PILE'!$E$56:$E$75))+IF(SUMSQ('TS-PILE'!$D$56:$D$75)=0,0,'TO HOP NLAN'!F186*'TS-PILE'!$D$70/SUMSQ('TS-PILE'!$D$56:$D$75))),IF('TS-PILE'!$B$71="",-1E+99,'TO HOP NLAN'!D186/ncoc+IF(SUMSQ('TS-PILE'!$E$56:$E$75)=0,0,'TO HOP NLAN'!E186*'TS-PILE'!$E$71/SUMSQ('TS-PILE'!$E$56:$E$75))+IF(SUMSQ('TS-PILE'!$D$56:$D$75)=0,0,'TO HOP NLAN'!F186*'TS-PILE'!$D$71/SUMSQ('TS-PILE'!$D$56:$D$75))),IF('TS-PILE'!$B$72="",-1E+99,'TO HOP NLAN'!D186/ncoc+IF(SUMSQ('TS-PILE'!$E$56:$E$75)=0,0,'TO HOP NLAN'!E186*'TS-PILE'!$E$72/SUMSQ('TS-PILE'!$E$56:$E$75))+IF(SUMSQ('TS-PILE'!$D$56:$D$75)=0,0,'TO HOP NLAN'!F186*'TS-PILE'!$D$72/SUMSQ('TS-PILE'!$D$56:$D$75))),IF('TS-PILE'!$B$73="",-1E+99,'TO HOP NLAN'!D186/ncoc+IF(SUMSQ('TS-PILE'!$E$56:$E$75)=0,0,'TO HOP NLAN'!E186*'TS-PILE'!$E$73/SUMSQ('TS-PILE'!$E$56:$E$75))+IF(SUMSQ('TS-PILE'!$D$56:$D$75)=0,0,'TO HOP NLAN'!F186*'TS-PILE'!$D$73/SUMSQ('TS-PILE'!$D$56:$D$75))),IF('TS-PILE'!$B$74="",-1E+99,'TO HOP NLAN'!D186/ncoc+IF(SUMSQ('TS-PILE'!$E$56:$E$75)=0,0,'TO HOP NLAN'!E186*'TS-PILE'!$E$74/SUMSQ('TS-PILE'!$E$56:$E$75))+IF(SUMSQ('TS-PILE'!$D$56:$D$75)=0,0,'TO HOP NLAN'!F186*'TS-PILE'!$D$74/SUMSQ('TS-PILE'!$D$56:$D$75))),IF('TS-PILE'!$B$75="",-1E+99,'TO HOP NLAN'!D186/ncoc+IF(SUMSQ('TS-PILE'!$E$56:$E$75)=0,0,'TO HOP NLAN'!E186*'TS-PILE'!$E$75/SUMSQ('TS-PILE'!$E$56:$E$75))+IF(SUMSQ('TS-PILE'!$D$56:$D$75)=0,0,'TO HOP NLAN'!F186*'TS-PILE'!$D$75/SUMSQ('TS-PILE'!$D$56:$D$75)))))</f>
        <v>0</v>
      </c>
      <c r="D186" s="46">
        <f>IF(A186="",0,MIN(IF('TS-PILE'!$B$56="",1E+99,'TO HOP NLAN'!D186/ncoc+IF(SUMSQ('TS-PILE'!$E$56:$E$75)=0,0,'TO HOP NLAN'!E186*'TS-PILE'!$E$56/SUMSQ('TS-PILE'!$E$56:$E$75))+IF(SUMSQ('TS-PILE'!$D$56:$D$75)=0,0,'TO HOP NLAN'!F186*'TS-PILE'!$D$56/SUMSQ('TS-PILE'!$D$56:$D$75))),IF('TS-PILE'!$B$57="",1E+99,'TO HOP NLAN'!D186/ncoc+IF(SUMSQ('TS-PILE'!$E$56:$E$75)=0,0,'TO HOP NLAN'!E186*'TS-PILE'!$E$57/SUMSQ('TS-PILE'!$E$56:$E$75))+IF(SUMSQ('TS-PILE'!$D$56:$D$75)=0,0,'TO HOP NLAN'!F186*'TS-PILE'!$D$57/SUMSQ('TS-PILE'!$D$56:$D$75))),IF('TS-PILE'!$B$58="",1E+99,'TO HOP NLAN'!D186/ncoc+IF(SUMSQ('TS-PILE'!$E$56:$E$75)=0,0,'TO HOP NLAN'!E186*'TS-PILE'!$E$58/SUMSQ('TS-PILE'!$E$56:$E$75))+IF(SUMSQ('TS-PILE'!$D$56:$D$75)=0,0,'TO HOP NLAN'!F186*'TS-PILE'!$D$58/SUMSQ('TS-PILE'!$D$56:$D$75))),IF('TS-PILE'!$B$59="",1E+99,'TO HOP NLAN'!D186/ncoc+IF(SUMSQ('TS-PILE'!$E$56:$E$75)=0,0,'TO HOP NLAN'!E186*'TS-PILE'!$E$59/SUMSQ('TS-PILE'!$E$56:$E$75))+IF(SUMSQ('TS-PILE'!$D$56:$D$75)=0,0,'TO HOP NLAN'!F186*'TS-PILE'!$D$59/SUMSQ('TS-PILE'!$D$56:$D$75))),IF('TS-PILE'!$B$60="",1E+99,'TO HOP NLAN'!D186/ncoc+IF(SUMSQ('TS-PILE'!$E$56:$E$75)=0,0,'TO HOP NLAN'!E186*'TS-PILE'!$E$60/SUMSQ('TS-PILE'!$E$56:$E$75))+IF(SUMSQ('TS-PILE'!$D$56:$D$75)=0,0,'TO HOP NLAN'!F186*'TS-PILE'!$D$60/SUMSQ('TS-PILE'!$D$56:$D$75))),IF('TS-PILE'!$B$61="",1E+99,'TO HOP NLAN'!D186/ncoc+IF(SUMSQ('TS-PILE'!$E$56:$E$75)=0,0,'TO HOP NLAN'!E186*'TS-PILE'!$E$61/SUMSQ('TS-PILE'!$E$56:$E$75))+IF(SUMSQ('TS-PILE'!$D$56:$D$75)=0,0,'TO HOP NLAN'!F186*'TS-PILE'!$D$61/SUMSQ('TS-PILE'!$D$56:$D$75))),IF('TS-PILE'!$B$62="",1E+99,'TO HOP NLAN'!D186/ncoc+IF(SUMSQ('TS-PILE'!$E$56:$E$75)=0,0,'TO HOP NLAN'!E186*'TS-PILE'!$E$62/SUMSQ('TS-PILE'!$E$56:$E$75))+IF(SUMSQ('TS-PILE'!$D$56:$D$75)=0,0,'TO HOP NLAN'!F186*'TS-PILE'!$D$62/SUMSQ('TS-PILE'!$D$56:$D$75))),IF('TS-PILE'!$B$63="",1E+99,'TO HOP NLAN'!D186/ncoc+IF(SUMSQ('TS-PILE'!$E$56:$E$75)=0,0,'TO HOP NLAN'!E186*'TS-PILE'!$E$63/SUMSQ('TS-PILE'!$E$56:$E$75))+IF(SUMSQ('TS-PILE'!$D$56:$D$75)=0,0,'TO HOP NLAN'!F186*'TS-PILE'!$D$63/SUMSQ('TS-PILE'!$D$56:$D$75))),IF('TS-PILE'!$B$64="",1E+99,'TO HOP NLAN'!D186/ncoc+IF(SUMSQ('TS-PILE'!$E$56:$E$75)=0,0,'TO HOP NLAN'!E186*'TS-PILE'!$E$64/SUMSQ('TS-PILE'!$E$56:$E$75))+IF(SUMSQ('TS-PILE'!$D$56:$D$75)=0,0,'TO HOP NLAN'!F186*'TS-PILE'!$D$64/SUMSQ('TS-PILE'!$D$56:$D$75))),IF('TS-PILE'!$B$65="",1E+99,'TO HOP NLAN'!D186/ncoc+IF(SUMSQ('TS-PILE'!$E$56:$E$75)=0,0,'TO HOP NLAN'!E186*'TS-PILE'!$E$65/SUMSQ('TS-PILE'!$E$56:$E$75))+IF(SUMSQ('TS-PILE'!$D$56:$D$75)=0,0,'TO HOP NLAN'!F186*'TS-PILE'!$D$65/SUMSQ('TS-PILE'!$D$56:$D$75))),IF('TS-PILE'!$B$66="",1E+99,'TO HOP NLAN'!D186/ncoc+IF(SUMSQ('TS-PILE'!$E$56:$E$75)=0,0,'TO HOP NLAN'!E186*'TS-PILE'!$E$66/SUMSQ('TS-PILE'!$E$56:$E$75))+IF(SUMSQ('TS-PILE'!$D$56:$D$75)=0,0,'TO HOP NLAN'!F186*'TS-PILE'!$D$66/SUMSQ('TS-PILE'!$D$56:$D$75))),IF('TS-PILE'!$B$67="",1E+99,'TO HOP NLAN'!D186/ncoc+IF(SUMSQ('TS-PILE'!$E$56:$E$75)=0,0,'TO HOP NLAN'!E186*'TS-PILE'!$E$67/SUMSQ('TS-PILE'!$E$56:$E$75))+IF(SUMSQ('TS-PILE'!$D$56:$D$75)=0,0,'TO HOP NLAN'!F186*'TS-PILE'!$D$67/SUMSQ('TS-PILE'!$D$56:$D$75))),IF('TS-PILE'!$B$68="",1E+99,'TO HOP NLAN'!D186/ncoc+IF(SUMSQ('TS-PILE'!$E$56:$E$75)=0,0,'TO HOP NLAN'!E186*'TS-PILE'!$E$68/SUMSQ('TS-PILE'!$E$56:$E$75))+IF(SUMSQ('TS-PILE'!$D$56:$D$75)=0,0,'TO HOP NLAN'!F186*'TS-PILE'!$D$68/SUMSQ('TS-PILE'!$D$56:$D$75))),IF('TS-PILE'!$B$69="",1E+99,'TO HOP NLAN'!D186/ncoc+IF(SUMSQ('TS-PILE'!$E$56:$E$75)=0,0,'TO HOP NLAN'!E186*'TS-PILE'!$E$69/SUMSQ('TS-PILE'!$E$56:$E$75))+IF(SUMSQ('TS-PILE'!$D$56:$D$75)=0,0,'TO HOP NLAN'!F186*'TS-PILE'!$D$69/SUMSQ('TS-PILE'!$D$56:$D$75))),IF('TS-PILE'!$B$70="",1E+99,'TO HOP NLAN'!D186/ncoc+IF(SUMSQ('TS-PILE'!$E$56:$E$75)=0,0,'TO HOP NLAN'!E186*'TS-PILE'!$E$70/SUMSQ('TS-PILE'!$E$56:$E$75))+IF(SUMSQ('TS-PILE'!$D$56:$D$75)=0,0,'TO HOP NLAN'!F186*'TS-PILE'!$D$70/SUMSQ('TS-PILE'!$D$56:$D$75))),IF('TS-PILE'!$B$71="",1E+99,'TO HOP NLAN'!D186/ncoc+IF(SUMSQ('TS-PILE'!$E$56:$E$75)=0,0,'TO HOP NLAN'!E186*'TS-PILE'!$E$71/SUMSQ('TS-PILE'!$E$56:$E$75))+IF(SUMSQ('TS-PILE'!$D$56:$D$75)=0,0,'TO HOP NLAN'!F186*'TS-PILE'!$D$71/SUMSQ('TS-PILE'!$D$56:$D$75))),IF('TS-PILE'!$B$72="",1E+99,'TO HOP NLAN'!D186/ncoc+IF(SUMSQ('TS-PILE'!$E$56:$E$75)=0,0,'TO HOP NLAN'!E186*'TS-PILE'!$E$72/SUMSQ('TS-PILE'!$E$56:$E$75))+IF(SUMSQ('TS-PILE'!$D$56:$D$75)=0,0,'TO HOP NLAN'!F186*'TS-PILE'!$D$72/SUMSQ('TS-PILE'!$D$56:$D$75))),IF('TS-PILE'!$B$73="",1E+99,'TO HOP NLAN'!D186/ncoc+IF(SUMSQ('TS-PILE'!$E$56:$E$75)=0,0,'TO HOP NLAN'!E186*'TS-PILE'!$E$73/SUMSQ('TS-PILE'!$E$56:$E$75))+IF(SUMSQ('TS-PILE'!$D$56:$D$75)=0,0,'TO HOP NLAN'!F186*'TS-PILE'!$D$73/SUMSQ('TS-PILE'!$D$56:$D$75))),IF('TS-PILE'!$B$74="",1E+99,'TO HOP NLAN'!D186/ncoc+IF(SUMSQ('TS-PILE'!$E$56:$E$75)=0,0,'TO HOP NLAN'!E186*'TS-PILE'!$E$74/SUMSQ('TS-PILE'!$E$56:$E$75))+IF(SUMSQ('TS-PILE'!$D$56:$D$75)=0,0,'TO HOP NLAN'!F186*'TS-PILE'!$D$74/SUMSQ('TS-PILE'!$D$56:$D$75))),IF('TS-PILE'!$B$75="",1E+99,'TO HOP NLAN'!D186/ncoc+IF(SUMSQ('TS-PILE'!$E$56:$E$75)=0,0,'TO HOP NLAN'!E186*'TS-PILE'!$E$75/SUMSQ('TS-PILE'!$E$56:$E$75))+IF(SUMSQ('TS-PILE'!$D$56:$D$75)=0,0,'TO HOP NLAN'!F186*'TS-PILE'!$D$75/SUMSQ('TS-PILE'!$D$56:$D$75)))))</f>
        <v>0</v>
      </c>
      <c r="E186" s="46">
        <f t="shared" si="8"/>
        <v>-9.9999999999999997E+98</v>
      </c>
      <c r="F186" s="46">
        <f t="shared" si="9"/>
        <v>9.9999999999999997E+98</v>
      </c>
      <c r="G186" s="46">
        <f t="shared" si="10"/>
        <v>-9.9999999999999997E+98</v>
      </c>
      <c r="H186" s="46">
        <f t="shared" si="11"/>
        <v>9.9999999999999997E+98</v>
      </c>
    </row>
    <row r="187" spans="1:8" x14ac:dyDescent="0.3">
      <c r="A187" s="40" t="str">
        <f>'TO HOP NLAN'!A187</f>
        <v/>
      </c>
      <c r="B187" s="40" t="str">
        <f>'TO HOP NLAN'!L187</f>
        <v>STRENGTH</v>
      </c>
      <c r="C187" s="46">
        <f>IF(A187="",0,MAX(IF('TS-PILE'!$B$56="",-1E+99,'TO HOP NLAN'!D187/ncoc+IF(SUMSQ('TS-PILE'!$E$56:$E$75)=0,0,'TO HOP NLAN'!E187*'TS-PILE'!$E$56/SUMSQ('TS-PILE'!$E$56:$E$75))+IF(SUMSQ('TS-PILE'!$D$56:$D$75)=0,0,'TO HOP NLAN'!F187*'TS-PILE'!$D$56/SUMSQ('TS-PILE'!$D$56:$D$75))),IF('TS-PILE'!$B$57="",-1E+99,'TO HOP NLAN'!D187/ncoc+IF(SUMSQ('TS-PILE'!$E$56:$E$75)=0,0,'TO HOP NLAN'!E187*'TS-PILE'!$E$57/SUMSQ('TS-PILE'!$E$56:$E$75))+IF(SUMSQ('TS-PILE'!$D$56:$D$75)=0,0,'TO HOP NLAN'!F187*'TS-PILE'!$D$57/SUMSQ('TS-PILE'!$D$56:$D$75))),IF('TS-PILE'!$B$58="",-1E+99,'TO HOP NLAN'!D187/ncoc+IF(SUMSQ('TS-PILE'!$E$56:$E$75)=0,0,'TO HOP NLAN'!E187*'TS-PILE'!$E$58/SUMSQ('TS-PILE'!$E$56:$E$75))+IF(SUMSQ('TS-PILE'!$D$56:$D$75)=0,0,'TO HOP NLAN'!F187*'TS-PILE'!$D$58/SUMSQ('TS-PILE'!$D$56:$D$75))),IF('TS-PILE'!$B$59="",-1E+99,'TO HOP NLAN'!D187/ncoc+IF(SUMSQ('TS-PILE'!$E$56:$E$75)=0,0,'TO HOP NLAN'!E187*'TS-PILE'!$E$59/SUMSQ('TS-PILE'!$E$56:$E$75))+IF(SUMSQ('TS-PILE'!$D$56:$D$75)=0,0,'TO HOP NLAN'!F187*'TS-PILE'!$D$59/SUMSQ('TS-PILE'!$D$56:$D$75))),IF('TS-PILE'!$B$60="",-1E+99,'TO HOP NLAN'!D187/ncoc+IF(SUMSQ('TS-PILE'!$E$56:$E$75)=0,0,'TO HOP NLAN'!E187*'TS-PILE'!$E$60/SUMSQ('TS-PILE'!$E$56:$E$75))+IF(SUMSQ('TS-PILE'!$D$56:$D$75)=0,0,'TO HOP NLAN'!F187*'TS-PILE'!$D$60/SUMSQ('TS-PILE'!$D$56:$D$75))),IF('TS-PILE'!$B$61="",-1E+99,'TO HOP NLAN'!D187/ncoc+IF(SUMSQ('TS-PILE'!$E$56:$E$75)=0,0,'TO HOP NLAN'!E187*'TS-PILE'!$E$61/SUMSQ('TS-PILE'!$E$56:$E$75))+IF(SUMSQ('TS-PILE'!$D$56:$D$75)=0,0,'TO HOP NLAN'!F187*'TS-PILE'!$D$61/SUMSQ('TS-PILE'!$D$56:$D$75))),IF('TS-PILE'!$B$62="",-1E+99,'TO HOP NLAN'!D187/ncoc+IF(SUMSQ('TS-PILE'!$E$56:$E$75)=0,0,'TO HOP NLAN'!E187*'TS-PILE'!$E$62/SUMSQ('TS-PILE'!$E$56:$E$75))+IF(SUMSQ('TS-PILE'!$D$56:$D$75)=0,0,'TO HOP NLAN'!F187*'TS-PILE'!$D$62/SUMSQ('TS-PILE'!$D$56:$D$75))),IF('TS-PILE'!$B$63="",-1E+99,'TO HOP NLAN'!D187/ncoc+IF(SUMSQ('TS-PILE'!$E$56:$E$75)=0,0,'TO HOP NLAN'!E187*'TS-PILE'!$E$63/SUMSQ('TS-PILE'!$E$56:$E$75))+IF(SUMSQ('TS-PILE'!$D$56:$D$75)=0,0,'TO HOP NLAN'!F187*'TS-PILE'!$D$63/SUMSQ('TS-PILE'!$D$56:$D$75))),IF('TS-PILE'!$B$64="",-1E+99,'TO HOP NLAN'!D187/ncoc+IF(SUMSQ('TS-PILE'!$E$56:$E$75)=0,0,'TO HOP NLAN'!E187*'TS-PILE'!$E$64/SUMSQ('TS-PILE'!$E$56:$E$75))+IF(SUMSQ('TS-PILE'!$D$56:$D$75)=0,0,'TO HOP NLAN'!F187*'TS-PILE'!$D$64/SUMSQ('TS-PILE'!$D$56:$D$75))),IF('TS-PILE'!$B$65="",-1E+99,'TO HOP NLAN'!D187/ncoc+IF(SUMSQ('TS-PILE'!$E$56:$E$75)=0,0,'TO HOP NLAN'!E187*'TS-PILE'!$E$65/SUMSQ('TS-PILE'!$E$56:$E$75))+IF(SUMSQ('TS-PILE'!$D$56:$D$75)=0,0,'TO HOP NLAN'!F187*'TS-PILE'!$D$65/SUMSQ('TS-PILE'!$D$56:$D$75))),IF('TS-PILE'!$B$66="",-1E+99,'TO HOP NLAN'!D187/ncoc+IF(SUMSQ('TS-PILE'!$E$56:$E$75)=0,0,'TO HOP NLAN'!E187*'TS-PILE'!$E$66/SUMSQ('TS-PILE'!$E$56:$E$75))+IF(SUMSQ('TS-PILE'!$D$56:$D$75)=0,0,'TO HOP NLAN'!F187*'TS-PILE'!$D$66/SUMSQ('TS-PILE'!$D$56:$D$75))),IF('TS-PILE'!$B$67="",-1E+99,'TO HOP NLAN'!D187/ncoc+IF(SUMSQ('TS-PILE'!$E$56:$E$75)=0,0,'TO HOP NLAN'!E187*'TS-PILE'!$E$67/SUMSQ('TS-PILE'!$E$56:$E$75))+IF(SUMSQ('TS-PILE'!$D$56:$D$75)=0,0,'TO HOP NLAN'!F187*'TS-PILE'!$D$67/SUMSQ('TS-PILE'!$D$56:$D$75))),IF('TS-PILE'!$B$68="",-1E+99,'TO HOP NLAN'!D187/ncoc+IF(SUMSQ('TS-PILE'!$E$56:$E$75)=0,0,'TO HOP NLAN'!E187*'TS-PILE'!$E$68/SUMSQ('TS-PILE'!$E$56:$E$75))+IF(SUMSQ('TS-PILE'!$D$56:$D$75)=0,0,'TO HOP NLAN'!F187*'TS-PILE'!$D$68/SUMSQ('TS-PILE'!$D$56:$D$75))),IF('TS-PILE'!$B$69="",-1E+99,'TO HOP NLAN'!D187/ncoc+IF(SUMSQ('TS-PILE'!$E$56:$E$75)=0,0,'TO HOP NLAN'!E187*'TS-PILE'!$E$69/SUMSQ('TS-PILE'!$E$56:$E$75))+IF(SUMSQ('TS-PILE'!$D$56:$D$75)=0,0,'TO HOP NLAN'!F187*'TS-PILE'!$D$69/SUMSQ('TS-PILE'!$D$56:$D$75))),IF('TS-PILE'!$B$70="",-1E+99,'TO HOP NLAN'!D187/ncoc+IF(SUMSQ('TS-PILE'!$E$56:$E$75)=0,0,'TO HOP NLAN'!E187*'TS-PILE'!$E$70/SUMSQ('TS-PILE'!$E$56:$E$75))+IF(SUMSQ('TS-PILE'!$D$56:$D$75)=0,0,'TO HOP NLAN'!F187*'TS-PILE'!$D$70/SUMSQ('TS-PILE'!$D$56:$D$75))),IF('TS-PILE'!$B$71="",-1E+99,'TO HOP NLAN'!D187/ncoc+IF(SUMSQ('TS-PILE'!$E$56:$E$75)=0,0,'TO HOP NLAN'!E187*'TS-PILE'!$E$71/SUMSQ('TS-PILE'!$E$56:$E$75))+IF(SUMSQ('TS-PILE'!$D$56:$D$75)=0,0,'TO HOP NLAN'!F187*'TS-PILE'!$D$71/SUMSQ('TS-PILE'!$D$56:$D$75))),IF('TS-PILE'!$B$72="",-1E+99,'TO HOP NLAN'!D187/ncoc+IF(SUMSQ('TS-PILE'!$E$56:$E$75)=0,0,'TO HOP NLAN'!E187*'TS-PILE'!$E$72/SUMSQ('TS-PILE'!$E$56:$E$75))+IF(SUMSQ('TS-PILE'!$D$56:$D$75)=0,0,'TO HOP NLAN'!F187*'TS-PILE'!$D$72/SUMSQ('TS-PILE'!$D$56:$D$75))),IF('TS-PILE'!$B$73="",-1E+99,'TO HOP NLAN'!D187/ncoc+IF(SUMSQ('TS-PILE'!$E$56:$E$75)=0,0,'TO HOP NLAN'!E187*'TS-PILE'!$E$73/SUMSQ('TS-PILE'!$E$56:$E$75))+IF(SUMSQ('TS-PILE'!$D$56:$D$75)=0,0,'TO HOP NLAN'!F187*'TS-PILE'!$D$73/SUMSQ('TS-PILE'!$D$56:$D$75))),IF('TS-PILE'!$B$74="",-1E+99,'TO HOP NLAN'!D187/ncoc+IF(SUMSQ('TS-PILE'!$E$56:$E$75)=0,0,'TO HOP NLAN'!E187*'TS-PILE'!$E$74/SUMSQ('TS-PILE'!$E$56:$E$75))+IF(SUMSQ('TS-PILE'!$D$56:$D$75)=0,0,'TO HOP NLAN'!F187*'TS-PILE'!$D$74/SUMSQ('TS-PILE'!$D$56:$D$75))),IF('TS-PILE'!$B$75="",-1E+99,'TO HOP NLAN'!D187/ncoc+IF(SUMSQ('TS-PILE'!$E$56:$E$75)=0,0,'TO HOP NLAN'!E187*'TS-PILE'!$E$75/SUMSQ('TS-PILE'!$E$56:$E$75))+IF(SUMSQ('TS-PILE'!$D$56:$D$75)=0,0,'TO HOP NLAN'!F187*'TS-PILE'!$D$75/SUMSQ('TS-PILE'!$D$56:$D$75)))))</f>
        <v>0</v>
      </c>
      <c r="D187" s="46">
        <f>IF(A187="",0,MIN(IF('TS-PILE'!$B$56="",1E+99,'TO HOP NLAN'!D187/ncoc+IF(SUMSQ('TS-PILE'!$E$56:$E$75)=0,0,'TO HOP NLAN'!E187*'TS-PILE'!$E$56/SUMSQ('TS-PILE'!$E$56:$E$75))+IF(SUMSQ('TS-PILE'!$D$56:$D$75)=0,0,'TO HOP NLAN'!F187*'TS-PILE'!$D$56/SUMSQ('TS-PILE'!$D$56:$D$75))),IF('TS-PILE'!$B$57="",1E+99,'TO HOP NLAN'!D187/ncoc+IF(SUMSQ('TS-PILE'!$E$56:$E$75)=0,0,'TO HOP NLAN'!E187*'TS-PILE'!$E$57/SUMSQ('TS-PILE'!$E$56:$E$75))+IF(SUMSQ('TS-PILE'!$D$56:$D$75)=0,0,'TO HOP NLAN'!F187*'TS-PILE'!$D$57/SUMSQ('TS-PILE'!$D$56:$D$75))),IF('TS-PILE'!$B$58="",1E+99,'TO HOP NLAN'!D187/ncoc+IF(SUMSQ('TS-PILE'!$E$56:$E$75)=0,0,'TO HOP NLAN'!E187*'TS-PILE'!$E$58/SUMSQ('TS-PILE'!$E$56:$E$75))+IF(SUMSQ('TS-PILE'!$D$56:$D$75)=0,0,'TO HOP NLAN'!F187*'TS-PILE'!$D$58/SUMSQ('TS-PILE'!$D$56:$D$75))),IF('TS-PILE'!$B$59="",1E+99,'TO HOP NLAN'!D187/ncoc+IF(SUMSQ('TS-PILE'!$E$56:$E$75)=0,0,'TO HOP NLAN'!E187*'TS-PILE'!$E$59/SUMSQ('TS-PILE'!$E$56:$E$75))+IF(SUMSQ('TS-PILE'!$D$56:$D$75)=0,0,'TO HOP NLAN'!F187*'TS-PILE'!$D$59/SUMSQ('TS-PILE'!$D$56:$D$75))),IF('TS-PILE'!$B$60="",1E+99,'TO HOP NLAN'!D187/ncoc+IF(SUMSQ('TS-PILE'!$E$56:$E$75)=0,0,'TO HOP NLAN'!E187*'TS-PILE'!$E$60/SUMSQ('TS-PILE'!$E$56:$E$75))+IF(SUMSQ('TS-PILE'!$D$56:$D$75)=0,0,'TO HOP NLAN'!F187*'TS-PILE'!$D$60/SUMSQ('TS-PILE'!$D$56:$D$75))),IF('TS-PILE'!$B$61="",1E+99,'TO HOP NLAN'!D187/ncoc+IF(SUMSQ('TS-PILE'!$E$56:$E$75)=0,0,'TO HOP NLAN'!E187*'TS-PILE'!$E$61/SUMSQ('TS-PILE'!$E$56:$E$75))+IF(SUMSQ('TS-PILE'!$D$56:$D$75)=0,0,'TO HOP NLAN'!F187*'TS-PILE'!$D$61/SUMSQ('TS-PILE'!$D$56:$D$75))),IF('TS-PILE'!$B$62="",1E+99,'TO HOP NLAN'!D187/ncoc+IF(SUMSQ('TS-PILE'!$E$56:$E$75)=0,0,'TO HOP NLAN'!E187*'TS-PILE'!$E$62/SUMSQ('TS-PILE'!$E$56:$E$75))+IF(SUMSQ('TS-PILE'!$D$56:$D$75)=0,0,'TO HOP NLAN'!F187*'TS-PILE'!$D$62/SUMSQ('TS-PILE'!$D$56:$D$75))),IF('TS-PILE'!$B$63="",1E+99,'TO HOP NLAN'!D187/ncoc+IF(SUMSQ('TS-PILE'!$E$56:$E$75)=0,0,'TO HOP NLAN'!E187*'TS-PILE'!$E$63/SUMSQ('TS-PILE'!$E$56:$E$75))+IF(SUMSQ('TS-PILE'!$D$56:$D$75)=0,0,'TO HOP NLAN'!F187*'TS-PILE'!$D$63/SUMSQ('TS-PILE'!$D$56:$D$75))),IF('TS-PILE'!$B$64="",1E+99,'TO HOP NLAN'!D187/ncoc+IF(SUMSQ('TS-PILE'!$E$56:$E$75)=0,0,'TO HOP NLAN'!E187*'TS-PILE'!$E$64/SUMSQ('TS-PILE'!$E$56:$E$75))+IF(SUMSQ('TS-PILE'!$D$56:$D$75)=0,0,'TO HOP NLAN'!F187*'TS-PILE'!$D$64/SUMSQ('TS-PILE'!$D$56:$D$75))),IF('TS-PILE'!$B$65="",1E+99,'TO HOP NLAN'!D187/ncoc+IF(SUMSQ('TS-PILE'!$E$56:$E$75)=0,0,'TO HOP NLAN'!E187*'TS-PILE'!$E$65/SUMSQ('TS-PILE'!$E$56:$E$75))+IF(SUMSQ('TS-PILE'!$D$56:$D$75)=0,0,'TO HOP NLAN'!F187*'TS-PILE'!$D$65/SUMSQ('TS-PILE'!$D$56:$D$75))),IF('TS-PILE'!$B$66="",1E+99,'TO HOP NLAN'!D187/ncoc+IF(SUMSQ('TS-PILE'!$E$56:$E$75)=0,0,'TO HOP NLAN'!E187*'TS-PILE'!$E$66/SUMSQ('TS-PILE'!$E$56:$E$75))+IF(SUMSQ('TS-PILE'!$D$56:$D$75)=0,0,'TO HOP NLAN'!F187*'TS-PILE'!$D$66/SUMSQ('TS-PILE'!$D$56:$D$75))),IF('TS-PILE'!$B$67="",1E+99,'TO HOP NLAN'!D187/ncoc+IF(SUMSQ('TS-PILE'!$E$56:$E$75)=0,0,'TO HOP NLAN'!E187*'TS-PILE'!$E$67/SUMSQ('TS-PILE'!$E$56:$E$75))+IF(SUMSQ('TS-PILE'!$D$56:$D$75)=0,0,'TO HOP NLAN'!F187*'TS-PILE'!$D$67/SUMSQ('TS-PILE'!$D$56:$D$75))),IF('TS-PILE'!$B$68="",1E+99,'TO HOP NLAN'!D187/ncoc+IF(SUMSQ('TS-PILE'!$E$56:$E$75)=0,0,'TO HOP NLAN'!E187*'TS-PILE'!$E$68/SUMSQ('TS-PILE'!$E$56:$E$75))+IF(SUMSQ('TS-PILE'!$D$56:$D$75)=0,0,'TO HOP NLAN'!F187*'TS-PILE'!$D$68/SUMSQ('TS-PILE'!$D$56:$D$75))),IF('TS-PILE'!$B$69="",1E+99,'TO HOP NLAN'!D187/ncoc+IF(SUMSQ('TS-PILE'!$E$56:$E$75)=0,0,'TO HOP NLAN'!E187*'TS-PILE'!$E$69/SUMSQ('TS-PILE'!$E$56:$E$75))+IF(SUMSQ('TS-PILE'!$D$56:$D$75)=0,0,'TO HOP NLAN'!F187*'TS-PILE'!$D$69/SUMSQ('TS-PILE'!$D$56:$D$75))),IF('TS-PILE'!$B$70="",1E+99,'TO HOP NLAN'!D187/ncoc+IF(SUMSQ('TS-PILE'!$E$56:$E$75)=0,0,'TO HOP NLAN'!E187*'TS-PILE'!$E$70/SUMSQ('TS-PILE'!$E$56:$E$75))+IF(SUMSQ('TS-PILE'!$D$56:$D$75)=0,0,'TO HOP NLAN'!F187*'TS-PILE'!$D$70/SUMSQ('TS-PILE'!$D$56:$D$75))),IF('TS-PILE'!$B$71="",1E+99,'TO HOP NLAN'!D187/ncoc+IF(SUMSQ('TS-PILE'!$E$56:$E$75)=0,0,'TO HOP NLAN'!E187*'TS-PILE'!$E$71/SUMSQ('TS-PILE'!$E$56:$E$75))+IF(SUMSQ('TS-PILE'!$D$56:$D$75)=0,0,'TO HOP NLAN'!F187*'TS-PILE'!$D$71/SUMSQ('TS-PILE'!$D$56:$D$75))),IF('TS-PILE'!$B$72="",1E+99,'TO HOP NLAN'!D187/ncoc+IF(SUMSQ('TS-PILE'!$E$56:$E$75)=0,0,'TO HOP NLAN'!E187*'TS-PILE'!$E$72/SUMSQ('TS-PILE'!$E$56:$E$75))+IF(SUMSQ('TS-PILE'!$D$56:$D$75)=0,0,'TO HOP NLAN'!F187*'TS-PILE'!$D$72/SUMSQ('TS-PILE'!$D$56:$D$75))),IF('TS-PILE'!$B$73="",1E+99,'TO HOP NLAN'!D187/ncoc+IF(SUMSQ('TS-PILE'!$E$56:$E$75)=0,0,'TO HOP NLAN'!E187*'TS-PILE'!$E$73/SUMSQ('TS-PILE'!$E$56:$E$75))+IF(SUMSQ('TS-PILE'!$D$56:$D$75)=0,0,'TO HOP NLAN'!F187*'TS-PILE'!$D$73/SUMSQ('TS-PILE'!$D$56:$D$75))),IF('TS-PILE'!$B$74="",1E+99,'TO HOP NLAN'!D187/ncoc+IF(SUMSQ('TS-PILE'!$E$56:$E$75)=0,0,'TO HOP NLAN'!E187*'TS-PILE'!$E$74/SUMSQ('TS-PILE'!$E$56:$E$75))+IF(SUMSQ('TS-PILE'!$D$56:$D$75)=0,0,'TO HOP NLAN'!F187*'TS-PILE'!$D$74/SUMSQ('TS-PILE'!$D$56:$D$75))),IF('TS-PILE'!$B$75="",1E+99,'TO HOP NLAN'!D187/ncoc+IF(SUMSQ('TS-PILE'!$E$56:$E$75)=0,0,'TO HOP NLAN'!E187*'TS-PILE'!$E$75/SUMSQ('TS-PILE'!$E$56:$E$75))+IF(SUMSQ('TS-PILE'!$D$56:$D$75)=0,0,'TO HOP NLAN'!F187*'TS-PILE'!$D$75/SUMSQ('TS-PILE'!$D$56:$D$75)))))</f>
        <v>0</v>
      </c>
      <c r="E187" s="46">
        <f t="shared" si="8"/>
        <v>-9.9999999999999997E+98</v>
      </c>
      <c r="F187" s="46">
        <f t="shared" si="9"/>
        <v>9.9999999999999997E+98</v>
      </c>
      <c r="G187" s="46">
        <f t="shared" si="10"/>
        <v>-9.9999999999999997E+98</v>
      </c>
      <c r="H187" s="46">
        <f t="shared" si="11"/>
        <v>9.9999999999999997E+98</v>
      </c>
    </row>
    <row r="188" spans="1:8" x14ac:dyDescent="0.3">
      <c r="A188" s="40" t="str">
        <f>'TO HOP NLAN'!A188</f>
        <v/>
      </c>
      <c r="B188" s="40" t="str">
        <f>'TO HOP NLAN'!L188</f>
        <v>STRENGTH</v>
      </c>
      <c r="C188" s="46">
        <f>IF(A188="",0,MAX(IF('TS-PILE'!$B$56="",-1E+99,'TO HOP NLAN'!D188/ncoc+IF(SUMSQ('TS-PILE'!$E$56:$E$75)=0,0,'TO HOP NLAN'!E188*'TS-PILE'!$E$56/SUMSQ('TS-PILE'!$E$56:$E$75))+IF(SUMSQ('TS-PILE'!$D$56:$D$75)=0,0,'TO HOP NLAN'!F188*'TS-PILE'!$D$56/SUMSQ('TS-PILE'!$D$56:$D$75))),IF('TS-PILE'!$B$57="",-1E+99,'TO HOP NLAN'!D188/ncoc+IF(SUMSQ('TS-PILE'!$E$56:$E$75)=0,0,'TO HOP NLAN'!E188*'TS-PILE'!$E$57/SUMSQ('TS-PILE'!$E$56:$E$75))+IF(SUMSQ('TS-PILE'!$D$56:$D$75)=0,0,'TO HOP NLAN'!F188*'TS-PILE'!$D$57/SUMSQ('TS-PILE'!$D$56:$D$75))),IF('TS-PILE'!$B$58="",-1E+99,'TO HOP NLAN'!D188/ncoc+IF(SUMSQ('TS-PILE'!$E$56:$E$75)=0,0,'TO HOP NLAN'!E188*'TS-PILE'!$E$58/SUMSQ('TS-PILE'!$E$56:$E$75))+IF(SUMSQ('TS-PILE'!$D$56:$D$75)=0,0,'TO HOP NLAN'!F188*'TS-PILE'!$D$58/SUMSQ('TS-PILE'!$D$56:$D$75))),IF('TS-PILE'!$B$59="",-1E+99,'TO HOP NLAN'!D188/ncoc+IF(SUMSQ('TS-PILE'!$E$56:$E$75)=0,0,'TO HOP NLAN'!E188*'TS-PILE'!$E$59/SUMSQ('TS-PILE'!$E$56:$E$75))+IF(SUMSQ('TS-PILE'!$D$56:$D$75)=0,0,'TO HOP NLAN'!F188*'TS-PILE'!$D$59/SUMSQ('TS-PILE'!$D$56:$D$75))),IF('TS-PILE'!$B$60="",-1E+99,'TO HOP NLAN'!D188/ncoc+IF(SUMSQ('TS-PILE'!$E$56:$E$75)=0,0,'TO HOP NLAN'!E188*'TS-PILE'!$E$60/SUMSQ('TS-PILE'!$E$56:$E$75))+IF(SUMSQ('TS-PILE'!$D$56:$D$75)=0,0,'TO HOP NLAN'!F188*'TS-PILE'!$D$60/SUMSQ('TS-PILE'!$D$56:$D$75))),IF('TS-PILE'!$B$61="",-1E+99,'TO HOP NLAN'!D188/ncoc+IF(SUMSQ('TS-PILE'!$E$56:$E$75)=0,0,'TO HOP NLAN'!E188*'TS-PILE'!$E$61/SUMSQ('TS-PILE'!$E$56:$E$75))+IF(SUMSQ('TS-PILE'!$D$56:$D$75)=0,0,'TO HOP NLAN'!F188*'TS-PILE'!$D$61/SUMSQ('TS-PILE'!$D$56:$D$75))),IF('TS-PILE'!$B$62="",-1E+99,'TO HOP NLAN'!D188/ncoc+IF(SUMSQ('TS-PILE'!$E$56:$E$75)=0,0,'TO HOP NLAN'!E188*'TS-PILE'!$E$62/SUMSQ('TS-PILE'!$E$56:$E$75))+IF(SUMSQ('TS-PILE'!$D$56:$D$75)=0,0,'TO HOP NLAN'!F188*'TS-PILE'!$D$62/SUMSQ('TS-PILE'!$D$56:$D$75))),IF('TS-PILE'!$B$63="",-1E+99,'TO HOP NLAN'!D188/ncoc+IF(SUMSQ('TS-PILE'!$E$56:$E$75)=0,0,'TO HOP NLAN'!E188*'TS-PILE'!$E$63/SUMSQ('TS-PILE'!$E$56:$E$75))+IF(SUMSQ('TS-PILE'!$D$56:$D$75)=0,0,'TO HOP NLAN'!F188*'TS-PILE'!$D$63/SUMSQ('TS-PILE'!$D$56:$D$75))),IF('TS-PILE'!$B$64="",-1E+99,'TO HOP NLAN'!D188/ncoc+IF(SUMSQ('TS-PILE'!$E$56:$E$75)=0,0,'TO HOP NLAN'!E188*'TS-PILE'!$E$64/SUMSQ('TS-PILE'!$E$56:$E$75))+IF(SUMSQ('TS-PILE'!$D$56:$D$75)=0,0,'TO HOP NLAN'!F188*'TS-PILE'!$D$64/SUMSQ('TS-PILE'!$D$56:$D$75))),IF('TS-PILE'!$B$65="",-1E+99,'TO HOP NLAN'!D188/ncoc+IF(SUMSQ('TS-PILE'!$E$56:$E$75)=0,0,'TO HOP NLAN'!E188*'TS-PILE'!$E$65/SUMSQ('TS-PILE'!$E$56:$E$75))+IF(SUMSQ('TS-PILE'!$D$56:$D$75)=0,0,'TO HOP NLAN'!F188*'TS-PILE'!$D$65/SUMSQ('TS-PILE'!$D$56:$D$75))),IF('TS-PILE'!$B$66="",-1E+99,'TO HOP NLAN'!D188/ncoc+IF(SUMSQ('TS-PILE'!$E$56:$E$75)=0,0,'TO HOP NLAN'!E188*'TS-PILE'!$E$66/SUMSQ('TS-PILE'!$E$56:$E$75))+IF(SUMSQ('TS-PILE'!$D$56:$D$75)=0,0,'TO HOP NLAN'!F188*'TS-PILE'!$D$66/SUMSQ('TS-PILE'!$D$56:$D$75))),IF('TS-PILE'!$B$67="",-1E+99,'TO HOP NLAN'!D188/ncoc+IF(SUMSQ('TS-PILE'!$E$56:$E$75)=0,0,'TO HOP NLAN'!E188*'TS-PILE'!$E$67/SUMSQ('TS-PILE'!$E$56:$E$75))+IF(SUMSQ('TS-PILE'!$D$56:$D$75)=0,0,'TO HOP NLAN'!F188*'TS-PILE'!$D$67/SUMSQ('TS-PILE'!$D$56:$D$75))),IF('TS-PILE'!$B$68="",-1E+99,'TO HOP NLAN'!D188/ncoc+IF(SUMSQ('TS-PILE'!$E$56:$E$75)=0,0,'TO HOP NLAN'!E188*'TS-PILE'!$E$68/SUMSQ('TS-PILE'!$E$56:$E$75))+IF(SUMSQ('TS-PILE'!$D$56:$D$75)=0,0,'TO HOP NLAN'!F188*'TS-PILE'!$D$68/SUMSQ('TS-PILE'!$D$56:$D$75))),IF('TS-PILE'!$B$69="",-1E+99,'TO HOP NLAN'!D188/ncoc+IF(SUMSQ('TS-PILE'!$E$56:$E$75)=0,0,'TO HOP NLAN'!E188*'TS-PILE'!$E$69/SUMSQ('TS-PILE'!$E$56:$E$75))+IF(SUMSQ('TS-PILE'!$D$56:$D$75)=0,0,'TO HOP NLAN'!F188*'TS-PILE'!$D$69/SUMSQ('TS-PILE'!$D$56:$D$75))),IF('TS-PILE'!$B$70="",-1E+99,'TO HOP NLAN'!D188/ncoc+IF(SUMSQ('TS-PILE'!$E$56:$E$75)=0,0,'TO HOP NLAN'!E188*'TS-PILE'!$E$70/SUMSQ('TS-PILE'!$E$56:$E$75))+IF(SUMSQ('TS-PILE'!$D$56:$D$75)=0,0,'TO HOP NLAN'!F188*'TS-PILE'!$D$70/SUMSQ('TS-PILE'!$D$56:$D$75))),IF('TS-PILE'!$B$71="",-1E+99,'TO HOP NLAN'!D188/ncoc+IF(SUMSQ('TS-PILE'!$E$56:$E$75)=0,0,'TO HOP NLAN'!E188*'TS-PILE'!$E$71/SUMSQ('TS-PILE'!$E$56:$E$75))+IF(SUMSQ('TS-PILE'!$D$56:$D$75)=0,0,'TO HOP NLAN'!F188*'TS-PILE'!$D$71/SUMSQ('TS-PILE'!$D$56:$D$75))),IF('TS-PILE'!$B$72="",-1E+99,'TO HOP NLAN'!D188/ncoc+IF(SUMSQ('TS-PILE'!$E$56:$E$75)=0,0,'TO HOP NLAN'!E188*'TS-PILE'!$E$72/SUMSQ('TS-PILE'!$E$56:$E$75))+IF(SUMSQ('TS-PILE'!$D$56:$D$75)=0,0,'TO HOP NLAN'!F188*'TS-PILE'!$D$72/SUMSQ('TS-PILE'!$D$56:$D$75))),IF('TS-PILE'!$B$73="",-1E+99,'TO HOP NLAN'!D188/ncoc+IF(SUMSQ('TS-PILE'!$E$56:$E$75)=0,0,'TO HOP NLAN'!E188*'TS-PILE'!$E$73/SUMSQ('TS-PILE'!$E$56:$E$75))+IF(SUMSQ('TS-PILE'!$D$56:$D$75)=0,0,'TO HOP NLAN'!F188*'TS-PILE'!$D$73/SUMSQ('TS-PILE'!$D$56:$D$75))),IF('TS-PILE'!$B$74="",-1E+99,'TO HOP NLAN'!D188/ncoc+IF(SUMSQ('TS-PILE'!$E$56:$E$75)=0,0,'TO HOP NLAN'!E188*'TS-PILE'!$E$74/SUMSQ('TS-PILE'!$E$56:$E$75))+IF(SUMSQ('TS-PILE'!$D$56:$D$75)=0,0,'TO HOP NLAN'!F188*'TS-PILE'!$D$74/SUMSQ('TS-PILE'!$D$56:$D$75))),IF('TS-PILE'!$B$75="",-1E+99,'TO HOP NLAN'!D188/ncoc+IF(SUMSQ('TS-PILE'!$E$56:$E$75)=0,0,'TO HOP NLAN'!E188*'TS-PILE'!$E$75/SUMSQ('TS-PILE'!$E$56:$E$75))+IF(SUMSQ('TS-PILE'!$D$56:$D$75)=0,0,'TO HOP NLAN'!F188*'TS-PILE'!$D$75/SUMSQ('TS-PILE'!$D$56:$D$75)))))</f>
        <v>0</v>
      </c>
      <c r="D188" s="46">
        <f>IF(A188="",0,MIN(IF('TS-PILE'!$B$56="",1E+99,'TO HOP NLAN'!D188/ncoc+IF(SUMSQ('TS-PILE'!$E$56:$E$75)=0,0,'TO HOP NLAN'!E188*'TS-PILE'!$E$56/SUMSQ('TS-PILE'!$E$56:$E$75))+IF(SUMSQ('TS-PILE'!$D$56:$D$75)=0,0,'TO HOP NLAN'!F188*'TS-PILE'!$D$56/SUMSQ('TS-PILE'!$D$56:$D$75))),IF('TS-PILE'!$B$57="",1E+99,'TO HOP NLAN'!D188/ncoc+IF(SUMSQ('TS-PILE'!$E$56:$E$75)=0,0,'TO HOP NLAN'!E188*'TS-PILE'!$E$57/SUMSQ('TS-PILE'!$E$56:$E$75))+IF(SUMSQ('TS-PILE'!$D$56:$D$75)=0,0,'TO HOP NLAN'!F188*'TS-PILE'!$D$57/SUMSQ('TS-PILE'!$D$56:$D$75))),IF('TS-PILE'!$B$58="",1E+99,'TO HOP NLAN'!D188/ncoc+IF(SUMSQ('TS-PILE'!$E$56:$E$75)=0,0,'TO HOP NLAN'!E188*'TS-PILE'!$E$58/SUMSQ('TS-PILE'!$E$56:$E$75))+IF(SUMSQ('TS-PILE'!$D$56:$D$75)=0,0,'TO HOP NLAN'!F188*'TS-PILE'!$D$58/SUMSQ('TS-PILE'!$D$56:$D$75))),IF('TS-PILE'!$B$59="",1E+99,'TO HOP NLAN'!D188/ncoc+IF(SUMSQ('TS-PILE'!$E$56:$E$75)=0,0,'TO HOP NLAN'!E188*'TS-PILE'!$E$59/SUMSQ('TS-PILE'!$E$56:$E$75))+IF(SUMSQ('TS-PILE'!$D$56:$D$75)=0,0,'TO HOP NLAN'!F188*'TS-PILE'!$D$59/SUMSQ('TS-PILE'!$D$56:$D$75))),IF('TS-PILE'!$B$60="",1E+99,'TO HOP NLAN'!D188/ncoc+IF(SUMSQ('TS-PILE'!$E$56:$E$75)=0,0,'TO HOP NLAN'!E188*'TS-PILE'!$E$60/SUMSQ('TS-PILE'!$E$56:$E$75))+IF(SUMSQ('TS-PILE'!$D$56:$D$75)=0,0,'TO HOP NLAN'!F188*'TS-PILE'!$D$60/SUMSQ('TS-PILE'!$D$56:$D$75))),IF('TS-PILE'!$B$61="",1E+99,'TO HOP NLAN'!D188/ncoc+IF(SUMSQ('TS-PILE'!$E$56:$E$75)=0,0,'TO HOP NLAN'!E188*'TS-PILE'!$E$61/SUMSQ('TS-PILE'!$E$56:$E$75))+IF(SUMSQ('TS-PILE'!$D$56:$D$75)=0,0,'TO HOP NLAN'!F188*'TS-PILE'!$D$61/SUMSQ('TS-PILE'!$D$56:$D$75))),IF('TS-PILE'!$B$62="",1E+99,'TO HOP NLAN'!D188/ncoc+IF(SUMSQ('TS-PILE'!$E$56:$E$75)=0,0,'TO HOP NLAN'!E188*'TS-PILE'!$E$62/SUMSQ('TS-PILE'!$E$56:$E$75))+IF(SUMSQ('TS-PILE'!$D$56:$D$75)=0,0,'TO HOP NLAN'!F188*'TS-PILE'!$D$62/SUMSQ('TS-PILE'!$D$56:$D$75))),IF('TS-PILE'!$B$63="",1E+99,'TO HOP NLAN'!D188/ncoc+IF(SUMSQ('TS-PILE'!$E$56:$E$75)=0,0,'TO HOP NLAN'!E188*'TS-PILE'!$E$63/SUMSQ('TS-PILE'!$E$56:$E$75))+IF(SUMSQ('TS-PILE'!$D$56:$D$75)=0,0,'TO HOP NLAN'!F188*'TS-PILE'!$D$63/SUMSQ('TS-PILE'!$D$56:$D$75))),IF('TS-PILE'!$B$64="",1E+99,'TO HOP NLAN'!D188/ncoc+IF(SUMSQ('TS-PILE'!$E$56:$E$75)=0,0,'TO HOP NLAN'!E188*'TS-PILE'!$E$64/SUMSQ('TS-PILE'!$E$56:$E$75))+IF(SUMSQ('TS-PILE'!$D$56:$D$75)=0,0,'TO HOP NLAN'!F188*'TS-PILE'!$D$64/SUMSQ('TS-PILE'!$D$56:$D$75))),IF('TS-PILE'!$B$65="",1E+99,'TO HOP NLAN'!D188/ncoc+IF(SUMSQ('TS-PILE'!$E$56:$E$75)=0,0,'TO HOP NLAN'!E188*'TS-PILE'!$E$65/SUMSQ('TS-PILE'!$E$56:$E$75))+IF(SUMSQ('TS-PILE'!$D$56:$D$75)=0,0,'TO HOP NLAN'!F188*'TS-PILE'!$D$65/SUMSQ('TS-PILE'!$D$56:$D$75))),IF('TS-PILE'!$B$66="",1E+99,'TO HOP NLAN'!D188/ncoc+IF(SUMSQ('TS-PILE'!$E$56:$E$75)=0,0,'TO HOP NLAN'!E188*'TS-PILE'!$E$66/SUMSQ('TS-PILE'!$E$56:$E$75))+IF(SUMSQ('TS-PILE'!$D$56:$D$75)=0,0,'TO HOP NLAN'!F188*'TS-PILE'!$D$66/SUMSQ('TS-PILE'!$D$56:$D$75))),IF('TS-PILE'!$B$67="",1E+99,'TO HOP NLAN'!D188/ncoc+IF(SUMSQ('TS-PILE'!$E$56:$E$75)=0,0,'TO HOP NLAN'!E188*'TS-PILE'!$E$67/SUMSQ('TS-PILE'!$E$56:$E$75))+IF(SUMSQ('TS-PILE'!$D$56:$D$75)=0,0,'TO HOP NLAN'!F188*'TS-PILE'!$D$67/SUMSQ('TS-PILE'!$D$56:$D$75))),IF('TS-PILE'!$B$68="",1E+99,'TO HOP NLAN'!D188/ncoc+IF(SUMSQ('TS-PILE'!$E$56:$E$75)=0,0,'TO HOP NLAN'!E188*'TS-PILE'!$E$68/SUMSQ('TS-PILE'!$E$56:$E$75))+IF(SUMSQ('TS-PILE'!$D$56:$D$75)=0,0,'TO HOP NLAN'!F188*'TS-PILE'!$D$68/SUMSQ('TS-PILE'!$D$56:$D$75))),IF('TS-PILE'!$B$69="",1E+99,'TO HOP NLAN'!D188/ncoc+IF(SUMSQ('TS-PILE'!$E$56:$E$75)=0,0,'TO HOP NLAN'!E188*'TS-PILE'!$E$69/SUMSQ('TS-PILE'!$E$56:$E$75))+IF(SUMSQ('TS-PILE'!$D$56:$D$75)=0,0,'TO HOP NLAN'!F188*'TS-PILE'!$D$69/SUMSQ('TS-PILE'!$D$56:$D$75))),IF('TS-PILE'!$B$70="",1E+99,'TO HOP NLAN'!D188/ncoc+IF(SUMSQ('TS-PILE'!$E$56:$E$75)=0,0,'TO HOP NLAN'!E188*'TS-PILE'!$E$70/SUMSQ('TS-PILE'!$E$56:$E$75))+IF(SUMSQ('TS-PILE'!$D$56:$D$75)=0,0,'TO HOP NLAN'!F188*'TS-PILE'!$D$70/SUMSQ('TS-PILE'!$D$56:$D$75))),IF('TS-PILE'!$B$71="",1E+99,'TO HOP NLAN'!D188/ncoc+IF(SUMSQ('TS-PILE'!$E$56:$E$75)=0,0,'TO HOP NLAN'!E188*'TS-PILE'!$E$71/SUMSQ('TS-PILE'!$E$56:$E$75))+IF(SUMSQ('TS-PILE'!$D$56:$D$75)=0,0,'TO HOP NLAN'!F188*'TS-PILE'!$D$71/SUMSQ('TS-PILE'!$D$56:$D$75))),IF('TS-PILE'!$B$72="",1E+99,'TO HOP NLAN'!D188/ncoc+IF(SUMSQ('TS-PILE'!$E$56:$E$75)=0,0,'TO HOP NLAN'!E188*'TS-PILE'!$E$72/SUMSQ('TS-PILE'!$E$56:$E$75))+IF(SUMSQ('TS-PILE'!$D$56:$D$75)=0,0,'TO HOP NLAN'!F188*'TS-PILE'!$D$72/SUMSQ('TS-PILE'!$D$56:$D$75))),IF('TS-PILE'!$B$73="",1E+99,'TO HOP NLAN'!D188/ncoc+IF(SUMSQ('TS-PILE'!$E$56:$E$75)=0,0,'TO HOP NLAN'!E188*'TS-PILE'!$E$73/SUMSQ('TS-PILE'!$E$56:$E$75))+IF(SUMSQ('TS-PILE'!$D$56:$D$75)=0,0,'TO HOP NLAN'!F188*'TS-PILE'!$D$73/SUMSQ('TS-PILE'!$D$56:$D$75))),IF('TS-PILE'!$B$74="",1E+99,'TO HOP NLAN'!D188/ncoc+IF(SUMSQ('TS-PILE'!$E$56:$E$75)=0,0,'TO HOP NLAN'!E188*'TS-PILE'!$E$74/SUMSQ('TS-PILE'!$E$56:$E$75))+IF(SUMSQ('TS-PILE'!$D$56:$D$75)=0,0,'TO HOP NLAN'!F188*'TS-PILE'!$D$74/SUMSQ('TS-PILE'!$D$56:$D$75))),IF('TS-PILE'!$B$75="",1E+99,'TO HOP NLAN'!D188/ncoc+IF(SUMSQ('TS-PILE'!$E$56:$E$75)=0,0,'TO HOP NLAN'!E188*'TS-PILE'!$E$75/SUMSQ('TS-PILE'!$E$56:$E$75))+IF(SUMSQ('TS-PILE'!$D$56:$D$75)=0,0,'TO HOP NLAN'!F188*'TS-PILE'!$D$75/SUMSQ('TS-PILE'!$D$56:$D$75)))))</f>
        <v>0</v>
      </c>
      <c r="E188" s="46">
        <f t="shared" si="8"/>
        <v>-9.9999999999999997E+98</v>
      </c>
      <c r="F188" s="46">
        <f t="shared" si="9"/>
        <v>9.9999999999999997E+98</v>
      </c>
      <c r="G188" s="46">
        <f t="shared" si="10"/>
        <v>-9.9999999999999997E+98</v>
      </c>
      <c r="H188" s="46">
        <f t="shared" si="11"/>
        <v>9.9999999999999997E+98</v>
      </c>
    </row>
    <row r="189" spans="1:8" x14ac:dyDescent="0.3">
      <c r="A189" s="40" t="str">
        <f>'TO HOP NLAN'!A189</f>
        <v/>
      </c>
      <c r="B189" s="40" t="str">
        <f>'TO HOP NLAN'!L189</f>
        <v>STRENGTH</v>
      </c>
      <c r="C189" s="46">
        <f>IF(A189="",0,MAX(IF('TS-PILE'!$B$56="",-1E+99,'TO HOP NLAN'!D189/ncoc+IF(SUMSQ('TS-PILE'!$E$56:$E$75)=0,0,'TO HOP NLAN'!E189*'TS-PILE'!$E$56/SUMSQ('TS-PILE'!$E$56:$E$75))+IF(SUMSQ('TS-PILE'!$D$56:$D$75)=0,0,'TO HOP NLAN'!F189*'TS-PILE'!$D$56/SUMSQ('TS-PILE'!$D$56:$D$75))),IF('TS-PILE'!$B$57="",-1E+99,'TO HOP NLAN'!D189/ncoc+IF(SUMSQ('TS-PILE'!$E$56:$E$75)=0,0,'TO HOP NLAN'!E189*'TS-PILE'!$E$57/SUMSQ('TS-PILE'!$E$56:$E$75))+IF(SUMSQ('TS-PILE'!$D$56:$D$75)=0,0,'TO HOP NLAN'!F189*'TS-PILE'!$D$57/SUMSQ('TS-PILE'!$D$56:$D$75))),IF('TS-PILE'!$B$58="",-1E+99,'TO HOP NLAN'!D189/ncoc+IF(SUMSQ('TS-PILE'!$E$56:$E$75)=0,0,'TO HOP NLAN'!E189*'TS-PILE'!$E$58/SUMSQ('TS-PILE'!$E$56:$E$75))+IF(SUMSQ('TS-PILE'!$D$56:$D$75)=0,0,'TO HOP NLAN'!F189*'TS-PILE'!$D$58/SUMSQ('TS-PILE'!$D$56:$D$75))),IF('TS-PILE'!$B$59="",-1E+99,'TO HOP NLAN'!D189/ncoc+IF(SUMSQ('TS-PILE'!$E$56:$E$75)=0,0,'TO HOP NLAN'!E189*'TS-PILE'!$E$59/SUMSQ('TS-PILE'!$E$56:$E$75))+IF(SUMSQ('TS-PILE'!$D$56:$D$75)=0,0,'TO HOP NLAN'!F189*'TS-PILE'!$D$59/SUMSQ('TS-PILE'!$D$56:$D$75))),IF('TS-PILE'!$B$60="",-1E+99,'TO HOP NLAN'!D189/ncoc+IF(SUMSQ('TS-PILE'!$E$56:$E$75)=0,0,'TO HOP NLAN'!E189*'TS-PILE'!$E$60/SUMSQ('TS-PILE'!$E$56:$E$75))+IF(SUMSQ('TS-PILE'!$D$56:$D$75)=0,0,'TO HOP NLAN'!F189*'TS-PILE'!$D$60/SUMSQ('TS-PILE'!$D$56:$D$75))),IF('TS-PILE'!$B$61="",-1E+99,'TO HOP NLAN'!D189/ncoc+IF(SUMSQ('TS-PILE'!$E$56:$E$75)=0,0,'TO HOP NLAN'!E189*'TS-PILE'!$E$61/SUMSQ('TS-PILE'!$E$56:$E$75))+IF(SUMSQ('TS-PILE'!$D$56:$D$75)=0,0,'TO HOP NLAN'!F189*'TS-PILE'!$D$61/SUMSQ('TS-PILE'!$D$56:$D$75))),IF('TS-PILE'!$B$62="",-1E+99,'TO HOP NLAN'!D189/ncoc+IF(SUMSQ('TS-PILE'!$E$56:$E$75)=0,0,'TO HOP NLAN'!E189*'TS-PILE'!$E$62/SUMSQ('TS-PILE'!$E$56:$E$75))+IF(SUMSQ('TS-PILE'!$D$56:$D$75)=0,0,'TO HOP NLAN'!F189*'TS-PILE'!$D$62/SUMSQ('TS-PILE'!$D$56:$D$75))),IF('TS-PILE'!$B$63="",-1E+99,'TO HOP NLAN'!D189/ncoc+IF(SUMSQ('TS-PILE'!$E$56:$E$75)=0,0,'TO HOP NLAN'!E189*'TS-PILE'!$E$63/SUMSQ('TS-PILE'!$E$56:$E$75))+IF(SUMSQ('TS-PILE'!$D$56:$D$75)=0,0,'TO HOP NLAN'!F189*'TS-PILE'!$D$63/SUMSQ('TS-PILE'!$D$56:$D$75))),IF('TS-PILE'!$B$64="",-1E+99,'TO HOP NLAN'!D189/ncoc+IF(SUMSQ('TS-PILE'!$E$56:$E$75)=0,0,'TO HOP NLAN'!E189*'TS-PILE'!$E$64/SUMSQ('TS-PILE'!$E$56:$E$75))+IF(SUMSQ('TS-PILE'!$D$56:$D$75)=0,0,'TO HOP NLAN'!F189*'TS-PILE'!$D$64/SUMSQ('TS-PILE'!$D$56:$D$75))),IF('TS-PILE'!$B$65="",-1E+99,'TO HOP NLAN'!D189/ncoc+IF(SUMSQ('TS-PILE'!$E$56:$E$75)=0,0,'TO HOP NLAN'!E189*'TS-PILE'!$E$65/SUMSQ('TS-PILE'!$E$56:$E$75))+IF(SUMSQ('TS-PILE'!$D$56:$D$75)=0,0,'TO HOP NLAN'!F189*'TS-PILE'!$D$65/SUMSQ('TS-PILE'!$D$56:$D$75))),IF('TS-PILE'!$B$66="",-1E+99,'TO HOP NLAN'!D189/ncoc+IF(SUMSQ('TS-PILE'!$E$56:$E$75)=0,0,'TO HOP NLAN'!E189*'TS-PILE'!$E$66/SUMSQ('TS-PILE'!$E$56:$E$75))+IF(SUMSQ('TS-PILE'!$D$56:$D$75)=0,0,'TO HOP NLAN'!F189*'TS-PILE'!$D$66/SUMSQ('TS-PILE'!$D$56:$D$75))),IF('TS-PILE'!$B$67="",-1E+99,'TO HOP NLAN'!D189/ncoc+IF(SUMSQ('TS-PILE'!$E$56:$E$75)=0,0,'TO HOP NLAN'!E189*'TS-PILE'!$E$67/SUMSQ('TS-PILE'!$E$56:$E$75))+IF(SUMSQ('TS-PILE'!$D$56:$D$75)=0,0,'TO HOP NLAN'!F189*'TS-PILE'!$D$67/SUMSQ('TS-PILE'!$D$56:$D$75))),IF('TS-PILE'!$B$68="",-1E+99,'TO HOP NLAN'!D189/ncoc+IF(SUMSQ('TS-PILE'!$E$56:$E$75)=0,0,'TO HOP NLAN'!E189*'TS-PILE'!$E$68/SUMSQ('TS-PILE'!$E$56:$E$75))+IF(SUMSQ('TS-PILE'!$D$56:$D$75)=0,0,'TO HOP NLAN'!F189*'TS-PILE'!$D$68/SUMSQ('TS-PILE'!$D$56:$D$75))),IF('TS-PILE'!$B$69="",-1E+99,'TO HOP NLAN'!D189/ncoc+IF(SUMSQ('TS-PILE'!$E$56:$E$75)=0,0,'TO HOP NLAN'!E189*'TS-PILE'!$E$69/SUMSQ('TS-PILE'!$E$56:$E$75))+IF(SUMSQ('TS-PILE'!$D$56:$D$75)=0,0,'TO HOP NLAN'!F189*'TS-PILE'!$D$69/SUMSQ('TS-PILE'!$D$56:$D$75))),IF('TS-PILE'!$B$70="",-1E+99,'TO HOP NLAN'!D189/ncoc+IF(SUMSQ('TS-PILE'!$E$56:$E$75)=0,0,'TO HOP NLAN'!E189*'TS-PILE'!$E$70/SUMSQ('TS-PILE'!$E$56:$E$75))+IF(SUMSQ('TS-PILE'!$D$56:$D$75)=0,0,'TO HOP NLAN'!F189*'TS-PILE'!$D$70/SUMSQ('TS-PILE'!$D$56:$D$75))),IF('TS-PILE'!$B$71="",-1E+99,'TO HOP NLAN'!D189/ncoc+IF(SUMSQ('TS-PILE'!$E$56:$E$75)=0,0,'TO HOP NLAN'!E189*'TS-PILE'!$E$71/SUMSQ('TS-PILE'!$E$56:$E$75))+IF(SUMSQ('TS-PILE'!$D$56:$D$75)=0,0,'TO HOP NLAN'!F189*'TS-PILE'!$D$71/SUMSQ('TS-PILE'!$D$56:$D$75))),IF('TS-PILE'!$B$72="",-1E+99,'TO HOP NLAN'!D189/ncoc+IF(SUMSQ('TS-PILE'!$E$56:$E$75)=0,0,'TO HOP NLAN'!E189*'TS-PILE'!$E$72/SUMSQ('TS-PILE'!$E$56:$E$75))+IF(SUMSQ('TS-PILE'!$D$56:$D$75)=0,0,'TO HOP NLAN'!F189*'TS-PILE'!$D$72/SUMSQ('TS-PILE'!$D$56:$D$75))),IF('TS-PILE'!$B$73="",-1E+99,'TO HOP NLAN'!D189/ncoc+IF(SUMSQ('TS-PILE'!$E$56:$E$75)=0,0,'TO HOP NLAN'!E189*'TS-PILE'!$E$73/SUMSQ('TS-PILE'!$E$56:$E$75))+IF(SUMSQ('TS-PILE'!$D$56:$D$75)=0,0,'TO HOP NLAN'!F189*'TS-PILE'!$D$73/SUMSQ('TS-PILE'!$D$56:$D$75))),IF('TS-PILE'!$B$74="",-1E+99,'TO HOP NLAN'!D189/ncoc+IF(SUMSQ('TS-PILE'!$E$56:$E$75)=0,0,'TO HOP NLAN'!E189*'TS-PILE'!$E$74/SUMSQ('TS-PILE'!$E$56:$E$75))+IF(SUMSQ('TS-PILE'!$D$56:$D$75)=0,0,'TO HOP NLAN'!F189*'TS-PILE'!$D$74/SUMSQ('TS-PILE'!$D$56:$D$75))),IF('TS-PILE'!$B$75="",-1E+99,'TO HOP NLAN'!D189/ncoc+IF(SUMSQ('TS-PILE'!$E$56:$E$75)=0,0,'TO HOP NLAN'!E189*'TS-PILE'!$E$75/SUMSQ('TS-PILE'!$E$56:$E$75))+IF(SUMSQ('TS-PILE'!$D$56:$D$75)=0,0,'TO HOP NLAN'!F189*'TS-PILE'!$D$75/SUMSQ('TS-PILE'!$D$56:$D$75)))))</f>
        <v>0</v>
      </c>
      <c r="D189" s="46">
        <f>IF(A189="",0,MIN(IF('TS-PILE'!$B$56="",1E+99,'TO HOP NLAN'!D189/ncoc+IF(SUMSQ('TS-PILE'!$E$56:$E$75)=0,0,'TO HOP NLAN'!E189*'TS-PILE'!$E$56/SUMSQ('TS-PILE'!$E$56:$E$75))+IF(SUMSQ('TS-PILE'!$D$56:$D$75)=0,0,'TO HOP NLAN'!F189*'TS-PILE'!$D$56/SUMSQ('TS-PILE'!$D$56:$D$75))),IF('TS-PILE'!$B$57="",1E+99,'TO HOP NLAN'!D189/ncoc+IF(SUMSQ('TS-PILE'!$E$56:$E$75)=0,0,'TO HOP NLAN'!E189*'TS-PILE'!$E$57/SUMSQ('TS-PILE'!$E$56:$E$75))+IF(SUMSQ('TS-PILE'!$D$56:$D$75)=0,0,'TO HOP NLAN'!F189*'TS-PILE'!$D$57/SUMSQ('TS-PILE'!$D$56:$D$75))),IF('TS-PILE'!$B$58="",1E+99,'TO HOP NLAN'!D189/ncoc+IF(SUMSQ('TS-PILE'!$E$56:$E$75)=0,0,'TO HOP NLAN'!E189*'TS-PILE'!$E$58/SUMSQ('TS-PILE'!$E$56:$E$75))+IF(SUMSQ('TS-PILE'!$D$56:$D$75)=0,0,'TO HOP NLAN'!F189*'TS-PILE'!$D$58/SUMSQ('TS-PILE'!$D$56:$D$75))),IF('TS-PILE'!$B$59="",1E+99,'TO HOP NLAN'!D189/ncoc+IF(SUMSQ('TS-PILE'!$E$56:$E$75)=0,0,'TO HOP NLAN'!E189*'TS-PILE'!$E$59/SUMSQ('TS-PILE'!$E$56:$E$75))+IF(SUMSQ('TS-PILE'!$D$56:$D$75)=0,0,'TO HOP NLAN'!F189*'TS-PILE'!$D$59/SUMSQ('TS-PILE'!$D$56:$D$75))),IF('TS-PILE'!$B$60="",1E+99,'TO HOP NLAN'!D189/ncoc+IF(SUMSQ('TS-PILE'!$E$56:$E$75)=0,0,'TO HOP NLAN'!E189*'TS-PILE'!$E$60/SUMSQ('TS-PILE'!$E$56:$E$75))+IF(SUMSQ('TS-PILE'!$D$56:$D$75)=0,0,'TO HOP NLAN'!F189*'TS-PILE'!$D$60/SUMSQ('TS-PILE'!$D$56:$D$75))),IF('TS-PILE'!$B$61="",1E+99,'TO HOP NLAN'!D189/ncoc+IF(SUMSQ('TS-PILE'!$E$56:$E$75)=0,0,'TO HOP NLAN'!E189*'TS-PILE'!$E$61/SUMSQ('TS-PILE'!$E$56:$E$75))+IF(SUMSQ('TS-PILE'!$D$56:$D$75)=0,0,'TO HOP NLAN'!F189*'TS-PILE'!$D$61/SUMSQ('TS-PILE'!$D$56:$D$75))),IF('TS-PILE'!$B$62="",1E+99,'TO HOP NLAN'!D189/ncoc+IF(SUMSQ('TS-PILE'!$E$56:$E$75)=0,0,'TO HOP NLAN'!E189*'TS-PILE'!$E$62/SUMSQ('TS-PILE'!$E$56:$E$75))+IF(SUMSQ('TS-PILE'!$D$56:$D$75)=0,0,'TO HOP NLAN'!F189*'TS-PILE'!$D$62/SUMSQ('TS-PILE'!$D$56:$D$75))),IF('TS-PILE'!$B$63="",1E+99,'TO HOP NLAN'!D189/ncoc+IF(SUMSQ('TS-PILE'!$E$56:$E$75)=0,0,'TO HOP NLAN'!E189*'TS-PILE'!$E$63/SUMSQ('TS-PILE'!$E$56:$E$75))+IF(SUMSQ('TS-PILE'!$D$56:$D$75)=0,0,'TO HOP NLAN'!F189*'TS-PILE'!$D$63/SUMSQ('TS-PILE'!$D$56:$D$75))),IF('TS-PILE'!$B$64="",1E+99,'TO HOP NLAN'!D189/ncoc+IF(SUMSQ('TS-PILE'!$E$56:$E$75)=0,0,'TO HOP NLAN'!E189*'TS-PILE'!$E$64/SUMSQ('TS-PILE'!$E$56:$E$75))+IF(SUMSQ('TS-PILE'!$D$56:$D$75)=0,0,'TO HOP NLAN'!F189*'TS-PILE'!$D$64/SUMSQ('TS-PILE'!$D$56:$D$75))),IF('TS-PILE'!$B$65="",1E+99,'TO HOP NLAN'!D189/ncoc+IF(SUMSQ('TS-PILE'!$E$56:$E$75)=0,0,'TO HOP NLAN'!E189*'TS-PILE'!$E$65/SUMSQ('TS-PILE'!$E$56:$E$75))+IF(SUMSQ('TS-PILE'!$D$56:$D$75)=0,0,'TO HOP NLAN'!F189*'TS-PILE'!$D$65/SUMSQ('TS-PILE'!$D$56:$D$75))),IF('TS-PILE'!$B$66="",1E+99,'TO HOP NLAN'!D189/ncoc+IF(SUMSQ('TS-PILE'!$E$56:$E$75)=0,0,'TO HOP NLAN'!E189*'TS-PILE'!$E$66/SUMSQ('TS-PILE'!$E$56:$E$75))+IF(SUMSQ('TS-PILE'!$D$56:$D$75)=0,0,'TO HOP NLAN'!F189*'TS-PILE'!$D$66/SUMSQ('TS-PILE'!$D$56:$D$75))),IF('TS-PILE'!$B$67="",1E+99,'TO HOP NLAN'!D189/ncoc+IF(SUMSQ('TS-PILE'!$E$56:$E$75)=0,0,'TO HOP NLAN'!E189*'TS-PILE'!$E$67/SUMSQ('TS-PILE'!$E$56:$E$75))+IF(SUMSQ('TS-PILE'!$D$56:$D$75)=0,0,'TO HOP NLAN'!F189*'TS-PILE'!$D$67/SUMSQ('TS-PILE'!$D$56:$D$75))),IF('TS-PILE'!$B$68="",1E+99,'TO HOP NLAN'!D189/ncoc+IF(SUMSQ('TS-PILE'!$E$56:$E$75)=0,0,'TO HOP NLAN'!E189*'TS-PILE'!$E$68/SUMSQ('TS-PILE'!$E$56:$E$75))+IF(SUMSQ('TS-PILE'!$D$56:$D$75)=0,0,'TO HOP NLAN'!F189*'TS-PILE'!$D$68/SUMSQ('TS-PILE'!$D$56:$D$75))),IF('TS-PILE'!$B$69="",1E+99,'TO HOP NLAN'!D189/ncoc+IF(SUMSQ('TS-PILE'!$E$56:$E$75)=0,0,'TO HOP NLAN'!E189*'TS-PILE'!$E$69/SUMSQ('TS-PILE'!$E$56:$E$75))+IF(SUMSQ('TS-PILE'!$D$56:$D$75)=0,0,'TO HOP NLAN'!F189*'TS-PILE'!$D$69/SUMSQ('TS-PILE'!$D$56:$D$75))),IF('TS-PILE'!$B$70="",1E+99,'TO HOP NLAN'!D189/ncoc+IF(SUMSQ('TS-PILE'!$E$56:$E$75)=0,0,'TO HOP NLAN'!E189*'TS-PILE'!$E$70/SUMSQ('TS-PILE'!$E$56:$E$75))+IF(SUMSQ('TS-PILE'!$D$56:$D$75)=0,0,'TO HOP NLAN'!F189*'TS-PILE'!$D$70/SUMSQ('TS-PILE'!$D$56:$D$75))),IF('TS-PILE'!$B$71="",1E+99,'TO HOP NLAN'!D189/ncoc+IF(SUMSQ('TS-PILE'!$E$56:$E$75)=0,0,'TO HOP NLAN'!E189*'TS-PILE'!$E$71/SUMSQ('TS-PILE'!$E$56:$E$75))+IF(SUMSQ('TS-PILE'!$D$56:$D$75)=0,0,'TO HOP NLAN'!F189*'TS-PILE'!$D$71/SUMSQ('TS-PILE'!$D$56:$D$75))),IF('TS-PILE'!$B$72="",1E+99,'TO HOP NLAN'!D189/ncoc+IF(SUMSQ('TS-PILE'!$E$56:$E$75)=0,0,'TO HOP NLAN'!E189*'TS-PILE'!$E$72/SUMSQ('TS-PILE'!$E$56:$E$75))+IF(SUMSQ('TS-PILE'!$D$56:$D$75)=0,0,'TO HOP NLAN'!F189*'TS-PILE'!$D$72/SUMSQ('TS-PILE'!$D$56:$D$75))),IF('TS-PILE'!$B$73="",1E+99,'TO HOP NLAN'!D189/ncoc+IF(SUMSQ('TS-PILE'!$E$56:$E$75)=0,0,'TO HOP NLAN'!E189*'TS-PILE'!$E$73/SUMSQ('TS-PILE'!$E$56:$E$75))+IF(SUMSQ('TS-PILE'!$D$56:$D$75)=0,0,'TO HOP NLAN'!F189*'TS-PILE'!$D$73/SUMSQ('TS-PILE'!$D$56:$D$75))),IF('TS-PILE'!$B$74="",1E+99,'TO HOP NLAN'!D189/ncoc+IF(SUMSQ('TS-PILE'!$E$56:$E$75)=0,0,'TO HOP NLAN'!E189*'TS-PILE'!$E$74/SUMSQ('TS-PILE'!$E$56:$E$75))+IF(SUMSQ('TS-PILE'!$D$56:$D$75)=0,0,'TO HOP NLAN'!F189*'TS-PILE'!$D$74/SUMSQ('TS-PILE'!$D$56:$D$75))),IF('TS-PILE'!$B$75="",1E+99,'TO HOP NLAN'!D189/ncoc+IF(SUMSQ('TS-PILE'!$E$56:$E$75)=0,0,'TO HOP NLAN'!E189*'TS-PILE'!$E$75/SUMSQ('TS-PILE'!$E$56:$E$75))+IF(SUMSQ('TS-PILE'!$D$56:$D$75)=0,0,'TO HOP NLAN'!F189*'TS-PILE'!$D$75/SUMSQ('TS-PILE'!$D$56:$D$75)))))</f>
        <v>0</v>
      </c>
      <c r="E189" s="46">
        <f t="shared" si="8"/>
        <v>-9.9999999999999997E+98</v>
      </c>
      <c r="F189" s="46">
        <f t="shared" si="9"/>
        <v>9.9999999999999997E+98</v>
      </c>
      <c r="G189" s="46">
        <f t="shared" si="10"/>
        <v>-9.9999999999999997E+98</v>
      </c>
      <c r="H189" s="46">
        <f t="shared" si="11"/>
        <v>9.9999999999999997E+98</v>
      </c>
    </row>
    <row r="190" spans="1:8" x14ac:dyDescent="0.3">
      <c r="A190" s="40" t="str">
        <f>'TO HOP NLAN'!A190</f>
        <v/>
      </c>
      <c r="B190" s="40" t="str">
        <f>'TO HOP NLAN'!L190</f>
        <v>STRENGTH</v>
      </c>
      <c r="C190" s="46">
        <f>IF(A190="",0,MAX(IF('TS-PILE'!$B$56="",-1E+99,'TO HOP NLAN'!D190/ncoc+IF(SUMSQ('TS-PILE'!$E$56:$E$75)=0,0,'TO HOP NLAN'!E190*'TS-PILE'!$E$56/SUMSQ('TS-PILE'!$E$56:$E$75))+IF(SUMSQ('TS-PILE'!$D$56:$D$75)=0,0,'TO HOP NLAN'!F190*'TS-PILE'!$D$56/SUMSQ('TS-PILE'!$D$56:$D$75))),IF('TS-PILE'!$B$57="",-1E+99,'TO HOP NLAN'!D190/ncoc+IF(SUMSQ('TS-PILE'!$E$56:$E$75)=0,0,'TO HOP NLAN'!E190*'TS-PILE'!$E$57/SUMSQ('TS-PILE'!$E$56:$E$75))+IF(SUMSQ('TS-PILE'!$D$56:$D$75)=0,0,'TO HOP NLAN'!F190*'TS-PILE'!$D$57/SUMSQ('TS-PILE'!$D$56:$D$75))),IF('TS-PILE'!$B$58="",-1E+99,'TO HOP NLAN'!D190/ncoc+IF(SUMSQ('TS-PILE'!$E$56:$E$75)=0,0,'TO HOP NLAN'!E190*'TS-PILE'!$E$58/SUMSQ('TS-PILE'!$E$56:$E$75))+IF(SUMSQ('TS-PILE'!$D$56:$D$75)=0,0,'TO HOP NLAN'!F190*'TS-PILE'!$D$58/SUMSQ('TS-PILE'!$D$56:$D$75))),IF('TS-PILE'!$B$59="",-1E+99,'TO HOP NLAN'!D190/ncoc+IF(SUMSQ('TS-PILE'!$E$56:$E$75)=0,0,'TO HOP NLAN'!E190*'TS-PILE'!$E$59/SUMSQ('TS-PILE'!$E$56:$E$75))+IF(SUMSQ('TS-PILE'!$D$56:$D$75)=0,0,'TO HOP NLAN'!F190*'TS-PILE'!$D$59/SUMSQ('TS-PILE'!$D$56:$D$75))),IF('TS-PILE'!$B$60="",-1E+99,'TO HOP NLAN'!D190/ncoc+IF(SUMSQ('TS-PILE'!$E$56:$E$75)=0,0,'TO HOP NLAN'!E190*'TS-PILE'!$E$60/SUMSQ('TS-PILE'!$E$56:$E$75))+IF(SUMSQ('TS-PILE'!$D$56:$D$75)=0,0,'TO HOP NLAN'!F190*'TS-PILE'!$D$60/SUMSQ('TS-PILE'!$D$56:$D$75))),IF('TS-PILE'!$B$61="",-1E+99,'TO HOP NLAN'!D190/ncoc+IF(SUMSQ('TS-PILE'!$E$56:$E$75)=0,0,'TO HOP NLAN'!E190*'TS-PILE'!$E$61/SUMSQ('TS-PILE'!$E$56:$E$75))+IF(SUMSQ('TS-PILE'!$D$56:$D$75)=0,0,'TO HOP NLAN'!F190*'TS-PILE'!$D$61/SUMSQ('TS-PILE'!$D$56:$D$75))),IF('TS-PILE'!$B$62="",-1E+99,'TO HOP NLAN'!D190/ncoc+IF(SUMSQ('TS-PILE'!$E$56:$E$75)=0,0,'TO HOP NLAN'!E190*'TS-PILE'!$E$62/SUMSQ('TS-PILE'!$E$56:$E$75))+IF(SUMSQ('TS-PILE'!$D$56:$D$75)=0,0,'TO HOP NLAN'!F190*'TS-PILE'!$D$62/SUMSQ('TS-PILE'!$D$56:$D$75))),IF('TS-PILE'!$B$63="",-1E+99,'TO HOP NLAN'!D190/ncoc+IF(SUMSQ('TS-PILE'!$E$56:$E$75)=0,0,'TO HOP NLAN'!E190*'TS-PILE'!$E$63/SUMSQ('TS-PILE'!$E$56:$E$75))+IF(SUMSQ('TS-PILE'!$D$56:$D$75)=0,0,'TO HOP NLAN'!F190*'TS-PILE'!$D$63/SUMSQ('TS-PILE'!$D$56:$D$75))),IF('TS-PILE'!$B$64="",-1E+99,'TO HOP NLAN'!D190/ncoc+IF(SUMSQ('TS-PILE'!$E$56:$E$75)=0,0,'TO HOP NLAN'!E190*'TS-PILE'!$E$64/SUMSQ('TS-PILE'!$E$56:$E$75))+IF(SUMSQ('TS-PILE'!$D$56:$D$75)=0,0,'TO HOP NLAN'!F190*'TS-PILE'!$D$64/SUMSQ('TS-PILE'!$D$56:$D$75))),IF('TS-PILE'!$B$65="",-1E+99,'TO HOP NLAN'!D190/ncoc+IF(SUMSQ('TS-PILE'!$E$56:$E$75)=0,0,'TO HOP NLAN'!E190*'TS-PILE'!$E$65/SUMSQ('TS-PILE'!$E$56:$E$75))+IF(SUMSQ('TS-PILE'!$D$56:$D$75)=0,0,'TO HOP NLAN'!F190*'TS-PILE'!$D$65/SUMSQ('TS-PILE'!$D$56:$D$75))),IF('TS-PILE'!$B$66="",-1E+99,'TO HOP NLAN'!D190/ncoc+IF(SUMSQ('TS-PILE'!$E$56:$E$75)=0,0,'TO HOP NLAN'!E190*'TS-PILE'!$E$66/SUMSQ('TS-PILE'!$E$56:$E$75))+IF(SUMSQ('TS-PILE'!$D$56:$D$75)=0,0,'TO HOP NLAN'!F190*'TS-PILE'!$D$66/SUMSQ('TS-PILE'!$D$56:$D$75))),IF('TS-PILE'!$B$67="",-1E+99,'TO HOP NLAN'!D190/ncoc+IF(SUMSQ('TS-PILE'!$E$56:$E$75)=0,0,'TO HOP NLAN'!E190*'TS-PILE'!$E$67/SUMSQ('TS-PILE'!$E$56:$E$75))+IF(SUMSQ('TS-PILE'!$D$56:$D$75)=0,0,'TO HOP NLAN'!F190*'TS-PILE'!$D$67/SUMSQ('TS-PILE'!$D$56:$D$75))),IF('TS-PILE'!$B$68="",-1E+99,'TO HOP NLAN'!D190/ncoc+IF(SUMSQ('TS-PILE'!$E$56:$E$75)=0,0,'TO HOP NLAN'!E190*'TS-PILE'!$E$68/SUMSQ('TS-PILE'!$E$56:$E$75))+IF(SUMSQ('TS-PILE'!$D$56:$D$75)=0,0,'TO HOP NLAN'!F190*'TS-PILE'!$D$68/SUMSQ('TS-PILE'!$D$56:$D$75))),IF('TS-PILE'!$B$69="",-1E+99,'TO HOP NLAN'!D190/ncoc+IF(SUMSQ('TS-PILE'!$E$56:$E$75)=0,0,'TO HOP NLAN'!E190*'TS-PILE'!$E$69/SUMSQ('TS-PILE'!$E$56:$E$75))+IF(SUMSQ('TS-PILE'!$D$56:$D$75)=0,0,'TO HOP NLAN'!F190*'TS-PILE'!$D$69/SUMSQ('TS-PILE'!$D$56:$D$75))),IF('TS-PILE'!$B$70="",-1E+99,'TO HOP NLAN'!D190/ncoc+IF(SUMSQ('TS-PILE'!$E$56:$E$75)=0,0,'TO HOP NLAN'!E190*'TS-PILE'!$E$70/SUMSQ('TS-PILE'!$E$56:$E$75))+IF(SUMSQ('TS-PILE'!$D$56:$D$75)=0,0,'TO HOP NLAN'!F190*'TS-PILE'!$D$70/SUMSQ('TS-PILE'!$D$56:$D$75))),IF('TS-PILE'!$B$71="",-1E+99,'TO HOP NLAN'!D190/ncoc+IF(SUMSQ('TS-PILE'!$E$56:$E$75)=0,0,'TO HOP NLAN'!E190*'TS-PILE'!$E$71/SUMSQ('TS-PILE'!$E$56:$E$75))+IF(SUMSQ('TS-PILE'!$D$56:$D$75)=0,0,'TO HOP NLAN'!F190*'TS-PILE'!$D$71/SUMSQ('TS-PILE'!$D$56:$D$75))),IF('TS-PILE'!$B$72="",-1E+99,'TO HOP NLAN'!D190/ncoc+IF(SUMSQ('TS-PILE'!$E$56:$E$75)=0,0,'TO HOP NLAN'!E190*'TS-PILE'!$E$72/SUMSQ('TS-PILE'!$E$56:$E$75))+IF(SUMSQ('TS-PILE'!$D$56:$D$75)=0,0,'TO HOP NLAN'!F190*'TS-PILE'!$D$72/SUMSQ('TS-PILE'!$D$56:$D$75))),IF('TS-PILE'!$B$73="",-1E+99,'TO HOP NLAN'!D190/ncoc+IF(SUMSQ('TS-PILE'!$E$56:$E$75)=0,0,'TO HOP NLAN'!E190*'TS-PILE'!$E$73/SUMSQ('TS-PILE'!$E$56:$E$75))+IF(SUMSQ('TS-PILE'!$D$56:$D$75)=0,0,'TO HOP NLAN'!F190*'TS-PILE'!$D$73/SUMSQ('TS-PILE'!$D$56:$D$75))),IF('TS-PILE'!$B$74="",-1E+99,'TO HOP NLAN'!D190/ncoc+IF(SUMSQ('TS-PILE'!$E$56:$E$75)=0,0,'TO HOP NLAN'!E190*'TS-PILE'!$E$74/SUMSQ('TS-PILE'!$E$56:$E$75))+IF(SUMSQ('TS-PILE'!$D$56:$D$75)=0,0,'TO HOP NLAN'!F190*'TS-PILE'!$D$74/SUMSQ('TS-PILE'!$D$56:$D$75))),IF('TS-PILE'!$B$75="",-1E+99,'TO HOP NLAN'!D190/ncoc+IF(SUMSQ('TS-PILE'!$E$56:$E$75)=0,0,'TO HOP NLAN'!E190*'TS-PILE'!$E$75/SUMSQ('TS-PILE'!$E$56:$E$75))+IF(SUMSQ('TS-PILE'!$D$56:$D$75)=0,0,'TO HOP NLAN'!F190*'TS-PILE'!$D$75/SUMSQ('TS-PILE'!$D$56:$D$75)))))</f>
        <v>0</v>
      </c>
      <c r="D190" s="46">
        <f>IF(A190="",0,MIN(IF('TS-PILE'!$B$56="",1E+99,'TO HOP NLAN'!D190/ncoc+IF(SUMSQ('TS-PILE'!$E$56:$E$75)=0,0,'TO HOP NLAN'!E190*'TS-PILE'!$E$56/SUMSQ('TS-PILE'!$E$56:$E$75))+IF(SUMSQ('TS-PILE'!$D$56:$D$75)=0,0,'TO HOP NLAN'!F190*'TS-PILE'!$D$56/SUMSQ('TS-PILE'!$D$56:$D$75))),IF('TS-PILE'!$B$57="",1E+99,'TO HOP NLAN'!D190/ncoc+IF(SUMSQ('TS-PILE'!$E$56:$E$75)=0,0,'TO HOP NLAN'!E190*'TS-PILE'!$E$57/SUMSQ('TS-PILE'!$E$56:$E$75))+IF(SUMSQ('TS-PILE'!$D$56:$D$75)=0,0,'TO HOP NLAN'!F190*'TS-PILE'!$D$57/SUMSQ('TS-PILE'!$D$56:$D$75))),IF('TS-PILE'!$B$58="",1E+99,'TO HOP NLAN'!D190/ncoc+IF(SUMSQ('TS-PILE'!$E$56:$E$75)=0,0,'TO HOP NLAN'!E190*'TS-PILE'!$E$58/SUMSQ('TS-PILE'!$E$56:$E$75))+IF(SUMSQ('TS-PILE'!$D$56:$D$75)=0,0,'TO HOP NLAN'!F190*'TS-PILE'!$D$58/SUMSQ('TS-PILE'!$D$56:$D$75))),IF('TS-PILE'!$B$59="",1E+99,'TO HOP NLAN'!D190/ncoc+IF(SUMSQ('TS-PILE'!$E$56:$E$75)=0,0,'TO HOP NLAN'!E190*'TS-PILE'!$E$59/SUMSQ('TS-PILE'!$E$56:$E$75))+IF(SUMSQ('TS-PILE'!$D$56:$D$75)=0,0,'TO HOP NLAN'!F190*'TS-PILE'!$D$59/SUMSQ('TS-PILE'!$D$56:$D$75))),IF('TS-PILE'!$B$60="",1E+99,'TO HOP NLAN'!D190/ncoc+IF(SUMSQ('TS-PILE'!$E$56:$E$75)=0,0,'TO HOP NLAN'!E190*'TS-PILE'!$E$60/SUMSQ('TS-PILE'!$E$56:$E$75))+IF(SUMSQ('TS-PILE'!$D$56:$D$75)=0,0,'TO HOP NLAN'!F190*'TS-PILE'!$D$60/SUMSQ('TS-PILE'!$D$56:$D$75))),IF('TS-PILE'!$B$61="",1E+99,'TO HOP NLAN'!D190/ncoc+IF(SUMSQ('TS-PILE'!$E$56:$E$75)=0,0,'TO HOP NLAN'!E190*'TS-PILE'!$E$61/SUMSQ('TS-PILE'!$E$56:$E$75))+IF(SUMSQ('TS-PILE'!$D$56:$D$75)=0,0,'TO HOP NLAN'!F190*'TS-PILE'!$D$61/SUMSQ('TS-PILE'!$D$56:$D$75))),IF('TS-PILE'!$B$62="",1E+99,'TO HOP NLAN'!D190/ncoc+IF(SUMSQ('TS-PILE'!$E$56:$E$75)=0,0,'TO HOP NLAN'!E190*'TS-PILE'!$E$62/SUMSQ('TS-PILE'!$E$56:$E$75))+IF(SUMSQ('TS-PILE'!$D$56:$D$75)=0,0,'TO HOP NLAN'!F190*'TS-PILE'!$D$62/SUMSQ('TS-PILE'!$D$56:$D$75))),IF('TS-PILE'!$B$63="",1E+99,'TO HOP NLAN'!D190/ncoc+IF(SUMSQ('TS-PILE'!$E$56:$E$75)=0,0,'TO HOP NLAN'!E190*'TS-PILE'!$E$63/SUMSQ('TS-PILE'!$E$56:$E$75))+IF(SUMSQ('TS-PILE'!$D$56:$D$75)=0,0,'TO HOP NLAN'!F190*'TS-PILE'!$D$63/SUMSQ('TS-PILE'!$D$56:$D$75))),IF('TS-PILE'!$B$64="",1E+99,'TO HOP NLAN'!D190/ncoc+IF(SUMSQ('TS-PILE'!$E$56:$E$75)=0,0,'TO HOP NLAN'!E190*'TS-PILE'!$E$64/SUMSQ('TS-PILE'!$E$56:$E$75))+IF(SUMSQ('TS-PILE'!$D$56:$D$75)=0,0,'TO HOP NLAN'!F190*'TS-PILE'!$D$64/SUMSQ('TS-PILE'!$D$56:$D$75))),IF('TS-PILE'!$B$65="",1E+99,'TO HOP NLAN'!D190/ncoc+IF(SUMSQ('TS-PILE'!$E$56:$E$75)=0,0,'TO HOP NLAN'!E190*'TS-PILE'!$E$65/SUMSQ('TS-PILE'!$E$56:$E$75))+IF(SUMSQ('TS-PILE'!$D$56:$D$75)=0,0,'TO HOP NLAN'!F190*'TS-PILE'!$D$65/SUMSQ('TS-PILE'!$D$56:$D$75))),IF('TS-PILE'!$B$66="",1E+99,'TO HOP NLAN'!D190/ncoc+IF(SUMSQ('TS-PILE'!$E$56:$E$75)=0,0,'TO HOP NLAN'!E190*'TS-PILE'!$E$66/SUMSQ('TS-PILE'!$E$56:$E$75))+IF(SUMSQ('TS-PILE'!$D$56:$D$75)=0,0,'TO HOP NLAN'!F190*'TS-PILE'!$D$66/SUMSQ('TS-PILE'!$D$56:$D$75))),IF('TS-PILE'!$B$67="",1E+99,'TO HOP NLAN'!D190/ncoc+IF(SUMSQ('TS-PILE'!$E$56:$E$75)=0,0,'TO HOP NLAN'!E190*'TS-PILE'!$E$67/SUMSQ('TS-PILE'!$E$56:$E$75))+IF(SUMSQ('TS-PILE'!$D$56:$D$75)=0,0,'TO HOP NLAN'!F190*'TS-PILE'!$D$67/SUMSQ('TS-PILE'!$D$56:$D$75))),IF('TS-PILE'!$B$68="",1E+99,'TO HOP NLAN'!D190/ncoc+IF(SUMSQ('TS-PILE'!$E$56:$E$75)=0,0,'TO HOP NLAN'!E190*'TS-PILE'!$E$68/SUMSQ('TS-PILE'!$E$56:$E$75))+IF(SUMSQ('TS-PILE'!$D$56:$D$75)=0,0,'TO HOP NLAN'!F190*'TS-PILE'!$D$68/SUMSQ('TS-PILE'!$D$56:$D$75))),IF('TS-PILE'!$B$69="",1E+99,'TO HOP NLAN'!D190/ncoc+IF(SUMSQ('TS-PILE'!$E$56:$E$75)=0,0,'TO HOP NLAN'!E190*'TS-PILE'!$E$69/SUMSQ('TS-PILE'!$E$56:$E$75))+IF(SUMSQ('TS-PILE'!$D$56:$D$75)=0,0,'TO HOP NLAN'!F190*'TS-PILE'!$D$69/SUMSQ('TS-PILE'!$D$56:$D$75))),IF('TS-PILE'!$B$70="",1E+99,'TO HOP NLAN'!D190/ncoc+IF(SUMSQ('TS-PILE'!$E$56:$E$75)=0,0,'TO HOP NLAN'!E190*'TS-PILE'!$E$70/SUMSQ('TS-PILE'!$E$56:$E$75))+IF(SUMSQ('TS-PILE'!$D$56:$D$75)=0,0,'TO HOP NLAN'!F190*'TS-PILE'!$D$70/SUMSQ('TS-PILE'!$D$56:$D$75))),IF('TS-PILE'!$B$71="",1E+99,'TO HOP NLAN'!D190/ncoc+IF(SUMSQ('TS-PILE'!$E$56:$E$75)=0,0,'TO HOP NLAN'!E190*'TS-PILE'!$E$71/SUMSQ('TS-PILE'!$E$56:$E$75))+IF(SUMSQ('TS-PILE'!$D$56:$D$75)=0,0,'TO HOP NLAN'!F190*'TS-PILE'!$D$71/SUMSQ('TS-PILE'!$D$56:$D$75))),IF('TS-PILE'!$B$72="",1E+99,'TO HOP NLAN'!D190/ncoc+IF(SUMSQ('TS-PILE'!$E$56:$E$75)=0,0,'TO HOP NLAN'!E190*'TS-PILE'!$E$72/SUMSQ('TS-PILE'!$E$56:$E$75))+IF(SUMSQ('TS-PILE'!$D$56:$D$75)=0,0,'TO HOP NLAN'!F190*'TS-PILE'!$D$72/SUMSQ('TS-PILE'!$D$56:$D$75))),IF('TS-PILE'!$B$73="",1E+99,'TO HOP NLAN'!D190/ncoc+IF(SUMSQ('TS-PILE'!$E$56:$E$75)=0,0,'TO HOP NLAN'!E190*'TS-PILE'!$E$73/SUMSQ('TS-PILE'!$E$56:$E$75))+IF(SUMSQ('TS-PILE'!$D$56:$D$75)=0,0,'TO HOP NLAN'!F190*'TS-PILE'!$D$73/SUMSQ('TS-PILE'!$D$56:$D$75))),IF('TS-PILE'!$B$74="",1E+99,'TO HOP NLAN'!D190/ncoc+IF(SUMSQ('TS-PILE'!$E$56:$E$75)=0,0,'TO HOP NLAN'!E190*'TS-PILE'!$E$74/SUMSQ('TS-PILE'!$E$56:$E$75))+IF(SUMSQ('TS-PILE'!$D$56:$D$75)=0,0,'TO HOP NLAN'!F190*'TS-PILE'!$D$74/SUMSQ('TS-PILE'!$D$56:$D$75))),IF('TS-PILE'!$B$75="",1E+99,'TO HOP NLAN'!D190/ncoc+IF(SUMSQ('TS-PILE'!$E$56:$E$75)=0,0,'TO HOP NLAN'!E190*'TS-PILE'!$E$75/SUMSQ('TS-PILE'!$E$56:$E$75))+IF(SUMSQ('TS-PILE'!$D$56:$D$75)=0,0,'TO HOP NLAN'!F190*'TS-PILE'!$D$75/SUMSQ('TS-PILE'!$D$56:$D$75)))))</f>
        <v>0</v>
      </c>
      <c r="E190" s="46">
        <f t="shared" si="8"/>
        <v>-9.9999999999999997E+98</v>
      </c>
      <c r="F190" s="46">
        <f t="shared" si="9"/>
        <v>9.9999999999999997E+98</v>
      </c>
      <c r="G190" s="46">
        <f t="shared" si="10"/>
        <v>-9.9999999999999997E+98</v>
      </c>
      <c r="H190" s="46">
        <f t="shared" si="11"/>
        <v>9.9999999999999997E+98</v>
      </c>
    </row>
    <row r="191" spans="1:8" x14ac:dyDescent="0.3">
      <c r="A191" s="40" t="str">
        <f>'TO HOP NLAN'!A191</f>
        <v/>
      </c>
      <c r="B191" s="40" t="str">
        <f>'TO HOP NLAN'!L191</f>
        <v>STRENGTH</v>
      </c>
      <c r="C191" s="46">
        <f>IF(A191="",0,MAX(IF('TS-PILE'!$B$56="",-1E+99,'TO HOP NLAN'!D191/ncoc+IF(SUMSQ('TS-PILE'!$E$56:$E$75)=0,0,'TO HOP NLAN'!E191*'TS-PILE'!$E$56/SUMSQ('TS-PILE'!$E$56:$E$75))+IF(SUMSQ('TS-PILE'!$D$56:$D$75)=0,0,'TO HOP NLAN'!F191*'TS-PILE'!$D$56/SUMSQ('TS-PILE'!$D$56:$D$75))),IF('TS-PILE'!$B$57="",-1E+99,'TO HOP NLAN'!D191/ncoc+IF(SUMSQ('TS-PILE'!$E$56:$E$75)=0,0,'TO HOP NLAN'!E191*'TS-PILE'!$E$57/SUMSQ('TS-PILE'!$E$56:$E$75))+IF(SUMSQ('TS-PILE'!$D$56:$D$75)=0,0,'TO HOP NLAN'!F191*'TS-PILE'!$D$57/SUMSQ('TS-PILE'!$D$56:$D$75))),IF('TS-PILE'!$B$58="",-1E+99,'TO HOP NLAN'!D191/ncoc+IF(SUMSQ('TS-PILE'!$E$56:$E$75)=0,0,'TO HOP NLAN'!E191*'TS-PILE'!$E$58/SUMSQ('TS-PILE'!$E$56:$E$75))+IF(SUMSQ('TS-PILE'!$D$56:$D$75)=0,0,'TO HOP NLAN'!F191*'TS-PILE'!$D$58/SUMSQ('TS-PILE'!$D$56:$D$75))),IF('TS-PILE'!$B$59="",-1E+99,'TO HOP NLAN'!D191/ncoc+IF(SUMSQ('TS-PILE'!$E$56:$E$75)=0,0,'TO HOP NLAN'!E191*'TS-PILE'!$E$59/SUMSQ('TS-PILE'!$E$56:$E$75))+IF(SUMSQ('TS-PILE'!$D$56:$D$75)=0,0,'TO HOP NLAN'!F191*'TS-PILE'!$D$59/SUMSQ('TS-PILE'!$D$56:$D$75))),IF('TS-PILE'!$B$60="",-1E+99,'TO HOP NLAN'!D191/ncoc+IF(SUMSQ('TS-PILE'!$E$56:$E$75)=0,0,'TO HOP NLAN'!E191*'TS-PILE'!$E$60/SUMSQ('TS-PILE'!$E$56:$E$75))+IF(SUMSQ('TS-PILE'!$D$56:$D$75)=0,0,'TO HOP NLAN'!F191*'TS-PILE'!$D$60/SUMSQ('TS-PILE'!$D$56:$D$75))),IF('TS-PILE'!$B$61="",-1E+99,'TO HOP NLAN'!D191/ncoc+IF(SUMSQ('TS-PILE'!$E$56:$E$75)=0,0,'TO HOP NLAN'!E191*'TS-PILE'!$E$61/SUMSQ('TS-PILE'!$E$56:$E$75))+IF(SUMSQ('TS-PILE'!$D$56:$D$75)=0,0,'TO HOP NLAN'!F191*'TS-PILE'!$D$61/SUMSQ('TS-PILE'!$D$56:$D$75))),IF('TS-PILE'!$B$62="",-1E+99,'TO HOP NLAN'!D191/ncoc+IF(SUMSQ('TS-PILE'!$E$56:$E$75)=0,0,'TO HOP NLAN'!E191*'TS-PILE'!$E$62/SUMSQ('TS-PILE'!$E$56:$E$75))+IF(SUMSQ('TS-PILE'!$D$56:$D$75)=0,0,'TO HOP NLAN'!F191*'TS-PILE'!$D$62/SUMSQ('TS-PILE'!$D$56:$D$75))),IF('TS-PILE'!$B$63="",-1E+99,'TO HOP NLAN'!D191/ncoc+IF(SUMSQ('TS-PILE'!$E$56:$E$75)=0,0,'TO HOP NLAN'!E191*'TS-PILE'!$E$63/SUMSQ('TS-PILE'!$E$56:$E$75))+IF(SUMSQ('TS-PILE'!$D$56:$D$75)=0,0,'TO HOP NLAN'!F191*'TS-PILE'!$D$63/SUMSQ('TS-PILE'!$D$56:$D$75))),IF('TS-PILE'!$B$64="",-1E+99,'TO HOP NLAN'!D191/ncoc+IF(SUMSQ('TS-PILE'!$E$56:$E$75)=0,0,'TO HOP NLAN'!E191*'TS-PILE'!$E$64/SUMSQ('TS-PILE'!$E$56:$E$75))+IF(SUMSQ('TS-PILE'!$D$56:$D$75)=0,0,'TO HOP NLAN'!F191*'TS-PILE'!$D$64/SUMSQ('TS-PILE'!$D$56:$D$75))),IF('TS-PILE'!$B$65="",-1E+99,'TO HOP NLAN'!D191/ncoc+IF(SUMSQ('TS-PILE'!$E$56:$E$75)=0,0,'TO HOP NLAN'!E191*'TS-PILE'!$E$65/SUMSQ('TS-PILE'!$E$56:$E$75))+IF(SUMSQ('TS-PILE'!$D$56:$D$75)=0,0,'TO HOP NLAN'!F191*'TS-PILE'!$D$65/SUMSQ('TS-PILE'!$D$56:$D$75))),IF('TS-PILE'!$B$66="",-1E+99,'TO HOP NLAN'!D191/ncoc+IF(SUMSQ('TS-PILE'!$E$56:$E$75)=0,0,'TO HOP NLAN'!E191*'TS-PILE'!$E$66/SUMSQ('TS-PILE'!$E$56:$E$75))+IF(SUMSQ('TS-PILE'!$D$56:$D$75)=0,0,'TO HOP NLAN'!F191*'TS-PILE'!$D$66/SUMSQ('TS-PILE'!$D$56:$D$75))),IF('TS-PILE'!$B$67="",-1E+99,'TO HOP NLAN'!D191/ncoc+IF(SUMSQ('TS-PILE'!$E$56:$E$75)=0,0,'TO HOP NLAN'!E191*'TS-PILE'!$E$67/SUMSQ('TS-PILE'!$E$56:$E$75))+IF(SUMSQ('TS-PILE'!$D$56:$D$75)=0,0,'TO HOP NLAN'!F191*'TS-PILE'!$D$67/SUMSQ('TS-PILE'!$D$56:$D$75))),IF('TS-PILE'!$B$68="",-1E+99,'TO HOP NLAN'!D191/ncoc+IF(SUMSQ('TS-PILE'!$E$56:$E$75)=0,0,'TO HOP NLAN'!E191*'TS-PILE'!$E$68/SUMSQ('TS-PILE'!$E$56:$E$75))+IF(SUMSQ('TS-PILE'!$D$56:$D$75)=0,0,'TO HOP NLAN'!F191*'TS-PILE'!$D$68/SUMSQ('TS-PILE'!$D$56:$D$75))),IF('TS-PILE'!$B$69="",-1E+99,'TO HOP NLAN'!D191/ncoc+IF(SUMSQ('TS-PILE'!$E$56:$E$75)=0,0,'TO HOP NLAN'!E191*'TS-PILE'!$E$69/SUMSQ('TS-PILE'!$E$56:$E$75))+IF(SUMSQ('TS-PILE'!$D$56:$D$75)=0,0,'TO HOP NLAN'!F191*'TS-PILE'!$D$69/SUMSQ('TS-PILE'!$D$56:$D$75))),IF('TS-PILE'!$B$70="",-1E+99,'TO HOP NLAN'!D191/ncoc+IF(SUMSQ('TS-PILE'!$E$56:$E$75)=0,0,'TO HOP NLAN'!E191*'TS-PILE'!$E$70/SUMSQ('TS-PILE'!$E$56:$E$75))+IF(SUMSQ('TS-PILE'!$D$56:$D$75)=0,0,'TO HOP NLAN'!F191*'TS-PILE'!$D$70/SUMSQ('TS-PILE'!$D$56:$D$75))),IF('TS-PILE'!$B$71="",-1E+99,'TO HOP NLAN'!D191/ncoc+IF(SUMSQ('TS-PILE'!$E$56:$E$75)=0,0,'TO HOP NLAN'!E191*'TS-PILE'!$E$71/SUMSQ('TS-PILE'!$E$56:$E$75))+IF(SUMSQ('TS-PILE'!$D$56:$D$75)=0,0,'TO HOP NLAN'!F191*'TS-PILE'!$D$71/SUMSQ('TS-PILE'!$D$56:$D$75))),IF('TS-PILE'!$B$72="",-1E+99,'TO HOP NLAN'!D191/ncoc+IF(SUMSQ('TS-PILE'!$E$56:$E$75)=0,0,'TO HOP NLAN'!E191*'TS-PILE'!$E$72/SUMSQ('TS-PILE'!$E$56:$E$75))+IF(SUMSQ('TS-PILE'!$D$56:$D$75)=0,0,'TO HOP NLAN'!F191*'TS-PILE'!$D$72/SUMSQ('TS-PILE'!$D$56:$D$75))),IF('TS-PILE'!$B$73="",-1E+99,'TO HOP NLAN'!D191/ncoc+IF(SUMSQ('TS-PILE'!$E$56:$E$75)=0,0,'TO HOP NLAN'!E191*'TS-PILE'!$E$73/SUMSQ('TS-PILE'!$E$56:$E$75))+IF(SUMSQ('TS-PILE'!$D$56:$D$75)=0,0,'TO HOP NLAN'!F191*'TS-PILE'!$D$73/SUMSQ('TS-PILE'!$D$56:$D$75))),IF('TS-PILE'!$B$74="",-1E+99,'TO HOP NLAN'!D191/ncoc+IF(SUMSQ('TS-PILE'!$E$56:$E$75)=0,0,'TO HOP NLAN'!E191*'TS-PILE'!$E$74/SUMSQ('TS-PILE'!$E$56:$E$75))+IF(SUMSQ('TS-PILE'!$D$56:$D$75)=0,0,'TO HOP NLAN'!F191*'TS-PILE'!$D$74/SUMSQ('TS-PILE'!$D$56:$D$75))),IF('TS-PILE'!$B$75="",-1E+99,'TO HOP NLAN'!D191/ncoc+IF(SUMSQ('TS-PILE'!$E$56:$E$75)=0,0,'TO HOP NLAN'!E191*'TS-PILE'!$E$75/SUMSQ('TS-PILE'!$E$56:$E$75))+IF(SUMSQ('TS-PILE'!$D$56:$D$75)=0,0,'TO HOP NLAN'!F191*'TS-PILE'!$D$75/SUMSQ('TS-PILE'!$D$56:$D$75)))))</f>
        <v>0</v>
      </c>
      <c r="D191" s="46">
        <f>IF(A191="",0,MIN(IF('TS-PILE'!$B$56="",1E+99,'TO HOP NLAN'!D191/ncoc+IF(SUMSQ('TS-PILE'!$E$56:$E$75)=0,0,'TO HOP NLAN'!E191*'TS-PILE'!$E$56/SUMSQ('TS-PILE'!$E$56:$E$75))+IF(SUMSQ('TS-PILE'!$D$56:$D$75)=0,0,'TO HOP NLAN'!F191*'TS-PILE'!$D$56/SUMSQ('TS-PILE'!$D$56:$D$75))),IF('TS-PILE'!$B$57="",1E+99,'TO HOP NLAN'!D191/ncoc+IF(SUMSQ('TS-PILE'!$E$56:$E$75)=0,0,'TO HOP NLAN'!E191*'TS-PILE'!$E$57/SUMSQ('TS-PILE'!$E$56:$E$75))+IF(SUMSQ('TS-PILE'!$D$56:$D$75)=0,0,'TO HOP NLAN'!F191*'TS-PILE'!$D$57/SUMSQ('TS-PILE'!$D$56:$D$75))),IF('TS-PILE'!$B$58="",1E+99,'TO HOP NLAN'!D191/ncoc+IF(SUMSQ('TS-PILE'!$E$56:$E$75)=0,0,'TO HOP NLAN'!E191*'TS-PILE'!$E$58/SUMSQ('TS-PILE'!$E$56:$E$75))+IF(SUMSQ('TS-PILE'!$D$56:$D$75)=0,0,'TO HOP NLAN'!F191*'TS-PILE'!$D$58/SUMSQ('TS-PILE'!$D$56:$D$75))),IF('TS-PILE'!$B$59="",1E+99,'TO HOP NLAN'!D191/ncoc+IF(SUMSQ('TS-PILE'!$E$56:$E$75)=0,0,'TO HOP NLAN'!E191*'TS-PILE'!$E$59/SUMSQ('TS-PILE'!$E$56:$E$75))+IF(SUMSQ('TS-PILE'!$D$56:$D$75)=0,0,'TO HOP NLAN'!F191*'TS-PILE'!$D$59/SUMSQ('TS-PILE'!$D$56:$D$75))),IF('TS-PILE'!$B$60="",1E+99,'TO HOP NLAN'!D191/ncoc+IF(SUMSQ('TS-PILE'!$E$56:$E$75)=0,0,'TO HOP NLAN'!E191*'TS-PILE'!$E$60/SUMSQ('TS-PILE'!$E$56:$E$75))+IF(SUMSQ('TS-PILE'!$D$56:$D$75)=0,0,'TO HOP NLAN'!F191*'TS-PILE'!$D$60/SUMSQ('TS-PILE'!$D$56:$D$75))),IF('TS-PILE'!$B$61="",1E+99,'TO HOP NLAN'!D191/ncoc+IF(SUMSQ('TS-PILE'!$E$56:$E$75)=0,0,'TO HOP NLAN'!E191*'TS-PILE'!$E$61/SUMSQ('TS-PILE'!$E$56:$E$75))+IF(SUMSQ('TS-PILE'!$D$56:$D$75)=0,0,'TO HOP NLAN'!F191*'TS-PILE'!$D$61/SUMSQ('TS-PILE'!$D$56:$D$75))),IF('TS-PILE'!$B$62="",1E+99,'TO HOP NLAN'!D191/ncoc+IF(SUMSQ('TS-PILE'!$E$56:$E$75)=0,0,'TO HOP NLAN'!E191*'TS-PILE'!$E$62/SUMSQ('TS-PILE'!$E$56:$E$75))+IF(SUMSQ('TS-PILE'!$D$56:$D$75)=0,0,'TO HOP NLAN'!F191*'TS-PILE'!$D$62/SUMSQ('TS-PILE'!$D$56:$D$75))),IF('TS-PILE'!$B$63="",1E+99,'TO HOP NLAN'!D191/ncoc+IF(SUMSQ('TS-PILE'!$E$56:$E$75)=0,0,'TO HOP NLAN'!E191*'TS-PILE'!$E$63/SUMSQ('TS-PILE'!$E$56:$E$75))+IF(SUMSQ('TS-PILE'!$D$56:$D$75)=0,0,'TO HOP NLAN'!F191*'TS-PILE'!$D$63/SUMSQ('TS-PILE'!$D$56:$D$75))),IF('TS-PILE'!$B$64="",1E+99,'TO HOP NLAN'!D191/ncoc+IF(SUMSQ('TS-PILE'!$E$56:$E$75)=0,0,'TO HOP NLAN'!E191*'TS-PILE'!$E$64/SUMSQ('TS-PILE'!$E$56:$E$75))+IF(SUMSQ('TS-PILE'!$D$56:$D$75)=0,0,'TO HOP NLAN'!F191*'TS-PILE'!$D$64/SUMSQ('TS-PILE'!$D$56:$D$75))),IF('TS-PILE'!$B$65="",1E+99,'TO HOP NLAN'!D191/ncoc+IF(SUMSQ('TS-PILE'!$E$56:$E$75)=0,0,'TO HOP NLAN'!E191*'TS-PILE'!$E$65/SUMSQ('TS-PILE'!$E$56:$E$75))+IF(SUMSQ('TS-PILE'!$D$56:$D$75)=0,0,'TO HOP NLAN'!F191*'TS-PILE'!$D$65/SUMSQ('TS-PILE'!$D$56:$D$75))),IF('TS-PILE'!$B$66="",1E+99,'TO HOP NLAN'!D191/ncoc+IF(SUMSQ('TS-PILE'!$E$56:$E$75)=0,0,'TO HOP NLAN'!E191*'TS-PILE'!$E$66/SUMSQ('TS-PILE'!$E$56:$E$75))+IF(SUMSQ('TS-PILE'!$D$56:$D$75)=0,0,'TO HOP NLAN'!F191*'TS-PILE'!$D$66/SUMSQ('TS-PILE'!$D$56:$D$75))),IF('TS-PILE'!$B$67="",1E+99,'TO HOP NLAN'!D191/ncoc+IF(SUMSQ('TS-PILE'!$E$56:$E$75)=0,0,'TO HOP NLAN'!E191*'TS-PILE'!$E$67/SUMSQ('TS-PILE'!$E$56:$E$75))+IF(SUMSQ('TS-PILE'!$D$56:$D$75)=0,0,'TO HOP NLAN'!F191*'TS-PILE'!$D$67/SUMSQ('TS-PILE'!$D$56:$D$75))),IF('TS-PILE'!$B$68="",1E+99,'TO HOP NLAN'!D191/ncoc+IF(SUMSQ('TS-PILE'!$E$56:$E$75)=0,0,'TO HOP NLAN'!E191*'TS-PILE'!$E$68/SUMSQ('TS-PILE'!$E$56:$E$75))+IF(SUMSQ('TS-PILE'!$D$56:$D$75)=0,0,'TO HOP NLAN'!F191*'TS-PILE'!$D$68/SUMSQ('TS-PILE'!$D$56:$D$75))),IF('TS-PILE'!$B$69="",1E+99,'TO HOP NLAN'!D191/ncoc+IF(SUMSQ('TS-PILE'!$E$56:$E$75)=0,0,'TO HOP NLAN'!E191*'TS-PILE'!$E$69/SUMSQ('TS-PILE'!$E$56:$E$75))+IF(SUMSQ('TS-PILE'!$D$56:$D$75)=0,0,'TO HOP NLAN'!F191*'TS-PILE'!$D$69/SUMSQ('TS-PILE'!$D$56:$D$75))),IF('TS-PILE'!$B$70="",1E+99,'TO HOP NLAN'!D191/ncoc+IF(SUMSQ('TS-PILE'!$E$56:$E$75)=0,0,'TO HOP NLAN'!E191*'TS-PILE'!$E$70/SUMSQ('TS-PILE'!$E$56:$E$75))+IF(SUMSQ('TS-PILE'!$D$56:$D$75)=0,0,'TO HOP NLAN'!F191*'TS-PILE'!$D$70/SUMSQ('TS-PILE'!$D$56:$D$75))),IF('TS-PILE'!$B$71="",1E+99,'TO HOP NLAN'!D191/ncoc+IF(SUMSQ('TS-PILE'!$E$56:$E$75)=0,0,'TO HOP NLAN'!E191*'TS-PILE'!$E$71/SUMSQ('TS-PILE'!$E$56:$E$75))+IF(SUMSQ('TS-PILE'!$D$56:$D$75)=0,0,'TO HOP NLAN'!F191*'TS-PILE'!$D$71/SUMSQ('TS-PILE'!$D$56:$D$75))),IF('TS-PILE'!$B$72="",1E+99,'TO HOP NLAN'!D191/ncoc+IF(SUMSQ('TS-PILE'!$E$56:$E$75)=0,0,'TO HOP NLAN'!E191*'TS-PILE'!$E$72/SUMSQ('TS-PILE'!$E$56:$E$75))+IF(SUMSQ('TS-PILE'!$D$56:$D$75)=0,0,'TO HOP NLAN'!F191*'TS-PILE'!$D$72/SUMSQ('TS-PILE'!$D$56:$D$75))),IF('TS-PILE'!$B$73="",1E+99,'TO HOP NLAN'!D191/ncoc+IF(SUMSQ('TS-PILE'!$E$56:$E$75)=0,0,'TO HOP NLAN'!E191*'TS-PILE'!$E$73/SUMSQ('TS-PILE'!$E$56:$E$75))+IF(SUMSQ('TS-PILE'!$D$56:$D$75)=0,0,'TO HOP NLAN'!F191*'TS-PILE'!$D$73/SUMSQ('TS-PILE'!$D$56:$D$75))),IF('TS-PILE'!$B$74="",1E+99,'TO HOP NLAN'!D191/ncoc+IF(SUMSQ('TS-PILE'!$E$56:$E$75)=0,0,'TO HOP NLAN'!E191*'TS-PILE'!$E$74/SUMSQ('TS-PILE'!$E$56:$E$75))+IF(SUMSQ('TS-PILE'!$D$56:$D$75)=0,0,'TO HOP NLAN'!F191*'TS-PILE'!$D$74/SUMSQ('TS-PILE'!$D$56:$D$75))),IF('TS-PILE'!$B$75="",1E+99,'TO HOP NLAN'!D191/ncoc+IF(SUMSQ('TS-PILE'!$E$56:$E$75)=0,0,'TO HOP NLAN'!E191*'TS-PILE'!$E$75/SUMSQ('TS-PILE'!$E$56:$E$75))+IF(SUMSQ('TS-PILE'!$D$56:$D$75)=0,0,'TO HOP NLAN'!F191*'TS-PILE'!$D$75/SUMSQ('TS-PILE'!$D$56:$D$75)))))</f>
        <v>0</v>
      </c>
      <c r="E191" s="46">
        <f t="shared" si="8"/>
        <v>-9.9999999999999997E+98</v>
      </c>
      <c r="F191" s="46">
        <f t="shared" si="9"/>
        <v>9.9999999999999997E+98</v>
      </c>
      <c r="G191" s="46">
        <f t="shared" si="10"/>
        <v>-9.9999999999999997E+98</v>
      </c>
      <c r="H191" s="46">
        <f t="shared" si="11"/>
        <v>9.9999999999999997E+98</v>
      </c>
    </row>
    <row r="192" spans="1:8" x14ac:dyDescent="0.3">
      <c r="A192" s="40" t="str">
        <f>'TO HOP NLAN'!A192</f>
        <v/>
      </c>
      <c r="B192" s="40" t="str">
        <f>'TO HOP NLAN'!L192</f>
        <v>STRENGTH</v>
      </c>
      <c r="C192" s="46">
        <f>IF(A192="",0,MAX(IF('TS-PILE'!$B$56="",-1E+99,'TO HOP NLAN'!D192/ncoc+IF(SUMSQ('TS-PILE'!$E$56:$E$75)=0,0,'TO HOP NLAN'!E192*'TS-PILE'!$E$56/SUMSQ('TS-PILE'!$E$56:$E$75))+IF(SUMSQ('TS-PILE'!$D$56:$D$75)=0,0,'TO HOP NLAN'!F192*'TS-PILE'!$D$56/SUMSQ('TS-PILE'!$D$56:$D$75))),IF('TS-PILE'!$B$57="",-1E+99,'TO HOP NLAN'!D192/ncoc+IF(SUMSQ('TS-PILE'!$E$56:$E$75)=0,0,'TO HOP NLAN'!E192*'TS-PILE'!$E$57/SUMSQ('TS-PILE'!$E$56:$E$75))+IF(SUMSQ('TS-PILE'!$D$56:$D$75)=0,0,'TO HOP NLAN'!F192*'TS-PILE'!$D$57/SUMSQ('TS-PILE'!$D$56:$D$75))),IF('TS-PILE'!$B$58="",-1E+99,'TO HOP NLAN'!D192/ncoc+IF(SUMSQ('TS-PILE'!$E$56:$E$75)=0,0,'TO HOP NLAN'!E192*'TS-PILE'!$E$58/SUMSQ('TS-PILE'!$E$56:$E$75))+IF(SUMSQ('TS-PILE'!$D$56:$D$75)=0,0,'TO HOP NLAN'!F192*'TS-PILE'!$D$58/SUMSQ('TS-PILE'!$D$56:$D$75))),IF('TS-PILE'!$B$59="",-1E+99,'TO HOP NLAN'!D192/ncoc+IF(SUMSQ('TS-PILE'!$E$56:$E$75)=0,0,'TO HOP NLAN'!E192*'TS-PILE'!$E$59/SUMSQ('TS-PILE'!$E$56:$E$75))+IF(SUMSQ('TS-PILE'!$D$56:$D$75)=0,0,'TO HOP NLAN'!F192*'TS-PILE'!$D$59/SUMSQ('TS-PILE'!$D$56:$D$75))),IF('TS-PILE'!$B$60="",-1E+99,'TO HOP NLAN'!D192/ncoc+IF(SUMSQ('TS-PILE'!$E$56:$E$75)=0,0,'TO HOP NLAN'!E192*'TS-PILE'!$E$60/SUMSQ('TS-PILE'!$E$56:$E$75))+IF(SUMSQ('TS-PILE'!$D$56:$D$75)=0,0,'TO HOP NLAN'!F192*'TS-PILE'!$D$60/SUMSQ('TS-PILE'!$D$56:$D$75))),IF('TS-PILE'!$B$61="",-1E+99,'TO HOP NLAN'!D192/ncoc+IF(SUMSQ('TS-PILE'!$E$56:$E$75)=0,0,'TO HOP NLAN'!E192*'TS-PILE'!$E$61/SUMSQ('TS-PILE'!$E$56:$E$75))+IF(SUMSQ('TS-PILE'!$D$56:$D$75)=0,0,'TO HOP NLAN'!F192*'TS-PILE'!$D$61/SUMSQ('TS-PILE'!$D$56:$D$75))),IF('TS-PILE'!$B$62="",-1E+99,'TO HOP NLAN'!D192/ncoc+IF(SUMSQ('TS-PILE'!$E$56:$E$75)=0,0,'TO HOP NLAN'!E192*'TS-PILE'!$E$62/SUMSQ('TS-PILE'!$E$56:$E$75))+IF(SUMSQ('TS-PILE'!$D$56:$D$75)=0,0,'TO HOP NLAN'!F192*'TS-PILE'!$D$62/SUMSQ('TS-PILE'!$D$56:$D$75))),IF('TS-PILE'!$B$63="",-1E+99,'TO HOP NLAN'!D192/ncoc+IF(SUMSQ('TS-PILE'!$E$56:$E$75)=0,0,'TO HOP NLAN'!E192*'TS-PILE'!$E$63/SUMSQ('TS-PILE'!$E$56:$E$75))+IF(SUMSQ('TS-PILE'!$D$56:$D$75)=0,0,'TO HOP NLAN'!F192*'TS-PILE'!$D$63/SUMSQ('TS-PILE'!$D$56:$D$75))),IF('TS-PILE'!$B$64="",-1E+99,'TO HOP NLAN'!D192/ncoc+IF(SUMSQ('TS-PILE'!$E$56:$E$75)=0,0,'TO HOP NLAN'!E192*'TS-PILE'!$E$64/SUMSQ('TS-PILE'!$E$56:$E$75))+IF(SUMSQ('TS-PILE'!$D$56:$D$75)=0,0,'TO HOP NLAN'!F192*'TS-PILE'!$D$64/SUMSQ('TS-PILE'!$D$56:$D$75))),IF('TS-PILE'!$B$65="",-1E+99,'TO HOP NLAN'!D192/ncoc+IF(SUMSQ('TS-PILE'!$E$56:$E$75)=0,0,'TO HOP NLAN'!E192*'TS-PILE'!$E$65/SUMSQ('TS-PILE'!$E$56:$E$75))+IF(SUMSQ('TS-PILE'!$D$56:$D$75)=0,0,'TO HOP NLAN'!F192*'TS-PILE'!$D$65/SUMSQ('TS-PILE'!$D$56:$D$75))),IF('TS-PILE'!$B$66="",-1E+99,'TO HOP NLAN'!D192/ncoc+IF(SUMSQ('TS-PILE'!$E$56:$E$75)=0,0,'TO HOP NLAN'!E192*'TS-PILE'!$E$66/SUMSQ('TS-PILE'!$E$56:$E$75))+IF(SUMSQ('TS-PILE'!$D$56:$D$75)=0,0,'TO HOP NLAN'!F192*'TS-PILE'!$D$66/SUMSQ('TS-PILE'!$D$56:$D$75))),IF('TS-PILE'!$B$67="",-1E+99,'TO HOP NLAN'!D192/ncoc+IF(SUMSQ('TS-PILE'!$E$56:$E$75)=0,0,'TO HOP NLAN'!E192*'TS-PILE'!$E$67/SUMSQ('TS-PILE'!$E$56:$E$75))+IF(SUMSQ('TS-PILE'!$D$56:$D$75)=0,0,'TO HOP NLAN'!F192*'TS-PILE'!$D$67/SUMSQ('TS-PILE'!$D$56:$D$75))),IF('TS-PILE'!$B$68="",-1E+99,'TO HOP NLAN'!D192/ncoc+IF(SUMSQ('TS-PILE'!$E$56:$E$75)=0,0,'TO HOP NLAN'!E192*'TS-PILE'!$E$68/SUMSQ('TS-PILE'!$E$56:$E$75))+IF(SUMSQ('TS-PILE'!$D$56:$D$75)=0,0,'TO HOP NLAN'!F192*'TS-PILE'!$D$68/SUMSQ('TS-PILE'!$D$56:$D$75))),IF('TS-PILE'!$B$69="",-1E+99,'TO HOP NLAN'!D192/ncoc+IF(SUMSQ('TS-PILE'!$E$56:$E$75)=0,0,'TO HOP NLAN'!E192*'TS-PILE'!$E$69/SUMSQ('TS-PILE'!$E$56:$E$75))+IF(SUMSQ('TS-PILE'!$D$56:$D$75)=0,0,'TO HOP NLAN'!F192*'TS-PILE'!$D$69/SUMSQ('TS-PILE'!$D$56:$D$75))),IF('TS-PILE'!$B$70="",-1E+99,'TO HOP NLAN'!D192/ncoc+IF(SUMSQ('TS-PILE'!$E$56:$E$75)=0,0,'TO HOP NLAN'!E192*'TS-PILE'!$E$70/SUMSQ('TS-PILE'!$E$56:$E$75))+IF(SUMSQ('TS-PILE'!$D$56:$D$75)=0,0,'TO HOP NLAN'!F192*'TS-PILE'!$D$70/SUMSQ('TS-PILE'!$D$56:$D$75))),IF('TS-PILE'!$B$71="",-1E+99,'TO HOP NLAN'!D192/ncoc+IF(SUMSQ('TS-PILE'!$E$56:$E$75)=0,0,'TO HOP NLAN'!E192*'TS-PILE'!$E$71/SUMSQ('TS-PILE'!$E$56:$E$75))+IF(SUMSQ('TS-PILE'!$D$56:$D$75)=0,0,'TO HOP NLAN'!F192*'TS-PILE'!$D$71/SUMSQ('TS-PILE'!$D$56:$D$75))),IF('TS-PILE'!$B$72="",-1E+99,'TO HOP NLAN'!D192/ncoc+IF(SUMSQ('TS-PILE'!$E$56:$E$75)=0,0,'TO HOP NLAN'!E192*'TS-PILE'!$E$72/SUMSQ('TS-PILE'!$E$56:$E$75))+IF(SUMSQ('TS-PILE'!$D$56:$D$75)=0,0,'TO HOP NLAN'!F192*'TS-PILE'!$D$72/SUMSQ('TS-PILE'!$D$56:$D$75))),IF('TS-PILE'!$B$73="",-1E+99,'TO HOP NLAN'!D192/ncoc+IF(SUMSQ('TS-PILE'!$E$56:$E$75)=0,0,'TO HOP NLAN'!E192*'TS-PILE'!$E$73/SUMSQ('TS-PILE'!$E$56:$E$75))+IF(SUMSQ('TS-PILE'!$D$56:$D$75)=0,0,'TO HOP NLAN'!F192*'TS-PILE'!$D$73/SUMSQ('TS-PILE'!$D$56:$D$75))),IF('TS-PILE'!$B$74="",-1E+99,'TO HOP NLAN'!D192/ncoc+IF(SUMSQ('TS-PILE'!$E$56:$E$75)=0,0,'TO HOP NLAN'!E192*'TS-PILE'!$E$74/SUMSQ('TS-PILE'!$E$56:$E$75))+IF(SUMSQ('TS-PILE'!$D$56:$D$75)=0,0,'TO HOP NLAN'!F192*'TS-PILE'!$D$74/SUMSQ('TS-PILE'!$D$56:$D$75))),IF('TS-PILE'!$B$75="",-1E+99,'TO HOP NLAN'!D192/ncoc+IF(SUMSQ('TS-PILE'!$E$56:$E$75)=0,0,'TO HOP NLAN'!E192*'TS-PILE'!$E$75/SUMSQ('TS-PILE'!$E$56:$E$75))+IF(SUMSQ('TS-PILE'!$D$56:$D$75)=0,0,'TO HOP NLAN'!F192*'TS-PILE'!$D$75/SUMSQ('TS-PILE'!$D$56:$D$75)))))</f>
        <v>0</v>
      </c>
      <c r="D192" s="46">
        <f>IF(A192="",0,MIN(IF('TS-PILE'!$B$56="",1E+99,'TO HOP NLAN'!D192/ncoc+IF(SUMSQ('TS-PILE'!$E$56:$E$75)=0,0,'TO HOP NLAN'!E192*'TS-PILE'!$E$56/SUMSQ('TS-PILE'!$E$56:$E$75))+IF(SUMSQ('TS-PILE'!$D$56:$D$75)=0,0,'TO HOP NLAN'!F192*'TS-PILE'!$D$56/SUMSQ('TS-PILE'!$D$56:$D$75))),IF('TS-PILE'!$B$57="",1E+99,'TO HOP NLAN'!D192/ncoc+IF(SUMSQ('TS-PILE'!$E$56:$E$75)=0,0,'TO HOP NLAN'!E192*'TS-PILE'!$E$57/SUMSQ('TS-PILE'!$E$56:$E$75))+IF(SUMSQ('TS-PILE'!$D$56:$D$75)=0,0,'TO HOP NLAN'!F192*'TS-PILE'!$D$57/SUMSQ('TS-PILE'!$D$56:$D$75))),IF('TS-PILE'!$B$58="",1E+99,'TO HOP NLAN'!D192/ncoc+IF(SUMSQ('TS-PILE'!$E$56:$E$75)=0,0,'TO HOP NLAN'!E192*'TS-PILE'!$E$58/SUMSQ('TS-PILE'!$E$56:$E$75))+IF(SUMSQ('TS-PILE'!$D$56:$D$75)=0,0,'TO HOP NLAN'!F192*'TS-PILE'!$D$58/SUMSQ('TS-PILE'!$D$56:$D$75))),IF('TS-PILE'!$B$59="",1E+99,'TO HOP NLAN'!D192/ncoc+IF(SUMSQ('TS-PILE'!$E$56:$E$75)=0,0,'TO HOP NLAN'!E192*'TS-PILE'!$E$59/SUMSQ('TS-PILE'!$E$56:$E$75))+IF(SUMSQ('TS-PILE'!$D$56:$D$75)=0,0,'TO HOP NLAN'!F192*'TS-PILE'!$D$59/SUMSQ('TS-PILE'!$D$56:$D$75))),IF('TS-PILE'!$B$60="",1E+99,'TO HOP NLAN'!D192/ncoc+IF(SUMSQ('TS-PILE'!$E$56:$E$75)=0,0,'TO HOP NLAN'!E192*'TS-PILE'!$E$60/SUMSQ('TS-PILE'!$E$56:$E$75))+IF(SUMSQ('TS-PILE'!$D$56:$D$75)=0,0,'TO HOP NLAN'!F192*'TS-PILE'!$D$60/SUMSQ('TS-PILE'!$D$56:$D$75))),IF('TS-PILE'!$B$61="",1E+99,'TO HOP NLAN'!D192/ncoc+IF(SUMSQ('TS-PILE'!$E$56:$E$75)=0,0,'TO HOP NLAN'!E192*'TS-PILE'!$E$61/SUMSQ('TS-PILE'!$E$56:$E$75))+IF(SUMSQ('TS-PILE'!$D$56:$D$75)=0,0,'TO HOP NLAN'!F192*'TS-PILE'!$D$61/SUMSQ('TS-PILE'!$D$56:$D$75))),IF('TS-PILE'!$B$62="",1E+99,'TO HOP NLAN'!D192/ncoc+IF(SUMSQ('TS-PILE'!$E$56:$E$75)=0,0,'TO HOP NLAN'!E192*'TS-PILE'!$E$62/SUMSQ('TS-PILE'!$E$56:$E$75))+IF(SUMSQ('TS-PILE'!$D$56:$D$75)=0,0,'TO HOP NLAN'!F192*'TS-PILE'!$D$62/SUMSQ('TS-PILE'!$D$56:$D$75))),IF('TS-PILE'!$B$63="",1E+99,'TO HOP NLAN'!D192/ncoc+IF(SUMSQ('TS-PILE'!$E$56:$E$75)=0,0,'TO HOP NLAN'!E192*'TS-PILE'!$E$63/SUMSQ('TS-PILE'!$E$56:$E$75))+IF(SUMSQ('TS-PILE'!$D$56:$D$75)=0,0,'TO HOP NLAN'!F192*'TS-PILE'!$D$63/SUMSQ('TS-PILE'!$D$56:$D$75))),IF('TS-PILE'!$B$64="",1E+99,'TO HOP NLAN'!D192/ncoc+IF(SUMSQ('TS-PILE'!$E$56:$E$75)=0,0,'TO HOP NLAN'!E192*'TS-PILE'!$E$64/SUMSQ('TS-PILE'!$E$56:$E$75))+IF(SUMSQ('TS-PILE'!$D$56:$D$75)=0,0,'TO HOP NLAN'!F192*'TS-PILE'!$D$64/SUMSQ('TS-PILE'!$D$56:$D$75))),IF('TS-PILE'!$B$65="",1E+99,'TO HOP NLAN'!D192/ncoc+IF(SUMSQ('TS-PILE'!$E$56:$E$75)=0,0,'TO HOP NLAN'!E192*'TS-PILE'!$E$65/SUMSQ('TS-PILE'!$E$56:$E$75))+IF(SUMSQ('TS-PILE'!$D$56:$D$75)=0,0,'TO HOP NLAN'!F192*'TS-PILE'!$D$65/SUMSQ('TS-PILE'!$D$56:$D$75))),IF('TS-PILE'!$B$66="",1E+99,'TO HOP NLAN'!D192/ncoc+IF(SUMSQ('TS-PILE'!$E$56:$E$75)=0,0,'TO HOP NLAN'!E192*'TS-PILE'!$E$66/SUMSQ('TS-PILE'!$E$56:$E$75))+IF(SUMSQ('TS-PILE'!$D$56:$D$75)=0,0,'TO HOP NLAN'!F192*'TS-PILE'!$D$66/SUMSQ('TS-PILE'!$D$56:$D$75))),IF('TS-PILE'!$B$67="",1E+99,'TO HOP NLAN'!D192/ncoc+IF(SUMSQ('TS-PILE'!$E$56:$E$75)=0,0,'TO HOP NLAN'!E192*'TS-PILE'!$E$67/SUMSQ('TS-PILE'!$E$56:$E$75))+IF(SUMSQ('TS-PILE'!$D$56:$D$75)=0,0,'TO HOP NLAN'!F192*'TS-PILE'!$D$67/SUMSQ('TS-PILE'!$D$56:$D$75))),IF('TS-PILE'!$B$68="",1E+99,'TO HOP NLAN'!D192/ncoc+IF(SUMSQ('TS-PILE'!$E$56:$E$75)=0,0,'TO HOP NLAN'!E192*'TS-PILE'!$E$68/SUMSQ('TS-PILE'!$E$56:$E$75))+IF(SUMSQ('TS-PILE'!$D$56:$D$75)=0,0,'TO HOP NLAN'!F192*'TS-PILE'!$D$68/SUMSQ('TS-PILE'!$D$56:$D$75))),IF('TS-PILE'!$B$69="",1E+99,'TO HOP NLAN'!D192/ncoc+IF(SUMSQ('TS-PILE'!$E$56:$E$75)=0,0,'TO HOP NLAN'!E192*'TS-PILE'!$E$69/SUMSQ('TS-PILE'!$E$56:$E$75))+IF(SUMSQ('TS-PILE'!$D$56:$D$75)=0,0,'TO HOP NLAN'!F192*'TS-PILE'!$D$69/SUMSQ('TS-PILE'!$D$56:$D$75))),IF('TS-PILE'!$B$70="",1E+99,'TO HOP NLAN'!D192/ncoc+IF(SUMSQ('TS-PILE'!$E$56:$E$75)=0,0,'TO HOP NLAN'!E192*'TS-PILE'!$E$70/SUMSQ('TS-PILE'!$E$56:$E$75))+IF(SUMSQ('TS-PILE'!$D$56:$D$75)=0,0,'TO HOP NLAN'!F192*'TS-PILE'!$D$70/SUMSQ('TS-PILE'!$D$56:$D$75))),IF('TS-PILE'!$B$71="",1E+99,'TO HOP NLAN'!D192/ncoc+IF(SUMSQ('TS-PILE'!$E$56:$E$75)=0,0,'TO HOP NLAN'!E192*'TS-PILE'!$E$71/SUMSQ('TS-PILE'!$E$56:$E$75))+IF(SUMSQ('TS-PILE'!$D$56:$D$75)=0,0,'TO HOP NLAN'!F192*'TS-PILE'!$D$71/SUMSQ('TS-PILE'!$D$56:$D$75))),IF('TS-PILE'!$B$72="",1E+99,'TO HOP NLAN'!D192/ncoc+IF(SUMSQ('TS-PILE'!$E$56:$E$75)=0,0,'TO HOP NLAN'!E192*'TS-PILE'!$E$72/SUMSQ('TS-PILE'!$E$56:$E$75))+IF(SUMSQ('TS-PILE'!$D$56:$D$75)=0,0,'TO HOP NLAN'!F192*'TS-PILE'!$D$72/SUMSQ('TS-PILE'!$D$56:$D$75))),IF('TS-PILE'!$B$73="",1E+99,'TO HOP NLAN'!D192/ncoc+IF(SUMSQ('TS-PILE'!$E$56:$E$75)=0,0,'TO HOP NLAN'!E192*'TS-PILE'!$E$73/SUMSQ('TS-PILE'!$E$56:$E$75))+IF(SUMSQ('TS-PILE'!$D$56:$D$75)=0,0,'TO HOP NLAN'!F192*'TS-PILE'!$D$73/SUMSQ('TS-PILE'!$D$56:$D$75))),IF('TS-PILE'!$B$74="",1E+99,'TO HOP NLAN'!D192/ncoc+IF(SUMSQ('TS-PILE'!$E$56:$E$75)=0,0,'TO HOP NLAN'!E192*'TS-PILE'!$E$74/SUMSQ('TS-PILE'!$E$56:$E$75))+IF(SUMSQ('TS-PILE'!$D$56:$D$75)=0,0,'TO HOP NLAN'!F192*'TS-PILE'!$D$74/SUMSQ('TS-PILE'!$D$56:$D$75))),IF('TS-PILE'!$B$75="",1E+99,'TO HOP NLAN'!D192/ncoc+IF(SUMSQ('TS-PILE'!$E$56:$E$75)=0,0,'TO HOP NLAN'!E192*'TS-PILE'!$E$75/SUMSQ('TS-PILE'!$E$56:$E$75))+IF(SUMSQ('TS-PILE'!$D$56:$D$75)=0,0,'TO HOP NLAN'!F192*'TS-PILE'!$D$75/SUMSQ('TS-PILE'!$D$56:$D$75)))))</f>
        <v>0</v>
      </c>
      <c r="E192" s="46">
        <f t="shared" si="8"/>
        <v>-9.9999999999999997E+98</v>
      </c>
      <c r="F192" s="46">
        <f t="shared" si="9"/>
        <v>9.9999999999999997E+98</v>
      </c>
      <c r="G192" s="46">
        <f t="shared" si="10"/>
        <v>-9.9999999999999997E+98</v>
      </c>
      <c r="H192" s="46">
        <f t="shared" si="11"/>
        <v>9.9999999999999997E+98</v>
      </c>
    </row>
    <row r="193" spans="1:8" x14ac:dyDescent="0.3">
      <c r="A193" s="40" t="str">
        <f>'TO HOP NLAN'!A193</f>
        <v/>
      </c>
      <c r="B193" s="40" t="str">
        <f>'TO HOP NLAN'!L193</f>
        <v>STRENGTH</v>
      </c>
      <c r="C193" s="46">
        <f>IF(A193="",0,MAX(IF('TS-PILE'!$B$56="",-1E+99,'TO HOP NLAN'!D193/ncoc+IF(SUMSQ('TS-PILE'!$E$56:$E$75)=0,0,'TO HOP NLAN'!E193*'TS-PILE'!$E$56/SUMSQ('TS-PILE'!$E$56:$E$75))+IF(SUMSQ('TS-PILE'!$D$56:$D$75)=0,0,'TO HOP NLAN'!F193*'TS-PILE'!$D$56/SUMSQ('TS-PILE'!$D$56:$D$75))),IF('TS-PILE'!$B$57="",-1E+99,'TO HOP NLAN'!D193/ncoc+IF(SUMSQ('TS-PILE'!$E$56:$E$75)=0,0,'TO HOP NLAN'!E193*'TS-PILE'!$E$57/SUMSQ('TS-PILE'!$E$56:$E$75))+IF(SUMSQ('TS-PILE'!$D$56:$D$75)=0,0,'TO HOP NLAN'!F193*'TS-PILE'!$D$57/SUMSQ('TS-PILE'!$D$56:$D$75))),IF('TS-PILE'!$B$58="",-1E+99,'TO HOP NLAN'!D193/ncoc+IF(SUMSQ('TS-PILE'!$E$56:$E$75)=0,0,'TO HOP NLAN'!E193*'TS-PILE'!$E$58/SUMSQ('TS-PILE'!$E$56:$E$75))+IF(SUMSQ('TS-PILE'!$D$56:$D$75)=0,0,'TO HOP NLAN'!F193*'TS-PILE'!$D$58/SUMSQ('TS-PILE'!$D$56:$D$75))),IF('TS-PILE'!$B$59="",-1E+99,'TO HOP NLAN'!D193/ncoc+IF(SUMSQ('TS-PILE'!$E$56:$E$75)=0,0,'TO HOP NLAN'!E193*'TS-PILE'!$E$59/SUMSQ('TS-PILE'!$E$56:$E$75))+IF(SUMSQ('TS-PILE'!$D$56:$D$75)=0,0,'TO HOP NLAN'!F193*'TS-PILE'!$D$59/SUMSQ('TS-PILE'!$D$56:$D$75))),IF('TS-PILE'!$B$60="",-1E+99,'TO HOP NLAN'!D193/ncoc+IF(SUMSQ('TS-PILE'!$E$56:$E$75)=0,0,'TO HOP NLAN'!E193*'TS-PILE'!$E$60/SUMSQ('TS-PILE'!$E$56:$E$75))+IF(SUMSQ('TS-PILE'!$D$56:$D$75)=0,0,'TO HOP NLAN'!F193*'TS-PILE'!$D$60/SUMSQ('TS-PILE'!$D$56:$D$75))),IF('TS-PILE'!$B$61="",-1E+99,'TO HOP NLAN'!D193/ncoc+IF(SUMSQ('TS-PILE'!$E$56:$E$75)=0,0,'TO HOP NLAN'!E193*'TS-PILE'!$E$61/SUMSQ('TS-PILE'!$E$56:$E$75))+IF(SUMSQ('TS-PILE'!$D$56:$D$75)=0,0,'TO HOP NLAN'!F193*'TS-PILE'!$D$61/SUMSQ('TS-PILE'!$D$56:$D$75))),IF('TS-PILE'!$B$62="",-1E+99,'TO HOP NLAN'!D193/ncoc+IF(SUMSQ('TS-PILE'!$E$56:$E$75)=0,0,'TO HOP NLAN'!E193*'TS-PILE'!$E$62/SUMSQ('TS-PILE'!$E$56:$E$75))+IF(SUMSQ('TS-PILE'!$D$56:$D$75)=0,0,'TO HOP NLAN'!F193*'TS-PILE'!$D$62/SUMSQ('TS-PILE'!$D$56:$D$75))),IF('TS-PILE'!$B$63="",-1E+99,'TO HOP NLAN'!D193/ncoc+IF(SUMSQ('TS-PILE'!$E$56:$E$75)=0,0,'TO HOP NLAN'!E193*'TS-PILE'!$E$63/SUMSQ('TS-PILE'!$E$56:$E$75))+IF(SUMSQ('TS-PILE'!$D$56:$D$75)=0,0,'TO HOP NLAN'!F193*'TS-PILE'!$D$63/SUMSQ('TS-PILE'!$D$56:$D$75))),IF('TS-PILE'!$B$64="",-1E+99,'TO HOP NLAN'!D193/ncoc+IF(SUMSQ('TS-PILE'!$E$56:$E$75)=0,0,'TO HOP NLAN'!E193*'TS-PILE'!$E$64/SUMSQ('TS-PILE'!$E$56:$E$75))+IF(SUMSQ('TS-PILE'!$D$56:$D$75)=0,0,'TO HOP NLAN'!F193*'TS-PILE'!$D$64/SUMSQ('TS-PILE'!$D$56:$D$75))),IF('TS-PILE'!$B$65="",-1E+99,'TO HOP NLAN'!D193/ncoc+IF(SUMSQ('TS-PILE'!$E$56:$E$75)=0,0,'TO HOP NLAN'!E193*'TS-PILE'!$E$65/SUMSQ('TS-PILE'!$E$56:$E$75))+IF(SUMSQ('TS-PILE'!$D$56:$D$75)=0,0,'TO HOP NLAN'!F193*'TS-PILE'!$D$65/SUMSQ('TS-PILE'!$D$56:$D$75))),IF('TS-PILE'!$B$66="",-1E+99,'TO HOP NLAN'!D193/ncoc+IF(SUMSQ('TS-PILE'!$E$56:$E$75)=0,0,'TO HOP NLAN'!E193*'TS-PILE'!$E$66/SUMSQ('TS-PILE'!$E$56:$E$75))+IF(SUMSQ('TS-PILE'!$D$56:$D$75)=0,0,'TO HOP NLAN'!F193*'TS-PILE'!$D$66/SUMSQ('TS-PILE'!$D$56:$D$75))),IF('TS-PILE'!$B$67="",-1E+99,'TO HOP NLAN'!D193/ncoc+IF(SUMSQ('TS-PILE'!$E$56:$E$75)=0,0,'TO HOP NLAN'!E193*'TS-PILE'!$E$67/SUMSQ('TS-PILE'!$E$56:$E$75))+IF(SUMSQ('TS-PILE'!$D$56:$D$75)=0,0,'TO HOP NLAN'!F193*'TS-PILE'!$D$67/SUMSQ('TS-PILE'!$D$56:$D$75))),IF('TS-PILE'!$B$68="",-1E+99,'TO HOP NLAN'!D193/ncoc+IF(SUMSQ('TS-PILE'!$E$56:$E$75)=0,0,'TO HOP NLAN'!E193*'TS-PILE'!$E$68/SUMSQ('TS-PILE'!$E$56:$E$75))+IF(SUMSQ('TS-PILE'!$D$56:$D$75)=0,0,'TO HOP NLAN'!F193*'TS-PILE'!$D$68/SUMSQ('TS-PILE'!$D$56:$D$75))),IF('TS-PILE'!$B$69="",-1E+99,'TO HOP NLAN'!D193/ncoc+IF(SUMSQ('TS-PILE'!$E$56:$E$75)=0,0,'TO HOP NLAN'!E193*'TS-PILE'!$E$69/SUMSQ('TS-PILE'!$E$56:$E$75))+IF(SUMSQ('TS-PILE'!$D$56:$D$75)=0,0,'TO HOP NLAN'!F193*'TS-PILE'!$D$69/SUMSQ('TS-PILE'!$D$56:$D$75))),IF('TS-PILE'!$B$70="",-1E+99,'TO HOP NLAN'!D193/ncoc+IF(SUMSQ('TS-PILE'!$E$56:$E$75)=0,0,'TO HOP NLAN'!E193*'TS-PILE'!$E$70/SUMSQ('TS-PILE'!$E$56:$E$75))+IF(SUMSQ('TS-PILE'!$D$56:$D$75)=0,0,'TO HOP NLAN'!F193*'TS-PILE'!$D$70/SUMSQ('TS-PILE'!$D$56:$D$75))),IF('TS-PILE'!$B$71="",-1E+99,'TO HOP NLAN'!D193/ncoc+IF(SUMSQ('TS-PILE'!$E$56:$E$75)=0,0,'TO HOP NLAN'!E193*'TS-PILE'!$E$71/SUMSQ('TS-PILE'!$E$56:$E$75))+IF(SUMSQ('TS-PILE'!$D$56:$D$75)=0,0,'TO HOP NLAN'!F193*'TS-PILE'!$D$71/SUMSQ('TS-PILE'!$D$56:$D$75))),IF('TS-PILE'!$B$72="",-1E+99,'TO HOP NLAN'!D193/ncoc+IF(SUMSQ('TS-PILE'!$E$56:$E$75)=0,0,'TO HOP NLAN'!E193*'TS-PILE'!$E$72/SUMSQ('TS-PILE'!$E$56:$E$75))+IF(SUMSQ('TS-PILE'!$D$56:$D$75)=0,0,'TO HOP NLAN'!F193*'TS-PILE'!$D$72/SUMSQ('TS-PILE'!$D$56:$D$75))),IF('TS-PILE'!$B$73="",-1E+99,'TO HOP NLAN'!D193/ncoc+IF(SUMSQ('TS-PILE'!$E$56:$E$75)=0,0,'TO HOP NLAN'!E193*'TS-PILE'!$E$73/SUMSQ('TS-PILE'!$E$56:$E$75))+IF(SUMSQ('TS-PILE'!$D$56:$D$75)=0,0,'TO HOP NLAN'!F193*'TS-PILE'!$D$73/SUMSQ('TS-PILE'!$D$56:$D$75))),IF('TS-PILE'!$B$74="",-1E+99,'TO HOP NLAN'!D193/ncoc+IF(SUMSQ('TS-PILE'!$E$56:$E$75)=0,0,'TO HOP NLAN'!E193*'TS-PILE'!$E$74/SUMSQ('TS-PILE'!$E$56:$E$75))+IF(SUMSQ('TS-PILE'!$D$56:$D$75)=0,0,'TO HOP NLAN'!F193*'TS-PILE'!$D$74/SUMSQ('TS-PILE'!$D$56:$D$75))),IF('TS-PILE'!$B$75="",-1E+99,'TO HOP NLAN'!D193/ncoc+IF(SUMSQ('TS-PILE'!$E$56:$E$75)=0,0,'TO HOP NLAN'!E193*'TS-PILE'!$E$75/SUMSQ('TS-PILE'!$E$56:$E$75))+IF(SUMSQ('TS-PILE'!$D$56:$D$75)=0,0,'TO HOP NLAN'!F193*'TS-PILE'!$D$75/SUMSQ('TS-PILE'!$D$56:$D$75)))))</f>
        <v>0</v>
      </c>
      <c r="D193" s="46">
        <f>IF(A193="",0,MIN(IF('TS-PILE'!$B$56="",1E+99,'TO HOP NLAN'!D193/ncoc+IF(SUMSQ('TS-PILE'!$E$56:$E$75)=0,0,'TO HOP NLAN'!E193*'TS-PILE'!$E$56/SUMSQ('TS-PILE'!$E$56:$E$75))+IF(SUMSQ('TS-PILE'!$D$56:$D$75)=0,0,'TO HOP NLAN'!F193*'TS-PILE'!$D$56/SUMSQ('TS-PILE'!$D$56:$D$75))),IF('TS-PILE'!$B$57="",1E+99,'TO HOP NLAN'!D193/ncoc+IF(SUMSQ('TS-PILE'!$E$56:$E$75)=0,0,'TO HOP NLAN'!E193*'TS-PILE'!$E$57/SUMSQ('TS-PILE'!$E$56:$E$75))+IF(SUMSQ('TS-PILE'!$D$56:$D$75)=0,0,'TO HOP NLAN'!F193*'TS-PILE'!$D$57/SUMSQ('TS-PILE'!$D$56:$D$75))),IF('TS-PILE'!$B$58="",1E+99,'TO HOP NLAN'!D193/ncoc+IF(SUMSQ('TS-PILE'!$E$56:$E$75)=0,0,'TO HOP NLAN'!E193*'TS-PILE'!$E$58/SUMSQ('TS-PILE'!$E$56:$E$75))+IF(SUMSQ('TS-PILE'!$D$56:$D$75)=0,0,'TO HOP NLAN'!F193*'TS-PILE'!$D$58/SUMSQ('TS-PILE'!$D$56:$D$75))),IF('TS-PILE'!$B$59="",1E+99,'TO HOP NLAN'!D193/ncoc+IF(SUMSQ('TS-PILE'!$E$56:$E$75)=0,0,'TO HOP NLAN'!E193*'TS-PILE'!$E$59/SUMSQ('TS-PILE'!$E$56:$E$75))+IF(SUMSQ('TS-PILE'!$D$56:$D$75)=0,0,'TO HOP NLAN'!F193*'TS-PILE'!$D$59/SUMSQ('TS-PILE'!$D$56:$D$75))),IF('TS-PILE'!$B$60="",1E+99,'TO HOP NLAN'!D193/ncoc+IF(SUMSQ('TS-PILE'!$E$56:$E$75)=0,0,'TO HOP NLAN'!E193*'TS-PILE'!$E$60/SUMSQ('TS-PILE'!$E$56:$E$75))+IF(SUMSQ('TS-PILE'!$D$56:$D$75)=0,0,'TO HOP NLAN'!F193*'TS-PILE'!$D$60/SUMSQ('TS-PILE'!$D$56:$D$75))),IF('TS-PILE'!$B$61="",1E+99,'TO HOP NLAN'!D193/ncoc+IF(SUMSQ('TS-PILE'!$E$56:$E$75)=0,0,'TO HOP NLAN'!E193*'TS-PILE'!$E$61/SUMSQ('TS-PILE'!$E$56:$E$75))+IF(SUMSQ('TS-PILE'!$D$56:$D$75)=0,0,'TO HOP NLAN'!F193*'TS-PILE'!$D$61/SUMSQ('TS-PILE'!$D$56:$D$75))),IF('TS-PILE'!$B$62="",1E+99,'TO HOP NLAN'!D193/ncoc+IF(SUMSQ('TS-PILE'!$E$56:$E$75)=0,0,'TO HOP NLAN'!E193*'TS-PILE'!$E$62/SUMSQ('TS-PILE'!$E$56:$E$75))+IF(SUMSQ('TS-PILE'!$D$56:$D$75)=0,0,'TO HOP NLAN'!F193*'TS-PILE'!$D$62/SUMSQ('TS-PILE'!$D$56:$D$75))),IF('TS-PILE'!$B$63="",1E+99,'TO HOP NLAN'!D193/ncoc+IF(SUMSQ('TS-PILE'!$E$56:$E$75)=0,0,'TO HOP NLAN'!E193*'TS-PILE'!$E$63/SUMSQ('TS-PILE'!$E$56:$E$75))+IF(SUMSQ('TS-PILE'!$D$56:$D$75)=0,0,'TO HOP NLAN'!F193*'TS-PILE'!$D$63/SUMSQ('TS-PILE'!$D$56:$D$75))),IF('TS-PILE'!$B$64="",1E+99,'TO HOP NLAN'!D193/ncoc+IF(SUMSQ('TS-PILE'!$E$56:$E$75)=0,0,'TO HOP NLAN'!E193*'TS-PILE'!$E$64/SUMSQ('TS-PILE'!$E$56:$E$75))+IF(SUMSQ('TS-PILE'!$D$56:$D$75)=0,0,'TO HOP NLAN'!F193*'TS-PILE'!$D$64/SUMSQ('TS-PILE'!$D$56:$D$75))),IF('TS-PILE'!$B$65="",1E+99,'TO HOP NLAN'!D193/ncoc+IF(SUMSQ('TS-PILE'!$E$56:$E$75)=0,0,'TO HOP NLAN'!E193*'TS-PILE'!$E$65/SUMSQ('TS-PILE'!$E$56:$E$75))+IF(SUMSQ('TS-PILE'!$D$56:$D$75)=0,0,'TO HOP NLAN'!F193*'TS-PILE'!$D$65/SUMSQ('TS-PILE'!$D$56:$D$75))),IF('TS-PILE'!$B$66="",1E+99,'TO HOP NLAN'!D193/ncoc+IF(SUMSQ('TS-PILE'!$E$56:$E$75)=0,0,'TO HOP NLAN'!E193*'TS-PILE'!$E$66/SUMSQ('TS-PILE'!$E$56:$E$75))+IF(SUMSQ('TS-PILE'!$D$56:$D$75)=0,0,'TO HOP NLAN'!F193*'TS-PILE'!$D$66/SUMSQ('TS-PILE'!$D$56:$D$75))),IF('TS-PILE'!$B$67="",1E+99,'TO HOP NLAN'!D193/ncoc+IF(SUMSQ('TS-PILE'!$E$56:$E$75)=0,0,'TO HOP NLAN'!E193*'TS-PILE'!$E$67/SUMSQ('TS-PILE'!$E$56:$E$75))+IF(SUMSQ('TS-PILE'!$D$56:$D$75)=0,0,'TO HOP NLAN'!F193*'TS-PILE'!$D$67/SUMSQ('TS-PILE'!$D$56:$D$75))),IF('TS-PILE'!$B$68="",1E+99,'TO HOP NLAN'!D193/ncoc+IF(SUMSQ('TS-PILE'!$E$56:$E$75)=0,0,'TO HOP NLAN'!E193*'TS-PILE'!$E$68/SUMSQ('TS-PILE'!$E$56:$E$75))+IF(SUMSQ('TS-PILE'!$D$56:$D$75)=0,0,'TO HOP NLAN'!F193*'TS-PILE'!$D$68/SUMSQ('TS-PILE'!$D$56:$D$75))),IF('TS-PILE'!$B$69="",1E+99,'TO HOP NLAN'!D193/ncoc+IF(SUMSQ('TS-PILE'!$E$56:$E$75)=0,0,'TO HOP NLAN'!E193*'TS-PILE'!$E$69/SUMSQ('TS-PILE'!$E$56:$E$75))+IF(SUMSQ('TS-PILE'!$D$56:$D$75)=0,0,'TO HOP NLAN'!F193*'TS-PILE'!$D$69/SUMSQ('TS-PILE'!$D$56:$D$75))),IF('TS-PILE'!$B$70="",1E+99,'TO HOP NLAN'!D193/ncoc+IF(SUMSQ('TS-PILE'!$E$56:$E$75)=0,0,'TO HOP NLAN'!E193*'TS-PILE'!$E$70/SUMSQ('TS-PILE'!$E$56:$E$75))+IF(SUMSQ('TS-PILE'!$D$56:$D$75)=0,0,'TO HOP NLAN'!F193*'TS-PILE'!$D$70/SUMSQ('TS-PILE'!$D$56:$D$75))),IF('TS-PILE'!$B$71="",1E+99,'TO HOP NLAN'!D193/ncoc+IF(SUMSQ('TS-PILE'!$E$56:$E$75)=0,0,'TO HOP NLAN'!E193*'TS-PILE'!$E$71/SUMSQ('TS-PILE'!$E$56:$E$75))+IF(SUMSQ('TS-PILE'!$D$56:$D$75)=0,0,'TO HOP NLAN'!F193*'TS-PILE'!$D$71/SUMSQ('TS-PILE'!$D$56:$D$75))),IF('TS-PILE'!$B$72="",1E+99,'TO HOP NLAN'!D193/ncoc+IF(SUMSQ('TS-PILE'!$E$56:$E$75)=0,0,'TO HOP NLAN'!E193*'TS-PILE'!$E$72/SUMSQ('TS-PILE'!$E$56:$E$75))+IF(SUMSQ('TS-PILE'!$D$56:$D$75)=0,0,'TO HOP NLAN'!F193*'TS-PILE'!$D$72/SUMSQ('TS-PILE'!$D$56:$D$75))),IF('TS-PILE'!$B$73="",1E+99,'TO HOP NLAN'!D193/ncoc+IF(SUMSQ('TS-PILE'!$E$56:$E$75)=0,0,'TO HOP NLAN'!E193*'TS-PILE'!$E$73/SUMSQ('TS-PILE'!$E$56:$E$75))+IF(SUMSQ('TS-PILE'!$D$56:$D$75)=0,0,'TO HOP NLAN'!F193*'TS-PILE'!$D$73/SUMSQ('TS-PILE'!$D$56:$D$75))),IF('TS-PILE'!$B$74="",1E+99,'TO HOP NLAN'!D193/ncoc+IF(SUMSQ('TS-PILE'!$E$56:$E$75)=0,0,'TO HOP NLAN'!E193*'TS-PILE'!$E$74/SUMSQ('TS-PILE'!$E$56:$E$75))+IF(SUMSQ('TS-PILE'!$D$56:$D$75)=0,0,'TO HOP NLAN'!F193*'TS-PILE'!$D$74/SUMSQ('TS-PILE'!$D$56:$D$75))),IF('TS-PILE'!$B$75="",1E+99,'TO HOP NLAN'!D193/ncoc+IF(SUMSQ('TS-PILE'!$E$56:$E$75)=0,0,'TO HOP NLAN'!E193*'TS-PILE'!$E$75/SUMSQ('TS-PILE'!$E$56:$E$75))+IF(SUMSQ('TS-PILE'!$D$56:$D$75)=0,0,'TO HOP NLAN'!F193*'TS-PILE'!$D$75/SUMSQ('TS-PILE'!$D$56:$D$75)))))</f>
        <v>0</v>
      </c>
      <c r="E193" s="46">
        <f t="shared" si="8"/>
        <v>-9.9999999999999997E+98</v>
      </c>
      <c r="F193" s="46">
        <f t="shared" si="9"/>
        <v>9.9999999999999997E+98</v>
      </c>
      <c r="G193" s="46">
        <f t="shared" si="10"/>
        <v>-9.9999999999999997E+98</v>
      </c>
      <c r="H193" s="46">
        <f t="shared" si="11"/>
        <v>9.9999999999999997E+98</v>
      </c>
    </row>
    <row r="194" spans="1:8" x14ac:dyDescent="0.3">
      <c r="A194" s="40" t="str">
        <f>'TO HOP NLAN'!A194</f>
        <v/>
      </c>
      <c r="B194" s="40" t="str">
        <f>'TO HOP NLAN'!L194</f>
        <v>STRENGTH</v>
      </c>
      <c r="C194" s="46">
        <f>IF(A194="",0,MAX(IF('TS-PILE'!$B$56="",-1E+99,'TO HOP NLAN'!D194/ncoc+IF(SUMSQ('TS-PILE'!$E$56:$E$75)=0,0,'TO HOP NLAN'!E194*'TS-PILE'!$E$56/SUMSQ('TS-PILE'!$E$56:$E$75))+IF(SUMSQ('TS-PILE'!$D$56:$D$75)=0,0,'TO HOP NLAN'!F194*'TS-PILE'!$D$56/SUMSQ('TS-PILE'!$D$56:$D$75))),IF('TS-PILE'!$B$57="",-1E+99,'TO HOP NLAN'!D194/ncoc+IF(SUMSQ('TS-PILE'!$E$56:$E$75)=0,0,'TO HOP NLAN'!E194*'TS-PILE'!$E$57/SUMSQ('TS-PILE'!$E$56:$E$75))+IF(SUMSQ('TS-PILE'!$D$56:$D$75)=0,0,'TO HOP NLAN'!F194*'TS-PILE'!$D$57/SUMSQ('TS-PILE'!$D$56:$D$75))),IF('TS-PILE'!$B$58="",-1E+99,'TO HOP NLAN'!D194/ncoc+IF(SUMSQ('TS-PILE'!$E$56:$E$75)=0,0,'TO HOP NLAN'!E194*'TS-PILE'!$E$58/SUMSQ('TS-PILE'!$E$56:$E$75))+IF(SUMSQ('TS-PILE'!$D$56:$D$75)=0,0,'TO HOP NLAN'!F194*'TS-PILE'!$D$58/SUMSQ('TS-PILE'!$D$56:$D$75))),IF('TS-PILE'!$B$59="",-1E+99,'TO HOP NLAN'!D194/ncoc+IF(SUMSQ('TS-PILE'!$E$56:$E$75)=0,0,'TO HOP NLAN'!E194*'TS-PILE'!$E$59/SUMSQ('TS-PILE'!$E$56:$E$75))+IF(SUMSQ('TS-PILE'!$D$56:$D$75)=0,0,'TO HOP NLAN'!F194*'TS-PILE'!$D$59/SUMSQ('TS-PILE'!$D$56:$D$75))),IF('TS-PILE'!$B$60="",-1E+99,'TO HOP NLAN'!D194/ncoc+IF(SUMSQ('TS-PILE'!$E$56:$E$75)=0,0,'TO HOP NLAN'!E194*'TS-PILE'!$E$60/SUMSQ('TS-PILE'!$E$56:$E$75))+IF(SUMSQ('TS-PILE'!$D$56:$D$75)=0,0,'TO HOP NLAN'!F194*'TS-PILE'!$D$60/SUMSQ('TS-PILE'!$D$56:$D$75))),IF('TS-PILE'!$B$61="",-1E+99,'TO HOP NLAN'!D194/ncoc+IF(SUMSQ('TS-PILE'!$E$56:$E$75)=0,0,'TO HOP NLAN'!E194*'TS-PILE'!$E$61/SUMSQ('TS-PILE'!$E$56:$E$75))+IF(SUMSQ('TS-PILE'!$D$56:$D$75)=0,0,'TO HOP NLAN'!F194*'TS-PILE'!$D$61/SUMSQ('TS-PILE'!$D$56:$D$75))),IF('TS-PILE'!$B$62="",-1E+99,'TO HOP NLAN'!D194/ncoc+IF(SUMSQ('TS-PILE'!$E$56:$E$75)=0,0,'TO HOP NLAN'!E194*'TS-PILE'!$E$62/SUMSQ('TS-PILE'!$E$56:$E$75))+IF(SUMSQ('TS-PILE'!$D$56:$D$75)=0,0,'TO HOP NLAN'!F194*'TS-PILE'!$D$62/SUMSQ('TS-PILE'!$D$56:$D$75))),IF('TS-PILE'!$B$63="",-1E+99,'TO HOP NLAN'!D194/ncoc+IF(SUMSQ('TS-PILE'!$E$56:$E$75)=0,0,'TO HOP NLAN'!E194*'TS-PILE'!$E$63/SUMSQ('TS-PILE'!$E$56:$E$75))+IF(SUMSQ('TS-PILE'!$D$56:$D$75)=0,0,'TO HOP NLAN'!F194*'TS-PILE'!$D$63/SUMSQ('TS-PILE'!$D$56:$D$75))),IF('TS-PILE'!$B$64="",-1E+99,'TO HOP NLAN'!D194/ncoc+IF(SUMSQ('TS-PILE'!$E$56:$E$75)=0,0,'TO HOP NLAN'!E194*'TS-PILE'!$E$64/SUMSQ('TS-PILE'!$E$56:$E$75))+IF(SUMSQ('TS-PILE'!$D$56:$D$75)=0,0,'TO HOP NLAN'!F194*'TS-PILE'!$D$64/SUMSQ('TS-PILE'!$D$56:$D$75))),IF('TS-PILE'!$B$65="",-1E+99,'TO HOP NLAN'!D194/ncoc+IF(SUMSQ('TS-PILE'!$E$56:$E$75)=0,0,'TO HOP NLAN'!E194*'TS-PILE'!$E$65/SUMSQ('TS-PILE'!$E$56:$E$75))+IF(SUMSQ('TS-PILE'!$D$56:$D$75)=0,0,'TO HOP NLAN'!F194*'TS-PILE'!$D$65/SUMSQ('TS-PILE'!$D$56:$D$75))),IF('TS-PILE'!$B$66="",-1E+99,'TO HOP NLAN'!D194/ncoc+IF(SUMSQ('TS-PILE'!$E$56:$E$75)=0,0,'TO HOP NLAN'!E194*'TS-PILE'!$E$66/SUMSQ('TS-PILE'!$E$56:$E$75))+IF(SUMSQ('TS-PILE'!$D$56:$D$75)=0,0,'TO HOP NLAN'!F194*'TS-PILE'!$D$66/SUMSQ('TS-PILE'!$D$56:$D$75))),IF('TS-PILE'!$B$67="",-1E+99,'TO HOP NLAN'!D194/ncoc+IF(SUMSQ('TS-PILE'!$E$56:$E$75)=0,0,'TO HOP NLAN'!E194*'TS-PILE'!$E$67/SUMSQ('TS-PILE'!$E$56:$E$75))+IF(SUMSQ('TS-PILE'!$D$56:$D$75)=0,0,'TO HOP NLAN'!F194*'TS-PILE'!$D$67/SUMSQ('TS-PILE'!$D$56:$D$75))),IF('TS-PILE'!$B$68="",-1E+99,'TO HOP NLAN'!D194/ncoc+IF(SUMSQ('TS-PILE'!$E$56:$E$75)=0,0,'TO HOP NLAN'!E194*'TS-PILE'!$E$68/SUMSQ('TS-PILE'!$E$56:$E$75))+IF(SUMSQ('TS-PILE'!$D$56:$D$75)=0,0,'TO HOP NLAN'!F194*'TS-PILE'!$D$68/SUMSQ('TS-PILE'!$D$56:$D$75))),IF('TS-PILE'!$B$69="",-1E+99,'TO HOP NLAN'!D194/ncoc+IF(SUMSQ('TS-PILE'!$E$56:$E$75)=0,0,'TO HOP NLAN'!E194*'TS-PILE'!$E$69/SUMSQ('TS-PILE'!$E$56:$E$75))+IF(SUMSQ('TS-PILE'!$D$56:$D$75)=0,0,'TO HOP NLAN'!F194*'TS-PILE'!$D$69/SUMSQ('TS-PILE'!$D$56:$D$75))),IF('TS-PILE'!$B$70="",-1E+99,'TO HOP NLAN'!D194/ncoc+IF(SUMSQ('TS-PILE'!$E$56:$E$75)=0,0,'TO HOP NLAN'!E194*'TS-PILE'!$E$70/SUMSQ('TS-PILE'!$E$56:$E$75))+IF(SUMSQ('TS-PILE'!$D$56:$D$75)=0,0,'TO HOP NLAN'!F194*'TS-PILE'!$D$70/SUMSQ('TS-PILE'!$D$56:$D$75))),IF('TS-PILE'!$B$71="",-1E+99,'TO HOP NLAN'!D194/ncoc+IF(SUMSQ('TS-PILE'!$E$56:$E$75)=0,0,'TO HOP NLAN'!E194*'TS-PILE'!$E$71/SUMSQ('TS-PILE'!$E$56:$E$75))+IF(SUMSQ('TS-PILE'!$D$56:$D$75)=0,0,'TO HOP NLAN'!F194*'TS-PILE'!$D$71/SUMSQ('TS-PILE'!$D$56:$D$75))),IF('TS-PILE'!$B$72="",-1E+99,'TO HOP NLAN'!D194/ncoc+IF(SUMSQ('TS-PILE'!$E$56:$E$75)=0,0,'TO HOP NLAN'!E194*'TS-PILE'!$E$72/SUMSQ('TS-PILE'!$E$56:$E$75))+IF(SUMSQ('TS-PILE'!$D$56:$D$75)=0,0,'TO HOP NLAN'!F194*'TS-PILE'!$D$72/SUMSQ('TS-PILE'!$D$56:$D$75))),IF('TS-PILE'!$B$73="",-1E+99,'TO HOP NLAN'!D194/ncoc+IF(SUMSQ('TS-PILE'!$E$56:$E$75)=0,0,'TO HOP NLAN'!E194*'TS-PILE'!$E$73/SUMSQ('TS-PILE'!$E$56:$E$75))+IF(SUMSQ('TS-PILE'!$D$56:$D$75)=0,0,'TO HOP NLAN'!F194*'TS-PILE'!$D$73/SUMSQ('TS-PILE'!$D$56:$D$75))),IF('TS-PILE'!$B$74="",-1E+99,'TO HOP NLAN'!D194/ncoc+IF(SUMSQ('TS-PILE'!$E$56:$E$75)=0,0,'TO HOP NLAN'!E194*'TS-PILE'!$E$74/SUMSQ('TS-PILE'!$E$56:$E$75))+IF(SUMSQ('TS-PILE'!$D$56:$D$75)=0,0,'TO HOP NLAN'!F194*'TS-PILE'!$D$74/SUMSQ('TS-PILE'!$D$56:$D$75))),IF('TS-PILE'!$B$75="",-1E+99,'TO HOP NLAN'!D194/ncoc+IF(SUMSQ('TS-PILE'!$E$56:$E$75)=0,0,'TO HOP NLAN'!E194*'TS-PILE'!$E$75/SUMSQ('TS-PILE'!$E$56:$E$75))+IF(SUMSQ('TS-PILE'!$D$56:$D$75)=0,0,'TO HOP NLAN'!F194*'TS-PILE'!$D$75/SUMSQ('TS-PILE'!$D$56:$D$75)))))</f>
        <v>0</v>
      </c>
      <c r="D194" s="46">
        <f>IF(A194="",0,MIN(IF('TS-PILE'!$B$56="",1E+99,'TO HOP NLAN'!D194/ncoc+IF(SUMSQ('TS-PILE'!$E$56:$E$75)=0,0,'TO HOP NLAN'!E194*'TS-PILE'!$E$56/SUMSQ('TS-PILE'!$E$56:$E$75))+IF(SUMSQ('TS-PILE'!$D$56:$D$75)=0,0,'TO HOP NLAN'!F194*'TS-PILE'!$D$56/SUMSQ('TS-PILE'!$D$56:$D$75))),IF('TS-PILE'!$B$57="",1E+99,'TO HOP NLAN'!D194/ncoc+IF(SUMSQ('TS-PILE'!$E$56:$E$75)=0,0,'TO HOP NLAN'!E194*'TS-PILE'!$E$57/SUMSQ('TS-PILE'!$E$56:$E$75))+IF(SUMSQ('TS-PILE'!$D$56:$D$75)=0,0,'TO HOP NLAN'!F194*'TS-PILE'!$D$57/SUMSQ('TS-PILE'!$D$56:$D$75))),IF('TS-PILE'!$B$58="",1E+99,'TO HOP NLAN'!D194/ncoc+IF(SUMSQ('TS-PILE'!$E$56:$E$75)=0,0,'TO HOP NLAN'!E194*'TS-PILE'!$E$58/SUMSQ('TS-PILE'!$E$56:$E$75))+IF(SUMSQ('TS-PILE'!$D$56:$D$75)=0,0,'TO HOP NLAN'!F194*'TS-PILE'!$D$58/SUMSQ('TS-PILE'!$D$56:$D$75))),IF('TS-PILE'!$B$59="",1E+99,'TO HOP NLAN'!D194/ncoc+IF(SUMSQ('TS-PILE'!$E$56:$E$75)=0,0,'TO HOP NLAN'!E194*'TS-PILE'!$E$59/SUMSQ('TS-PILE'!$E$56:$E$75))+IF(SUMSQ('TS-PILE'!$D$56:$D$75)=0,0,'TO HOP NLAN'!F194*'TS-PILE'!$D$59/SUMSQ('TS-PILE'!$D$56:$D$75))),IF('TS-PILE'!$B$60="",1E+99,'TO HOP NLAN'!D194/ncoc+IF(SUMSQ('TS-PILE'!$E$56:$E$75)=0,0,'TO HOP NLAN'!E194*'TS-PILE'!$E$60/SUMSQ('TS-PILE'!$E$56:$E$75))+IF(SUMSQ('TS-PILE'!$D$56:$D$75)=0,0,'TO HOP NLAN'!F194*'TS-PILE'!$D$60/SUMSQ('TS-PILE'!$D$56:$D$75))),IF('TS-PILE'!$B$61="",1E+99,'TO HOP NLAN'!D194/ncoc+IF(SUMSQ('TS-PILE'!$E$56:$E$75)=0,0,'TO HOP NLAN'!E194*'TS-PILE'!$E$61/SUMSQ('TS-PILE'!$E$56:$E$75))+IF(SUMSQ('TS-PILE'!$D$56:$D$75)=0,0,'TO HOP NLAN'!F194*'TS-PILE'!$D$61/SUMSQ('TS-PILE'!$D$56:$D$75))),IF('TS-PILE'!$B$62="",1E+99,'TO HOP NLAN'!D194/ncoc+IF(SUMSQ('TS-PILE'!$E$56:$E$75)=0,0,'TO HOP NLAN'!E194*'TS-PILE'!$E$62/SUMSQ('TS-PILE'!$E$56:$E$75))+IF(SUMSQ('TS-PILE'!$D$56:$D$75)=0,0,'TO HOP NLAN'!F194*'TS-PILE'!$D$62/SUMSQ('TS-PILE'!$D$56:$D$75))),IF('TS-PILE'!$B$63="",1E+99,'TO HOP NLAN'!D194/ncoc+IF(SUMSQ('TS-PILE'!$E$56:$E$75)=0,0,'TO HOP NLAN'!E194*'TS-PILE'!$E$63/SUMSQ('TS-PILE'!$E$56:$E$75))+IF(SUMSQ('TS-PILE'!$D$56:$D$75)=0,0,'TO HOP NLAN'!F194*'TS-PILE'!$D$63/SUMSQ('TS-PILE'!$D$56:$D$75))),IF('TS-PILE'!$B$64="",1E+99,'TO HOP NLAN'!D194/ncoc+IF(SUMSQ('TS-PILE'!$E$56:$E$75)=0,0,'TO HOP NLAN'!E194*'TS-PILE'!$E$64/SUMSQ('TS-PILE'!$E$56:$E$75))+IF(SUMSQ('TS-PILE'!$D$56:$D$75)=0,0,'TO HOP NLAN'!F194*'TS-PILE'!$D$64/SUMSQ('TS-PILE'!$D$56:$D$75))),IF('TS-PILE'!$B$65="",1E+99,'TO HOP NLAN'!D194/ncoc+IF(SUMSQ('TS-PILE'!$E$56:$E$75)=0,0,'TO HOP NLAN'!E194*'TS-PILE'!$E$65/SUMSQ('TS-PILE'!$E$56:$E$75))+IF(SUMSQ('TS-PILE'!$D$56:$D$75)=0,0,'TO HOP NLAN'!F194*'TS-PILE'!$D$65/SUMSQ('TS-PILE'!$D$56:$D$75))),IF('TS-PILE'!$B$66="",1E+99,'TO HOP NLAN'!D194/ncoc+IF(SUMSQ('TS-PILE'!$E$56:$E$75)=0,0,'TO HOP NLAN'!E194*'TS-PILE'!$E$66/SUMSQ('TS-PILE'!$E$56:$E$75))+IF(SUMSQ('TS-PILE'!$D$56:$D$75)=0,0,'TO HOP NLAN'!F194*'TS-PILE'!$D$66/SUMSQ('TS-PILE'!$D$56:$D$75))),IF('TS-PILE'!$B$67="",1E+99,'TO HOP NLAN'!D194/ncoc+IF(SUMSQ('TS-PILE'!$E$56:$E$75)=0,0,'TO HOP NLAN'!E194*'TS-PILE'!$E$67/SUMSQ('TS-PILE'!$E$56:$E$75))+IF(SUMSQ('TS-PILE'!$D$56:$D$75)=0,0,'TO HOP NLAN'!F194*'TS-PILE'!$D$67/SUMSQ('TS-PILE'!$D$56:$D$75))),IF('TS-PILE'!$B$68="",1E+99,'TO HOP NLAN'!D194/ncoc+IF(SUMSQ('TS-PILE'!$E$56:$E$75)=0,0,'TO HOP NLAN'!E194*'TS-PILE'!$E$68/SUMSQ('TS-PILE'!$E$56:$E$75))+IF(SUMSQ('TS-PILE'!$D$56:$D$75)=0,0,'TO HOP NLAN'!F194*'TS-PILE'!$D$68/SUMSQ('TS-PILE'!$D$56:$D$75))),IF('TS-PILE'!$B$69="",1E+99,'TO HOP NLAN'!D194/ncoc+IF(SUMSQ('TS-PILE'!$E$56:$E$75)=0,0,'TO HOP NLAN'!E194*'TS-PILE'!$E$69/SUMSQ('TS-PILE'!$E$56:$E$75))+IF(SUMSQ('TS-PILE'!$D$56:$D$75)=0,0,'TO HOP NLAN'!F194*'TS-PILE'!$D$69/SUMSQ('TS-PILE'!$D$56:$D$75))),IF('TS-PILE'!$B$70="",1E+99,'TO HOP NLAN'!D194/ncoc+IF(SUMSQ('TS-PILE'!$E$56:$E$75)=0,0,'TO HOP NLAN'!E194*'TS-PILE'!$E$70/SUMSQ('TS-PILE'!$E$56:$E$75))+IF(SUMSQ('TS-PILE'!$D$56:$D$75)=0,0,'TO HOP NLAN'!F194*'TS-PILE'!$D$70/SUMSQ('TS-PILE'!$D$56:$D$75))),IF('TS-PILE'!$B$71="",1E+99,'TO HOP NLAN'!D194/ncoc+IF(SUMSQ('TS-PILE'!$E$56:$E$75)=0,0,'TO HOP NLAN'!E194*'TS-PILE'!$E$71/SUMSQ('TS-PILE'!$E$56:$E$75))+IF(SUMSQ('TS-PILE'!$D$56:$D$75)=0,0,'TO HOP NLAN'!F194*'TS-PILE'!$D$71/SUMSQ('TS-PILE'!$D$56:$D$75))),IF('TS-PILE'!$B$72="",1E+99,'TO HOP NLAN'!D194/ncoc+IF(SUMSQ('TS-PILE'!$E$56:$E$75)=0,0,'TO HOP NLAN'!E194*'TS-PILE'!$E$72/SUMSQ('TS-PILE'!$E$56:$E$75))+IF(SUMSQ('TS-PILE'!$D$56:$D$75)=0,0,'TO HOP NLAN'!F194*'TS-PILE'!$D$72/SUMSQ('TS-PILE'!$D$56:$D$75))),IF('TS-PILE'!$B$73="",1E+99,'TO HOP NLAN'!D194/ncoc+IF(SUMSQ('TS-PILE'!$E$56:$E$75)=0,0,'TO HOP NLAN'!E194*'TS-PILE'!$E$73/SUMSQ('TS-PILE'!$E$56:$E$75))+IF(SUMSQ('TS-PILE'!$D$56:$D$75)=0,0,'TO HOP NLAN'!F194*'TS-PILE'!$D$73/SUMSQ('TS-PILE'!$D$56:$D$75))),IF('TS-PILE'!$B$74="",1E+99,'TO HOP NLAN'!D194/ncoc+IF(SUMSQ('TS-PILE'!$E$56:$E$75)=0,0,'TO HOP NLAN'!E194*'TS-PILE'!$E$74/SUMSQ('TS-PILE'!$E$56:$E$75))+IF(SUMSQ('TS-PILE'!$D$56:$D$75)=0,0,'TO HOP NLAN'!F194*'TS-PILE'!$D$74/SUMSQ('TS-PILE'!$D$56:$D$75))),IF('TS-PILE'!$B$75="",1E+99,'TO HOP NLAN'!D194/ncoc+IF(SUMSQ('TS-PILE'!$E$56:$E$75)=0,0,'TO HOP NLAN'!E194*'TS-PILE'!$E$75/SUMSQ('TS-PILE'!$E$56:$E$75))+IF(SUMSQ('TS-PILE'!$D$56:$D$75)=0,0,'TO HOP NLAN'!F194*'TS-PILE'!$D$75/SUMSQ('TS-PILE'!$D$56:$D$75)))))</f>
        <v>0</v>
      </c>
      <c r="E194" s="46">
        <f t="shared" si="8"/>
        <v>-9.9999999999999997E+98</v>
      </c>
      <c r="F194" s="46">
        <f t="shared" si="9"/>
        <v>9.9999999999999997E+98</v>
      </c>
      <c r="G194" s="46">
        <f t="shared" si="10"/>
        <v>-9.9999999999999997E+98</v>
      </c>
      <c r="H194" s="46">
        <f t="shared" si="11"/>
        <v>9.9999999999999997E+98</v>
      </c>
    </row>
    <row r="195" spans="1:8" x14ac:dyDescent="0.3">
      <c r="A195" s="40" t="str">
        <f>'TO HOP NLAN'!A195</f>
        <v/>
      </c>
      <c r="B195" s="40" t="str">
        <f>'TO HOP NLAN'!L195</f>
        <v>STRENGTH</v>
      </c>
      <c r="C195" s="46">
        <f>IF(A195="",0,MAX(IF('TS-PILE'!$B$56="",-1E+99,'TO HOP NLAN'!D195/ncoc+IF(SUMSQ('TS-PILE'!$E$56:$E$75)=0,0,'TO HOP NLAN'!E195*'TS-PILE'!$E$56/SUMSQ('TS-PILE'!$E$56:$E$75))+IF(SUMSQ('TS-PILE'!$D$56:$D$75)=0,0,'TO HOP NLAN'!F195*'TS-PILE'!$D$56/SUMSQ('TS-PILE'!$D$56:$D$75))),IF('TS-PILE'!$B$57="",-1E+99,'TO HOP NLAN'!D195/ncoc+IF(SUMSQ('TS-PILE'!$E$56:$E$75)=0,0,'TO HOP NLAN'!E195*'TS-PILE'!$E$57/SUMSQ('TS-PILE'!$E$56:$E$75))+IF(SUMSQ('TS-PILE'!$D$56:$D$75)=0,0,'TO HOP NLAN'!F195*'TS-PILE'!$D$57/SUMSQ('TS-PILE'!$D$56:$D$75))),IF('TS-PILE'!$B$58="",-1E+99,'TO HOP NLAN'!D195/ncoc+IF(SUMSQ('TS-PILE'!$E$56:$E$75)=0,0,'TO HOP NLAN'!E195*'TS-PILE'!$E$58/SUMSQ('TS-PILE'!$E$56:$E$75))+IF(SUMSQ('TS-PILE'!$D$56:$D$75)=0,0,'TO HOP NLAN'!F195*'TS-PILE'!$D$58/SUMSQ('TS-PILE'!$D$56:$D$75))),IF('TS-PILE'!$B$59="",-1E+99,'TO HOP NLAN'!D195/ncoc+IF(SUMSQ('TS-PILE'!$E$56:$E$75)=0,0,'TO HOP NLAN'!E195*'TS-PILE'!$E$59/SUMSQ('TS-PILE'!$E$56:$E$75))+IF(SUMSQ('TS-PILE'!$D$56:$D$75)=0,0,'TO HOP NLAN'!F195*'TS-PILE'!$D$59/SUMSQ('TS-PILE'!$D$56:$D$75))),IF('TS-PILE'!$B$60="",-1E+99,'TO HOP NLAN'!D195/ncoc+IF(SUMSQ('TS-PILE'!$E$56:$E$75)=0,0,'TO HOP NLAN'!E195*'TS-PILE'!$E$60/SUMSQ('TS-PILE'!$E$56:$E$75))+IF(SUMSQ('TS-PILE'!$D$56:$D$75)=0,0,'TO HOP NLAN'!F195*'TS-PILE'!$D$60/SUMSQ('TS-PILE'!$D$56:$D$75))),IF('TS-PILE'!$B$61="",-1E+99,'TO HOP NLAN'!D195/ncoc+IF(SUMSQ('TS-PILE'!$E$56:$E$75)=0,0,'TO HOP NLAN'!E195*'TS-PILE'!$E$61/SUMSQ('TS-PILE'!$E$56:$E$75))+IF(SUMSQ('TS-PILE'!$D$56:$D$75)=0,0,'TO HOP NLAN'!F195*'TS-PILE'!$D$61/SUMSQ('TS-PILE'!$D$56:$D$75))),IF('TS-PILE'!$B$62="",-1E+99,'TO HOP NLAN'!D195/ncoc+IF(SUMSQ('TS-PILE'!$E$56:$E$75)=0,0,'TO HOP NLAN'!E195*'TS-PILE'!$E$62/SUMSQ('TS-PILE'!$E$56:$E$75))+IF(SUMSQ('TS-PILE'!$D$56:$D$75)=0,0,'TO HOP NLAN'!F195*'TS-PILE'!$D$62/SUMSQ('TS-PILE'!$D$56:$D$75))),IF('TS-PILE'!$B$63="",-1E+99,'TO HOP NLAN'!D195/ncoc+IF(SUMSQ('TS-PILE'!$E$56:$E$75)=0,0,'TO HOP NLAN'!E195*'TS-PILE'!$E$63/SUMSQ('TS-PILE'!$E$56:$E$75))+IF(SUMSQ('TS-PILE'!$D$56:$D$75)=0,0,'TO HOP NLAN'!F195*'TS-PILE'!$D$63/SUMSQ('TS-PILE'!$D$56:$D$75))),IF('TS-PILE'!$B$64="",-1E+99,'TO HOP NLAN'!D195/ncoc+IF(SUMSQ('TS-PILE'!$E$56:$E$75)=0,0,'TO HOP NLAN'!E195*'TS-PILE'!$E$64/SUMSQ('TS-PILE'!$E$56:$E$75))+IF(SUMSQ('TS-PILE'!$D$56:$D$75)=0,0,'TO HOP NLAN'!F195*'TS-PILE'!$D$64/SUMSQ('TS-PILE'!$D$56:$D$75))),IF('TS-PILE'!$B$65="",-1E+99,'TO HOP NLAN'!D195/ncoc+IF(SUMSQ('TS-PILE'!$E$56:$E$75)=0,0,'TO HOP NLAN'!E195*'TS-PILE'!$E$65/SUMSQ('TS-PILE'!$E$56:$E$75))+IF(SUMSQ('TS-PILE'!$D$56:$D$75)=0,0,'TO HOP NLAN'!F195*'TS-PILE'!$D$65/SUMSQ('TS-PILE'!$D$56:$D$75))),IF('TS-PILE'!$B$66="",-1E+99,'TO HOP NLAN'!D195/ncoc+IF(SUMSQ('TS-PILE'!$E$56:$E$75)=0,0,'TO HOP NLAN'!E195*'TS-PILE'!$E$66/SUMSQ('TS-PILE'!$E$56:$E$75))+IF(SUMSQ('TS-PILE'!$D$56:$D$75)=0,0,'TO HOP NLAN'!F195*'TS-PILE'!$D$66/SUMSQ('TS-PILE'!$D$56:$D$75))),IF('TS-PILE'!$B$67="",-1E+99,'TO HOP NLAN'!D195/ncoc+IF(SUMSQ('TS-PILE'!$E$56:$E$75)=0,0,'TO HOP NLAN'!E195*'TS-PILE'!$E$67/SUMSQ('TS-PILE'!$E$56:$E$75))+IF(SUMSQ('TS-PILE'!$D$56:$D$75)=0,0,'TO HOP NLAN'!F195*'TS-PILE'!$D$67/SUMSQ('TS-PILE'!$D$56:$D$75))),IF('TS-PILE'!$B$68="",-1E+99,'TO HOP NLAN'!D195/ncoc+IF(SUMSQ('TS-PILE'!$E$56:$E$75)=0,0,'TO HOP NLAN'!E195*'TS-PILE'!$E$68/SUMSQ('TS-PILE'!$E$56:$E$75))+IF(SUMSQ('TS-PILE'!$D$56:$D$75)=0,0,'TO HOP NLAN'!F195*'TS-PILE'!$D$68/SUMSQ('TS-PILE'!$D$56:$D$75))),IF('TS-PILE'!$B$69="",-1E+99,'TO HOP NLAN'!D195/ncoc+IF(SUMSQ('TS-PILE'!$E$56:$E$75)=0,0,'TO HOP NLAN'!E195*'TS-PILE'!$E$69/SUMSQ('TS-PILE'!$E$56:$E$75))+IF(SUMSQ('TS-PILE'!$D$56:$D$75)=0,0,'TO HOP NLAN'!F195*'TS-PILE'!$D$69/SUMSQ('TS-PILE'!$D$56:$D$75))),IF('TS-PILE'!$B$70="",-1E+99,'TO HOP NLAN'!D195/ncoc+IF(SUMSQ('TS-PILE'!$E$56:$E$75)=0,0,'TO HOP NLAN'!E195*'TS-PILE'!$E$70/SUMSQ('TS-PILE'!$E$56:$E$75))+IF(SUMSQ('TS-PILE'!$D$56:$D$75)=0,0,'TO HOP NLAN'!F195*'TS-PILE'!$D$70/SUMSQ('TS-PILE'!$D$56:$D$75))),IF('TS-PILE'!$B$71="",-1E+99,'TO HOP NLAN'!D195/ncoc+IF(SUMSQ('TS-PILE'!$E$56:$E$75)=0,0,'TO HOP NLAN'!E195*'TS-PILE'!$E$71/SUMSQ('TS-PILE'!$E$56:$E$75))+IF(SUMSQ('TS-PILE'!$D$56:$D$75)=0,0,'TO HOP NLAN'!F195*'TS-PILE'!$D$71/SUMSQ('TS-PILE'!$D$56:$D$75))),IF('TS-PILE'!$B$72="",-1E+99,'TO HOP NLAN'!D195/ncoc+IF(SUMSQ('TS-PILE'!$E$56:$E$75)=0,0,'TO HOP NLAN'!E195*'TS-PILE'!$E$72/SUMSQ('TS-PILE'!$E$56:$E$75))+IF(SUMSQ('TS-PILE'!$D$56:$D$75)=0,0,'TO HOP NLAN'!F195*'TS-PILE'!$D$72/SUMSQ('TS-PILE'!$D$56:$D$75))),IF('TS-PILE'!$B$73="",-1E+99,'TO HOP NLAN'!D195/ncoc+IF(SUMSQ('TS-PILE'!$E$56:$E$75)=0,0,'TO HOP NLAN'!E195*'TS-PILE'!$E$73/SUMSQ('TS-PILE'!$E$56:$E$75))+IF(SUMSQ('TS-PILE'!$D$56:$D$75)=0,0,'TO HOP NLAN'!F195*'TS-PILE'!$D$73/SUMSQ('TS-PILE'!$D$56:$D$75))),IF('TS-PILE'!$B$74="",-1E+99,'TO HOP NLAN'!D195/ncoc+IF(SUMSQ('TS-PILE'!$E$56:$E$75)=0,0,'TO HOP NLAN'!E195*'TS-PILE'!$E$74/SUMSQ('TS-PILE'!$E$56:$E$75))+IF(SUMSQ('TS-PILE'!$D$56:$D$75)=0,0,'TO HOP NLAN'!F195*'TS-PILE'!$D$74/SUMSQ('TS-PILE'!$D$56:$D$75))),IF('TS-PILE'!$B$75="",-1E+99,'TO HOP NLAN'!D195/ncoc+IF(SUMSQ('TS-PILE'!$E$56:$E$75)=0,0,'TO HOP NLAN'!E195*'TS-PILE'!$E$75/SUMSQ('TS-PILE'!$E$56:$E$75))+IF(SUMSQ('TS-PILE'!$D$56:$D$75)=0,0,'TO HOP NLAN'!F195*'TS-PILE'!$D$75/SUMSQ('TS-PILE'!$D$56:$D$75)))))</f>
        <v>0</v>
      </c>
      <c r="D195" s="46">
        <f>IF(A195="",0,MIN(IF('TS-PILE'!$B$56="",1E+99,'TO HOP NLAN'!D195/ncoc+IF(SUMSQ('TS-PILE'!$E$56:$E$75)=0,0,'TO HOP NLAN'!E195*'TS-PILE'!$E$56/SUMSQ('TS-PILE'!$E$56:$E$75))+IF(SUMSQ('TS-PILE'!$D$56:$D$75)=0,0,'TO HOP NLAN'!F195*'TS-PILE'!$D$56/SUMSQ('TS-PILE'!$D$56:$D$75))),IF('TS-PILE'!$B$57="",1E+99,'TO HOP NLAN'!D195/ncoc+IF(SUMSQ('TS-PILE'!$E$56:$E$75)=0,0,'TO HOP NLAN'!E195*'TS-PILE'!$E$57/SUMSQ('TS-PILE'!$E$56:$E$75))+IF(SUMSQ('TS-PILE'!$D$56:$D$75)=0,0,'TO HOP NLAN'!F195*'TS-PILE'!$D$57/SUMSQ('TS-PILE'!$D$56:$D$75))),IF('TS-PILE'!$B$58="",1E+99,'TO HOP NLAN'!D195/ncoc+IF(SUMSQ('TS-PILE'!$E$56:$E$75)=0,0,'TO HOP NLAN'!E195*'TS-PILE'!$E$58/SUMSQ('TS-PILE'!$E$56:$E$75))+IF(SUMSQ('TS-PILE'!$D$56:$D$75)=0,0,'TO HOP NLAN'!F195*'TS-PILE'!$D$58/SUMSQ('TS-PILE'!$D$56:$D$75))),IF('TS-PILE'!$B$59="",1E+99,'TO HOP NLAN'!D195/ncoc+IF(SUMSQ('TS-PILE'!$E$56:$E$75)=0,0,'TO HOP NLAN'!E195*'TS-PILE'!$E$59/SUMSQ('TS-PILE'!$E$56:$E$75))+IF(SUMSQ('TS-PILE'!$D$56:$D$75)=0,0,'TO HOP NLAN'!F195*'TS-PILE'!$D$59/SUMSQ('TS-PILE'!$D$56:$D$75))),IF('TS-PILE'!$B$60="",1E+99,'TO HOP NLAN'!D195/ncoc+IF(SUMSQ('TS-PILE'!$E$56:$E$75)=0,0,'TO HOP NLAN'!E195*'TS-PILE'!$E$60/SUMSQ('TS-PILE'!$E$56:$E$75))+IF(SUMSQ('TS-PILE'!$D$56:$D$75)=0,0,'TO HOP NLAN'!F195*'TS-PILE'!$D$60/SUMSQ('TS-PILE'!$D$56:$D$75))),IF('TS-PILE'!$B$61="",1E+99,'TO HOP NLAN'!D195/ncoc+IF(SUMSQ('TS-PILE'!$E$56:$E$75)=0,0,'TO HOP NLAN'!E195*'TS-PILE'!$E$61/SUMSQ('TS-PILE'!$E$56:$E$75))+IF(SUMSQ('TS-PILE'!$D$56:$D$75)=0,0,'TO HOP NLAN'!F195*'TS-PILE'!$D$61/SUMSQ('TS-PILE'!$D$56:$D$75))),IF('TS-PILE'!$B$62="",1E+99,'TO HOP NLAN'!D195/ncoc+IF(SUMSQ('TS-PILE'!$E$56:$E$75)=0,0,'TO HOP NLAN'!E195*'TS-PILE'!$E$62/SUMSQ('TS-PILE'!$E$56:$E$75))+IF(SUMSQ('TS-PILE'!$D$56:$D$75)=0,0,'TO HOP NLAN'!F195*'TS-PILE'!$D$62/SUMSQ('TS-PILE'!$D$56:$D$75))),IF('TS-PILE'!$B$63="",1E+99,'TO HOP NLAN'!D195/ncoc+IF(SUMSQ('TS-PILE'!$E$56:$E$75)=0,0,'TO HOP NLAN'!E195*'TS-PILE'!$E$63/SUMSQ('TS-PILE'!$E$56:$E$75))+IF(SUMSQ('TS-PILE'!$D$56:$D$75)=0,0,'TO HOP NLAN'!F195*'TS-PILE'!$D$63/SUMSQ('TS-PILE'!$D$56:$D$75))),IF('TS-PILE'!$B$64="",1E+99,'TO HOP NLAN'!D195/ncoc+IF(SUMSQ('TS-PILE'!$E$56:$E$75)=0,0,'TO HOP NLAN'!E195*'TS-PILE'!$E$64/SUMSQ('TS-PILE'!$E$56:$E$75))+IF(SUMSQ('TS-PILE'!$D$56:$D$75)=0,0,'TO HOP NLAN'!F195*'TS-PILE'!$D$64/SUMSQ('TS-PILE'!$D$56:$D$75))),IF('TS-PILE'!$B$65="",1E+99,'TO HOP NLAN'!D195/ncoc+IF(SUMSQ('TS-PILE'!$E$56:$E$75)=0,0,'TO HOP NLAN'!E195*'TS-PILE'!$E$65/SUMSQ('TS-PILE'!$E$56:$E$75))+IF(SUMSQ('TS-PILE'!$D$56:$D$75)=0,0,'TO HOP NLAN'!F195*'TS-PILE'!$D$65/SUMSQ('TS-PILE'!$D$56:$D$75))),IF('TS-PILE'!$B$66="",1E+99,'TO HOP NLAN'!D195/ncoc+IF(SUMSQ('TS-PILE'!$E$56:$E$75)=0,0,'TO HOP NLAN'!E195*'TS-PILE'!$E$66/SUMSQ('TS-PILE'!$E$56:$E$75))+IF(SUMSQ('TS-PILE'!$D$56:$D$75)=0,0,'TO HOP NLAN'!F195*'TS-PILE'!$D$66/SUMSQ('TS-PILE'!$D$56:$D$75))),IF('TS-PILE'!$B$67="",1E+99,'TO HOP NLAN'!D195/ncoc+IF(SUMSQ('TS-PILE'!$E$56:$E$75)=0,0,'TO HOP NLAN'!E195*'TS-PILE'!$E$67/SUMSQ('TS-PILE'!$E$56:$E$75))+IF(SUMSQ('TS-PILE'!$D$56:$D$75)=0,0,'TO HOP NLAN'!F195*'TS-PILE'!$D$67/SUMSQ('TS-PILE'!$D$56:$D$75))),IF('TS-PILE'!$B$68="",1E+99,'TO HOP NLAN'!D195/ncoc+IF(SUMSQ('TS-PILE'!$E$56:$E$75)=0,0,'TO HOP NLAN'!E195*'TS-PILE'!$E$68/SUMSQ('TS-PILE'!$E$56:$E$75))+IF(SUMSQ('TS-PILE'!$D$56:$D$75)=0,0,'TO HOP NLAN'!F195*'TS-PILE'!$D$68/SUMSQ('TS-PILE'!$D$56:$D$75))),IF('TS-PILE'!$B$69="",1E+99,'TO HOP NLAN'!D195/ncoc+IF(SUMSQ('TS-PILE'!$E$56:$E$75)=0,0,'TO HOP NLAN'!E195*'TS-PILE'!$E$69/SUMSQ('TS-PILE'!$E$56:$E$75))+IF(SUMSQ('TS-PILE'!$D$56:$D$75)=0,0,'TO HOP NLAN'!F195*'TS-PILE'!$D$69/SUMSQ('TS-PILE'!$D$56:$D$75))),IF('TS-PILE'!$B$70="",1E+99,'TO HOP NLAN'!D195/ncoc+IF(SUMSQ('TS-PILE'!$E$56:$E$75)=0,0,'TO HOP NLAN'!E195*'TS-PILE'!$E$70/SUMSQ('TS-PILE'!$E$56:$E$75))+IF(SUMSQ('TS-PILE'!$D$56:$D$75)=0,0,'TO HOP NLAN'!F195*'TS-PILE'!$D$70/SUMSQ('TS-PILE'!$D$56:$D$75))),IF('TS-PILE'!$B$71="",1E+99,'TO HOP NLAN'!D195/ncoc+IF(SUMSQ('TS-PILE'!$E$56:$E$75)=0,0,'TO HOP NLAN'!E195*'TS-PILE'!$E$71/SUMSQ('TS-PILE'!$E$56:$E$75))+IF(SUMSQ('TS-PILE'!$D$56:$D$75)=0,0,'TO HOP NLAN'!F195*'TS-PILE'!$D$71/SUMSQ('TS-PILE'!$D$56:$D$75))),IF('TS-PILE'!$B$72="",1E+99,'TO HOP NLAN'!D195/ncoc+IF(SUMSQ('TS-PILE'!$E$56:$E$75)=0,0,'TO HOP NLAN'!E195*'TS-PILE'!$E$72/SUMSQ('TS-PILE'!$E$56:$E$75))+IF(SUMSQ('TS-PILE'!$D$56:$D$75)=0,0,'TO HOP NLAN'!F195*'TS-PILE'!$D$72/SUMSQ('TS-PILE'!$D$56:$D$75))),IF('TS-PILE'!$B$73="",1E+99,'TO HOP NLAN'!D195/ncoc+IF(SUMSQ('TS-PILE'!$E$56:$E$75)=0,0,'TO HOP NLAN'!E195*'TS-PILE'!$E$73/SUMSQ('TS-PILE'!$E$56:$E$75))+IF(SUMSQ('TS-PILE'!$D$56:$D$75)=0,0,'TO HOP NLAN'!F195*'TS-PILE'!$D$73/SUMSQ('TS-PILE'!$D$56:$D$75))),IF('TS-PILE'!$B$74="",1E+99,'TO HOP NLAN'!D195/ncoc+IF(SUMSQ('TS-PILE'!$E$56:$E$75)=0,0,'TO HOP NLAN'!E195*'TS-PILE'!$E$74/SUMSQ('TS-PILE'!$E$56:$E$75))+IF(SUMSQ('TS-PILE'!$D$56:$D$75)=0,0,'TO HOP NLAN'!F195*'TS-PILE'!$D$74/SUMSQ('TS-PILE'!$D$56:$D$75))),IF('TS-PILE'!$B$75="",1E+99,'TO HOP NLAN'!D195/ncoc+IF(SUMSQ('TS-PILE'!$E$56:$E$75)=0,0,'TO HOP NLAN'!E195*'TS-PILE'!$E$75/SUMSQ('TS-PILE'!$E$56:$E$75))+IF(SUMSQ('TS-PILE'!$D$56:$D$75)=0,0,'TO HOP NLAN'!F195*'TS-PILE'!$D$75/SUMSQ('TS-PILE'!$D$56:$D$75)))))</f>
        <v>0</v>
      </c>
      <c r="E195" s="46">
        <f t="shared" si="8"/>
        <v>-9.9999999999999997E+98</v>
      </c>
      <c r="F195" s="46">
        <f t="shared" si="9"/>
        <v>9.9999999999999997E+98</v>
      </c>
      <c r="G195" s="46">
        <f t="shared" si="10"/>
        <v>-9.9999999999999997E+98</v>
      </c>
      <c r="H195" s="46">
        <f t="shared" si="11"/>
        <v>9.9999999999999997E+98</v>
      </c>
    </row>
    <row r="196" spans="1:8" x14ac:dyDescent="0.3">
      <c r="A196" s="40" t="str">
        <f>'TO HOP NLAN'!A196</f>
        <v/>
      </c>
      <c r="B196" s="40" t="str">
        <f>'TO HOP NLAN'!L196</f>
        <v>STRENGTH</v>
      </c>
      <c r="C196" s="46">
        <f>IF(A196="",0,MAX(IF('TS-PILE'!$B$56="",-1E+99,'TO HOP NLAN'!D196/ncoc+IF(SUMSQ('TS-PILE'!$E$56:$E$75)=0,0,'TO HOP NLAN'!E196*'TS-PILE'!$E$56/SUMSQ('TS-PILE'!$E$56:$E$75))+IF(SUMSQ('TS-PILE'!$D$56:$D$75)=0,0,'TO HOP NLAN'!F196*'TS-PILE'!$D$56/SUMSQ('TS-PILE'!$D$56:$D$75))),IF('TS-PILE'!$B$57="",-1E+99,'TO HOP NLAN'!D196/ncoc+IF(SUMSQ('TS-PILE'!$E$56:$E$75)=0,0,'TO HOP NLAN'!E196*'TS-PILE'!$E$57/SUMSQ('TS-PILE'!$E$56:$E$75))+IF(SUMSQ('TS-PILE'!$D$56:$D$75)=0,0,'TO HOP NLAN'!F196*'TS-PILE'!$D$57/SUMSQ('TS-PILE'!$D$56:$D$75))),IF('TS-PILE'!$B$58="",-1E+99,'TO HOP NLAN'!D196/ncoc+IF(SUMSQ('TS-PILE'!$E$56:$E$75)=0,0,'TO HOP NLAN'!E196*'TS-PILE'!$E$58/SUMSQ('TS-PILE'!$E$56:$E$75))+IF(SUMSQ('TS-PILE'!$D$56:$D$75)=0,0,'TO HOP NLAN'!F196*'TS-PILE'!$D$58/SUMSQ('TS-PILE'!$D$56:$D$75))),IF('TS-PILE'!$B$59="",-1E+99,'TO HOP NLAN'!D196/ncoc+IF(SUMSQ('TS-PILE'!$E$56:$E$75)=0,0,'TO HOP NLAN'!E196*'TS-PILE'!$E$59/SUMSQ('TS-PILE'!$E$56:$E$75))+IF(SUMSQ('TS-PILE'!$D$56:$D$75)=0,0,'TO HOP NLAN'!F196*'TS-PILE'!$D$59/SUMSQ('TS-PILE'!$D$56:$D$75))),IF('TS-PILE'!$B$60="",-1E+99,'TO HOP NLAN'!D196/ncoc+IF(SUMSQ('TS-PILE'!$E$56:$E$75)=0,0,'TO HOP NLAN'!E196*'TS-PILE'!$E$60/SUMSQ('TS-PILE'!$E$56:$E$75))+IF(SUMSQ('TS-PILE'!$D$56:$D$75)=0,0,'TO HOP NLAN'!F196*'TS-PILE'!$D$60/SUMSQ('TS-PILE'!$D$56:$D$75))),IF('TS-PILE'!$B$61="",-1E+99,'TO HOP NLAN'!D196/ncoc+IF(SUMSQ('TS-PILE'!$E$56:$E$75)=0,0,'TO HOP NLAN'!E196*'TS-PILE'!$E$61/SUMSQ('TS-PILE'!$E$56:$E$75))+IF(SUMSQ('TS-PILE'!$D$56:$D$75)=0,0,'TO HOP NLAN'!F196*'TS-PILE'!$D$61/SUMSQ('TS-PILE'!$D$56:$D$75))),IF('TS-PILE'!$B$62="",-1E+99,'TO HOP NLAN'!D196/ncoc+IF(SUMSQ('TS-PILE'!$E$56:$E$75)=0,0,'TO HOP NLAN'!E196*'TS-PILE'!$E$62/SUMSQ('TS-PILE'!$E$56:$E$75))+IF(SUMSQ('TS-PILE'!$D$56:$D$75)=0,0,'TO HOP NLAN'!F196*'TS-PILE'!$D$62/SUMSQ('TS-PILE'!$D$56:$D$75))),IF('TS-PILE'!$B$63="",-1E+99,'TO HOP NLAN'!D196/ncoc+IF(SUMSQ('TS-PILE'!$E$56:$E$75)=0,0,'TO HOP NLAN'!E196*'TS-PILE'!$E$63/SUMSQ('TS-PILE'!$E$56:$E$75))+IF(SUMSQ('TS-PILE'!$D$56:$D$75)=0,0,'TO HOP NLAN'!F196*'TS-PILE'!$D$63/SUMSQ('TS-PILE'!$D$56:$D$75))),IF('TS-PILE'!$B$64="",-1E+99,'TO HOP NLAN'!D196/ncoc+IF(SUMSQ('TS-PILE'!$E$56:$E$75)=0,0,'TO HOP NLAN'!E196*'TS-PILE'!$E$64/SUMSQ('TS-PILE'!$E$56:$E$75))+IF(SUMSQ('TS-PILE'!$D$56:$D$75)=0,0,'TO HOP NLAN'!F196*'TS-PILE'!$D$64/SUMSQ('TS-PILE'!$D$56:$D$75))),IF('TS-PILE'!$B$65="",-1E+99,'TO HOP NLAN'!D196/ncoc+IF(SUMSQ('TS-PILE'!$E$56:$E$75)=0,0,'TO HOP NLAN'!E196*'TS-PILE'!$E$65/SUMSQ('TS-PILE'!$E$56:$E$75))+IF(SUMSQ('TS-PILE'!$D$56:$D$75)=0,0,'TO HOP NLAN'!F196*'TS-PILE'!$D$65/SUMSQ('TS-PILE'!$D$56:$D$75))),IF('TS-PILE'!$B$66="",-1E+99,'TO HOP NLAN'!D196/ncoc+IF(SUMSQ('TS-PILE'!$E$56:$E$75)=0,0,'TO HOP NLAN'!E196*'TS-PILE'!$E$66/SUMSQ('TS-PILE'!$E$56:$E$75))+IF(SUMSQ('TS-PILE'!$D$56:$D$75)=0,0,'TO HOP NLAN'!F196*'TS-PILE'!$D$66/SUMSQ('TS-PILE'!$D$56:$D$75))),IF('TS-PILE'!$B$67="",-1E+99,'TO HOP NLAN'!D196/ncoc+IF(SUMSQ('TS-PILE'!$E$56:$E$75)=0,0,'TO HOP NLAN'!E196*'TS-PILE'!$E$67/SUMSQ('TS-PILE'!$E$56:$E$75))+IF(SUMSQ('TS-PILE'!$D$56:$D$75)=0,0,'TO HOP NLAN'!F196*'TS-PILE'!$D$67/SUMSQ('TS-PILE'!$D$56:$D$75))),IF('TS-PILE'!$B$68="",-1E+99,'TO HOP NLAN'!D196/ncoc+IF(SUMSQ('TS-PILE'!$E$56:$E$75)=0,0,'TO HOP NLAN'!E196*'TS-PILE'!$E$68/SUMSQ('TS-PILE'!$E$56:$E$75))+IF(SUMSQ('TS-PILE'!$D$56:$D$75)=0,0,'TO HOP NLAN'!F196*'TS-PILE'!$D$68/SUMSQ('TS-PILE'!$D$56:$D$75))),IF('TS-PILE'!$B$69="",-1E+99,'TO HOP NLAN'!D196/ncoc+IF(SUMSQ('TS-PILE'!$E$56:$E$75)=0,0,'TO HOP NLAN'!E196*'TS-PILE'!$E$69/SUMSQ('TS-PILE'!$E$56:$E$75))+IF(SUMSQ('TS-PILE'!$D$56:$D$75)=0,0,'TO HOP NLAN'!F196*'TS-PILE'!$D$69/SUMSQ('TS-PILE'!$D$56:$D$75))),IF('TS-PILE'!$B$70="",-1E+99,'TO HOP NLAN'!D196/ncoc+IF(SUMSQ('TS-PILE'!$E$56:$E$75)=0,0,'TO HOP NLAN'!E196*'TS-PILE'!$E$70/SUMSQ('TS-PILE'!$E$56:$E$75))+IF(SUMSQ('TS-PILE'!$D$56:$D$75)=0,0,'TO HOP NLAN'!F196*'TS-PILE'!$D$70/SUMSQ('TS-PILE'!$D$56:$D$75))),IF('TS-PILE'!$B$71="",-1E+99,'TO HOP NLAN'!D196/ncoc+IF(SUMSQ('TS-PILE'!$E$56:$E$75)=0,0,'TO HOP NLAN'!E196*'TS-PILE'!$E$71/SUMSQ('TS-PILE'!$E$56:$E$75))+IF(SUMSQ('TS-PILE'!$D$56:$D$75)=0,0,'TO HOP NLAN'!F196*'TS-PILE'!$D$71/SUMSQ('TS-PILE'!$D$56:$D$75))),IF('TS-PILE'!$B$72="",-1E+99,'TO HOP NLAN'!D196/ncoc+IF(SUMSQ('TS-PILE'!$E$56:$E$75)=0,0,'TO HOP NLAN'!E196*'TS-PILE'!$E$72/SUMSQ('TS-PILE'!$E$56:$E$75))+IF(SUMSQ('TS-PILE'!$D$56:$D$75)=0,0,'TO HOP NLAN'!F196*'TS-PILE'!$D$72/SUMSQ('TS-PILE'!$D$56:$D$75))),IF('TS-PILE'!$B$73="",-1E+99,'TO HOP NLAN'!D196/ncoc+IF(SUMSQ('TS-PILE'!$E$56:$E$75)=0,0,'TO HOP NLAN'!E196*'TS-PILE'!$E$73/SUMSQ('TS-PILE'!$E$56:$E$75))+IF(SUMSQ('TS-PILE'!$D$56:$D$75)=0,0,'TO HOP NLAN'!F196*'TS-PILE'!$D$73/SUMSQ('TS-PILE'!$D$56:$D$75))),IF('TS-PILE'!$B$74="",-1E+99,'TO HOP NLAN'!D196/ncoc+IF(SUMSQ('TS-PILE'!$E$56:$E$75)=0,0,'TO HOP NLAN'!E196*'TS-PILE'!$E$74/SUMSQ('TS-PILE'!$E$56:$E$75))+IF(SUMSQ('TS-PILE'!$D$56:$D$75)=0,0,'TO HOP NLAN'!F196*'TS-PILE'!$D$74/SUMSQ('TS-PILE'!$D$56:$D$75))),IF('TS-PILE'!$B$75="",-1E+99,'TO HOP NLAN'!D196/ncoc+IF(SUMSQ('TS-PILE'!$E$56:$E$75)=0,0,'TO HOP NLAN'!E196*'TS-PILE'!$E$75/SUMSQ('TS-PILE'!$E$56:$E$75))+IF(SUMSQ('TS-PILE'!$D$56:$D$75)=0,0,'TO HOP NLAN'!F196*'TS-PILE'!$D$75/SUMSQ('TS-PILE'!$D$56:$D$75)))))</f>
        <v>0</v>
      </c>
      <c r="D196" s="46">
        <f>IF(A196="",0,MIN(IF('TS-PILE'!$B$56="",1E+99,'TO HOP NLAN'!D196/ncoc+IF(SUMSQ('TS-PILE'!$E$56:$E$75)=0,0,'TO HOP NLAN'!E196*'TS-PILE'!$E$56/SUMSQ('TS-PILE'!$E$56:$E$75))+IF(SUMSQ('TS-PILE'!$D$56:$D$75)=0,0,'TO HOP NLAN'!F196*'TS-PILE'!$D$56/SUMSQ('TS-PILE'!$D$56:$D$75))),IF('TS-PILE'!$B$57="",1E+99,'TO HOP NLAN'!D196/ncoc+IF(SUMSQ('TS-PILE'!$E$56:$E$75)=0,0,'TO HOP NLAN'!E196*'TS-PILE'!$E$57/SUMSQ('TS-PILE'!$E$56:$E$75))+IF(SUMSQ('TS-PILE'!$D$56:$D$75)=0,0,'TO HOP NLAN'!F196*'TS-PILE'!$D$57/SUMSQ('TS-PILE'!$D$56:$D$75))),IF('TS-PILE'!$B$58="",1E+99,'TO HOP NLAN'!D196/ncoc+IF(SUMSQ('TS-PILE'!$E$56:$E$75)=0,0,'TO HOP NLAN'!E196*'TS-PILE'!$E$58/SUMSQ('TS-PILE'!$E$56:$E$75))+IF(SUMSQ('TS-PILE'!$D$56:$D$75)=0,0,'TO HOP NLAN'!F196*'TS-PILE'!$D$58/SUMSQ('TS-PILE'!$D$56:$D$75))),IF('TS-PILE'!$B$59="",1E+99,'TO HOP NLAN'!D196/ncoc+IF(SUMSQ('TS-PILE'!$E$56:$E$75)=0,0,'TO HOP NLAN'!E196*'TS-PILE'!$E$59/SUMSQ('TS-PILE'!$E$56:$E$75))+IF(SUMSQ('TS-PILE'!$D$56:$D$75)=0,0,'TO HOP NLAN'!F196*'TS-PILE'!$D$59/SUMSQ('TS-PILE'!$D$56:$D$75))),IF('TS-PILE'!$B$60="",1E+99,'TO HOP NLAN'!D196/ncoc+IF(SUMSQ('TS-PILE'!$E$56:$E$75)=0,0,'TO HOP NLAN'!E196*'TS-PILE'!$E$60/SUMSQ('TS-PILE'!$E$56:$E$75))+IF(SUMSQ('TS-PILE'!$D$56:$D$75)=0,0,'TO HOP NLAN'!F196*'TS-PILE'!$D$60/SUMSQ('TS-PILE'!$D$56:$D$75))),IF('TS-PILE'!$B$61="",1E+99,'TO HOP NLAN'!D196/ncoc+IF(SUMSQ('TS-PILE'!$E$56:$E$75)=0,0,'TO HOP NLAN'!E196*'TS-PILE'!$E$61/SUMSQ('TS-PILE'!$E$56:$E$75))+IF(SUMSQ('TS-PILE'!$D$56:$D$75)=0,0,'TO HOP NLAN'!F196*'TS-PILE'!$D$61/SUMSQ('TS-PILE'!$D$56:$D$75))),IF('TS-PILE'!$B$62="",1E+99,'TO HOP NLAN'!D196/ncoc+IF(SUMSQ('TS-PILE'!$E$56:$E$75)=0,0,'TO HOP NLAN'!E196*'TS-PILE'!$E$62/SUMSQ('TS-PILE'!$E$56:$E$75))+IF(SUMSQ('TS-PILE'!$D$56:$D$75)=0,0,'TO HOP NLAN'!F196*'TS-PILE'!$D$62/SUMSQ('TS-PILE'!$D$56:$D$75))),IF('TS-PILE'!$B$63="",1E+99,'TO HOP NLAN'!D196/ncoc+IF(SUMSQ('TS-PILE'!$E$56:$E$75)=0,0,'TO HOP NLAN'!E196*'TS-PILE'!$E$63/SUMSQ('TS-PILE'!$E$56:$E$75))+IF(SUMSQ('TS-PILE'!$D$56:$D$75)=0,0,'TO HOP NLAN'!F196*'TS-PILE'!$D$63/SUMSQ('TS-PILE'!$D$56:$D$75))),IF('TS-PILE'!$B$64="",1E+99,'TO HOP NLAN'!D196/ncoc+IF(SUMSQ('TS-PILE'!$E$56:$E$75)=0,0,'TO HOP NLAN'!E196*'TS-PILE'!$E$64/SUMSQ('TS-PILE'!$E$56:$E$75))+IF(SUMSQ('TS-PILE'!$D$56:$D$75)=0,0,'TO HOP NLAN'!F196*'TS-PILE'!$D$64/SUMSQ('TS-PILE'!$D$56:$D$75))),IF('TS-PILE'!$B$65="",1E+99,'TO HOP NLAN'!D196/ncoc+IF(SUMSQ('TS-PILE'!$E$56:$E$75)=0,0,'TO HOP NLAN'!E196*'TS-PILE'!$E$65/SUMSQ('TS-PILE'!$E$56:$E$75))+IF(SUMSQ('TS-PILE'!$D$56:$D$75)=0,0,'TO HOP NLAN'!F196*'TS-PILE'!$D$65/SUMSQ('TS-PILE'!$D$56:$D$75))),IF('TS-PILE'!$B$66="",1E+99,'TO HOP NLAN'!D196/ncoc+IF(SUMSQ('TS-PILE'!$E$56:$E$75)=0,0,'TO HOP NLAN'!E196*'TS-PILE'!$E$66/SUMSQ('TS-PILE'!$E$56:$E$75))+IF(SUMSQ('TS-PILE'!$D$56:$D$75)=0,0,'TO HOP NLAN'!F196*'TS-PILE'!$D$66/SUMSQ('TS-PILE'!$D$56:$D$75))),IF('TS-PILE'!$B$67="",1E+99,'TO HOP NLAN'!D196/ncoc+IF(SUMSQ('TS-PILE'!$E$56:$E$75)=0,0,'TO HOP NLAN'!E196*'TS-PILE'!$E$67/SUMSQ('TS-PILE'!$E$56:$E$75))+IF(SUMSQ('TS-PILE'!$D$56:$D$75)=0,0,'TO HOP NLAN'!F196*'TS-PILE'!$D$67/SUMSQ('TS-PILE'!$D$56:$D$75))),IF('TS-PILE'!$B$68="",1E+99,'TO HOP NLAN'!D196/ncoc+IF(SUMSQ('TS-PILE'!$E$56:$E$75)=0,0,'TO HOP NLAN'!E196*'TS-PILE'!$E$68/SUMSQ('TS-PILE'!$E$56:$E$75))+IF(SUMSQ('TS-PILE'!$D$56:$D$75)=0,0,'TO HOP NLAN'!F196*'TS-PILE'!$D$68/SUMSQ('TS-PILE'!$D$56:$D$75))),IF('TS-PILE'!$B$69="",1E+99,'TO HOP NLAN'!D196/ncoc+IF(SUMSQ('TS-PILE'!$E$56:$E$75)=0,0,'TO HOP NLAN'!E196*'TS-PILE'!$E$69/SUMSQ('TS-PILE'!$E$56:$E$75))+IF(SUMSQ('TS-PILE'!$D$56:$D$75)=0,0,'TO HOP NLAN'!F196*'TS-PILE'!$D$69/SUMSQ('TS-PILE'!$D$56:$D$75))),IF('TS-PILE'!$B$70="",1E+99,'TO HOP NLAN'!D196/ncoc+IF(SUMSQ('TS-PILE'!$E$56:$E$75)=0,0,'TO HOP NLAN'!E196*'TS-PILE'!$E$70/SUMSQ('TS-PILE'!$E$56:$E$75))+IF(SUMSQ('TS-PILE'!$D$56:$D$75)=0,0,'TO HOP NLAN'!F196*'TS-PILE'!$D$70/SUMSQ('TS-PILE'!$D$56:$D$75))),IF('TS-PILE'!$B$71="",1E+99,'TO HOP NLAN'!D196/ncoc+IF(SUMSQ('TS-PILE'!$E$56:$E$75)=0,0,'TO HOP NLAN'!E196*'TS-PILE'!$E$71/SUMSQ('TS-PILE'!$E$56:$E$75))+IF(SUMSQ('TS-PILE'!$D$56:$D$75)=0,0,'TO HOP NLAN'!F196*'TS-PILE'!$D$71/SUMSQ('TS-PILE'!$D$56:$D$75))),IF('TS-PILE'!$B$72="",1E+99,'TO HOP NLAN'!D196/ncoc+IF(SUMSQ('TS-PILE'!$E$56:$E$75)=0,0,'TO HOP NLAN'!E196*'TS-PILE'!$E$72/SUMSQ('TS-PILE'!$E$56:$E$75))+IF(SUMSQ('TS-PILE'!$D$56:$D$75)=0,0,'TO HOP NLAN'!F196*'TS-PILE'!$D$72/SUMSQ('TS-PILE'!$D$56:$D$75))),IF('TS-PILE'!$B$73="",1E+99,'TO HOP NLAN'!D196/ncoc+IF(SUMSQ('TS-PILE'!$E$56:$E$75)=0,0,'TO HOP NLAN'!E196*'TS-PILE'!$E$73/SUMSQ('TS-PILE'!$E$56:$E$75))+IF(SUMSQ('TS-PILE'!$D$56:$D$75)=0,0,'TO HOP NLAN'!F196*'TS-PILE'!$D$73/SUMSQ('TS-PILE'!$D$56:$D$75))),IF('TS-PILE'!$B$74="",1E+99,'TO HOP NLAN'!D196/ncoc+IF(SUMSQ('TS-PILE'!$E$56:$E$75)=0,0,'TO HOP NLAN'!E196*'TS-PILE'!$E$74/SUMSQ('TS-PILE'!$E$56:$E$75))+IF(SUMSQ('TS-PILE'!$D$56:$D$75)=0,0,'TO HOP NLAN'!F196*'TS-PILE'!$D$74/SUMSQ('TS-PILE'!$D$56:$D$75))),IF('TS-PILE'!$B$75="",1E+99,'TO HOP NLAN'!D196/ncoc+IF(SUMSQ('TS-PILE'!$E$56:$E$75)=0,0,'TO HOP NLAN'!E196*'TS-PILE'!$E$75/SUMSQ('TS-PILE'!$E$56:$E$75))+IF(SUMSQ('TS-PILE'!$D$56:$D$75)=0,0,'TO HOP NLAN'!F196*'TS-PILE'!$D$75/SUMSQ('TS-PILE'!$D$56:$D$75)))))</f>
        <v>0</v>
      </c>
      <c r="E196" s="46">
        <f t="shared" si="8"/>
        <v>-9.9999999999999997E+98</v>
      </c>
      <c r="F196" s="46">
        <f t="shared" si="9"/>
        <v>9.9999999999999997E+98</v>
      </c>
      <c r="G196" s="46">
        <f t="shared" si="10"/>
        <v>-9.9999999999999997E+98</v>
      </c>
      <c r="H196" s="46">
        <f t="shared" si="11"/>
        <v>9.9999999999999997E+98</v>
      </c>
    </row>
    <row r="197" spans="1:8" x14ac:dyDescent="0.3">
      <c r="A197" s="40" t="str">
        <f>'TO HOP NLAN'!A197</f>
        <v/>
      </c>
      <c r="B197" s="40" t="str">
        <f>'TO HOP NLAN'!L197</f>
        <v>STRENGTH</v>
      </c>
      <c r="C197" s="46">
        <f>IF(A197="",0,MAX(IF('TS-PILE'!$B$56="",-1E+99,'TO HOP NLAN'!D197/ncoc+IF(SUMSQ('TS-PILE'!$E$56:$E$75)=0,0,'TO HOP NLAN'!E197*'TS-PILE'!$E$56/SUMSQ('TS-PILE'!$E$56:$E$75))+IF(SUMSQ('TS-PILE'!$D$56:$D$75)=0,0,'TO HOP NLAN'!F197*'TS-PILE'!$D$56/SUMSQ('TS-PILE'!$D$56:$D$75))),IF('TS-PILE'!$B$57="",-1E+99,'TO HOP NLAN'!D197/ncoc+IF(SUMSQ('TS-PILE'!$E$56:$E$75)=0,0,'TO HOP NLAN'!E197*'TS-PILE'!$E$57/SUMSQ('TS-PILE'!$E$56:$E$75))+IF(SUMSQ('TS-PILE'!$D$56:$D$75)=0,0,'TO HOP NLAN'!F197*'TS-PILE'!$D$57/SUMSQ('TS-PILE'!$D$56:$D$75))),IF('TS-PILE'!$B$58="",-1E+99,'TO HOP NLAN'!D197/ncoc+IF(SUMSQ('TS-PILE'!$E$56:$E$75)=0,0,'TO HOP NLAN'!E197*'TS-PILE'!$E$58/SUMSQ('TS-PILE'!$E$56:$E$75))+IF(SUMSQ('TS-PILE'!$D$56:$D$75)=0,0,'TO HOP NLAN'!F197*'TS-PILE'!$D$58/SUMSQ('TS-PILE'!$D$56:$D$75))),IF('TS-PILE'!$B$59="",-1E+99,'TO HOP NLAN'!D197/ncoc+IF(SUMSQ('TS-PILE'!$E$56:$E$75)=0,0,'TO HOP NLAN'!E197*'TS-PILE'!$E$59/SUMSQ('TS-PILE'!$E$56:$E$75))+IF(SUMSQ('TS-PILE'!$D$56:$D$75)=0,0,'TO HOP NLAN'!F197*'TS-PILE'!$D$59/SUMSQ('TS-PILE'!$D$56:$D$75))),IF('TS-PILE'!$B$60="",-1E+99,'TO HOP NLAN'!D197/ncoc+IF(SUMSQ('TS-PILE'!$E$56:$E$75)=0,0,'TO HOP NLAN'!E197*'TS-PILE'!$E$60/SUMSQ('TS-PILE'!$E$56:$E$75))+IF(SUMSQ('TS-PILE'!$D$56:$D$75)=0,0,'TO HOP NLAN'!F197*'TS-PILE'!$D$60/SUMSQ('TS-PILE'!$D$56:$D$75))),IF('TS-PILE'!$B$61="",-1E+99,'TO HOP NLAN'!D197/ncoc+IF(SUMSQ('TS-PILE'!$E$56:$E$75)=0,0,'TO HOP NLAN'!E197*'TS-PILE'!$E$61/SUMSQ('TS-PILE'!$E$56:$E$75))+IF(SUMSQ('TS-PILE'!$D$56:$D$75)=0,0,'TO HOP NLAN'!F197*'TS-PILE'!$D$61/SUMSQ('TS-PILE'!$D$56:$D$75))),IF('TS-PILE'!$B$62="",-1E+99,'TO HOP NLAN'!D197/ncoc+IF(SUMSQ('TS-PILE'!$E$56:$E$75)=0,0,'TO HOP NLAN'!E197*'TS-PILE'!$E$62/SUMSQ('TS-PILE'!$E$56:$E$75))+IF(SUMSQ('TS-PILE'!$D$56:$D$75)=0,0,'TO HOP NLAN'!F197*'TS-PILE'!$D$62/SUMSQ('TS-PILE'!$D$56:$D$75))),IF('TS-PILE'!$B$63="",-1E+99,'TO HOP NLAN'!D197/ncoc+IF(SUMSQ('TS-PILE'!$E$56:$E$75)=0,0,'TO HOP NLAN'!E197*'TS-PILE'!$E$63/SUMSQ('TS-PILE'!$E$56:$E$75))+IF(SUMSQ('TS-PILE'!$D$56:$D$75)=0,0,'TO HOP NLAN'!F197*'TS-PILE'!$D$63/SUMSQ('TS-PILE'!$D$56:$D$75))),IF('TS-PILE'!$B$64="",-1E+99,'TO HOP NLAN'!D197/ncoc+IF(SUMSQ('TS-PILE'!$E$56:$E$75)=0,0,'TO HOP NLAN'!E197*'TS-PILE'!$E$64/SUMSQ('TS-PILE'!$E$56:$E$75))+IF(SUMSQ('TS-PILE'!$D$56:$D$75)=0,0,'TO HOP NLAN'!F197*'TS-PILE'!$D$64/SUMSQ('TS-PILE'!$D$56:$D$75))),IF('TS-PILE'!$B$65="",-1E+99,'TO HOP NLAN'!D197/ncoc+IF(SUMSQ('TS-PILE'!$E$56:$E$75)=0,0,'TO HOP NLAN'!E197*'TS-PILE'!$E$65/SUMSQ('TS-PILE'!$E$56:$E$75))+IF(SUMSQ('TS-PILE'!$D$56:$D$75)=0,0,'TO HOP NLAN'!F197*'TS-PILE'!$D$65/SUMSQ('TS-PILE'!$D$56:$D$75))),IF('TS-PILE'!$B$66="",-1E+99,'TO HOP NLAN'!D197/ncoc+IF(SUMSQ('TS-PILE'!$E$56:$E$75)=0,0,'TO HOP NLAN'!E197*'TS-PILE'!$E$66/SUMSQ('TS-PILE'!$E$56:$E$75))+IF(SUMSQ('TS-PILE'!$D$56:$D$75)=0,0,'TO HOP NLAN'!F197*'TS-PILE'!$D$66/SUMSQ('TS-PILE'!$D$56:$D$75))),IF('TS-PILE'!$B$67="",-1E+99,'TO HOP NLAN'!D197/ncoc+IF(SUMSQ('TS-PILE'!$E$56:$E$75)=0,0,'TO HOP NLAN'!E197*'TS-PILE'!$E$67/SUMSQ('TS-PILE'!$E$56:$E$75))+IF(SUMSQ('TS-PILE'!$D$56:$D$75)=0,0,'TO HOP NLAN'!F197*'TS-PILE'!$D$67/SUMSQ('TS-PILE'!$D$56:$D$75))),IF('TS-PILE'!$B$68="",-1E+99,'TO HOP NLAN'!D197/ncoc+IF(SUMSQ('TS-PILE'!$E$56:$E$75)=0,0,'TO HOP NLAN'!E197*'TS-PILE'!$E$68/SUMSQ('TS-PILE'!$E$56:$E$75))+IF(SUMSQ('TS-PILE'!$D$56:$D$75)=0,0,'TO HOP NLAN'!F197*'TS-PILE'!$D$68/SUMSQ('TS-PILE'!$D$56:$D$75))),IF('TS-PILE'!$B$69="",-1E+99,'TO HOP NLAN'!D197/ncoc+IF(SUMSQ('TS-PILE'!$E$56:$E$75)=0,0,'TO HOP NLAN'!E197*'TS-PILE'!$E$69/SUMSQ('TS-PILE'!$E$56:$E$75))+IF(SUMSQ('TS-PILE'!$D$56:$D$75)=0,0,'TO HOP NLAN'!F197*'TS-PILE'!$D$69/SUMSQ('TS-PILE'!$D$56:$D$75))),IF('TS-PILE'!$B$70="",-1E+99,'TO HOP NLAN'!D197/ncoc+IF(SUMSQ('TS-PILE'!$E$56:$E$75)=0,0,'TO HOP NLAN'!E197*'TS-PILE'!$E$70/SUMSQ('TS-PILE'!$E$56:$E$75))+IF(SUMSQ('TS-PILE'!$D$56:$D$75)=0,0,'TO HOP NLAN'!F197*'TS-PILE'!$D$70/SUMSQ('TS-PILE'!$D$56:$D$75))),IF('TS-PILE'!$B$71="",-1E+99,'TO HOP NLAN'!D197/ncoc+IF(SUMSQ('TS-PILE'!$E$56:$E$75)=0,0,'TO HOP NLAN'!E197*'TS-PILE'!$E$71/SUMSQ('TS-PILE'!$E$56:$E$75))+IF(SUMSQ('TS-PILE'!$D$56:$D$75)=0,0,'TO HOP NLAN'!F197*'TS-PILE'!$D$71/SUMSQ('TS-PILE'!$D$56:$D$75))),IF('TS-PILE'!$B$72="",-1E+99,'TO HOP NLAN'!D197/ncoc+IF(SUMSQ('TS-PILE'!$E$56:$E$75)=0,0,'TO HOP NLAN'!E197*'TS-PILE'!$E$72/SUMSQ('TS-PILE'!$E$56:$E$75))+IF(SUMSQ('TS-PILE'!$D$56:$D$75)=0,0,'TO HOP NLAN'!F197*'TS-PILE'!$D$72/SUMSQ('TS-PILE'!$D$56:$D$75))),IF('TS-PILE'!$B$73="",-1E+99,'TO HOP NLAN'!D197/ncoc+IF(SUMSQ('TS-PILE'!$E$56:$E$75)=0,0,'TO HOP NLAN'!E197*'TS-PILE'!$E$73/SUMSQ('TS-PILE'!$E$56:$E$75))+IF(SUMSQ('TS-PILE'!$D$56:$D$75)=0,0,'TO HOP NLAN'!F197*'TS-PILE'!$D$73/SUMSQ('TS-PILE'!$D$56:$D$75))),IF('TS-PILE'!$B$74="",-1E+99,'TO HOP NLAN'!D197/ncoc+IF(SUMSQ('TS-PILE'!$E$56:$E$75)=0,0,'TO HOP NLAN'!E197*'TS-PILE'!$E$74/SUMSQ('TS-PILE'!$E$56:$E$75))+IF(SUMSQ('TS-PILE'!$D$56:$D$75)=0,0,'TO HOP NLAN'!F197*'TS-PILE'!$D$74/SUMSQ('TS-PILE'!$D$56:$D$75))),IF('TS-PILE'!$B$75="",-1E+99,'TO HOP NLAN'!D197/ncoc+IF(SUMSQ('TS-PILE'!$E$56:$E$75)=0,0,'TO HOP NLAN'!E197*'TS-PILE'!$E$75/SUMSQ('TS-PILE'!$E$56:$E$75))+IF(SUMSQ('TS-PILE'!$D$56:$D$75)=0,0,'TO HOP NLAN'!F197*'TS-PILE'!$D$75/SUMSQ('TS-PILE'!$D$56:$D$75)))))</f>
        <v>0</v>
      </c>
      <c r="D197" s="46">
        <f>IF(A197="",0,MIN(IF('TS-PILE'!$B$56="",1E+99,'TO HOP NLAN'!D197/ncoc+IF(SUMSQ('TS-PILE'!$E$56:$E$75)=0,0,'TO HOP NLAN'!E197*'TS-PILE'!$E$56/SUMSQ('TS-PILE'!$E$56:$E$75))+IF(SUMSQ('TS-PILE'!$D$56:$D$75)=0,0,'TO HOP NLAN'!F197*'TS-PILE'!$D$56/SUMSQ('TS-PILE'!$D$56:$D$75))),IF('TS-PILE'!$B$57="",1E+99,'TO HOP NLAN'!D197/ncoc+IF(SUMSQ('TS-PILE'!$E$56:$E$75)=0,0,'TO HOP NLAN'!E197*'TS-PILE'!$E$57/SUMSQ('TS-PILE'!$E$56:$E$75))+IF(SUMSQ('TS-PILE'!$D$56:$D$75)=0,0,'TO HOP NLAN'!F197*'TS-PILE'!$D$57/SUMSQ('TS-PILE'!$D$56:$D$75))),IF('TS-PILE'!$B$58="",1E+99,'TO HOP NLAN'!D197/ncoc+IF(SUMSQ('TS-PILE'!$E$56:$E$75)=0,0,'TO HOP NLAN'!E197*'TS-PILE'!$E$58/SUMSQ('TS-PILE'!$E$56:$E$75))+IF(SUMSQ('TS-PILE'!$D$56:$D$75)=0,0,'TO HOP NLAN'!F197*'TS-PILE'!$D$58/SUMSQ('TS-PILE'!$D$56:$D$75))),IF('TS-PILE'!$B$59="",1E+99,'TO HOP NLAN'!D197/ncoc+IF(SUMSQ('TS-PILE'!$E$56:$E$75)=0,0,'TO HOP NLAN'!E197*'TS-PILE'!$E$59/SUMSQ('TS-PILE'!$E$56:$E$75))+IF(SUMSQ('TS-PILE'!$D$56:$D$75)=0,0,'TO HOP NLAN'!F197*'TS-PILE'!$D$59/SUMSQ('TS-PILE'!$D$56:$D$75))),IF('TS-PILE'!$B$60="",1E+99,'TO HOP NLAN'!D197/ncoc+IF(SUMSQ('TS-PILE'!$E$56:$E$75)=0,0,'TO HOP NLAN'!E197*'TS-PILE'!$E$60/SUMSQ('TS-PILE'!$E$56:$E$75))+IF(SUMSQ('TS-PILE'!$D$56:$D$75)=0,0,'TO HOP NLAN'!F197*'TS-PILE'!$D$60/SUMSQ('TS-PILE'!$D$56:$D$75))),IF('TS-PILE'!$B$61="",1E+99,'TO HOP NLAN'!D197/ncoc+IF(SUMSQ('TS-PILE'!$E$56:$E$75)=0,0,'TO HOP NLAN'!E197*'TS-PILE'!$E$61/SUMSQ('TS-PILE'!$E$56:$E$75))+IF(SUMSQ('TS-PILE'!$D$56:$D$75)=0,0,'TO HOP NLAN'!F197*'TS-PILE'!$D$61/SUMSQ('TS-PILE'!$D$56:$D$75))),IF('TS-PILE'!$B$62="",1E+99,'TO HOP NLAN'!D197/ncoc+IF(SUMSQ('TS-PILE'!$E$56:$E$75)=0,0,'TO HOP NLAN'!E197*'TS-PILE'!$E$62/SUMSQ('TS-PILE'!$E$56:$E$75))+IF(SUMSQ('TS-PILE'!$D$56:$D$75)=0,0,'TO HOP NLAN'!F197*'TS-PILE'!$D$62/SUMSQ('TS-PILE'!$D$56:$D$75))),IF('TS-PILE'!$B$63="",1E+99,'TO HOP NLAN'!D197/ncoc+IF(SUMSQ('TS-PILE'!$E$56:$E$75)=0,0,'TO HOP NLAN'!E197*'TS-PILE'!$E$63/SUMSQ('TS-PILE'!$E$56:$E$75))+IF(SUMSQ('TS-PILE'!$D$56:$D$75)=0,0,'TO HOP NLAN'!F197*'TS-PILE'!$D$63/SUMSQ('TS-PILE'!$D$56:$D$75))),IF('TS-PILE'!$B$64="",1E+99,'TO HOP NLAN'!D197/ncoc+IF(SUMSQ('TS-PILE'!$E$56:$E$75)=0,0,'TO HOP NLAN'!E197*'TS-PILE'!$E$64/SUMSQ('TS-PILE'!$E$56:$E$75))+IF(SUMSQ('TS-PILE'!$D$56:$D$75)=0,0,'TO HOP NLAN'!F197*'TS-PILE'!$D$64/SUMSQ('TS-PILE'!$D$56:$D$75))),IF('TS-PILE'!$B$65="",1E+99,'TO HOP NLAN'!D197/ncoc+IF(SUMSQ('TS-PILE'!$E$56:$E$75)=0,0,'TO HOP NLAN'!E197*'TS-PILE'!$E$65/SUMSQ('TS-PILE'!$E$56:$E$75))+IF(SUMSQ('TS-PILE'!$D$56:$D$75)=0,0,'TO HOP NLAN'!F197*'TS-PILE'!$D$65/SUMSQ('TS-PILE'!$D$56:$D$75))),IF('TS-PILE'!$B$66="",1E+99,'TO HOP NLAN'!D197/ncoc+IF(SUMSQ('TS-PILE'!$E$56:$E$75)=0,0,'TO HOP NLAN'!E197*'TS-PILE'!$E$66/SUMSQ('TS-PILE'!$E$56:$E$75))+IF(SUMSQ('TS-PILE'!$D$56:$D$75)=0,0,'TO HOP NLAN'!F197*'TS-PILE'!$D$66/SUMSQ('TS-PILE'!$D$56:$D$75))),IF('TS-PILE'!$B$67="",1E+99,'TO HOP NLAN'!D197/ncoc+IF(SUMSQ('TS-PILE'!$E$56:$E$75)=0,0,'TO HOP NLAN'!E197*'TS-PILE'!$E$67/SUMSQ('TS-PILE'!$E$56:$E$75))+IF(SUMSQ('TS-PILE'!$D$56:$D$75)=0,0,'TO HOP NLAN'!F197*'TS-PILE'!$D$67/SUMSQ('TS-PILE'!$D$56:$D$75))),IF('TS-PILE'!$B$68="",1E+99,'TO HOP NLAN'!D197/ncoc+IF(SUMSQ('TS-PILE'!$E$56:$E$75)=0,0,'TO HOP NLAN'!E197*'TS-PILE'!$E$68/SUMSQ('TS-PILE'!$E$56:$E$75))+IF(SUMSQ('TS-PILE'!$D$56:$D$75)=0,0,'TO HOP NLAN'!F197*'TS-PILE'!$D$68/SUMSQ('TS-PILE'!$D$56:$D$75))),IF('TS-PILE'!$B$69="",1E+99,'TO HOP NLAN'!D197/ncoc+IF(SUMSQ('TS-PILE'!$E$56:$E$75)=0,0,'TO HOP NLAN'!E197*'TS-PILE'!$E$69/SUMSQ('TS-PILE'!$E$56:$E$75))+IF(SUMSQ('TS-PILE'!$D$56:$D$75)=0,0,'TO HOP NLAN'!F197*'TS-PILE'!$D$69/SUMSQ('TS-PILE'!$D$56:$D$75))),IF('TS-PILE'!$B$70="",1E+99,'TO HOP NLAN'!D197/ncoc+IF(SUMSQ('TS-PILE'!$E$56:$E$75)=0,0,'TO HOP NLAN'!E197*'TS-PILE'!$E$70/SUMSQ('TS-PILE'!$E$56:$E$75))+IF(SUMSQ('TS-PILE'!$D$56:$D$75)=0,0,'TO HOP NLAN'!F197*'TS-PILE'!$D$70/SUMSQ('TS-PILE'!$D$56:$D$75))),IF('TS-PILE'!$B$71="",1E+99,'TO HOP NLAN'!D197/ncoc+IF(SUMSQ('TS-PILE'!$E$56:$E$75)=0,0,'TO HOP NLAN'!E197*'TS-PILE'!$E$71/SUMSQ('TS-PILE'!$E$56:$E$75))+IF(SUMSQ('TS-PILE'!$D$56:$D$75)=0,0,'TO HOP NLAN'!F197*'TS-PILE'!$D$71/SUMSQ('TS-PILE'!$D$56:$D$75))),IF('TS-PILE'!$B$72="",1E+99,'TO HOP NLAN'!D197/ncoc+IF(SUMSQ('TS-PILE'!$E$56:$E$75)=0,0,'TO HOP NLAN'!E197*'TS-PILE'!$E$72/SUMSQ('TS-PILE'!$E$56:$E$75))+IF(SUMSQ('TS-PILE'!$D$56:$D$75)=0,0,'TO HOP NLAN'!F197*'TS-PILE'!$D$72/SUMSQ('TS-PILE'!$D$56:$D$75))),IF('TS-PILE'!$B$73="",1E+99,'TO HOP NLAN'!D197/ncoc+IF(SUMSQ('TS-PILE'!$E$56:$E$75)=0,0,'TO HOP NLAN'!E197*'TS-PILE'!$E$73/SUMSQ('TS-PILE'!$E$56:$E$75))+IF(SUMSQ('TS-PILE'!$D$56:$D$75)=0,0,'TO HOP NLAN'!F197*'TS-PILE'!$D$73/SUMSQ('TS-PILE'!$D$56:$D$75))),IF('TS-PILE'!$B$74="",1E+99,'TO HOP NLAN'!D197/ncoc+IF(SUMSQ('TS-PILE'!$E$56:$E$75)=0,0,'TO HOP NLAN'!E197*'TS-PILE'!$E$74/SUMSQ('TS-PILE'!$E$56:$E$75))+IF(SUMSQ('TS-PILE'!$D$56:$D$75)=0,0,'TO HOP NLAN'!F197*'TS-PILE'!$D$74/SUMSQ('TS-PILE'!$D$56:$D$75))),IF('TS-PILE'!$B$75="",1E+99,'TO HOP NLAN'!D197/ncoc+IF(SUMSQ('TS-PILE'!$E$56:$E$75)=0,0,'TO HOP NLAN'!E197*'TS-PILE'!$E$75/SUMSQ('TS-PILE'!$E$56:$E$75))+IF(SUMSQ('TS-PILE'!$D$56:$D$75)=0,0,'TO HOP NLAN'!F197*'TS-PILE'!$D$75/SUMSQ('TS-PILE'!$D$56:$D$75)))))</f>
        <v>0</v>
      </c>
      <c r="E197" s="46">
        <f t="shared" si="8"/>
        <v>-9.9999999999999997E+98</v>
      </c>
      <c r="F197" s="46">
        <f t="shared" si="9"/>
        <v>9.9999999999999997E+98</v>
      </c>
      <c r="G197" s="46">
        <f t="shared" si="10"/>
        <v>-9.9999999999999997E+98</v>
      </c>
      <c r="H197" s="46">
        <f t="shared" si="11"/>
        <v>9.9999999999999997E+98</v>
      </c>
    </row>
    <row r="198" spans="1:8" x14ac:dyDescent="0.3">
      <c r="A198" s="40" t="str">
        <f>'TO HOP NLAN'!A198</f>
        <v/>
      </c>
      <c r="B198" s="40" t="str">
        <f>'TO HOP NLAN'!L198</f>
        <v>STRENGTH</v>
      </c>
      <c r="C198" s="46">
        <f>IF(A198="",0,MAX(IF('TS-PILE'!$B$56="",-1E+99,'TO HOP NLAN'!D198/ncoc+IF(SUMSQ('TS-PILE'!$E$56:$E$75)=0,0,'TO HOP NLAN'!E198*'TS-PILE'!$E$56/SUMSQ('TS-PILE'!$E$56:$E$75))+IF(SUMSQ('TS-PILE'!$D$56:$D$75)=0,0,'TO HOP NLAN'!F198*'TS-PILE'!$D$56/SUMSQ('TS-PILE'!$D$56:$D$75))),IF('TS-PILE'!$B$57="",-1E+99,'TO HOP NLAN'!D198/ncoc+IF(SUMSQ('TS-PILE'!$E$56:$E$75)=0,0,'TO HOP NLAN'!E198*'TS-PILE'!$E$57/SUMSQ('TS-PILE'!$E$56:$E$75))+IF(SUMSQ('TS-PILE'!$D$56:$D$75)=0,0,'TO HOP NLAN'!F198*'TS-PILE'!$D$57/SUMSQ('TS-PILE'!$D$56:$D$75))),IF('TS-PILE'!$B$58="",-1E+99,'TO HOP NLAN'!D198/ncoc+IF(SUMSQ('TS-PILE'!$E$56:$E$75)=0,0,'TO HOP NLAN'!E198*'TS-PILE'!$E$58/SUMSQ('TS-PILE'!$E$56:$E$75))+IF(SUMSQ('TS-PILE'!$D$56:$D$75)=0,0,'TO HOP NLAN'!F198*'TS-PILE'!$D$58/SUMSQ('TS-PILE'!$D$56:$D$75))),IF('TS-PILE'!$B$59="",-1E+99,'TO HOP NLAN'!D198/ncoc+IF(SUMSQ('TS-PILE'!$E$56:$E$75)=0,0,'TO HOP NLAN'!E198*'TS-PILE'!$E$59/SUMSQ('TS-PILE'!$E$56:$E$75))+IF(SUMSQ('TS-PILE'!$D$56:$D$75)=0,0,'TO HOP NLAN'!F198*'TS-PILE'!$D$59/SUMSQ('TS-PILE'!$D$56:$D$75))),IF('TS-PILE'!$B$60="",-1E+99,'TO HOP NLAN'!D198/ncoc+IF(SUMSQ('TS-PILE'!$E$56:$E$75)=0,0,'TO HOP NLAN'!E198*'TS-PILE'!$E$60/SUMSQ('TS-PILE'!$E$56:$E$75))+IF(SUMSQ('TS-PILE'!$D$56:$D$75)=0,0,'TO HOP NLAN'!F198*'TS-PILE'!$D$60/SUMSQ('TS-PILE'!$D$56:$D$75))),IF('TS-PILE'!$B$61="",-1E+99,'TO HOP NLAN'!D198/ncoc+IF(SUMSQ('TS-PILE'!$E$56:$E$75)=0,0,'TO HOP NLAN'!E198*'TS-PILE'!$E$61/SUMSQ('TS-PILE'!$E$56:$E$75))+IF(SUMSQ('TS-PILE'!$D$56:$D$75)=0,0,'TO HOP NLAN'!F198*'TS-PILE'!$D$61/SUMSQ('TS-PILE'!$D$56:$D$75))),IF('TS-PILE'!$B$62="",-1E+99,'TO HOP NLAN'!D198/ncoc+IF(SUMSQ('TS-PILE'!$E$56:$E$75)=0,0,'TO HOP NLAN'!E198*'TS-PILE'!$E$62/SUMSQ('TS-PILE'!$E$56:$E$75))+IF(SUMSQ('TS-PILE'!$D$56:$D$75)=0,0,'TO HOP NLAN'!F198*'TS-PILE'!$D$62/SUMSQ('TS-PILE'!$D$56:$D$75))),IF('TS-PILE'!$B$63="",-1E+99,'TO HOP NLAN'!D198/ncoc+IF(SUMSQ('TS-PILE'!$E$56:$E$75)=0,0,'TO HOP NLAN'!E198*'TS-PILE'!$E$63/SUMSQ('TS-PILE'!$E$56:$E$75))+IF(SUMSQ('TS-PILE'!$D$56:$D$75)=0,0,'TO HOP NLAN'!F198*'TS-PILE'!$D$63/SUMSQ('TS-PILE'!$D$56:$D$75))),IF('TS-PILE'!$B$64="",-1E+99,'TO HOP NLAN'!D198/ncoc+IF(SUMSQ('TS-PILE'!$E$56:$E$75)=0,0,'TO HOP NLAN'!E198*'TS-PILE'!$E$64/SUMSQ('TS-PILE'!$E$56:$E$75))+IF(SUMSQ('TS-PILE'!$D$56:$D$75)=0,0,'TO HOP NLAN'!F198*'TS-PILE'!$D$64/SUMSQ('TS-PILE'!$D$56:$D$75))),IF('TS-PILE'!$B$65="",-1E+99,'TO HOP NLAN'!D198/ncoc+IF(SUMSQ('TS-PILE'!$E$56:$E$75)=0,0,'TO HOP NLAN'!E198*'TS-PILE'!$E$65/SUMSQ('TS-PILE'!$E$56:$E$75))+IF(SUMSQ('TS-PILE'!$D$56:$D$75)=0,0,'TO HOP NLAN'!F198*'TS-PILE'!$D$65/SUMSQ('TS-PILE'!$D$56:$D$75))),IF('TS-PILE'!$B$66="",-1E+99,'TO HOP NLAN'!D198/ncoc+IF(SUMSQ('TS-PILE'!$E$56:$E$75)=0,0,'TO HOP NLAN'!E198*'TS-PILE'!$E$66/SUMSQ('TS-PILE'!$E$56:$E$75))+IF(SUMSQ('TS-PILE'!$D$56:$D$75)=0,0,'TO HOP NLAN'!F198*'TS-PILE'!$D$66/SUMSQ('TS-PILE'!$D$56:$D$75))),IF('TS-PILE'!$B$67="",-1E+99,'TO HOP NLAN'!D198/ncoc+IF(SUMSQ('TS-PILE'!$E$56:$E$75)=0,0,'TO HOP NLAN'!E198*'TS-PILE'!$E$67/SUMSQ('TS-PILE'!$E$56:$E$75))+IF(SUMSQ('TS-PILE'!$D$56:$D$75)=0,0,'TO HOP NLAN'!F198*'TS-PILE'!$D$67/SUMSQ('TS-PILE'!$D$56:$D$75))),IF('TS-PILE'!$B$68="",-1E+99,'TO HOP NLAN'!D198/ncoc+IF(SUMSQ('TS-PILE'!$E$56:$E$75)=0,0,'TO HOP NLAN'!E198*'TS-PILE'!$E$68/SUMSQ('TS-PILE'!$E$56:$E$75))+IF(SUMSQ('TS-PILE'!$D$56:$D$75)=0,0,'TO HOP NLAN'!F198*'TS-PILE'!$D$68/SUMSQ('TS-PILE'!$D$56:$D$75))),IF('TS-PILE'!$B$69="",-1E+99,'TO HOP NLAN'!D198/ncoc+IF(SUMSQ('TS-PILE'!$E$56:$E$75)=0,0,'TO HOP NLAN'!E198*'TS-PILE'!$E$69/SUMSQ('TS-PILE'!$E$56:$E$75))+IF(SUMSQ('TS-PILE'!$D$56:$D$75)=0,0,'TO HOP NLAN'!F198*'TS-PILE'!$D$69/SUMSQ('TS-PILE'!$D$56:$D$75))),IF('TS-PILE'!$B$70="",-1E+99,'TO HOP NLAN'!D198/ncoc+IF(SUMSQ('TS-PILE'!$E$56:$E$75)=0,0,'TO HOP NLAN'!E198*'TS-PILE'!$E$70/SUMSQ('TS-PILE'!$E$56:$E$75))+IF(SUMSQ('TS-PILE'!$D$56:$D$75)=0,0,'TO HOP NLAN'!F198*'TS-PILE'!$D$70/SUMSQ('TS-PILE'!$D$56:$D$75))),IF('TS-PILE'!$B$71="",-1E+99,'TO HOP NLAN'!D198/ncoc+IF(SUMSQ('TS-PILE'!$E$56:$E$75)=0,0,'TO HOP NLAN'!E198*'TS-PILE'!$E$71/SUMSQ('TS-PILE'!$E$56:$E$75))+IF(SUMSQ('TS-PILE'!$D$56:$D$75)=0,0,'TO HOP NLAN'!F198*'TS-PILE'!$D$71/SUMSQ('TS-PILE'!$D$56:$D$75))),IF('TS-PILE'!$B$72="",-1E+99,'TO HOP NLAN'!D198/ncoc+IF(SUMSQ('TS-PILE'!$E$56:$E$75)=0,0,'TO HOP NLAN'!E198*'TS-PILE'!$E$72/SUMSQ('TS-PILE'!$E$56:$E$75))+IF(SUMSQ('TS-PILE'!$D$56:$D$75)=0,0,'TO HOP NLAN'!F198*'TS-PILE'!$D$72/SUMSQ('TS-PILE'!$D$56:$D$75))),IF('TS-PILE'!$B$73="",-1E+99,'TO HOP NLAN'!D198/ncoc+IF(SUMSQ('TS-PILE'!$E$56:$E$75)=0,0,'TO HOP NLAN'!E198*'TS-PILE'!$E$73/SUMSQ('TS-PILE'!$E$56:$E$75))+IF(SUMSQ('TS-PILE'!$D$56:$D$75)=0,0,'TO HOP NLAN'!F198*'TS-PILE'!$D$73/SUMSQ('TS-PILE'!$D$56:$D$75))),IF('TS-PILE'!$B$74="",-1E+99,'TO HOP NLAN'!D198/ncoc+IF(SUMSQ('TS-PILE'!$E$56:$E$75)=0,0,'TO HOP NLAN'!E198*'TS-PILE'!$E$74/SUMSQ('TS-PILE'!$E$56:$E$75))+IF(SUMSQ('TS-PILE'!$D$56:$D$75)=0,0,'TO HOP NLAN'!F198*'TS-PILE'!$D$74/SUMSQ('TS-PILE'!$D$56:$D$75))),IF('TS-PILE'!$B$75="",-1E+99,'TO HOP NLAN'!D198/ncoc+IF(SUMSQ('TS-PILE'!$E$56:$E$75)=0,0,'TO HOP NLAN'!E198*'TS-PILE'!$E$75/SUMSQ('TS-PILE'!$E$56:$E$75))+IF(SUMSQ('TS-PILE'!$D$56:$D$75)=0,0,'TO HOP NLAN'!F198*'TS-PILE'!$D$75/SUMSQ('TS-PILE'!$D$56:$D$75)))))</f>
        <v>0</v>
      </c>
      <c r="D198" s="46">
        <f>IF(A198="",0,MIN(IF('TS-PILE'!$B$56="",1E+99,'TO HOP NLAN'!D198/ncoc+IF(SUMSQ('TS-PILE'!$E$56:$E$75)=0,0,'TO HOP NLAN'!E198*'TS-PILE'!$E$56/SUMSQ('TS-PILE'!$E$56:$E$75))+IF(SUMSQ('TS-PILE'!$D$56:$D$75)=0,0,'TO HOP NLAN'!F198*'TS-PILE'!$D$56/SUMSQ('TS-PILE'!$D$56:$D$75))),IF('TS-PILE'!$B$57="",1E+99,'TO HOP NLAN'!D198/ncoc+IF(SUMSQ('TS-PILE'!$E$56:$E$75)=0,0,'TO HOP NLAN'!E198*'TS-PILE'!$E$57/SUMSQ('TS-PILE'!$E$56:$E$75))+IF(SUMSQ('TS-PILE'!$D$56:$D$75)=0,0,'TO HOP NLAN'!F198*'TS-PILE'!$D$57/SUMSQ('TS-PILE'!$D$56:$D$75))),IF('TS-PILE'!$B$58="",1E+99,'TO HOP NLAN'!D198/ncoc+IF(SUMSQ('TS-PILE'!$E$56:$E$75)=0,0,'TO HOP NLAN'!E198*'TS-PILE'!$E$58/SUMSQ('TS-PILE'!$E$56:$E$75))+IF(SUMSQ('TS-PILE'!$D$56:$D$75)=0,0,'TO HOP NLAN'!F198*'TS-PILE'!$D$58/SUMSQ('TS-PILE'!$D$56:$D$75))),IF('TS-PILE'!$B$59="",1E+99,'TO HOP NLAN'!D198/ncoc+IF(SUMSQ('TS-PILE'!$E$56:$E$75)=0,0,'TO HOP NLAN'!E198*'TS-PILE'!$E$59/SUMSQ('TS-PILE'!$E$56:$E$75))+IF(SUMSQ('TS-PILE'!$D$56:$D$75)=0,0,'TO HOP NLAN'!F198*'TS-PILE'!$D$59/SUMSQ('TS-PILE'!$D$56:$D$75))),IF('TS-PILE'!$B$60="",1E+99,'TO HOP NLAN'!D198/ncoc+IF(SUMSQ('TS-PILE'!$E$56:$E$75)=0,0,'TO HOP NLAN'!E198*'TS-PILE'!$E$60/SUMSQ('TS-PILE'!$E$56:$E$75))+IF(SUMSQ('TS-PILE'!$D$56:$D$75)=0,0,'TO HOP NLAN'!F198*'TS-PILE'!$D$60/SUMSQ('TS-PILE'!$D$56:$D$75))),IF('TS-PILE'!$B$61="",1E+99,'TO HOP NLAN'!D198/ncoc+IF(SUMSQ('TS-PILE'!$E$56:$E$75)=0,0,'TO HOP NLAN'!E198*'TS-PILE'!$E$61/SUMSQ('TS-PILE'!$E$56:$E$75))+IF(SUMSQ('TS-PILE'!$D$56:$D$75)=0,0,'TO HOP NLAN'!F198*'TS-PILE'!$D$61/SUMSQ('TS-PILE'!$D$56:$D$75))),IF('TS-PILE'!$B$62="",1E+99,'TO HOP NLAN'!D198/ncoc+IF(SUMSQ('TS-PILE'!$E$56:$E$75)=0,0,'TO HOP NLAN'!E198*'TS-PILE'!$E$62/SUMSQ('TS-PILE'!$E$56:$E$75))+IF(SUMSQ('TS-PILE'!$D$56:$D$75)=0,0,'TO HOP NLAN'!F198*'TS-PILE'!$D$62/SUMSQ('TS-PILE'!$D$56:$D$75))),IF('TS-PILE'!$B$63="",1E+99,'TO HOP NLAN'!D198/ncoc+IF(SUMSQ('TS-PILE'!$E$56:$E$75)=0,0,'TO HOP NLAN'!E198*'TS-PILE'!$E$63/SUMSQ('TS-PILE'!$E$56:$E$75))+IF(SUMSQ('TS-PILE'!$D$56:$D$75)=0,0,'TO HOP NLAN'!F198*'TS-PILE'!$D$63/SUMSQ('TS-PILE'!$D$56:$D$75))),IF('TS-PILE'!$B$64="",1E+99,'TO HOP NLAN'!D198/ncoc+IF(SUMSQ('TS-PILE'!$E$56:$E$75)=0,0,'TO HOP NLAN'!E198*'TS-PILE'!$E$64/SUMSQ('TS-PILE'!$E$56:$E$75))+IF(SUMSQ('TS-PILE'!$D$56:$D$75)=0,0,'TO HOP NLAN'!F198*'TS-PILE'!$D$64/SUMSQ('TS-PILE'!$D$56:$D$75))),IF('TS-PILE'!$B$65="",1E+99,'TO HOP NLAN'!D198/ncoc+IF(SUMSQ('TS-PILE'!$E$56:$E$75)=0,0,'TO HOP NLAN'!E198*'TS-PILE'!$E$65/SUMSQ('TS-PILE'!$E$56:$E$75))+IF(SUMSQ('TS-PILE'!$D$56:$D$75)=0,0,'TO HOP NLAN'!F198*'TS-PILE'!$D$65/SUMSQ('TS-PILE'!$D$56:$D$75))),IF('TS-PILE'!$B$66="",1E+99,'TO HOP NLAN'!D198/ncoc+IF(SUMSQ('TS-PILE'!$E$56:$E$75)=0,0,'TO HOP NLAN'!E198*'TS-PILE'!$E$66/SUMSQ('TS-PILE'!$E$56:$E$75))+IF(SUMSQ('TS-PILE'!$D$56:$D$75)=0,0,'TO HOP NLAN'!F198*'TS-PILE'!$D$66/SUMSQ('TS-PILE'!$D$56:$D$75))),IF('TS-PILE'!$B$67="",1E+99,'TO HOP NLAN'!D198/ncoc+IF(SUMSQ('TS-PILE'!$E$56:$E$75)=0,0,'TO HOP NLAN'!E198*'TS-PILE'!$E$67/SUMSQ('TS-PILE'!$E$56:$E$75))+IF(SUMSQ('TS-PILE'!$D$56:$D$75)=0,0,'TO HOP NLAN'!F198*'TS-PILE'!$D$67/SUMSQ('TS-PILE'!$D$56:$D$75))),IF('TS-PILE'!$B$68="",1E+99,'TO HOP NLAN'!D198/ncoc+IF(SUMSQ('TS-PILE'!$E$56:$E$75)=0,0,'TO HOP NLAN'!E198*'TS-PILE'!$E$68/SUMSQ('TS-PILE'!$E$56:$E$75))+IF(SUMSQ('TS-PILE'!$D$56:$D$75)=0,0,'TO HOP NLAN'!F198*'TS-PILE'!$D$68/SUMSQ('TS-PILE'!$D$56:$D$75))),IF('TS-PILE'!$B$69="",1E+99,'TO HOP NLAN'!D198/ncoc+IF(SUMSQ('TS-PILE'!$E$56:$E$75)=0,0,'TO HOP NLAN'!E198*'TS-PILE'!$E$69/SUMSQ('TS-PILE'!$E$56:$E$75))+IF(SUMSQ('TS-PILE'!$D$56:$D$75)=0,0,'TO HOP NLAN'!F198*'TS-PILE'!$D$69/SUMSQ('TS-PILE'!$D$56:$D$75))),IF('TS-PILE'!$B$70="",1E+99,'TO HOP NLAN'!D198/ncoc+IF(SUMSQ('TS-PILE'!$E$56:$E$75)=0,0,'TO HOP NLAN'!E198*'TS-PILE'!$E$70/SUMSQ('TS-PILE'!$E$56:$E$75))+IF(SUMSQ('TS-PILE'!$D$56:$D$75)=0,0,'TO HOP NLAN'!F198*'TS-PILE'!$D$70/SUMSQ('TS-PILE'!$D$56:$D$75))),IF('TS-PILE'!$B$71="",1E+99,'TO HOP NLAN'!D198/ncoc+IF(SUMSQ('TS-PILE'!$E$56:$E$75)=0,0,'TO HOP NLAN'!E198*'TS-PILE'!$E$71/SUMSQ('TS-PILE'!$E$56:$E$75))+IF(SUMSQ('TS-PILE'!$D$56:$D$75)=0,0,'TO HOP NLAN'!F198*'TS-PILE'!$D$71/SUMSQ('TS-PILE'!$D$56:$D$75))),IF('TS-PILE'!$B$72="",1E+99,'TO HOP NLAN'!D198/ncoc+IF(SUMSQ('TS-PILE'!$E$56:$E$75)=0,0,'TO HOP NLAN'!E198*'TS-PILE'!$E$72/SUMSQ('TS-PILE'!$E$56:$E$75))+IF(SUMSQ('TS-PILE'!$D$56:$D$75)=0,0,'TO HOP NLAN'!F198*'TS-PILE'!$D$72/SUMSQ('TS-PILE'!$D$56:$D$75))),IF('TS-PILE'!$B$73="",1E+99,'TO HOP NLAN'!D198/ncoc+IF(SUMSQ('TS-PILE'!$E$56:$E$75)=0,0,'TO HOP NLAN'!E198*'TS-PILE'!$E$73/SUMSQ('TS-PILE'!$E$56:$E$75))+IF(SUMSQ('TS-PILE'!$D$56:$D$75)=0,0,'TO HOP NLAN'!F198*'TS-PILE'!$D$73/SUMSQ('TS-PILE'!$D$56:$D$75))),IF('TS-PILE'!$B$74="",1E+99,'TO HOP NLAN'!D198/ncoc+IF(SUMSQ('TS-PILE'!$E$56:$E$75)=0,0,'TO HOP NLAN'!E198*'TS-PILE'!$E$74/SUMSQ('TS-PILE'!$E$56:$E$75))+IF(SUMSQ('TS-PILE'!$D$56:$D$75)=0,0,'TO HOP NLAN'!F198*'TS-PILE'!$D$74/SUMSQ('TS-PILE'!$D$56:$D$75))),IF('TS-PILE'!$B$75="",1E+99,'TO HOP NLAN'!D198/ncoc+IF(SUMSQ('TS-PILE'!$E$56:$E$75)=0,0,'TO HOP NLAN'!E198*'TS-PILE'!$E$75/SUMSQ('TS-PILE'!$E$56:$E$75))+IF(SUMSQ('TS-PILE'!$D$56:$D$75)=0,0,'TO HOP NLAN'!F198*'TS-PILE'!$D$75/SUMSQ('TS-PILE'!$D$56:$D$75)))))</f>
        <v>0</v>
      </c>
      <c r="E198" s="46">
        <f t="shared" ref="E198:E243" si="12">IF(AND(A198&lt;&gt;"",B198="SERVICE"),C198,-1E+99)</f>
        <v>-9.9999999999999997E+98</v>
      </c>
      <c r="F198" s="46">
        <f t="shared" ref="F198:F243" si="13">IF(AND(A198&lt;&gt;"",B198="SERVICE"),D198,1E+99)</f>
        <v>9.9999999999999997E+98</v>
      </c>
      <c r="G198" s="46">
        <f t="shared" ref="G198:G243" si="14">IF(AND(A198&lt;&gt;"",B198="STRENGTH"),C198,-1E+99)</f>
        <v>-9.9999999999999997E+98</v>
      </c>
      <c r="H198" s="46">
        <f t="shared" ref="H198:H243" si="15">IF(AND(A198&lt;&gt;"",B198="STRENGTH"),D198,1E+99)</f>
        <v>9.9999999999999997E+98</v>
      </c>
    </row>
    <row r="199" spans="1:8" x14ac:dyDescent="0.3">
      <c r="A199" s="40" t="str">
        <f>'TO HOP NLAN'!A199</f>
        <v/>
      </c>
      <c r="B199" s="40" t="str">
        <f>'TO HOP NLAN'!L199</f>
        <v>STRENGTH</v>
      </c>
      <c r="C199" s="46">
        <f>IF(A199="",0,MAX(IF('TS-PILE'!$B$56="",-1E+99,'TO HOP NLAN'!D199/ncoc+IF(SUMSQ('TS-PILE'!$E$56:$E$75)=0,0,'TO HOP NLAN'!E199*'TS-PILE'!$E$56/SUMSQ('TS-PILE'!$E$56:$E$75))+IF(SUMSQ('TS-PILE'!$D$56:$D$75)=0,0,'TO HOP NLAN'!F199*'TS-PILE'!$D$56/SUMSQ('TS-PILE'!$D$56:$D$75))),IF('TS-PILE'!$B$57="",-1E+99,'TO HOP NLAN'!D199/ncoc+IF(SUMSQ('TS-PILE'!$E$56:$E$75)=0,0,'TO HOP NLAN'!E199*'TS-PILE'!$E$57/SUMSQ('TS-PILE'!$E$56:$E$75))+IF(SUMSQ('TS-PILE'!$D$56:$D$75)=0,0,'TO HOP NLAN'!F199*'TS-PILE'!$D$57/SUMSQ('TS-PILE'!$D$56:$D$75))),IF('TS-PILE'!$B$58="",-1E+99,'TO HOP NLAN'!D199/ncoc+IF(SUMSQ('TS-PILE'!$E$56:$E$75)=0,0,'TO HOP NLAN'!E199*'TS-PILE'!$E$58/SUMSQ('TS-PILE'!$E$56:$E$75))+IF(SUMSQ('TS-PILE'!$D$56:$D$75)=0,0,'TO HOP NLAN'!F199*'TS-PILE'!$D$58/SUMSQ('TS-PILE'!$D$56:$D$75))),IF('TS-PILE'!$B$59="",-1E+99,'TO HOP NLAN'!D199/ncoc+IF(SUMSQ('TS-PILE'!$E$56:$E$75)=0,0,'TO HOP NLAN'!E199*'TS-PILE'!$E$59/SUMSQ('TS-PILE'!$E$56:$E$75))+IF(SUMSQ('TS-PILE'!$D$56:$D$75)=0,0,'TO HOP NLAN'!F199*'TS-PILE'!$D$59/SUMSQ('TS-PILE'!$D$56:$D$75))),IF('TS-PILE'!$B$60="",-1E+99,'TO HOP NLAN'!D199/ncoc+IF(SUMSQ('TS-PILE'!$E$56:$E$75)=0,0,'TO HOP NLAN'!E199*'TS-PILE'!$E$60/SUMSQ('TS-PILE'!$E$56:$E$75))+IF(SUMSQ('TS-PILE'!$D$56:$D$75)=0,0,'TO HOP NLAN'!F199*'TS-PILE'!$D$60/SUMSQ('TS-PILE'!$D$56:$D$75))),IF('TS-PILE'!$B$61="",-1E+99,'TO HOP NLAN'!D199/ncoc+IF(SUMSQ('TS-PILE'!$E$56:$E$75)=0,0,'TO HOP NLAN'!E199*'TS-PILE'!$E$61/SUMSQ('TS-PILE'!$E$56:$E$75))+IF(SUMSQ('TS-PILE'!$D$56:$D$75)=0,0,'TO HOP NLAN'!F199*'TS-PILE'!$D$61/SUMSQ('TS-PILE'!$D$56:$D$75))),IF('TS-PILE'!$B$62="",-1E+99,'TO HOP NLAN'!D199/ncoc+IF(SUMSQ('TS-PILE'!$E$56:$E$75)=0,0,'TO HOP NLAN'!E199*'TS-PILE'!$E$62/SUMSQ('TS-PILE'!$E$56:$E$75))+IF(SUMSQ('TS-PILE'!$D$56:$D$75)=0,0,'TO HOP NLAN'!F199*'TS-PILE'!$D$62/SUMSQ('TS-PILE'!$D$56:$D$75))),IF('TS-PILE'!$B$63="",-1E+99,'TO HOP NLAN'!D199/ncoc+IF(SUMSQ('TS-PILE'!$E$56:$E$75)=0,0,'TO HOP NLAN'!E199*'TS-PILE'!$E$63/SUMSQ('TS-PILE'!$E$56:$E$75))+IF(SUMSQ('TS-PILE'!$D$56:$D$75)=0,0,'TO HOP NLAN'!F199*'TS-PILE'!$D$63/SUMSQ('TS-PILE'!$D$56:$D$75))),IF('TS-PILE'!$B$64="",-1E+99,'TO HOP NLAN'!D199/ncoc+IF(SUMSQ('TS-PILE'!$E$56:$E$75)=0,0,'TO HOP NLAN'!E199*'TS-PILE'!$E$64/SUMSQ('TS-PILE'!$E$56:$E$75))+IF(SUMSQ('TS-PILE'!$D$56:$D$75)=0,0,'TO HOP NLAN'!F199*'TS-PILE'!$D$64/SUMSQ('TS-PILE'!$D$56:$D$75))),IF('TS-PILE'!$B$65="",-1E+99,'TO HOP NLAN'!D199/ncoc+IF(SUMSQ('TS-PILE'!$E$56:$E$75)=0,0,'TO HOP NLAN'!E199*'TS-PILE'!$E$65/SUMSQ('TS-PILE'!$E$56:$E$75))+IF(SUMSQ('TS-PILE'!$D$56:$D$75)=0,0,'TO HOP NLAN'!F199*'TS-PILE'!$D$65/SUMSQ('TS-PILE'!$D$56:$D$75))),IF('TS-PILE'!$B$66="",-1E+99,'TO HOP NLAN'!D199/ncoc+IF(SUMSQ('TS-PILE'!$E$56:$E$75)=0,0,'TO HOP NLAN'!E199*'TS-PILE'!$E$66/SUMSQ('TS-PILE'!$E$56:$E$75))+IF(SUMSQ('TS-PILE'!$D$56:$D$75)=0,0,'TO HOP NLAN'!F199*'TS-PILE'!$D$66/SUMSQ('TS-PILE'!$D$56:$D$75))),IF('TS-PILE'!$B$67="",-1E+99,'TO HOP NLAN'!D199/ncoc+IF(SUMSQ('TS-PILE'!$E$56:$E$75)=0,0,'TO HOP NLAN'!E199*'TS-PILE'!$E$67/SUMSQ('TS-PILE'!$E$56:$E$75))+IF(SUMSQ('TS-PILE'!$D$56:$D$75)=0,0,'TO HOP NLAN'!F199*'TS-PILE'!$D$67/SUMSQ('TS-PILE'!$D$56:$D$75))),IF('TS-PILE'!$B$68="",-1E+99,'TO HOP NLAN'!D199/ncoc+IF(SUMSQ('TS-PILE'!$E$56:$E$75)=0,0,'TO HOP NLAN'!E199*'TS-PILE'!$E$68/SUMSQ('TS-PILE'!$E$56:$E$75))+IF(SUMSQ('TS-PILE'!$D$56:$D$75)=0,0,'TO HOP NLAN'!F199*'TS-PILE'!$D$68/SUMSQ('TS-PILE'!$D$56:$D$75))),IF('TS-PILE'!$B$69="",-1E+99,'TO HOP NLAN'!D199/ncoc+IF(SUMSQ('TS-PILE'!$E$56:$E$75)=0,0,'TO HOP NLAN'!E199*'TS-PILE'!$E$69/SUMSQ('TS-PILE'!$E$56:$E$75))+IF(SUMSQ('TS-PILE'!$D$56:$D$75)=0,0,'TO HOP NLAN'!F199*'TS-PILE'!$D$69/SUMSQ('TS-PILE'!$D$56:$D$75))),IF('TS-PILE'!$B$70="",-1E+99,'TO HOP NLAN'!D199/ncoc+IF(SUMSQ('TS-PILE'!$E$56:$E$75)=0,0,'TO HOP NLAN'!E199*'TS-PILE'!$E$70/SUMSQ('TS-PILE'!$E$56:$E$75))+IF(SUMSQ('TS-PILE'!$D$56:$D$75)=0,0,'TO HOP NLAN'!F199*'TS-PILE'!$D$70/SUMSQ('TS-PILE'!$D$56:$D$75))),IF('TS-PILE'!$B$71="",-1E+99,'TO HOP NLAN'!D199/ncoc+IF(SUMSQ('TS-PILE'!$E$56:$E$75)=0,0,'TO HOP NLAN'!E199*'TS-PILE'!$E$71/SUMSQ('TS-PILE'!$E$56:$E$75))+IF(SUMSQ('TS-PILE'!$D$56:$D$75)=0,0,'TO HOP NLAN'!F199*'TS-PILE'!$D$71/SUMSQ('TS-PILE'!$D$56:$D$75))),IF('TS-PILE'!$B$72="",-1E+99,'TO HOP NLAN'!D199/ncoc+IF(SUMSQ('TS-PILE'!$E$56:$E$75)=0,0,'TO HOP NLAN'!E199*'TS-PILE'!$E$72/SUMSQ('TS-PILE'!$E$56:$E$75))+IF(SUMSQ('TS-PILE'!$D$56:$D$75)=0,0,'TO HOP NLAN'!F199*'TS-PILE'!$D$72/SUMSQ('TS-PILE'!$D$56:$D$75))),IF('TS-PILE'!$B$73="",-1E+99,'TO HOP NLAN'!D199/ncoc+IF(SUMSQ('TS-PILE'!$E$56:$E$75)=0,0,'TO HOP NLAN'!E199*'TS-PILE'!$E$73/SUMSQ('TS-PILE'!$E$56:$E$75))+IF(SUMSQ('TS-PILE'!$D$56:$D$75)=0,0,'TO HOP NLAN'!F199*'TS-PILE'!$D$73/SUMSQ('TS-PILE'!$D$56:$D$75))),IF('TS-PILE'!$B$74="",-1E+99,'TO HOP NLAN'!D199/ncoc+IF(SUMSQ('TS-PILE'!$E$56:$E$75)=0,0,'TO HOP NLAN'!E199*'TS-PILE'!$E$74/SUMSQ('TS-PILE'!$E$56:$E$75))+IF(SUMSQ('TS-PILE'!$D$56:$D$75)=0,0,'TO HOP NLAN'!F199*'TS-PILE'!$D$74/SUMSQ('TS-PILE'!$D$56:$D$75))),IF('TS-PILE'!$B$75="",-1E+99,'TO HOP NLAN'!D199/ncoc+IF(SUMSQ('TS-PILE'!$E$56:$E$75)=0,0,'TO HOP NLAN'!E199*'TS-PILE'!$E$75/SUMSQ('TS-PILE'!$E$56:$E$75))+IF(SUMSQ('TS-PILE'!$D$56:$D$75)=0,0,'TO HOP NLAN'!F199*'TS-PILE'!$D$75/SUMSQ('TS-PILE'!$D$56:$D$75)))))</f>
        <v>0</v>
      </c>
      <c r="D199" s="46">
        <f>IF(A199="",0,MIN(IF('TS-PILE'!$B$56="",1E+99,'TO HOP NLAN'!D199/ncoc+IF(SUMSQ('TS-PILE'!$E$56:$E$75)=0,0,'TO HOP NLAN'!E199*'TS-PILE'!$E$56/SUMSQ('TS-PILE'!$E$56:$E$75))+IF(SUMSQ('TS-PILE'!$D$56:$D$75)=0,0,'TO HOP NLAN'!F199*'TS-PILE'!$D$56/SUMSQ('TS-PILE'!$D$56:$D$75))),IF('TS-PILE'!$B$57="",1E+99,'TO HOP NLAN'!D199/ncoc+IF(SUMSQ('TS-PILE'!$E$56:$E$75)=0,0,'TO HOP NLAN'!E199*'TS-PILE'!$E$57/SUMSQ('TS-PILE'!$E$56:$E$75))+IF(SUMSQ('TS-PILE'!$D$56:$D$75)=0,0,'TO HOP NLAN'!F199*'TS-PILE'!$D$57/SUMSQ('TS-PILE'!$D$56:$D$75))),IF('TS-PILE'!$B$58="",1E+99,'TO HOP NLAN'!D199/ncoc+IF(SUMSQ('TS-PILE'!$E$56:$E$75)=0,0,'TO HOP NLAN'!E199*'TS-PILE'!$E$58/SUMSQ('TS-PILE'!$E$56:$E$75))+IF(SUMSQ('TS-PILE'!$D$56:$D$75)=0,0,'TO HOP NLAN'!F199*'TS-PILE'!$D$58/SUMSQ('TS-PILE'!$D$56:$D$75))),IF('TS-PILE'!$B$59="",1E+99,'TO HOP NLAN'!D199/ncoc+IF(SUMSQ('TS-PILE'!$E$56:$E$75)=0,0,'TO HOP NLAN'!E199*'TS-PILE'!$E$59/SUMSQ('TS-PILE'!$E$56:$E$75))+IF(SUMSQ('TS-PILE'!$D$56:$D$75)=0,0,'TO HOP NLAN'!F199*'TS-PILE'!$D$59/SUMSQ('TS-PILE'!$D$56:$D$75))),IF('TS-PILE'!$B$60="",1E+99,'TO HOP NLAN'!D199/ncoc+IF(SUMSQ('TS-PILE'!$E$56:$E$75)=0,0,'TO HOP NLAN'!E199*'TS-PILE'!$E$60/SUMSQ('TS-PILE'!$E$56:$E$75))+IF(SUMSQ('TS-PILE'!$D$56:$D$75)=0,0,'TO HOP NLAN'!F199*'TS-PILE'!$D$60/SUMSQ('TS-PILE'!$D$56:$D$75))),IF('TS-PILE'!$B$61="",1E+99,'TO HOP NLAN'!D199/ncoc+IF(SUMSQ('TS-PILE'!$E$56:$E$75)=0,0,'TO HOP NLAN'!E199*'TS-PILE'!$E$61/SUMSQ('TS-PILE'!$E$56:$E$75))+IF(SUMSQ('TS-PILE'!$D$56:$D$75)=0,0,'TO HOP NLAN'!F199*'TS-PILE'!$D$61/SUMSQ('TS-PILE'!$D$56:$D$75))),IF('TS-PILE'!$B$62="",1E+99,'TO HOP NLAN'!D199/ncoc+IF(SUMSQ('TS-PILE'!$E$56:$E$75)=0,0,'TO HOP NLAN'!E199*'TS-PILE'!$E$62/SUMSQ('TS-PILE'!$E$56:$E$75))+IF(SUMSQ('TS-PILE'!$D$56:$D$75)=0,0,'TO HOP NLAN'!F199*'TS-PILE'!$D$62/SUMSQ('TS-PILE'!$D$56:$D$75))),IF('TS-PILE'!$B$63="",1E+99,'TO HOP NLAN'!D199/ncoc+IF(SUMSQ('TS-PILE'!$E$56:$E$75)=0,0,'TO HOP NLAN'!E199*'TS-PILE'!$E$63/SUMSQ('TS-PILE'!$E$56:$E$75))+IF(SUMSQ('TS-PILE'!$D$56:$D$75)=0,0,'TO HOP NLAN'!F199*'TS-PILE'!$D$63/SUMSQ('TS-PILE'!$D$56:$D$75))),IF('TS-PILE'!$B$64="",1E+99,'TO HOP NLAN'!D199/ncoc+IF(SUMSQ('TS-PILE'!$E$56:$E$75)=0,0,'TO HOP NLAN'!E199*'TS-PILE'!$E$64/SUMSQ('TS-PILE'!$E$56:$E$75))+IF(SUMSQ('TS-PILE'!$D$56:$D$75)=0,0,'TO HOP NLAN'!F199*'TS-PILE'!$D$64/SUMSQ('TS-PILE'!$D$56:$D$75))),IF('TS-PILE'!$B$65="",1E+99,'TO HOP NLAN'!D199/ncoc+IF(SUMSQ('TS-PILE'!$E$56:$E$75)=0,0,'TO HOP NLAN'!E199*'TS-PILE'!$E$65/SUMSQ('TS-PILE'!$E$56:$E$75))+IF(SUMSQ('TS-PILE'!$D$56:$D$75)=0,0,'TO HOP NLAN'!F199*'TS-PILE'!$D$65/SUMSQ('TS-PILE'!$D$56:$D$75))),IF('TS-PILE'!$B$66="",1E+99,'TO HOP NLAN'!D199/ncoc+IF(SUMSQ('TS-PILE'!$E$56:$E$75)=0,0,'TO HOP NLAN'!E199*'TS-PILE'!$E$66/SUMSQ('TS-PILE'!$E$56:$E$75))+IF(SUMSQ('TS-PILE'!$D$56:$D$75)=0,0,'TO HOP NLAN'!F199*'TS-PILE'!$D$66/SUMSQ('TS-PILE'!$D$56:$D$75))),IF('TS-PILE'!$B$67="",1E+99,'TO HOP NLAN'!D199/ncoc+IF(SUMSQ('TS-PILE'!$E$56:$E$75)=0,0,'TO HOP NLAN'!E199*'TS-PILE'!$E$67/SUMSQ('TS-PILE'!$E$56:$E$75))+IF(SUMSQ('TS-PILE'!$D$56:$D$75)=0,0,'TO HOP NLAN'!F199*'TS-PILE'!$D$67/SUMSQ('TS-PILE'!$D$56:$D$75))),IF('TS-PILE'!$B$68="",1E+99,'TO HOP NLAN'!D199/ncoc+IF(SUMSQ('TS-PILE'!$E$56:$E$75)=0,0,'TO HOP NLAN'!E199*'TS-PILE'!$E$68/SUMSQ('TS-PILE'!$E$56:$E$75))+IF(SUMSQ('TS-PILE'!$D$56:$D$75)=0,0,'TO HOP NLAN'!F199*'TS-PILE'!$D$68/SUMSQ('TS-PILE'!$D$56:$D$75))),IF('TS-PILE'!$B$69="",1E+99,'TO HOP NLAN'!D199/ncoc+IF(SUMSQ('TS-PILE'!$E$56:$E$75)=0,0,'TO HOP NLAN'!E199*'TS-PILE'!$E$69/SUMSQ('TS-PILE'!$E$56:$E$75))+IF(SUMSQ('TS-PILE'!$D$56:$D$75)=0,0,'TO HOP NLAN'!F199*'TS-PILE'!$D$69/SUMSQ('TS-PILE'!$D$56:$D$75))),IF('TS-PILE'!$B$70="",1E+99,'TO HOP NLAN'!D199/ncoc+IF(SUMSQ('TS-PILE'!$E$56:$E$75)=0,0,'TO HOP NLAN'!E199*'TS-PILE'!$E$70/SUMSQ('TS-PILE'!$E$56:$E$75))+IF(SUMSQ('TS-PILE'!$D$56:$D$75)=0,0,'TO HOP NLAN'!F199*'TS-PILE'!$D$70/SUMSQ('TS-PILE'!$D$56:$D$75))),IF('TS-PILE'!$B$71="",1E+99,'TO HOP NLAN'!D199/ncoc+IF(SUMSQ('TS-PILE'!$E$56:$E$75)=0,0,'TO HOP NLAN'!E199*'TS-PILE'!$E$71/SUMSQ('TS-PILE'!$E$56:$E$75))+IF(SUMSQ('TS-PILE'!$D$56:$D$75)=0,0,'TO HOP NLAN'!F199*'TS-PILE'!$D$71/SUMSQ('TS-PILE'!$D$56:$D$75))),IF('TS-PILE'!$B$72="",1E+99,'TO HOP NLAN'!D199/ncoc+IF(SUMSQ('TS-PILE'!$E$56:$E$75)=0,0,'TO HOP NLAN'!E199*'TS-PILE'!$E$72/SUMSQ('TS-PILE'!$E$56:$E$75))+IF(SUMSQ('TS-PILE'!$D$56:$D$75)=0,0,'TO HOP NLAN'!F199*'TS-PILE'!$D$72/SUMSQ('TS-PILE'!$D$56:$D$75))),IF('TS-PILE'!$B$73="",1E+99,'TO HOP NLAN'!D199/ncoc+IF(SUMSQ('TS-PILE'!$E$56:$E$75)=0,0,'TO HOP NLAN'!E199*'TS-PILE'!$E$73/SUMSQ('TS-PILE'!$E$56:$E$75))+IF(SUMSQ('TS-PILE'!$D$56:$D$75)=0,0,'TO HOP NLAN'!F199*'TS-PILE'!$D$73/SUMSQ('TS-PILE'!$D$56:$D$75))),IF('TS-PILE'!$B$74="",1E+99,'TO HOP NLAN'!D199/ncoc+IF(SUMSQ('TS-PILE'!$E$56:$E$75)=0,0,'TO HOP NLAN'!E199*'TS-PILE'!$E$74/SUMSQ('TS-PILE'!$E$56:$E$75))+IF(SUMSQ('TS-PILE'!$D$56:$D$75)=0,0,'TO HOP NLAN'!F199*'TS-PILE'!$D$74/SUMSQ('TS-PILE'!$D$56:$D$75))),IF('TS-PILE'!$B$75="",1E+99,'TO HOP NLAN'!D199/ncoc+IF(SUMSQ('TS-PILE'!$E$56:$E$75)=0,0,'TO HOP NLAN'!E199*'TS-PILE'!$E$75/SUMSQ('TS-PILE'!$E$56:$E$75))+IF(SUMSQ('TS-PILE'!$D$56:$D$75)=0,0,'TO HOP NLAN'!F199*'TS-PILE'!$D$75/SUMSQ('TS-PILE'!$D$56:$D$75)))))</f>
        <v>0</v>
      </c>
      <c r="E199" s="46">
        <f t="shared" si="12"/>
        <v>-9.9999999999999997E+98</v>
      </c>
      <c r="F199" s="46">
        <f t="shared" si="13"/>
        <v>9.9999999999999997E+98</v>
      </c>
      <c r="G199" s="46">
        <f t="shared" si="14"/>
        <v>-9.9999999999999997E+98</v>
      </c>
      <c r="H199" s="46">
        <f t="shared" si="15"/>
        <v>9.9999999999999997E+98</v>
      </c>
    </row>
    <row r="200" spans="1:8" x14ac:dyDescent="0.3">
      <c r="A200" s="40" t="str">
        <f>'TO HOP NLAN'!A200</f>
        <v/>
      </c>
      <c r="B200" s="40" t="str">
        <f>'TO HOP NLAN'!L200</f>
        <v>STRENGTH</v>
      </c>
      <c r="C200" s="46">
        <f>IF(A200="",0,MAX(IF('TS-PILE'!$B$56="",-1E+99,'TO HOP NLAN'!D200/ncoc+IF(SUMSQ('TS-PILE'!$E$56:$E$75)=0,0,'TO HOP NLAN'!E200*'TS-PILE'!$E$56/SUMSQ('TS-PILE'!$E$56:$E$75))+IF(SUMSQ('TS-PILE'!$D$56:$D$75)=0,0,'TO HOP NLAN'!F200*'TS-PILE'!$D$56/SUMSQ('TS-PILE'!$D$56:$D$75))),IF('TS-PILE'!$B$57="",-1E+99,'TO HOP NLAN'!D200/ncoc+IF(SUMSQ('TS-PILE'!$E$56:$E$75)=0,0,'TO HOP NLAN'!E200*'TS-PILE'!$E$57/SUMSQ('TS-PILE'!$E$56:$E$75))+IF(SUMSQ('TS-PILE'!$D$56:$D$75)=0,0,'TO HOP NLAN'!F200*'TS-PILE'!$D$57/SUMSQ('TS-PILE'!$D$56:$D$75))),IF('TS-PILE'!$B$58="",-1E+99,'TO HOP NLAN'!D200/ncoc+IF(SUMSQ('TS-PILE'!$E$56:$E$75)=0,0,'TO HOP NLAN'!E200*'TS-PILE'!$E$58/SUMSQ('TS-PILE'!$E$56:$E$75))+IF(SUMSQ('TS-PILE'!$D$56:$D$75)=0,0,'TO HOP NLAN'!F200*'TS-PILE'!$D$58/SUMSQ('TS-PILE'!$D$56:$D$75))),IF('TS-PILE'!$B$59="",-1E+99,'TO HOP NLAN'!D200/ncoc+IF(SUMSQ('TS-PILE'!$E$56:$E$75)=0,0,'TO HOP NLAN'!E200*'TS-PILE'!$E$59/SUMSQ('TS-PILE'!$E$56:$E$75))+IF(SUMSQ('TS-PILE'!$D$56:$D$75)=0,0,'TO HOP NLAN'!F200*'TS-PILE'!$D$59/SUMSQ('TS-PILE'!$D$56:$D$75))),IF('TS-PILE'!$B$60="",-1E+99,'TO HOP NLAN'!D200/ncoc+IF(SUMSQ('TS-PILE'!$E$56:$E$75)=0,0,'TO HOP NLAN'!E200*'TS-PILE'!$E$60/SUMSQ('TS-PILE'!$E$56:$E$75))+IF(SUMSQ('TS-PILE'!$D$56:$D$75)=0,0,'TO HOP NLAN'!F200*'TS-PILE'!$D$60/SUMSQ('TS-PILE'!$D$56:$D$75))),IF('TS-PILE'!$B$61="",-1E+99,'TO HOP NLAN'!D200/ncoc+IF(SUMSQ('TS-PILE'!$E$56:$E$75)=0,0,'TO HOP NLAN'!E200*'TS-PILE'!$E$61/SUMSQ('TS-PILE'!$E$56:$E$75))+IF(SUMSQ('TS-PILE'!$D$56:$D$75)=0,0,'TO HOP NLAN'!F200*'TS-PILE'!$D$61/SUMSQ('TS-PILE'!$D$56:$D$75))),IF('TS-PILE'!$B$62="",-1E+99,'TO HOP NLAN'!D200/ncoc+IF(SUMSQ('TS-PILE'!$E$56:$E$75)=0,0,'TO HOP NLAN'!E200*'TS-PILE'!$E$62/SUMSQ('TS-PILE'!$E$56:$E$75))+IF(SUMSQ('TS-PILE'!$D$56:$D$75)=0,0,'TO HOP NLAN'!F200*'TS-PILE'!$D$62/SUMSQ('TS-PILE'!$D$56:$D$75))),IF('TS-PILE'!$B$63="",-1E+99,'TO HOP NLAN'!D200/ncoc+IF(SUMSQ('TS-PILE'!$E$56:$E$75)=0,0,'TO HOP NLAN'!E200*'TS-PILE'!$E$63/SUMSQ('TS-PILE'!$E$56:$E$75))+IF(SUMSQ('TS-PILE'!$D$56:$D$75)=0,0,'TO HOP NLAN'!F200*'TS-PILE'!$D$63/SUMSQ('TS-PILE'!$D$56:$D$75))),IF('TS-PILE'!$B$64="",-1E+99,'TO HOP NLAN'!D200/ncoc+IF(SUMSQ('TS-PILE'!$E$56:$E$75)=0,0,'TO HOP NLAN'!E200*'TS-PILE'!$E$64/SUMSQ('TS-PILE'!$E$56:$E$75))+IF(SUMSQ('TS-PILE'!$D$56:$D$75)=0,0,'TO HOP NLAN'!F200*'TS-PILE'!$D$64/SUMSQ('TS-PILE'!$D$56:$D$75))),IF('TS-PILE'!$B$65="",-1E+99,'TO HOP NLAN'!D200/ncoc+IF(SUMSQ('TS-PILE'!$E$56:$E$75)=0,0,'TO HOP NLAN'!E200*'TS-PILE'!$E$65/SUMSQ('TS-PILE'!$E$56:$E$75))+IF(SUMSQ('TS-PILE'!$D$56:$D$75)=0,0,'TO HOP NLAN'!F200*'TS-PILE'!$D$65/SUMSQ('TS-PILE'!$D$56:$D$75))),IF('TS-PILE'!$B$66="",-1E+99,'TO HOP NLAN'!D200/ncoc+IF(SUMSQ('TS-PILE'!$E$56:$E$75)=0,0,'TO HOP NLAN'!E200*'TS-PILE'!$E$66/SUMSQ('TS-PILE'!$E$56:$E$75))+IF(SUMSQ('TS-PILE'!$D$56:$D$75)=0,0,'TO HOP NLAN'!F200*'TS-PILE'!$D$66/SUMSQ('TS-PILE'!$D$56:$D$75))),IF('TS-PILE'!$B$67="",-1E+99,'TO HOP NLAN'!D200/ncoc+IF(SUMSQ('TS-PILE'!$E$56:$E$75)=0,0,'TO HOP NLAN'!E200*'TS-PILE'!$E$67/SUMSQ('TS-PILE'!$E$56:$E$75))+IF(SUMSQ('TS-PILE'!$D$56:$D$75)=0,0,'TO HOP NLAN'!F200*'TS-PILE'!$D$67/SUMSQ('TS-PILE'!$D$56:$D$75))),IF('TS-PILE'!$B$68="",-1E+99,'TO HOP NLAN'!D200/ncoc+IF(SUMSQ('TS-PILE'!$E$56:$E$75)=0,0,'TO HOP NLAN'!E200*'TS-PILE'!$E$68/SUMSQ('TS-PILE'!$E$56:$E$75))+IF(SUMSQ('TS-PILE'!$D$56:$D$75)=0,0,'TO HOP NLAN'!F200*'TS-PILE'!$D$68/SUMSQ('TS-PILE'!$D$56:$D$75))),IF('TS-PILE'!$B$69="",-1E+99,'TO HOP NLAN'!D200/ncoc+IF(SUMSQ('TS-PILE'!$E$56:$E$75)=0,0,'TO HOP NLAN'!E200*'TS-PILE'!$E$69/SUMSQ('TS-PILE'!$E$56:$E$75))+IF(SUMSQ('TS-PILE'!$D$56:$D$75)=0,0,'TO HOP NLAN'!F200*'TS-PILE'!$D$69/SUMSQ('TS-PILE'!$D$56:$D$75))),IF('TS-PILE'!$B$70="",-1E+99,'TO HOP NLAN'!D200/ncoc+IF(SUMSQ('TS-PILE'!$E$56:$E$75)=0,0,'TO HOP NLAN'!E200*'TS-PILE'!$E$70/SUMSQ('TS-PILE'!$E$56:$E$75))+IF(SUMSQ('TS-PILE'!$D$56:$D$75)=0,0,'TO HOP NLAN'!F200*'TS-PILE'!$D$70/SUMSQ('TS-PILE'!$D$56:$D$75))),IF('TS-PILE'!$B$71="",-1E+99,'TO HOP NLAN'!D200/ncoc+IF(SUMSQ('TS-PILE'!$E$56:$E$75)=0,0,'TO HOP NLAN'!E200*'TS-PILE'!$E$71/SUMSQ('TS-PILE'!$E$56:$E$75))+IF(SUMSQ('TS-PILE'!$D$56:$D$75)=0,0,'TO HOP NLAN'!F200*'TS-PILE'!$D$71/SUMSQ('TS-PILE'!$D$56:$D$75))),IF('TS-PILE'!$B$72="",-1E+99,'TO HOP NLAN'!D200/ncoc+IF(SUMSQ('TS-PILE'!$E$56:$E$75)=0,0,'TO HOP NLAN'!E200*'TS-PILE'!$E$72/SUMSQ('TS-PILE'!$E$56:$E$75))+IF(SUMSQ('TS-PILE'!$D$56:$D$75)=0,0,'TO HOP NLAN'!F200*'TS-PILE'!$D$72/SUMSQ('TS-PILE'!$D$56:$D$75))),IF('TS-PILE'!$B$73="",-1E+99,'TO HOP NLAN'!D200/ncoc+IF(SUMSQ('TS-PILE'!$E$56:$E$75)=0,0,'TO HOP NLAN'!E200*'TS-PILE'!$E$73/SUMSQ('TS-PILE'!$E$56:$E$75))+IF(SUMSQ('TS-PILE'!$D$56:$D$75)=0,0,'TO HOP NLAN'!F200*'TS-PILE'!$D$73/SUMSQ('TS-PILE'!$D$56:$D$75))),IF('TS-PILE'!$B$74="",-1E+99,'TO HOP NLAN'!D200/ncoc+IF(SUMSQ('TS-PILE'!$E$56:$E$75)=0,0,'TO HOP NLAN'!E200*'TS-PILE'!$E$74/SUMSQ('TS-PILE'!$E$56:$E$75))+IF(SUMSQ('TS-PILE'!$D$56:$D$75)=0,0,'TO HOP NLAN'!F200*'TS-PILE'!$D$74/SUMSQ('TS-PILE'!$D$56:$D$75))),IF('TS-PILE'!$B$75="",-1E+99,'TO HOP NLAN'!D200/ncoc+IF(SUMSQ('TS-PILE'!$E$56:$E$75)=0,0,'TO HOP NLAN'!E200*'TS-PILE'!$E$75/SUMSQ('TS-PILE'!$E$56:$E$75))+IF(SUMSQ('TS-PILE'!$D$56:$D$75)=0,0,'TO HOP NLAN'!F200*'TS-PILE'!$D$75/SUMSQ('TS-PILE'!$D$56:$D$75)))))</f>
        <v>0</v>
      </c>
      <c r="D200" s="46">
        <f>IF(A200="",0,MIN(IF('TS-PILE'!$B$56="",1E+99,'TO HOP NLAN'!D200/ncoc+IF(SUMSQ('TS-PILE'!$E$56:$E$75)=0,0,'TO HOP NLAN'!E200*'TS-PILE'!$E$56/SUMSQ('TS-PILE'!$E$56:$E$75))+IF(SUMSQ('TS-PILE'!$D$56:$D$75)=0,0,'TO HOP NLAN'!F200*'TS-PILE'!$D$56/SUMSQ('TS-PILE'!$D$56:$D$75))),IF('TS-PILE'!$B$57="",1E+99,'TO HOP NLAN'!D200/ncoc+IF(SUMSQ('TS-PILE'!$E$56:$E$75)=0,0,'TO HOP NLAN'!E200*'TS-PILE'!$E$57/SUMSQ('TS-PILE'!$E$56:$E$75))+IF(SUMSQ('TS-PILE'!$D$56:$D$75)=0,0,'TO HOP NLAN'!F200*'TS-PILE'!$D$57/SUMSQ('TS-PILE'!$D$56:$D$75))),IF('TS-PILE'!$B$58="",1E+99,'TO HOP NLAN'!D200/ncoc+IF(SUMSQ('TS-PILE'!$E$56:$E$75)=0,0,'TO HOP NLAN'!E200*'TS-PILE'!$E$58/SUMSQ('TS-PILE'!$E$56:$E$75))+IF(SUMSQ('TS-PILE'!$D$56:$D$75)=0,0,'TO HOP NLAN'!F200*'TS-PILE'!$D$58/SUMSQ('TS-PILE'!$D$56:$D$75))),IF('TS-PILE'!$B$59="",1E+99,'TO HOP NLAN'!D200/ncoc+IF(SUMSQ('TS-PILE'!$E$56:$E$75)=0,0,'TO HOP NLAN'!E200*'TS-PILE'!$E$59/SUMSQ('TS-PILE'!$E$56:$E$75))+IF(SUMSQ('TS-PILE'!$D$56:$D$75)=0,0,'TO HOP NLAN'!F200*'TS-PILE'!$D$59/SUMSQ('TS-PILE'!$D$56:$D$75))),IF('TS-PILE'!$B$60="",1E+99,'TO HOP NLAN'!D200/ncoc+IF(SUMSQ('TS-PILE'!$E$56:$E$75)=0,0,'TO HOP NLAN'!E200*'TS-PILE'!$E$60/SUMSQ('TS-PILE'!$E$56:$E$75))+IF(SUMSQ('TS-PILE'!$D$56:$D$75)=0,0,'TO HOP NLAN'!F200*'TS-PILE'!$D$60/SUMSQ('TS-PILE'!$D$56:$D$75))),IF('TS-PILE'!$B$61="",1E+99,'TO HOP NLAN'!D200/ncoc+IF(SUMSQ('TS-PILE'!$E$56:$E$75)=0,0,'TO HOP NLAN'!E200*'TS-PILE'!$E$61/SUMSQ('TS-PILE'!$E$56:$E$75))+IF(SUMSQ('TS-PILE'!$D$56:$D$75)=0,0,'TO HOP NLAN'!F200*'TS-PILE'!$D$61/SUMSQ('TS-PILE'!$D$56:$D$75))),IF('TS-PILE'!$B$62="",1E+99,'TO HOP NLAN'!D200/ncoc+IF(SUMSQ('TS-PILE'!$E$56:$E$75)=0,0,'TO HOP NLAN'!E200*'TS-PILE'!$E$62/SUMSQ('TS-PILE'!$E$56:$E$75))+IF(SUMSQ('TS-PILE'!$D$56:$D$75)=0,0,'TO HOP NLAN'!F200*'TS-PILE'!$D$62/SUMSQ('TS-PILE'!$D$56:$D$75))),IF('TS-PILE'!$B$63="",1E+99,'TO HOP NLAN'!D200/ncoc+IF(SUMSQ('TS-PILE'!$E$56:$E$75)=0,0,'TO HOP NLAN'!E200*'TS-PILE'!$E$63/SUMSQ('TS-PILE'!$E$56:$E$75))+IF(SUMSQ('TS-PILE'!$D$56:$D$75)=0,0,'TO HOP NLAN'!F200*'TS-PILE'!$D$63/SUMSQ('TS-PILE'!$D$56:$D$75))),IF('TS-PILE'!$B$64="",1E+99,'TO HOP NLAN'!D200/ncoc+IF(SUMSQ('TS-PILE'!$E$56:$E$75)=0,0,'TO HOP NLAN'!E200*'TS-PILE'!$E$64/SUMSQ('TS-PILE'!$E$56:$E$75))+IF(SUMSQ('TS-PILE'!$D$56:$D$75)=0,0,'TO HOP NLAN'!F200*'TS-PILE'!$D$64/SUMSQ('TS-PILE'!$D$56:$D$75))),IF('TS-PILE'!$B$65="",1E+99,'TO HOP NLAN'!D200/ncoc+IF(SUMSQ('TS-PILE'!$E$56:$E$75)=0,0,'TO HOP NLAN'!E200*'TS-PILE'!$E$65/SUMSQ('TS-PILE'!$E$56:$E$75))+IF(SUMSQ('TS-PILE'!$D$56:$D$75)=0,0,'TO HOP NLAN'!F200*'TS-PILE'!$D$65/SUMSQ('TS-PILE'!$D$56:$D$75))),IF('TS-PILE'!$B$66="",1E+99,'TO HOP NLAN'!D200/ncoc+IF(SUMSQ('TS-PILE'!$E$56:$E$75)=0,0,'TO HOP NLAN'!E200*'TS-PILE'!$E$66/SUMSQ('TS-PILE'!$E$56:$E$75))+IF(SUMSQ('TS-PILE'!$D$56:$D$75)=0,0,'TO HOP NLAN'!F200*'TS-PILE'!$D$66/SUMSQ('TS-PILE'!$D$56:$D$75))),IF('TS-PILE'!$B$67="",1E+99,'TO HOP NLAN'!D200/ncoc+IF(SUMSQ('TS-PILE'!$E$56:$E$75)=0,0,'TO HOP NLAN'!E200*'TS-PILE'!$E$67/SUMSQ('TS-PILE'!$E$56:$E$75))+IF(SUMSQ('TS-PILE'!$D$56:$D$75)=0,0,'TO HOP NLAN'!F200*'TS-PILE'!$D$67/SUMSQ('TS-PILE'!$D$56:$D$75))),IF('TS-PILE'!$B$68="",1E+99,'TO HOP NLAN'!D200/ncoc+IF(SUMSQ('TS-PILE'!$E$56:$E$75)=0,0,'TO HOP NLAN'!E200*'TS-PILE'!$E$68/SUMSQ('TS-PILE'!$E$56:$E$75))+IF(SUMSQ('TS-PILE'!$D$56:$D$75)=0,0,'TO HOP NLAN'!F200*'TS-PILE'!$D$68/SUMSQ('TS-PILE'!$D$56:$D$75))),IF('TS-PILE'!$B$69="",1E+99,'TO HOP NLAN'!D200/ncoc+IF(SUMSQ('TS-PILE'!$E$56:$E$75)=0,0,'TO HOP NLAN'!E200*'TS-PILE'!$E$69/SUMSQ('TS-PILE'!$E$56:$E$75))+IF(SUMSQ('TS-PILE'!$D$56:$D$75)=0,0,'TO HOP NLAN'!F200*'TS-PILE'!$D$69/SUMSQ('TS-PILE'!$D$56:$D$75))),IF('TS-PILE'!$B$70="",1E+99,'TO HOP NLAN'!D200/ncoc+IF(SUMSQ('TS-PILE'!$E$56:$E$75)=0,0,'TO HOP NLAN'!E200*'TS-PILE'!$E$70/SUMSQ('TS-PILE'!$E$56:$E$75))+IF(SUMSQ('TS-PILE'!$D$56:$D$75)=0,0,'TO HOP NLAN'!F200*'TS-PILE'!$D$70/SUMSQ('TS-PILE'!$D$56:$D$75))),IF('TS-PILE'!$B$71="",1E+99,'TO HOP NLAN'!D200/ncoc+IF(SUMSQ('TS-PILE'!$E$56:$E$75)=0,0,'TO HOP NLAN'!E200*'TS-PILE'!$E$71/SUMSQ('TS-PILE'!$E$56:$E$75))+IF(SUMSQ('TS-PILE'!$D$56:$D$75)=0,0,'TO HOP NLAN'!F200*'TS-PILE'!$D$71/SUMSQ('TS-PILE'!$D$56:$D$75))),IF('TS-PILE'!$B$72="",1E+99,'TO HOP NLAN'!D200/ncoc+IF(SUMSQ('TS-PILE'!$E$56:$E$75)=0,0,'TO HOP NLAN'!E200*'TS-PILE'!$E$72/SUMSQ('TS-PILE'!$E$56:$E$75))+IF(SUMSQ('TS-PILE'!$D$56:$D$75)=0,0,'TO HOP NLAN'!F200*'TS-PILE'!$D$72/SUMSQ('TS-PILE'!$D$56:$D$75))),IF('TS-PILE'!$B$73="",1E+99,'TO HOP NLAN'!D200/ncoc+IF(SUMSQ('TS-PILE'!$E$56:$E$75)=0,0,'TO HOP NLAN'!E200*'TS-PILE'!$E$73/SUMSQ('TS-PILE'!$E$56:$E$75))+IF(SUMSQ('TS-PILE'!$D$56:$D$75)=0,0,'TO HOP NLAN'!F200*'TS-PILE'!$D$73/SUMSQ('TS-PILE'!$D$56:$D$75))),IF('TS-PILE'!$B$74="",1E+99,'TO HOP NLAN'!D200/ncoc+IF(SUMSQ('TS-PILE'!$E$56:$E$75)=0,0,'TO HOP NLAN'!E200*'TS-PILE'!$E$74/SUMSQ('TS-PILE'!$E$56:$E$75))+IF(SUMSQ('TS-PILE'!$D$56:$D$75)=0,0,'TO HOP NLAN'!F200*'TS-PILE'!$D$74/SUMSQ('TS-PILE'!$D$56:$D$75))),IF('TS-PILE'!$B$75="",1E+99,'TO HOP NLAN'!D200/ncoc+IF(SUMSQ('TS-PILE'!$E$56:$E$75)=0,0,'TO HOP NLAN'!E200*'TS-PILE'!$E$75/SUMSQ('TS-PILE'!$E$56:$E$75))+IF(SUMSQ('TS-PILE'!$D$56:$D$75)=0,0,'TO HOP NLAN'!F200*'TS-PILE'!$D$75/SUMSQ('TS-PILE'!$D$56:$D$75)))))</f>
        <v>0</v>
      </c>
      <c r="E200" s="46">
        <f t="shared" si="12"/>
        <v>-9.9999999999999997E+98</v>
      </c>
      <c r="F200" s="46">
        <f t="shared" si="13"/>
        <v>9.9999999999999997E+98</v>
      </c>
      <c r="G200" s="46">
        <f t="shared" si="14"/>
        <v>-9.9999999999999997E+98</v>
      </c>
      <c r="H200" s="46">
        <f t="shared" si="15"/>
        <v>9.9999999999999997E+98</v>
      </c>
    </row>
    <row r="201" spans="1:8" x14ac:dyDescent="0.3">
      <c r="A201" s="40" t="str">
        <f>'TO HOP NLAN'!A201</f>
        <v/>
      </c>
      <c r="B201" s="40" t="str">
        <f>'TO HOP NLAN'!L201</f>
        <v>STRENGTH</v>
      </c>
      <c r="C201" s="46">
        <f>IF(A201="",0,MAX(IF('TS-PILE'!$B$56="",-1E+99,'TO HOP NLAN'!D201/ncoc+IF(SUMSQ('TS-PILE'!$E$56:$E$75)=0,0,'TO HOP NLAN'!E201*'TS-PILE'!$E$56/SUMSQ('TS-PILE'!$E$56:$E$75))+IF(SUMSQ('TS-PILE'!$D$56:$D$75)=0,0,'TO HOP NLAN'!F201*'TS-PILE'!$D$56/SUMSQ('TS-PILE'!$D$56:$D$75))),IF('TS-PILE'!$B$57="",-1E+99,'TO HOP NLAN'!D201/ncoc+IF(SUMSQ('TS-PILE'!$E$56:$E$75)=0,0,'TO HOP NLAN'!E201*'TS-PILE'!$E$57/SUMSQ('TS-PILE'!$E$56:$E$75))+IF(SUMSQ('TS-PILE'!$D$56:$D$75)=0,0,'TO HOP NLAN'!F201*'TS-PILE'!$D$57/SUMSQ('TS-PILE'!$D$56:$D$75))),IF('TS-PILE'!$B$58="",-1E+99,'TO HOP NLAN'!D201/ncoc+IF(SUMSQ('TS-PILE'!$E$56:$E$75)=0,0,'TO HOP NLAN'!E201*'TS-PILE'!$E$58/SUMSQ('TS-PILE'!$E$56:$E$75))+IF(SUMSQ('TS-PILE'!$D$56:$D$75)=0,0,'TO HOP NLAN'!F201*'TS-PILE'!$D$58/SUMSQ('TS-PILE'!$D$56:$D$75))),IF('TS-PILE'!$B$59="",-1E+99,'TO HOP NLAN'!D201/ncoc+IF(SUMSQ('TS-PILE'!$E$56:$E$75)=0,0,'TO HOP NLAN'!E201*'TS-PILE'!$E$59/SUMSQ('TS-PILE'!$E$56:$E$75))+IF(SUMSQ('TS-PILE'!$D$56:$D$75)=0,0,'TO HOP NLAN'!F201*'TS-PILE'!$D$59/SUMSQ('TS-PILE'!$D$56:$D$75))),IF('TS-PILE'!$B$60="",-1E+99,'TO HOP NLAN'!D201/ncoc+IF(SUMSQ('TS-PILE'!$E$56:$E$75)=0,0,'TO HOP NLAN'!E201*'TS-PILE'!$E$60/SUMSQ('TS-PILE'!$E$56:$E$75))+IF(SUMSQ('TS-PILE'!$D$56:$D$75)=0,0,'TO HOP NLAN'!F201*'TS-PILE'!$D$60/SUMSQ('TS-PILE'!$D$56:$D$75))),IF('TS-PILE'!$B$61="",-1E+99,'TO HOP NLAN'!D201/ncoc+IF(SUMSQ('TS-PILE'!$E$56:$E$75)=0,0,'TO HOP NLAN'!E201*'TS-PILE'!$E$61/SUMSQ('TS-PILE'!$E$56:$E$75))+IF(SUMSQ('TS-PILE'!$D$56:$D$75)=0,0,'TO HOP NLAN'!F201*'TS-PILE'!$D$61/SUMSQ('TS-PILE'!$D$56:$D$75))),IF('TS-PILE'!$B$62="",-1E+99,'TO HOP NLAN'!D201/ncoc+IF(SUMSQ('TS-PILE'!$E$56:$E$75)=0,0,'TO HOP NLAN'!E201*'TS-PILE'!$E$62/SUMSQ('TS-PILE'!$E$56:$E$75))+IF(SUMSQ('TS-PILE'!$D$56:$D$75)=0,0,'TO HOP NLAN'!F201*'TS-PILE'!$D$62/SUMSQ('TS-PILE'!$D$56:$D$75))),IF('TS-PILE'!$B$63="",-1E+99,'TO HOP NLAN'!D201/ncoc+IF(SUMSQ('TS-PILE'!$E$56:$E$75)=0,0,'TO HOP NLAN'!E201*'TS-PILE'!$E$63/SUMSQ('TS-PILE'!$E$56:$E$75))+IF(SUMSQ('TS-PILE'!$D$56:$D$75)=0,0,'TO HOP NLAN'!F201*'TS-PILE'!$D$63/SUMSQ('TS-PILE'!$D$56:$D$75))),IF('TS-PILE'!$B$64="",-1E+99,'TO HOP NLAN'!D201/ncoc+IF(SUMSQ('TS-PILE'!$E$56:$E$75)=0,0,'TO HOP NLAN'!E201*'TS-PILE'!$E$64/SUMSQ('TS-PILE'!$E$56:$E$75))+IF(SUMSQ('TS-PILE'!$D$56:$D$75)=0,0,'TO HOP NLAN'!F201*'TS-PILE'!$D$64/SUMSQ('TS-PILE'!$D$56:$D$75))),IF('TS-PILE'!$B$65="",-1E+99,'TO HOP NLAN'!D201/ncoc+IF(SUMSQ('TS-PILE'!$E$56:$E$75)=0,0,'TO HOP NLAN'!E201*'TS-PILE'!$E$65/SUMSQ('TS-PILE'!$E$56:$E$75))+IF(SUMSQ('TS-PILE'!$D$56:$D$75)=0,0,'TO HOP NLAN'!F201*'TS-PILE'!$D$65/SUMSQ('TS-PILE'!$D$56:$D$75))),IF('TS-PILE'!$B$66="",-1E+99,'TO HOP NLAN'!D201/ncoc+IF(SUMSQ('TS-PILE'!$E$56:$E$75)=0,0,'TO HOP NLAN'!E201*'TS-PILE'!$E$66/SUMSQ('TS-PILE'!$E$56:$E$75))+IF(SUMSQ('TS-PILE'!$D$56:$D$75)=0,0,'TO HOP NLAN'!F201*'TS-PILE'!$D$66/SUMSQ('TS-PILE'!$D$56:$D$75))),IF('TS-PILE'!$B$67="",-1E+99,'TO HOP NLAN'!D201/ncoc+IF(SUMSQ('TS-PILE'!$E$56:$E$75)=0,0,'TO HOP NLAN'!E201*'TS-PILE'!$E$67/SUMSQ('TS-PILE'!$E$56:$E$75))+IF(SUMSQ('TS-PILE'!$D$56:$D$75)=0,0,'TO HOP NLAN'!F201*'TS-PILE'!$D$67/SUMSQ('TS-PILE'!$D$56:$D$75))),IF('TS-PILE'!$B$68="",-1E+99,'TO HOP NLAN'!D201/ncoc+IF(SUMSQ('TS-PILE'!$E$56:$E$75)=0,0,'TO HOP NLAN'!E201*'TS-PILE'!$E$68/SUMSQ('TS-PILE'!$E$56:$E$75))+IF(SUMSQ('TS-PILE'!$D$56:$D$75)=0,0,'TO HOP NLAN'!F201*'TS-PILE'!$D$68/SUMSQ('TS-PILE'!$D$56:$D$75))),IF('TS-PILE'!$B$69="",-1E+99,'TO HOP NLAN'!D201/ncoc+IF(SUMSQ('TS-PILE'!$E$56:$E$75)=0,0,'TO HOP NLAN'!E201*'TS-PILE'!$E$69/SUMSQ('TS-PILE'!$E$56:$E$75))+IF(SUMSQ('TS-PILE'!$D$56:$D$75)=0,0,'TO HOP NLAN'!F201*'TS-PILE'!$D$69/SUMSQ('TS-PILE'!$D$56:$D$75))),IF('TS-PILE'!$B$70="",-1E+99,'TO HOP NLAN'!D201/ncoc+IF(SUMSQ('TS-PILE'!$E$56:$E$75)=0,0,'TO HOP NLAN'!E201*'TS-PILE'!$E$70/SUMSQ('TS-PILE'!$E$56:$E$75))+IF(SUMSQ('TS-PILE'!$D$56:$D$75)=0,0,'TO HOP NLAN'!F201*'TS-PILE'!$D$70/SUMSQ('TS-PILE'!$D$56:$D$75))),IF('TS-PILE'!$B$71="",-1E+99,'TO HOP NLAN'!D201/ncoc+IF(SUMSQ('TS-PILE'!$E$56:$E$75)=0,0,'TO HOP NLAN'!E201*'TS-PILE'!$E$71/SUMSQ('TS-PILE'!$E$56:$E$75))+IF(SUMSQ('TS-PILE'!$D$56:$D$75)=0,0,'TO HOP NLAN'!F201*'TS-PILE'!$D$71/SUMSQ('TS-PILE'!$D$56:$D$75))),IF('TS-PILE'!$B$72="",-1E+99,'TO HOP NLAN'!D201/ncoc+IF(SUMSQ('TS-PILE'!$E$56:$E$75)=0,0,'TO HOP NLAN'!E201*'TS-PILE'!$E$72/SUMSQ('TS-PILE'!$E$56:$E$75))+IF(SUMSQ('TS-PILE'!$D$56:$D$75)=0,0,'TO HOP NLAN'!F201*'TS-PILE'!$D$72/SUMSQ('TS-PILE'!$D$56:$D$75))),IF('TS-PILE'!$B$73="",-1E+99,'TO HOP NLAN'!D201/ncoc+IF(SUMSQ('TS-PILE'!$E$56:$E$75)=0,0,'TO HOP NLAN'!E201*'TS-PILE'!$E$73/SUMSQ('TS-PILE'!$E$56:$E$75))+IF(SUMSQ('TS-PILE'!$D$56:$D$75)=0,0,'TO HOP NLAN'!F201*'TS-PILE'!$D$73/SUMSQ('TS-PILE'!$D$56:$D$75))),IF('TS-PILE'!$B$74="",-1E+99,'TO HOP NLAN'!D201/ncoc+IF(SUMSQ('TS-PILE'!$E$56:$E$75)=0,0,'TO HOP NLAN'!E201*'TS-PILE'!$E$74/SUMSQ('TS-PILE'!$E$56:$E$75))+IF(SUMSQ('TS-PILE'!$D$56:$D$75)=0,0,'TO HOP NLAN'!F201*'TS-PILE'!$D$74/SUMSQ('TS-PILE'!$D$56:$D$75))),IF('TS-PILE'!$B$75="",-1E+99,'TO HOP NLAN'!D201/ncoc+IF(SUMSQ('TS-PILE'!$E$56:$E$75)=0,0,'TO HOP NLAN'!E201*'TS-PILE'!$E$75/SUMSQ('TS-PILE'!$E$56:$E$75))+IF(SUMSQ('TS-PILE'!$D$56:$D$75)=0,0,'TO HOP NLAN'!F201*'TS-PILE'!$D$75/SUMSQ('TS-PILE'!$D$56:$D$75)))))</f>
        <v>0</v>
      </c>
      <c r="D201" s="46">
        <f>IF(A201="",0,MIN(IF('TS-PILE'!$B$56="",1E+99,'TO HOP NLAN'!D201/ncoc+IF(SUMSQ('TS-PILE'!$E$56:$E$75)=0,0,'TO HOP NLAN'!E201*'TS-PILE'!$E$56/SUMSQ('TS-PILE'!$E$56:$E$75))+IF(SUMSQ('TS-PILE'!$D$56:$D$75)=0,0,'TO HOP NLAN'!F201*'TS-PILE'!$D$56/SUMSQ('TS-PILE'!$D$56:$D$75))),IF('TS-PILE'!$B$57="",1E+99,'TO HOP NLAN'!D201/ncoc+IF(SUMSQ('TS-PILE'!$E$56:$E$75)=0,0,'TO HOP NLAN'!E201*'TS-PILE'!$E$57/SUMSQ('TS-PILE'!$E$56:$E$75))+IF(SUMSQ('TS-PILE'!$D$56:$D$75)=0,0,'TO HOP NLAN'!F201*'TS-PILE'!$D$57/SUMSQ('TS-PILE'!$D$56:$D$75))),IF('TS-PILE'!$B$58="",1E+99,'TO HOP NLAN'!D201/ncoc+IF(SUMSQ('TS-PILE'!$E$56:$E$75)=0,0,'TO HOP NLAN'!E201*'TS-PILE'!$E$58/SUMSQ('TS-PILE'!$E$56:$E$75))+IF(SUMSQ('TS-PILE'!$D$56:$D$75)=0,0,'TO HOP NLAN'!F201*'TS-PILE'!$D$58/SUMSQ('TS-PILE'!$D$56:$D$75))),IF('TS-PILE'!$B$59="",1E+99,'TO HOP NLAN'!D201/ncoc+IF(SUMSQ('TS-PILE'!$E$56:$E$75)=0,0,'TO HOP NLAN'!E201*'TS-PILE'!$E$59/SUMSQ('TS-PILE'!$E$56:$E$75))+IF(SUMSQ('TS-PILE'!$D$56:$D$75)=0,0,'TO HOP NLAN'!F201*'TS-PILE'!$D$59/SUMSQ('TS-PILE'!$D$56:$D$75))),IF('TS-PILE'!$B$60="",1E+99,'TO HOP NLAN'!D201/ncoc+IF(SUMSQ('TS-PILE'!$E$56:$E$75)=0,0,'TO HOP NLAN'!E201*'TS-PILE'!$E$60/SUMSQ('TS-PILE'!$E$56:$E$75))+IF(SUMSQ('TS-PILE'!$D$56:$D$75)=0,0,'TO HOP NLAN'!F201*'TS-PILE'!$D$60/SUMSQ('TS-PILE'!$D$56:$D$75))),IF('TS-PILE'!$B$61="",1E+99,'TO HOP NLAN'!D201/ncoc+IF(SUMSQ('TS-PILE'!$E$56:$E$75)=0,0,'TO HOP NLAN'!E201*'TS-PILE'!$E$61/SUMSQ('TS-PILE'!$E$56:$E$75))+IF(SUMSQ('TS-PILE'!$D$56:$D$75)=0,0,'TO HOP NLAN'!F201*'TS-PILE'!$D$61/SUMSQ('TS-PILE'!$D$56:$D$75))),IF('TS-PILE'!$B$62="",1E+99,'TO HOP NLAN'!D201/ncoc+IF(SUMSQ('TS-PILE'!$E$56:$E$75)=0,0,'TO HOP NLAN'!E201*'TS-PILE'!$E$62/SUMSQ('TS-PILE'!$E$56:$E$75))+IF(SUMSQ('TS-PILE'!$D$56:$D$75)=0,0,'TO HOP NLAN'!F201*'TS-PILE'!$D$62/SUMSQ('TS-PILE'!$D$56:$D$75))),IF('TS-PILE'!$B$63="",1E+99,'TO HOP NLAN'!D201/ncoc+IF(SUMSQ('TS-PILE'!$E$56:$E$75)=0,0,'TO HOP NLAN'!E201*'TS-PILE'!$E$63/SUMSQ('TS-PILE'!$E$56:$E$75))+IF(SUMSQ('TS-PILE'!$D$56:$D$75)=0,0,'TO HOP NLAN'!F201*'TS-PILE'!$D$63/SUMSQ('TS-PILE'!$D$56:$D$75))),IF('TS-PILE'!$B$64="",1E+99,'TO HOP NLAN'!D201/ncoc+IF(SUMSQ('TS-PILE'!$E$56:$E$75)=0,0,'TO HOP NLAN'!E201*'TS-PILE'!$E$64/SUMSQ('TS-PILE'!$E$56:$E$75))+IF(SUMSQ('TS-PILE'!$D$56:$D$75)=0,0,'TO HOP NLAN'!F201*'TS-PILE'!$D$64/SUMSQ('TS-PILE'!$D$56:$D$75))),IF('TS-PILE'!$B$65="",1E+99,'TO HOP NLAN'!D201/ncoc+IF(SUMSQ('TS-PILE'!$E$56:$E$75)=0,0,'TO HOP NLAN'!E201*'TS-PILE'!$E$65/SUMSQ('TS-PILE'!$E$56:$E$75))+IF(SUMSQ('TS-PILE'!$D$56:$D$75)=0,0,'TO HOP NLAN'!F201*'TS-PILE'!$D$65/SUMSQ('TS-PILE'!$D$56:$D$75))),IF('TS-PILE'!$B$66="",1E+99,'TO HOP NLAN'!D201/ncoc+IF(SUMSQ('TS-PILE'!$E$56:$E$75)=0,0,'TO HOP NLAN'!E201*'TS-PILE'!$E$66/SUMSQ('TS-PILE'!$E$56:$E$75))+IF(SUMSQ('TS-PILE'!$D$56:$D$75)=0,0,'TO HOP NLAN'!F201*'TS-PILE'!$D$66/SUMSQ('TS-PILE'!$D$56:$D$75))),IF('TS-PILE'!$B$67="",1E+99,'TO HOP NLAN'!D201/ncoc+IF(SUMSQ('TS-PILE'!$E$56:$E$75)=0,0,'TO HOP NLAN'!E201*'TS-PILE'!$E$67/SUMSQ('TS-PILE'!$E$56:$E$75))+IF(SUMSQ('TS-PILE'!$D$56:$D$75)=0,0,'TO HOP NLAN'!F201*'TS-PILE'!$D$67/SUMSQ('TS-PILE'!$D$56:$D$75))),IF('TS-PILE'!$B$68="",1E+99,'TO HOP NLAN'!D201/ncoc+IF(SUMSQ('TS-PILE'!$E$56:$E$75)=0,0,'TO HOP NLAN'!E201*'TS-PILE'!$E$68/SUMSQ('TS-PILE'!$E$56:$E$75))+IF(SUMSQ('TS-PILE'!$D$56:$D$75)=0,0,'TO HOP NLAN'!F201*'TS-PILE'!$D$68/SUMSQ('TS-PILE'!$D$56:$D$75))),IF('TS-PILE'!$B$69="",1E+99,'TO HOP NLAN'!D201/ncoc+IF(SUMSQ('TS-PILE'!$E$56:$E$75)=0,0,'TO HOP NLAN'!E201*'TS-PILE'!$E$69/SUMSQ('TS-PILE'!$E$56:$E$75))+IF(SUMSQ('TS-PILE'!$D$56:$D$75)=0,0,'TO HOP NLAN'!F201*'TS-PILE'!$D$69/SUMSQ('TS-PILE'!$D$56:$D$75))),IF('TS-PILE'!$B$70="",1E+99,'TO HOP NLAN'!D201/ncoc+IF(SUMSQ('TS-PILE'!$E$56:$E$75)=0,0,'TO HOP NLAN'!E201*'TS-PILE'!$E$70/SUMSQ('TS-PILE'!$E$56:$E$75))+IF(SUMSQ('TS-PILE'!$D$56:$D$75)=0,0,'TO HOP NLAN'!F201*'TS-PILE'!$D$70/SUMSQ('TS-PILE'!$D$56:$D$75))),IF('TS-PILE'!$B$71="",1E+99,'TO HOP NLAN'!D201/ncoc+IF(SUMSQ('TS-PILE'!$E$56:$E$75)=0,0,'TO HOP NLAN'!E201*'TS-PILE'!$E$71/SUMSQ('TS-PILE'!$E$56:$E$75))+IF(SUMSQ('TS-PILE'!$D$56:$D$75)=0,0,'TO HOP NLAN'!F201*'TS-PILE'!$D$71/SUMSQ('TS-PILE'!$D$56:$D$75))),IF('TS-PILE'!$B$72="",1E+99,'TO HOP NLAN'!D201/ncoc+IF(SUMSQ('TS-PILE'!$E$56:$E$75)=0,0,'TO HOP NLAN'!E201*'TS-PILE'!$E$72/SUMSQ('TS-PILE'!$E$56:$E$75))+IF(SUMSQ('TS-PILE'!$D$56:$D$75)=0,0,'TO HOP NLAN'!F201*'TS-PILE'!$D$72/SUMSQ('TS-PILE'!$D$56:$D$75))),IF('TS-PILE'!$B$73="",1E+99,'TO HOP NLAN'!D201/ncoc+IF(SUMSQ('TS-PILE'!$E$56:$E$75)=0,0,'TO HOP NLAN'!E201*'TS-PILE'!$E$73/SUMSQ('TS-PILE'!$E$56:$E$75))+IF(SUMSQ('TS-PILE'!$D$56:$D$75)=0,0,'TO HOP NLAN'!F201*'TS-PILE'!$D$73/SUMSQ('TS-PILE'!$D$56:$D$75))),IF('TS-PILE'!$B$74="",1E+99,'TO HOP NLAN'!D201/ncoc+IF(SUMSQ('TS-PILE'!$E$56:$E$75)=0,0,'TO HOP NLAN'!E201*'TS-PILE'!$E$74/SUMSQ('TS-PILE'!$E$56:$E$75))+IF(SUMSQ('TS-PILE'!$D$56:$D$75)=0,0,'TO HOP NLAN'!F201*'TS-PILE'!$D$74/SUMSQ('TS-PILE'!$D$56:$D$75))),IF('TS-PILE'!$B$75="",1E+99,'TO HOP NLAN'!D201/ncoc+IF(SUMSQ('TS-PILE'!$E$56:$E$75)=0,0,'TO HOP NLAN'!E201*'TS-PILE'!$E$75/SUMSQ('TS-PILE'!$E$56:$E$75))+IF(SUMSQ('TS-PILE'!$D$56:$D$75)=0,0,'TO HOP NLAN'!F201*'TS-PILE'!$D$75/SUMSQ('TS-PILE'!$D$56:$D$75)))))</f>
        <v>0</v>
      </c>
      <c r="E201" s="46">
        <f t="shared" si="12"/>
        <v>-9.9999999999999997E+98</v>
      </c>
      <c r="F201" s="46">
        <f t="shared" si="13"/>
        <v>9.9999999999999997E+98</v>
      </c>
      <c r="G201" s="46">
        <f t="shared" si="14"/>
        <v>-9.9999999999999997E+98</v>
      </c>
      <c r="H201" s="46">
        <f t="shared" si="15"/>
        <v>9.9999999999999997E+98</v>
      </c>
    </row>
    <row r="202" spans="1:8" x14ac:dyDescent="0.3">
      <c r="A202" s="40" t="str">
        <f>'TO HOP NLAN'!A202</f>
        <v/>
      </c>
      <c r="B202" s="40" t="str">
        <f>'TO HOP NLAN'!L202</f>
        <v>STRENGTH</v>
      </c>
      <c r="C202" s="46">
        <f>IF(A202="",0,MAX(IF('TS-PILE'!$B$56="",-1E+99,'TO HOP NLAN'!D202/ncoc+IF(SUMSQ('TS-PILE'!$E$56:$E$75)=0,0,'TO HOP NLAN'!E202*'TS-PILE'!$E$56/SUMSQ('TS-PILE'!$E$56:$E$75))+IF(SUMSQ('TS-PILE'!$D$56:$D$75)=0,0,'TO HOP NLAN'!F202*'TS-PILE'!$D$56/SUMSQ('TS-PILE'!$D$56:$D$75))),IF('TS-PILE'!$B$57="",-1E+99,'TO HOP NLAN'!D202/ncoc+IF(SUMSQ('TS-PILE'!$E$56:$E$75)=0,0,'TO HOP NLAN'!E202*'TS-PILE'!$E$57/SUMSQ('TS-PILE'!$E$56:$E$75))+IF(SUMSQ('TS-PILE'!$D$56:$D$75)=0,0,'TO HOP NLAN'!F202*'TS-PILE'!$D$57/SUMSQ('TS-PILE'!$D$56:$D$75))),IF('TS-PILE'!$B$58="",-1E+99,'TO HOP NLAN'!D202/ncoc+IF(SUMSQ('TS-PILE'!$E$56:$E$75)=0,0,'TO HOP NLAN'!E202*'TS-PILE'!$E$58/SUMSQ('TS-PILE'!$E$56:$E$75))+IF(SUMSQ('TS-PILE'!$D$56:$D$75)=0,0,'TO HOP NLAN'!F202*'TS-PILE'!$D$58/SUMSQ('TS-PILE'!$D$56:$D$75))),IF('TS-PILE'!$B$59="",-1E+99,'TO HOP NLAN'!D202/ncoc+IF(SUMSQ('TS-PILE'!$E$56:$E$75)=0,0,'TO HOP NLAN'!E202*'TS-PILE'!$E$59/SUMSQ('TS-PILE'!$E$56:$E$75))+IF(SUMSQ('TS-PILE'!$D$56:$D$75)=0,0,'TO HOP NLAN'!F202*'TS-PILE'!$D$59/SUMSQ('TS-PILE'!$D$56:$D$75))),IF('TS-PILE'!$B$60="",-1E+99,'TO HOP NLAN'!D202/ncoc+IF(SUMSQ('TS-PILE'!$E$56:$E$75)=0,0,'TO HOP NLAN'!E202*'TS-PILE'!$E$60/SUMSQ('TS-PILE'!$E$56:$E$75))+IF(SUMSQ('TS-PILE'!$D$56:$D$75)=0,0,'TO HOP NLAN'!F202*'TS-PILE'!$D$60/SUMSQ('TS-PILE'!$D$56:$D$75))),IF('TS-PILE'!$B$61="",-1E+99,'TO HOP NLAN'!D202/ncoc+IF(SUMSQ('TS-PILE'!$E$56:$E$75)=0,0,'TO HOP NLAN'!E202*'TS-PILE'!$E$61/SUMSQ('TS-PILE'!$E$56:$E$75))+IF(SUMSQ('TS-PILE'!$D$56:$D$75)=0,0,'TO HOP NLAN'!F202*'TS-PILE'!$D$61/SUMSQ('TS-PILE'!$D$56:$D$75))),IF('TS-PILE'!$B$62="",-1E+99,'TO HOP NLAN'!D202/ncoc+IF(SUMSQ('TS-PILE'!$E$56:$E$75)=0,0,'TO HOP NLAN'!E202*'TS-PILE'!$E$62/SUMSQ('TS-PILE'!$E$56:$E$75))+IF(SUMSQ('TS-PILE'!$D$56:$D$75)=0,0,'TO HOP NLAN'!F202*'TS-PILE'!$D$62/SUMSQ('TS-PILE'!$D$56:$D$75))),IF('TS-PILE'!$B$63="",-1E+99,'TO HOP NLAN'!D202/ncoc+IF(SUMSQ('TS-PILE'!$E$56:$E$75)=0,0,'TO HOP NLAN'!E202*'TS-PILE'!$E$63/SUMSQ('TS-PILE'!$E$56:$E$75))+IF(SUMSQ('TS-PILE'!$D$56:$D$75)=0,0,'TO HOP NLAN'!F202*'TS-PILE'!$D$63/SUMSQ('TS-PILE'!$D$56:$D$75))),IF('TS-PILE'!$B$64="",-1E+99,'TO HOP NLAN'!D202/ncoc+IF(SUMSQ('TS-PILE'!$E$56:$E$75)=0,0,'TO HOP NLAN'!E202*'TS-PILE'!$E$64/SUMSQ('TS-PILE'!$E$56:$E$75))+IF(SUMSQ('TS-PILE'!$D$56:$D$75)=0,0,'TO HOP NLAN'!F202*'TS-PILE'!$D$64/SUMSQ('TS-PILE'!$D$56:$D$75))),IF('TS-PILE'!$B$65="",-1E+99,'TO HOP NLAN'!D202/ncoc+IF(SUMSQ('TS-PILE'!$E$56:$E$75)=0,0,'TO HOP NLAN'!E202*'TS-PILE'!$E$65/SUMSQ('TS-PILE'!$E$56:$E$75))+IF(SUMSQ('TS-PILE'!$D$56:$D$75)=0,0,'TO HOP NLAN'!F202*'TS-PILE'!$D$65/SUMSQ('TS-PILE'!$D$56:$D$75))),IF('TS-PILE'!$B$66="",-1E+99,'TO HOP NLAN'!D202/ncoc+IF(SUMSQ('TS-PILE'!$E$56:$E$75)=0,0,'TO HOP NLAN'!E202*'TS-PILE'!$E$66/SUMSQ('TS-PILE'!$E$56:$E$75))+IF(SUMSQ('TS-PILE'!$D$56:$D$75)=0,0,'TO HOP NLAN'!F202*'TS-PILE'!$D$66/SUMSQ('TS-PILE'!$D$56:$D$75))),IF('TS-PILE'!$B$67="",-1E+99,'TO HOP NLAN'!D202/ncoc+IF(SUMSQ('TS-PILE'!$E$56:$E$75)=0,0,'TO HOP NLAN'!E202*'TS-PILE'!$E$67/SUMSQ('TS-PILE'!$E$56:$E$75))+IF(SUMSQ('TS-PILE'!$D$56:$D$75)=0,0,'TO HOP NLAN'!F202*'TS-PILE'!$D$67/SUMSQ('TS-PILE'!$D$56:$D$75))),IF('TS-PILE'!$B$68="",-1E+99,'TO HOP NLAN'!D202/ncoc+IF(SUMSQ('TS-PILE'!$E$56:$E$75)=0,0,'TO HOP NLAN'!E202*'TS-PILE'!$E$68/SUMSQ('TS-PILE'!$E$56:$E$75))+IF(SUMSQ('TS-PILE'!$D$56:$D$75)=0,0,'TO HOP NLAN'!F202*'TS-PILE'!$D$68/SUMSQ('TS-PILE'!$D$56:$D$75))),IF('TS-PILE'!$B$69="",-1E+99,'TO HOP NLAN'!D202/ncoc+IF(SUMSQ('TS-PILE'!$E$56:$E$75)=0,0,'TO HOP NLAN'!E202*'TS-PILE'!$E$69/SUMSQ('TS-PILE'!$E$56:$E$75))+IF(SUMSQ('TS-PILE'!$D$56:$D$75)=0,0,'TO HOP NLAN'!F202*'TS-PILE'!$D$69/SUMSQ('TS-PILE'!$D$56:$D$75))),IF('TS-PILE'!$B$70="",-1E+99,'TO HOP NLAN'!D202/ncoc+IF(SUMSQ('TS-PILE'!$E$56:$E$75)=0,0,'TO HOP NLAN'!E202*'TS-PILE'!$E$70/SUMSQ('TS-PILE'!$E$56:$E$75))+IF(SUMSQ('TS-PILE'!$D$56:$D$75)=0,0,'TO HOP NLAN'!F202*'TS-PILE'!$D$70/SUMSQ('TS-PILE'!$D$56:$D$75))),IF('TS-PILE'!$B$71="",-1E+99,'TO HOP NLAN'!D202/ncoc+IF(SUMSQ('TS-PILE'!$E$56:$E$75)=0,0,'TO HOP NLAN'!E202*'TS-PILE'!$E$71/SUMSQ('TS-PILE'!$E$56:$E$75))+IF(SUMSQ('TS-PILE'!$D$56:$D$75)=0,0,'TO HOP NLAN'!F202*'TS-PILE'!$D$71/SUMSQ('TS-PILE'!$D$56:$D$75))),IF('TS-PILE'!$B$72="",-1E+99,'TO HOP NLAN'!D202/ncoc+IF(SUMSQ('TS-PILE'!$E$56:$E$75)=0,0,'TO HOP NLAN'!E202*'TS-PILE'!$E$72/SUMSQ('TS-PILE'!$E$56:$E$75))+IF(SUMSQ('TS-PILE'!$D$56:$D$75)=0,0,'TO HOP NLAN'!F202*'TS-PILE'!$D$72/SUMSQ('TS-PILE'!$D$56:$D$75))),IF('TS-PILE'!$B$73="",-1E+99,'TO HOP NLAN'!D202/ncoc+IF(SUMSQ('TS-PILE'!$E$56:$E$75)=0,0,'TO HOP NLAN'!E202*'TS-PILE'!$E$73/SUMSQ('TS-PILE'!$E$56:$E$75))+IF(SUMSQ('TS-PILE'!$D$56:$D$75)=0,0,'TO HOP NLAN'!F202*'TS-PILE'!$D$73/SUMSQ('TS-PILE'!$D$56:$D$75))),IF('TS-PILE'!$B$74="",-1E+99,'TO HOP NLAN'!D202/ncoc+IF(SUMSQ('TS-PILE'!$E$56:$E$75)=0,0,'TO HOP NLAN'!E202*'TS-PILE'!$E$74/SUMSQ('TS-PILE'!$E$56:$E$75))+IF(SUMSQ('TS-PILE'!$D$56:$D$75)=0,0,'TO HOP NLAN'!F202*'TS-PILE'!$D$74/SUMSQ('TS-PILE'!$D$56:$D$75))),IF('TS-PILE'!$B$75="",-1E+99,'TO HOP NLAN'!D202/ncoc+IF(SUMSQ('TS-PILE'!$E$56:$E$75)=0,0,'TO HOP NLAN'!E202*'TS-PILE'!$E$75/SUMSQ('TS-PILE'!$E$56:$E$75))+IF(SUMSQ('TS-PILE'!$D$56:$D$75)=0,0,'TO HOP NLAN'!F202*'TS-PILE'!$D$75/SUMSQ('TS-PILE'!$D$56:$D$75)))))</f>
        <v>0</v>
      </c>
      <c r="D202" s="46">
        <f>IF(A202="",0,MIN(IF('TS-PILE'!$B$56="",1E+99,'TO HOP NLAN'!D202/ncoc+IF(SUMSQ('TS-PILE'!$E$56:$E$75)=0,0,'TO HOP NLAN'!E202*'TS-PILE'!$E$56/SUMSQ('TS-PILE'!$E$56:$E$75))+IF(SUMSQ('TS-PILE'!$D$56:$D$75)=0,0,'TO HOP NLAN'!F202*'TS-PILE'!$D$56/SUMSQ('TS-PILE'!$D$56:$D$75))),IF('TS-PILE'!$B$57="",1E+99,'TO HOP NLAN'!D202/ncoc+IF(SUMSQ('TS-PILE'!$E$56:$E$75)=0,0,'TO HOP NLAN'!E202*'TS-PILE'!$E$57/SUMSQ('TS-PILE'!$E$56:$E$75))+IF(SUMSQ('TS-PILE'!$D$56:$D$75)=0,0,'TO HOP NLAN'!F202*'TS-PILE'!$D$57/SUMSQ('TS-PILE'!$D$56:$D$75))),IF('TS-PILE'!$B$58="",1E+99,'TO HOP NLAN'!D202/ncoc+IF(SUMSQ('TS-PILE'!$E$56:$E$75)=0,0,'TO HOP NLAN'!E202*'TS-PILE'!$E$58/SUMSQ('TS-PILE'!$E$56:$E$75))+IF(SUMSQ('TS-PILE'!$D$56:$D$75)=0,0,'TO HOP NLAN'!F202*'TS-PILE'!$D$58/SUMSQ('TS-PILE'!$D$56:$D$75))),IF('TS-PILE'!$B$59="",1E+99,'TO HOP NLAN'!D202/ncoc+IF(SUMSQ('TS-PILE'!$E$56:$E$75)=0,0,'TO HOP NLAN'!E202*'TS-PILE'!$E$59/SUMSQ('TS-PILE'!$E$56:$E$75))+IF(SUMSQ('TS-PILE'!$D$56:$D$75)=0,0,'TO HOP NLAN'!F202*'TS-PILE'!$D$59/SUMSQ('TS-PILE'!$D$56:$D$75))),IF('TS-PILE'!$B$60="",1E+99,'TO HOP NLAN'!D202/ncoc+IF(SUMSQ('TS-PILE'!$E$56:$E$75)=0,0,'TO HOP NLAN'!E202*'TS-PILE'!$E$60/SUMSQ('TS-PILE'!$E$56:$E$75))+IF(SUMSQ('TS-PILE'!$D$56:$D$75)=0,0,'TO HOP NLAN'!F202*'TS-PILE'!$D$60/SUMSQ('TS-PILE'!$D$56:$D$75))),IF('TS-PILE'!$B$61="",1E+99,'TO HOP NLAN'!D202/ncoc+IF(SUMSQ('TS-PILE'!$E$56:$E$75)=0,0,'TO HOP NLAN'!E202*'TS-PILE'!$E$61/SUMSQ('TS-PILE'!$E$56:$E$75))+IF(SUMSQ('TS-PILE'!$D$56:$D$75)=0,0,'TO HOP NLAN'!F202*'TS-PILE'!$D$61/SUMSQ('TS-PILE'!$D$56:$D$75))),IF('TS-PILE'!$B$62="",1E+99,'TO HOP NLAN'!D202/ncoc+IF(SUMSQ('TS-PILE'!$E$56:$E$75)=0,0,'TO HOP NLAN'!E202*'TS-PILE'!$E$62/SUMSQ('TS-PILE'!$E$56:$E$75))+IF(SUMSQ('TS-PILE'!$D$56:$D$75)=0,0,'TO HOP NLAN'!F202*'TS-PILE'!$D$62/SUMSQ('TS-PILE'!$D$56:$D$75))),IF('TS-PILE'!$B$63="",1E+99,'TO HOP NLAN'!D202/ncoc+IF(SUMSQ('TS-PILE'!$E$56:$E$75)=0,0,'TO HOP NLAN'!E202*'TS-PILE'!$E$63/SUMSQ('TS-PILE'!$E$56:$E$75))+IF(SUMSQ('TS-PILE'!$D$56:$D$75)=0,0,'TO HOP NLAN'!F202*'TS-PILE'!$D$63/SUMSQ('TS-PILE'!$D$56:$D$75))),IF('TS-PILE'!$B$64="",1E+99,'TO HOP NLAN'!D202/ncoc+IF(SUMSQ('TS-PILE'!$E$56:$E$75)=0,0,'TO HOP NLAN'!E202*'TS-PILE'!$E$64/SUMSQ('TS-PILE'!$E$56:$E$75))+IF(SUMSQ('TS-PILE'!$D$56:$D$75)=0,0,'TO HOP NLAN'!F202*'TS-PILE'!$D$64/SUMSQ('TS-PILE'!$D$56:$D$75))),IF('TS-PILE'!$B$65="",1E+99,'TO HOP NLAN'!D202/ncoc+IF(SUMSQ('TS-PILE'!$E$56:$E$75)=0,0,'TO HOP NLAN'!E202*'TS-PILE'!$E$65/SUMSQ('TS-PILE'!$E$56:$E$75))+IF(SUMSQ('TS-PILE'!$D$56:$D$75)=0,0,'TO HOP NLAN'!F202*'TS-PILE'!$D$65/SUMSQ('TS-PILE'!$D$56:$D$75))),IF('TS-PILE'!$B$66="",1E+99,'TO HOP NLAN'!D202/ncoc+IF(SUMSQ('TS-PILE'!$E$56:$E$75)=0,0,'TO HOP NLAN'!E202*'TS-PILE'!$E$66/SUMSQ('TS-PILE'!$E$56:$E$75))+IF(SUMSQ('TS-PILE'!$D$56:$D$75)=0,0,'TO HOP NLAN'!F202*'TS-PILE'!$D$66/SUMSQ('TS-PILE'!$D$56:$D$75))),IF('TS-PILE'!$B$67="",1E+99,'TO HOP NLAN'!D202/ncoc+IF(SUMSQ('TS-PILE'!$E$56:$E$75)=0,0,'TO HOP NLAN'!E202*'TS-PILE'!$E$67/SUMSQ('TS-PILE'!$E$56:$E$75))+IF(SUMSQ('TS-PILE'!$D$56:$D$75)=0,0,'TO HOP NLAN'!F202*'TS-PILE'!$D$67/SUMSQ('TS-PILE'!$D$56:$D$75))),IF('TS-PILE'!$B$68="",1E+99,'TO HOP NLAN'!D202/ncoc+IF(SUMSQ('TS-PILE'!$E$56:$E$75)=0,0,'TO HOP NLAN'!E202*'TS-PILE'!$E$68/SUMSQ('TS-PILE'!$E$56:$E$75))+IF(SUMSQ('TS-PILE'!$D$56:$D$75)=0,0,'TO HOP NLAN'!F202*'TS-PILE'!$D$68/SUMSQ('TS-PILE'!$D$56:$D$75))),IF('TS-PILE'!$B$69="",1E+99,'TO HOP NLAN'!D202/ncoc+IF(SUMSQ('TS-PILE'!$E$56:$E$75)=0,0,'TO HOP NLAN'!E202*'TS-PILE'!$E$69/SUMSQ('TS-PILE'!$E$56:$E$75))+IF(SUMSQ('TS-PILE'!$D$56:$D$75)=0,0,'TO HOP NLAN'!F202*'TS-PILE'!$D$69/SUMSQ('TS-PILE'!$D$56:$D$75))),IF('TS-PILE'!$B$70="",1E+99,'TO HOP NLAN'!D202/ncoc+IF(SUMSQ('TS-PILE'!$E$56:$E$75)=0,0,'TO HOP NLAN'!E202*'TS-PILE'!$E$70/SUMSQ('TS-PILE'!$E$56:$E$75))+IF(SUMSQ('TS-PILE'!$D$56:$D$75)=0,0,'TO HOP NLAN'!F202*'TS-PILE'!$D$70/SUMSQ('TS-PILE'!$D$56:$D$75))),IF('TS-PILE'!$B$71="",1E+99,'TO HOP NLAN'!D202/ncoc+IF(SUMSQ('TS-PILE'!$E$56:$E$75)=0,0,'TO HOP NLAN'!E202*'TS-PILE'!$E$71/SUMSQ('TS-PILE'!$E$56:$E$75))+IF(SUMSQ('TS-PILE'!$D$56:$D$75)=0,0,'TO HOP NLAN'!F202*'TS-PILE'!$D$71/SUMSQ('TS-PILE'!$D$56:$D$75))),IF('TS-PILE'!$B$72="",1E+99,'TO HOP NLAN'!D202/ncoc+IF(SUMSQ('TS-PILE'!$E$56:$E$75)=0,0,'TO HOP NLAN'!E202*'TS-PILE'!$E$72/SUMSQ('TS-PILE'!$E$56:$E$75))+IF(SUMSQ('TS-PILE'!$D$56:$D$75)=0,0,'TO HOP NLAN'!F202*'TS-PILE'!$D$72/SUMSQ('TS-PILE'!$D$56:$D$75))),IF('TS-PILE'!$B$73="",1E+99,'TO HOP NLAN'!D202/ncoc+IF(SUMSQ('TS-PILE'!$E$56:$E$75)=0,0,'TO HOP NLAN'!E202*'TS-PILE'!$E$73/SUMSQ('TS-PILE'!$E$56:$E$75))+IF(SUMSQ('TS-PILE'!$D$56:$D$75)=0,0,'TO HOP NLAN'!F202*'TS-PILE'!$D$73/SUMSQ('TS-PILE'!$D$56:$D$75))),IF('TS-PILE'!$B$74="",1E+99,'TO HOP NLAN'!D202/ncoc+IF(SUMSQ('TS-PILE'!$E$56:$E$75)=0,0,'TO HOP NLAN'!E202*'TS-PILE'!$E$74/SUMSQ('TS-PILE'!$E$56:$E$75))+IF(SUMSQ('TS-PILE'!$D$56:$D$75)=0,0,'TO HOP NLAN'!F202*'TS-PILE'!$D$74/SUMSQ('TS-PILE'!$D$56:$D$75))),IF('TS-PILE'!$B$75="",1E+99,'TO HOP NLAN'!D202/ncoc+IF(SUMSQ('TS-PILE'!$E$56:$E$75)=0,0,'TO HOP NLAN'!E202*'TS-PILE'!$E$75/SUMSQ('TS-PILE'!$E$56:$E$75))+IF(SUMSQ('TS-PILE'!$D$56:$D$75)=0,0,'TO HOP NLAN'!F202*'TS-PILE'!$D$75/SUMSQ('TS-PILE'!$D$56:$D$75)))))</f>
        <v>0</v>
      </c>
      <c r="E202" s="46">
        <f t="shared" si="12"/>
        <v>-9.9999999999999997E+98</v>
      </c>
      <c r="F202" s="46">
        <f t="shared" si="13"/>
        <v>9.9999999999999997E+98</v>
      </c>
      <c r="G202" s="46">
        <f t="shared" si="14"/>
        <v>-9.9999999999999997E+98</v>
      </c>
      <c r="H202" s="46">
        <f t="shared" si="15"/>
        <v>9.9999999999999997E+98</v>
      </c>
    </row>
    <row r="203" spans="1:8" x14ac:dyDescent="0.3">
      <c r="A203" s="40" t="str">
        <f>'TO HOP NLAN'!A203</f>
        <v/>
      </c>
      <c r="B203" s="40" t="str">
        <f>'TO HOP NLAN'!L203</f>
        <v>STRENGTH</v>
      </c>
      <c r="C203" s="46">
        <f>IF(A203="",0,MAX(IF('TS-PILE'!$B$56="",-1E+99,'TO HOP NLAN'!D203/ncoc+IF(SUMSQ('TS-PILE'!$E$56:$E$75)=0,0,'TO HOP NLAN'!E203*'TS-PILE'!$E$56/SUMSQ('TS-PILE'!$E$56:$E$75))+IF(SUMSQ('TS-PILE'!$D$56:$D$75)=0,0,'TO HOP NLAN'!F203*'TS-PILE'!$D$56/SUMSQ('TS-PILE'!$D$56:$D$75))),IF('TS-PILE'!$B$57="",-1E+99,'TO HOP NLAN'!D203/ncoc+IF(SUMSQ('TS-PILE'!$E$56:$E$75)=0,0,'TO HOP NLAN'!E203*'TS-PILE'!$E$57/SUMSQ('TS-PILE'!$E$56:$E$75))+IF(SUMSQ('TS-PILE'!$D$56:$D$75)=0,0,'TO HOP NLAN'!F203*'TS-PILE'!$D$57/SUMSQ('TS-PILE'!$D$56:$D$75))),IF('TS-PILE'!$B$58="",-1E+99,'TO HOP NLAN'!D203/ncoc+IF(SUMSQ('TS-PILE'!$E$56:$E$75)=0,0,'TO HOP NLAN'!E203*'TS-PILE'!$E$58/SUMSQ('TS-PILE'!$E$56:$E$75))+IF(SUMSQ('TS-PILE'!$D$56:$D$75)=0,0,'TO HOP NLAN'!F203*'TS-PILE'!$D$58/SUMSQ('TS-PILE'!$D$56:$D$75))),IF('TS-PILE'!$B$59="",-1E+99,'TO HOP NLAN'!D203/ncoc+IF(SUMSQ('TS-PILE'!$E$56:$E$75)=0,0,'TO HOP NLAN'!E203*'TS-PILE'!$E$59/SUMSQ('TS-PILE'!$E$56:$E$75))+IF(SUMSQ('TS-PILE'!$D$56:$D$75)=0,0,'TO HOP NLAN'!F203*'TS-PILE'!$D$59/SUMSQ('TS-PILE'!$D$56:$D$75))),IF('TS-PILE'!$B$60="",-1E+99,'TO HOP NLAN'!D203/ncoc+IF(SUMSQ('TS-PILE'!$E$56:$E$75)=0,0,'TO HOP NLAN'!E203*'TS-PILE'!$E$60/SUMSQ('TS-PILE'!$E$56:$E$75))+IF(SUMSQ('TS-PILE'!$D$56:$D$75)=0,0,'TO HOP NLAN'!F203*'TS-PILE'!$D$60/SUMSQ('TS-PILE'!$D$56:$D$75))),IF('TS-PILE'!$B$61="",-1E+99,'TO HOP NLAN'!D203/ncoc+IF(SUMSQ('TS-PILE'!$E$56:$E$75)=0,0,'TO HOP NLAN'!E203*'TS-PILE'!$E$61/SUMSQ('TS-PILE'!$E$56:$E$75))+IF(SUMSQ('TS-PILE'!$D$56:$D$75)=0,0,'TO HOP NLAN'!F203*'TS-PILE'!$D$61/SUMSQ('TS-PILE'!$D$56:$D$75))),IF('TS-PILE'!$B$62="",-1E+99,'TO HOP NLAN'!D203/ncoc+IF(SUMSQ('TS-PILE'!$E$56:$E$75)=0,0,'TO HOP NLAN'!E203*'TS-PILE'!$E$62/SUMSQ('TS-PILE'!$E$56:$E$75))+IF(SUMSQ('TS-PILE'!$D$56:$D$75)=0,0,'TO HOP NLAN'!F203*'TS-PILE'!$D$62/SUMSQ('TS-PILE'!$D$56:$D$75))),IF('TS-PILE'!$B$63="",-1E+99,'TO HOP NLAN'!D203/ncoc+IF(SUMSQ('TS-PILE'!$E$56:$E$75)=0,0,'TO HOP NLAN'!E203*'TS-PILE'!$E$63/SUMSQ('TS-PILE'!$E$56:$E$75))+IF(SUMSQ('TS-PILE'!$D$56:$D$75)=0,0,'TO HOP NLAN'!F203*'TS-PILE'!$D$63/SUMSQ('TS-PILE'!$D$56:$D$75))),IF('TS-PILE'!$B$64="",-1E+99,'TO HOP NLAN'!D203/ncoc+IF(SUMSQ('TS-PILE'!$E$56:$E$75)=0,0,'TO HOP NLAN'!E203*'TS-PILE'!$E$64/SUMSQ('TS-PILE'!$E$56:$E$75))+IF(SUMSQ('TS-PILE'!$D$56:$D$75)=0,0,'TO HOP NLAN'!F203*'TS-PILE'!$D$64/SUMSQ('TS-PILE'!$D$56:$D$75))),IF('TS-PILE'!$B$65="",-1E+99,'TO HOP NLAN'!D203/ncoc+IF(SUMSQ('TS-PILE'!$E$56:$E$75)=0,0,'TO HOP NLAN'!E203*'TS-PILE'!$E$65/SUMSQ('TS-PILE'!$E$56:$E$75))+IF(SUMSQ('TS-PILE'!$D$56:$D$75)=0,0,'TO HOP NLAN'!F203*'TS-PILE'!$D$65/SUMSQ('TS-PILE'!$D$56:$D$75))),IF('TS-PILE'!$B$66="",-1E+99,'TO HOP NLAN'!D203/ncoc+IF(SUMSQ('TS-PILE'!$E$56:$E$75)=0,0,'TO HOP NLAN'!E203*'TS-PILE'!$E$66/SUMSQ('TS-PILE'!$E$56:$E$75))+IF(SUMSQ('TS-PILE'!$D$56:$D$75)=0,0,'TO HOP NLAN'!F203*'TS-PILE'!$D$66/SUMSQ('TS-PILE'!$D$56:$D$75))),IF('TS-PILE'!$B$67="",-1E+99,'TO HOP NLAN'!D203/ncoc+IF(SUMSQ('TS-PILE'!$E$56:$E$75)=0,0,'TO HOP NLAN'!E203*'TS-PILE'!$E$67/SUMSQ('TS-PILE'!$E$56:$E$75))+IF(SUMSQ('TS-PILE'!$D$56:$D$75)=0,0,'TO HOP NLAN'!F203*'TS-PILE'!$D$67/SUMSQ('TS-PILE'!$D$56:$D$75))),IF('TS-PILE'!$B$68="",-1E+99,'TO HOP NLAN'!D203/ncoc+IF(SUMSQ('TS-PILE'!$E$56:$E$75)=0,0,'TO HOP NLAN'!E203*'TS-PILE'!$E$68/SUMSQ('TS-PILE'!$E$56:$E$75))+IF(SUMSQ('TS-PILE'!$D$56:$D$75)=0,0,'TO HOP NLAN'!F203*'TS-PILE'!$D$68/SUMSQ('TS-PILE'!$D$56:$D$75))),IF('TS-PILE'!$B$69="",-1E+99,'TO HOP NLAN'!D203/ncoc+IF(SUMSQ('TS-PILE'!$E$56:$E$75)=0,0,'TO HOP NLAN'!E203*'TS-PILE'!$E$69/SUMSQ('TS-PILE'!$E$56:$E$75))+IF(SUMSQ('TS-PILE'!$D$56:$D$75)=0,0,'TO HOP NLAN'!F203*'TS-PILE'!$D$69/SUMSQ('TS-PILE'!$D$56:$D$75))),IF('TS-PILE'!$B$70="",-1E+99,'TO HOP NLAN'!D203/ncoc+IF(SUMSQ('TS-PILE'!$E$56:$E$75)=0,0,'TO HOP NLAN'!E203*'TS-PILE'!$E$70/SUMSQ('TS-PILE'!$E$56:$E$75))+IF(SUMSQ('TS-PILE'!$D$56:$D$75)=0,0,'TO HOP NLAN'!F203*'TS-PILE'!$D$70/SUMSQ('TS-PILE'!$D$56:$D$75))),IF('TS-PILE'!$B$71="",-1E+99,'TO HOP NLAN'!D203/ncoc+IF(SUMSQ('TS-PILE'!$E$56:$E$75)=0,0,'TO HOP NLAN'!E203*'TS-PILE'!$E$71/SUMSQ('TS-PILE'!$E$56:$E$75))+IF(SUMSQ('TS-PILE'!$D$56:$D$75)=0,0,'TO HOP NLAN'!F203*'TS-PILE'!$D$71/SUMSQ('TS-PILE'!$D$56:$D$75))),IF('TS-PILE'!$B$72="",-1E+99,'TO HOP NLAN'!D203/ncoc+IF(SUMSQ('TS-PILE'!$E$56:$E$75)=0,0,'TO HOP NLAN'!E203*'TS-PILE'!$E$72/SUMSQ('TS-PILE'!$E$56:$E$75))+IF(SUMSQ('TS-PILE'!$D$56:$D$75)=0,0,'TO HOP NLAN'!F203*'TS-PILE'!$D$72/SUMSQ('TS-PILE'!$D$56:$D$75))),IF('TS-PILE'!$B$73="",-1E+99,'TO HOP NLAN'!D203/ncoc+IF(SUMSQ('TS-PILE'!$E$56:$E$75)=0,0,'TO HOP NLAN'!E203*'TS-PILE'!$E$73/SUMSQ('TS-PILE'!$E$56:$E$75))+IF(SUMSQ('TS-PILE'!$D$56:$D$75)=0,0,'TO HOP NLAN'!F203*'TS-PILE'!$D$73/SUMSQ('TS-PILE'!$D$56:$D$75))),IF('TS-PILE'!$B$74="",-1E+99,'TO HOP NLAN'!D203/ncoc+IF(SUMSQ('TS-PILE'!$E$56:$E$75)=0,0,'TO HOP NLAN'!E203*'TS-PILE'!$E$74/SUMSQ('TS-PILE'!$E$56:$E$75))+IF(SUMSQ('TS-PILE'!$D$56:$D$75)=0,0,'TO HOP NLAN'!F203*'TS-PILE'!$D$74/SUMSQ('TS-PILE'!$D$56:$D$75))),IF('TS-PILE'!$B$75="",-1E+99,'TO HOP NLAN'!D203/ncoc+IF(SUMSQ('TS-PILE'!$E$56:$E$75)=0,0,'TO HOP NLAN'!E203*'TS-PILE'!$E$75/SUMSQ('TS-PILE'!$E$56:$E$75))+IF(SUMSQ('TS-PILE'!$D$56:$D$75)=0,0,'TO HOP NLAN'!F203*'TS-PILE'!$D$75/SUMSQ('TS-PILE'!$D$56:$D$75)))))</f>
        <v>0</v>
      </c>
      <c r="D203" s="46">
        <f>IF(A203="",0,MIN(IF('TS-PILE'!$B$56="",1E+99,'TO HOP NLAN'!D203/ncoc+IF(SUMSQ('TS-PILE'!$E$56:$E$75)=0,0,'TO HOP NLAN'!E203*'TS-PILE'!$E$56/SUMSQ('TS-PILE'!$E$56:$E$75))+IF(SUMSQ('TS-PILE'!$D$56:$D$75)=0,0,'TO HOP NLAN'!F203*'TS-PILE'!$D$56/SUMSQ('TS-PILE'!$D$56:$D$75))),IF('TS-PILE'!$B$57="",1E+99,'TO HOP NLAN'!D203/ncoc+IF(SUMSQ('TS-PILE'!$E$56:$E$75)=0,0,'TO HOP NLAN'!E203*'TS-PILE'!$E$57/SUMSQ('TS-PILE'!$E$56:$E$75))+IF(SUMSQ('TS-PILE'!$D$56:$D$75)=0,0,'TO HOP NLAN'!F203*'TS-PILE'!$D$57/SUMSQ('TS-PILE'!$D$56:$D$75))),IF('TS-PILE'!$B$58="",1E+99,'TO HOP NLAN'!D203/ncoc+IF(SUMSQ('TS-PILE'!$E$56:$E$75)=0,0,'TO HOP NLAN'!E203*'TS-PILE'!$E$58/SUMSQ('TS-PILE'!$E$56:$E$75))+IF(SUMSQ('TS-PILE'!$D$56:$D$75)=0,0,'TO HOP NLAN'!F203*'TS-PILE'!$D$58/SUMSQ('TS-PILE'!$D$56:$D$75))),IF('TS-PILE'!$B$59="",1E+99,'TO HOP NLAN'!D203/ncoc+IF(SUMSQ('TS-PILE'!$E$56:$E$75)=0,0,'TO HOP NLAN'!E203*'TS-PILE'!$E$59/SUMSQ('TS-PILE'!$E$56:$E$75))+IF(SUMSQ('TS-PILE'!$D$56:$D$75)=0,0,'TO HOP NLAN'!F203*'TS-PILE'!$D$59/SUMSQ('TS-PILE'!$D$56:$D$75))),IF('TS-PILE'!$B$60="",1E+99,'TO HOP NLAN'!D203/ncoc+IF(SUMSQ('TS-PILE'!$E$56:$E$75)=0,0,'TO HOP NLAN'!E203*'TS-PILE'!$E$60/SUMSQ('TS-PILE'!$E$56:$E$75))+IF(SUMSQ('TS-PILE'!$D$56:$D$75)=0,0,'TO HOP NLAN'!F203*'TS-PILE'!$D$60/SUMSQ('TS-PILE'!$D$56:$D$75))),IF('TS-PILE'!$B$61="",1E+99,'TO HOP NLAN'!D203/ncoc+IF(SUMSQ('TS-PILE'!$E$56:$E$75)=0,0,'TO HOP NLAN'!E203*'TS-PILE'!$E$61/SUMSQ('TS-PILE'!$E$56:$E$75))+IF(SUMSQ('TS-PILE'!$D$56:$D$75)=0,0,'TO HOP NLAN'!F203*'TS-PILE'!$D$61/SUMSQ('TS-PILE'!$D$56:$D$75))),IF('TS-PILE'!$B$62="",1E+99,'TO HOP NLAN'!D203/ncoc+IF(SUMSQ('TS-PILE'!$E$56:$E$75)=0,0,'TO HOP NLAN'!E203*'TS-PILE'!$E$62/SUMSQ('TS-PILE'!$E$56:$E$75))+IF(SUMSQ('TS-PILE'!$D$56:$D$75)=0,0,'TO HOP NLAN'!F203*'TS-PILE'!$D$62/SUMSQ('TS-PILE'!$D$56:$D$75))),IF('TS-PILE'!$B$63="",1E+99,'TO HOP NLAN'!D203/ncoc+IF(SUMSQ('TS-PILE'!$E$56:$E$75)=0,0,'TO HOP NLAN'!E203*'TS-PILE'!$E$63/SUMSQ('TS-PILE'!$E$56:$E$75))+IF(SUMSQ('TS-PILE'!$D$56:$D$75)=0,0,'TO HOP NLAN'!F203*'TS-PILE'!$D$63/SUMSQ('TS-PILE'!$D$56:$D$75))),IF('TS-PILE'!$B$64="",1E+99,'TO HOP NLAN'!D203/ncoc+IF(SUMSQ('TS-PILE'!$E$56:$E$75)=0,0,'TO HOP NLAN'!E203*'TS-PILE'!$E$64/SUMSQ('TS-PILE'!$E$56:$E$75))+IF(SUMSQ('TS-PILE'!$D$56:$D$75)=0,0,'TO HOP NLAN'!F203*'TS-PILE'!$D$64/SUMSQ('TS-PILE'!$D$56:$D$75))),IF('TS-PILE'!$B$65="",1E+99,'TO HOP NLAN'!D203/ncoc+IF(SUMSQ('TS-PILE'!$E$56:$E$75)=0,0,'TO HOP NLAN'!E203*'TS-PILE'!$E$65/SUMSQ('TS-PILE'!$E$56:$E$75))+IF(SUMSQ('TS-PILE'!$D$56:$D$75)=0,0,'TO HOP NLAN'!F203*'TS-PILE'!$D$65/SUMSQ('TS-PILE'!$D$56:$D$75))),IF('TS-PILE'!$B$66="",1E+99,'TO HOP NLAN'!D203/ncoc+IF(SUMSQ('TS-PILE'!$E$56:$E$75)=0,0,'TO HOP NLAN'!E203*'TS-PILE'!$E$66/SUMSQ('TS-PILE'!$E$56:$E$75))+IF(SUMSQ('TS-PILE'!$D$56:$D$75)=0,0,'TO HOP NLAN'!F203*'TS-PILE'!$D$66/SUMSQ('TS-PILE'!$D$56:$D$75))),IF('TS-PILE'!$B$67="",1E+99,'TO HOP NLAN'!D203/ncoc+IF(SUMSQ('TS-PILE'!$E$56:$E$75)=0,0,'TO HOP NLAN'!E203*'TS-PILE'!$E$67/SUMSQ('TS-PILE'!$E$56:$E$75))+IF(SUMSQ('TS-PILE'!$D$56:$D$75)=0,0,'TO HOP NLAN'!F203*'TS-PILE'!$D$67/SUMSQ('TS-PILE'!$D$56:$D$75))),IF('TS-PILE'!$B$68="",1E+99,'TO HOP NLAN'!D203/ncoc+IF(SUMSQ('TS-PILE'!$E$56:$E$75)=0,0,'TO HOP NLAN'!E203*'TS-PILE'!$E$68/SUMSQ('TS-PILE'!$E$56:$E$75))+IF(SUMSQ('TS-PILE'!$D$56:$D$75)=0,0,'TO HOP NLAN'!F203*'TS-PILE'!$D$68/SUMSQ('TS-PILE'!$D$56:$D$75))),IF('TS-PILE'!$B$69="",1E+99,'TO HOP NLAN'!D203/ncoc+IF(SUMSQ('TS-PILE'!$E$56:$E$75)=0,0,'TO HOP NLAN'!E203*'TS-PILE'!$E$69/SUMSQ('TS-PILE'!$E$56:$E$75))+IF(SUMSQ('TS-PILE'!$D$56:$D$75)=0,0,'TO HOP NLAN'!F203*'TS-PILE'!$D$69/SUMSQ('TS-PILE'!$D$56:$D$75))),IF('TS-PILE'!$B$70="",1E+99,'TO HOP NLAN'!D203/ncoc+IF(SUMSQ('TS-PILE'!$E$56:$E$75)=0,0,'TO HOP NLAN'!E203*'TS-PILE'!$E$70/SUMSQ('TS-PILE'!$E$56:$E$75))+IF(SUMSQ('TS-PILE'!$D$56:$D$75)=0,0,'TO HOP NLAN'!F203*'TS-PILE'!$D$70/SUMSQ('TS-PILE'!$D$56:$D$75))),IF('TS-PILE'!$B$71="",1E+99,'TO HOP NLAN'!D203/ncoc+IF(SUMSQ('TS-PILE'!$E$56:$E$75)=0,0,'TO HOP NLAN'!E203*'TS-PILE'!$E$71/SUMSQ('TS-PILE'!$E$56:$E$75))+IF(SUMSQ('TS-PILE'!$D$56:$D$75)=0,0,'TO HOP NLAN'!F203*'TS-PILE'!$D$71/SUMSQ('TS-PILE'!$D$56:$D$75))),IF('TS-PILE'!$B$72="",1E+99,'TO HOP NLAN'!D203/ncoc+IF(SUMSQ('TS-PILE'!$E$56:$E$75)=0,0,'TO HOP NLAN'!E203*'TS-PILE'!$E$72/SUMSQ('TS-PILE'!$E$56:$E$75))+IF(SUMSQ('TS-PILE'!$D$56:$D$75)=0,0,'TO HOP NLAN'!F203*'TS-PILE'!$D$72/SUMSQ('TS-PILE'!$D$56:$D$75))),IF('TS-PILE'!$B$73="",1E+99,'TO HOP NLAN'!D203/ncoc+IF(SUMSQ('TS-PILE'!$E$56:$E$75)=0,0,'TO HOP NLAN'!E203*'TS-PILE'!$E$73/SUMSQ('TS-PILE'!$E$56:$E$75))+IF(SUMSQ('TS-PILE'!$D$56:$D$75)=0,0,'TO HOP NLAN'!F203*'TS-PILE'!$D$73/SUMSQ('TS-PILE'!$D$56:$D$75))),IF('TS-PILE'!$B$74="",1E+99,'TO HOP NLAN'!D203/ncoc+IF(SUMSQ('TS-PILE'!$E$56:$E$75)=0,0,'TO HOP NLAN'!E203*'TS-PILE'!$E$74/SUMSQ('TS-PILE'!$E$56:$E$75))+IF(SUMSQ('TS-PILE'!$D$56:$D$75)=0,0,'TO HOP NLAN'!F203*'TS-PILE'!$D$74/SUMSQ('TS-PILE'!$D$56:$D$75))),IF('TS-PILE'!$B$75="",1E+99,'TO HOP NLAN'!D203/ncoc+IF(SUMSQ('TS-PILE'!$E$56:$E$75)=0,0,'TO HOP NLAN'!E203*'TS-PILE'!$E$75/SUMSQ('TS-PILE'!$E$56:$E$75))+IF(SUMSQ('TS-PILE'!$D$56:$D$75)=0,0,'TO HOP NLAN'!F203*'TS-PILE'!$D$75/SUMSQ('TS-PILE'!$D$56:$D$75)))))</f>
        <v>0</v>
      </c>
      <c r="E203" s="46">
        <f t="shared" si="12"/>
        <v>-9.9999999999999997E+98</v>
      </c>
      <c r="F203" s="46">
        <f t="shared" si="13"/>
        <v>9.9999999999999997E+98</v>
      </c>
      <c r="G203" s="46">
        <f t="shared" si="14"/>
        <v>-9.9999999999999997E+98</v>
      </c>
      <c r="H203" s="46">
        <f t="shared" si="15"/>
        <v>9.9999999999999997E+98</v>
      </c>
    </row>
    <row r="204" spans="1:8" x14ac:dyDescent="0.3">
      <c r="A204" s="40" t="str">
        <f>'TO HOP NLAN'!A204</f>
        <v/>
      </c>
      <c r="B204" s="40" t="str">
        <f>'TO HOP NLAN'!L204</f>
        <v>STRENGTH</v>
      </c>
      <c r="C204" s="46">
        <f>IF(A204="",0,MAX(IF('TS-PILE'!$B$56="",-1E+99,'TO HOP NLAN'!D204/ncoc+IF(SUMSQ('TS-PILE'!$E$56:$E$75)=0,0,'TO HOP NLAN'!E204*'TS-PILE'!$E$56/SUMSQ('TS-PILE'!$E$56:$E$75))+IF(SUMSQ('TS-PILE'!$D$56:$D$75)=0,0,'TO HOP NLAN'!F204*'TS-PILE'!$D$56/SUMSQ('TS-PILE'!$D$56:$D$75))),IF('TS-PILE'!$B$57="",-1E+99,'TO HOP NLAN'!D204/ncoc+IF(SUMSQ('TS-PILE'!$E$56:$E$75)=0,0,'TO HOP NLAN'!E204*'TS-PILE'!$E$57/SUMSQ('TS-PILE'!$E$56:$E$75))+IF(SUMSQ('TS-PILE'!$D$56:$D$75)=0,0,'TO HOP NLAN'!F204*'TS-PILE'!$D$57/SUMSQ('TS-PILE'!$D$56:$D$75))),IF('TS-PILE'!$B$58="",-1E+99,'TO HOP NLAN'!D204/ncoc+IF(SUMSQ('TS-PILE'!$E$56:$E$75)=0,0,'TO HOP NLAN'!E204*'TS-PILE'!$E$58/SUMSQ('TS-PILE'!$E$56:$E$75))+IF(SUMSQ('TS-PILE'!$D$56:$D$75)=0,0,'TO HOP NLAN'!F204*'TS-PILE'!$D$58/SUMSQ('TS-PILE'!$D$56:$D$75))),IF('TS-PILE'!$B$59="",-1E+99,'TO HOP NLAN'!D204/ncoc+IF(SUMSQ('TS-PILE'!$E$56:$E$75)=0,0,'TO HOP NLAN'!E204*'TS-PILE'!$E$59/SUMSQ('TS-PILE'!$E$56:$E$75))+IF(SUMSQ('TS-PILE'!$D$56:$D$75)=0,0,'TO HOP NLAN'!F204*'TS-PILE'!$D$59/SUMSQ('TS-PILE'!$D$56:$D$75))),IF('TS-PILE'!$B$60="",-1E+99,'TO HOP NLAN'!D204/ncoc+IF(SUMSQ('TS-PILE'!$E$56:$E$75)=0,0,'TO HOP NLAN'!E204*'TS-PILE'!$E$60/SUMSQ('TS-PILE'!$E$56:$E$75))+IF(SUMSQ('TS-PILE'!$D$56:$D$75)=0,0,'TO HOP NLAN'!F204*'TS-PILE'!$D$60/SUMSQ('TS-PILE'!$D$56:$D$75))),IF('TS-PILE'!$B$61="",-1E+99,'TO HOP NLAN'!D204/ncoc+IF(SUMSQ('TS-PILE'!$E$56:$E$75)=0,0,'TO HOP NLAN'!E204*'TS-PILE'!$E$61/SUMSQ('TS-PILE'!$E$56:$E$75))+IF(SUMSQ('TS-PILE'!$D$56:$D$75)=0,0,'TO HOP NLAN'!F204*'TS-PILE'!$D$61/SUMSQ('TS-PILE'!$D$56:$D$75))),IF('TS-PILE'!$B$62="",-1E+99,'TO HOP NLAN'!D204/ncoc+IF(SUMSQ('TS-PILE'!$E$56:$E$75)=0,0,'TO HOP NLAN'!E204*'TS-PILE'!$E$62/SUMSQ('TS-PILE'!$E$56:$E$75))+IF(SUMSQ('TS-PILE'!$D$56:$D$75)=0,0,'TO HOP NLAN'!F204*'TS-PILE'!$D$62/SUMSQ('TS-PILE'!$D$56:$D$75))),IF('TS-PILE'!$B$63="",-1E+99,'TO HOP NLAN'!D204/ncoc+IF(SUMSQ('TS-PILE'!$E$56:$E$75)=0,0,'TO HOP NLAN'!E204*'TS-PILE'!$E$63/SUMSQ('TS-PILE'!$E$56:$E$75))+IF(SUMSQ('TS-PILE'!$D$56:$D$75)=0,0,'TO HOP NLAN'!F204*'TS-PILE'!$D$63/SUMSQ('TS-PILE'!$D$56:$D$75))),IF('TS-PILE'!$B$64="",-1E+99,'TO HOP NLAN'!D204/ncoc+IF(SUMSQ('TS-PILE'!$E$56:$E$75)=0,0,'TO HOP NLAN'!E204*'TS-PILE'!$E$64/SUMSQ('TS-PILE'!$E$56:$E$75))+IF(SUMSQ('TS-PILE'!$D$56:$D$75)=0,0,'TO HOP NLAN'!F204*'TS-PILE'!$D$64/SUMSQ('TS-PILE'!$D$56:$D$75))),IF('TS-PILE'!$B$65="",-1E+99,'TO HOP NLAN'!D204/ncoc+IF(SUMSQ('TS-PILE'!$E$56:$E$75)=0,0,'TO HOP NLAN'!E204*'TS-PILE'!$E$65/SUMSQ('TS-PILE'!$E$56:$E$75))+IF(SUMSQ('TS-PILE'!$D$56:$D$75)=0,0,'TO HOP NLAN'!F204*'TS-PILE'!$D$65/SUMSQ('TS-PILE'!$D$56:$D$75))),IF('TS-PILE'!$B$66="",-1E+99,'TO HOP NLAN'!D204/ncoc+IF(SUMSQ('TS-PILE'!$E$56:$E$75)=0,0,'TO HOP NLAN'!E204*'TS-PILE'!$E$66/SUMSQ('TS-PILE'!$E$56:$E$75))+IF(SUMSQ('TS-PILE'!$D$56:$D$75)=0,0,'TO HOP NLAN'!F204*'TS-PILE'!$D$66/SUMSQ('TS-PILE'!$D$56:$D$75))),IF('TS-PILE'!$B$67="",-1E+99,'TO HOP NLAN'!D204/ncoc+IF(SUMSQ('TS-PILE'!$E$56:$E$75)=0,0,'TO HOP NLAN'!E204*'TS-PILE'!$E$67/SUMSQ('TS-PILE'!$E$56:$E$75))+IF(SUMSQ('TS-PILE'!$D$56:$D$75)=0,0,'TO HOP NLAN'!F204*'TS-PILE'!$D$67/SUMSQ('TS-PILE'!$D$56:$D$75))),IF('TS-PILE'!$B$68="",-1E+99,'TO HOP NLAN'!D204/ncoc+IF(SUMSQ('TS-PILE'!$E$56:$E$75)=0,0,'TO HOP NLAN'!E204*'TS-PILE'!$E$68/SUMSQ('TS-PILE'!$E$56:$E$75))+IF(SUMSQ('TS-PILE'!$D$56:$D$75)=0,0,'TO HOP NLAN'!F204*'TS-PILE'!$D$68/SUMSQ('TS-PILE'!$D$56:$D$75))),IF('TS-PILE'!$B$69="",-1E+99,'TO HOP NLAN'!D204/ncoc+IF(SUMSQ('TS-PILE'!$E$56:$E$75)=0,0,'TO HOP NLAN'!E204*'TS-PILE'!$E$69/SUMSQ('TS-PILE'!$E$56:$E$75))+IF(SUMSQ('TS-PILE'!$D$56:$D$75)=0,0,'TO HOP NLAN'!F204*'TS-PILE'!$D$69/SUMSQ('TS-PILE'!$D$56:$D$75))),IF('TS-PILE'!$B$70="",-1E+99,'TO HOP NLAN'!D204/ncoc+IF(SUMSQ('TS-PILE'!$E$56:$E$75)=0,0,'TO HOP NLAN'!E204*'TS-PILE'!$E$70/SUMSQ('TS-PILE'!$E$56:$E$75))+IF(SUMSQ('TS-PILE'!$D$56:$D$75)=0,0,'TO HOP NLAN'!F204*'TS-PILE'!$D$70/SUMSQ('TS-PILE'!$D$56:$D$75))),IF('TS-PILE'!$B$71="",-1E+99,'TO HOP NLAN'!D204/ncoc+IF(SUMSQ('TS-PILE'!$E$56:$E$75)=0,0,'TO HOP NLAN'!E204*'TS-PILE'!$E$71/SUMSQ('TS-PILE'!$E$56:$E$75))+IF(SUMSQ('TS-PILE'!$D$56:$D$75)=0,0,'TO HOP NLAN'!F204*'TS-PILE'!$D$71/SUMSQ('TS-PILE'!$D$56:$D$75))),IF('TS-PILE'!$B$72="",-1E+99,'TO HOP NLAN'!D204/ncoc+IF(SUMSQ('TS-PILE'!$E$56:$E$75)=0,0,'TO HOP NLAN'!E204*'TS-PILE'!$E$72/SUMSQ('TS-PILE'!$E$56:$E$75))+IF(SUMSQ('TS-PILE'!$D$56:$D$75)=0,0,'TO HOP NLAN'!F204*'TS-PILE'!$D$72/SUMSQ('TS-PILE'!$D$56:$D$75))),IF('TS-PILE'!$B$73="",-1E+99,'TO HOP NLAN'!D204/ncoc+IF(SUMSQ('TS-PILE'!$E$56:$E$75)=0,0,'TO HOP NLAN'!E204*'TS-PILE'!$E$73/SUMSQ('TS-PILE'!$E$56:$E$75))+IF(SUMSQ('TS-PILE'!$D$56:$D$75)=0,0,'TO HOP NLAN'!F204*'TS-PILE'!$D$73/SUMSQ('TS-PILE'!$D$56:$D$75))),IF('TS-PILE'!$B$74="",-1E+99,'TO HOP NLAN'!D204/ncoc+IF(SUMSQ('TS-PILE'!$E$56:$E$75)=0,0,'TO HOP NLAN'!E204*'TS-PILE'!$E$74/SUMSQ('TS-PILE'!$E$56:$E$75))+IF(SUMSQ('TS-PILE'!$D$56:$D$75)=0,0,'TO HOP NLAN'!F204*'TS-PILE'!$D$74/SUMSQ('TS-PILE'!$D$56:$D$75))),IF('TS-PILE'!$B$75="",-1E+99,'TO HOP NLAN'!D204/ncoc+IF(SUMSQ('TS-PILE'!$E$56:$E$75)=0,0,'TO HOP NLAN'!E204*'TS-PILE'!$E$75/SUMSQ('TS-PILE'!$E$56:$E$75))+IF(SUMSQ('TS-PILE'!$D$56:$D$75)=0,0,'TO HOP NLAN'!F204*'TS-PILE'!$D$75/SUMSQ('TS-PILE'!$D$56:$D$75)))))</f>
        <v>0</v>
      </c>
      <c r="D204" s="46">
        <f>IF(A204="",0,MIN(IF('TS-PILE'!$B$56="",1E+99,'TO HOP NLAN'!D204/ncoc+IF(SUMSQ('TS-PILE'!$E$56:$E$75)=0,0,'TO HOP NLAN'!E204*'TS-PILE'!$E$56/SUMSQ('TS-PILE'!$E$56:$E$75))+IF(SUMSQ('TS-PILE'!$D$56:$D$75)=0,0,'TO HOP NLAN'!F204*'TS-PILE'!$D$56/SUMSQ('TS-PILE'!$D$56:$D$75))),IF('TS-PILE'!$B$57="",1E+99,'TO HOP NLAN'!D204/ncoc+IF(SUMSQ('TS-PILE'!$E$56:$E$75)=0,0,'TO HOP NLAN'!E204*'TS-PILE'!$E$57/SUMSQ('TS-PILE'!$E$56:$E$75))+IF(SUMSQ('TS-PILE'!$D$56:$D$75)=0,0,'TO HOP NLAN'!F204*'TS-PILE'!$D$57/SUMSQ('TS-PILE'!$D$56:$D$75))),IF('TS-PILE'!$B$58="",1E+99,'TO HOP NLAN'!D204/ncoc+IF(SUMSQ('TS-PILE'!$E$56:$E$75)=0,0,'TO HOP NLAN'!E204*'TS-PILE'!$E$58/SUMSQ('TS-PILE'!$E$56:$E$75))+IF(SUMSQ('TS-PILE'!$D$56:$D$75)=0,0,'TO HOP NLAN'!F204*'TS-PILE'!$D$58/SUMSQ('TS-PILE'!$D$56:$D$75))),IF('TS-PILE'!$B$59="",1E+99,'TO HOP NLAN'!D204/ncoc+IF(SUMSQ('TS-PILE'!$E$56:$E$75)=0,0,'TO HOP NLAN'!E204*'TS-PILE'!$E$59/SUMSQ('TS-PILE'!$E$56:$E$75))+IF(SUMSQ('TS-PILE'!$D$56:$D$75)=0,0,'TO HOP NLAN'!F204*'TS-PILE'!$D$59/SUMSQ('TS-PILE'!$D$56:$D$75))),IF('TS-PILE'!$B$60="",1E+99,'TO HOP NLAN'!D204/ncoc+IF(SUMSQ('TS-PILE'!$E$56:$E$75)=0,0,'TO HOP NLAN'!E204*'TS-PILE'!$E$60/SUMSQ('TS-PILE'!$E$56:$E$75))+IF(SUMSQ('TS-PILE'!$D$56:$D$75)=0,0,'TO HOP NLAN'!F204*'TS-PILE'!$D$60/SUMSQ('TS-PILE'!$D$56:$D$75))),IF('TS-PILE'!$B$61="",1E+99,'TO HOP NLAN'!D204/ncoc+IF(SUMSQ('TS-PILE'!$E$56:$E$75)=0,0,'TO HOP NLAN'!E204*'TS-PILE'!$E$61/SUMSQ('TS-PILE'!$E$56:$E$75))+IF(SUMSQ('TS-PILE'!$D$56:$D$75)=0,0,'TO HOP NLAN'!F204*'TS-PILE'!$D$61/SUMSQ('TS-PILE'!$D$56:$D$75))),IF('TS-PILE'!$B$62="",1E+99,'TO HOP NLAN'!D204/ncoc+IF(SUMSQ('TS-PILE'!$E$56:$E$75)=0,0,'TO HOP NLAN'!E204*'TS-PILE'!$E$62/SUMSQ('TS-PILE'!$E$56:$E$75))+IF(SUMSQ('TS-PILE'!$D$56:$D$75)=0,0,'TO HOP NLAN'!F204*'TS-PILE'!$D$62/SUMSQ('TS-PILE'!$D$56:$D$75))),IF('TS-PILE'!$B$63="",1E+99,'TO HOP NLAN'!D204/ncoc+IF(SUMSQ('TS-PILE'!$E$56:$E$75)=0,0,'TO HOP NLAN'!E204*'TS-PILE'!$E$63/SUMSQ('TS-PILE'!$E$56:$E$75))+IF(SUMSQ('TS-PILE'!$D$56:$D$75)=0,0,'TO HOP NLAN'!F204*'TS-PILE'!$D$63/SUMSQ('TS-PILE'!$D$56:$D$75))),IF('TS-PILE'!$B$64="",1E+99,'TO HOP NLAN'!D204/ncoc+IF(SUMSQ('TS-PILE'!$E$56:$E$75)=0,0,'TO HOP NLAN'!E204*'TS-PILE'!$E$64/SUMSQ('TS-PILE'!$E$56:$E$75))+IF(SUMSQ('TS-PILE'!$D$56:$D$75)=0,0,'TO HOP NLAN'!F204*'TS-PILE'!$D$64/SUMSQ('TS-PILE'!$D$56:$D$75))),IF('TS-PILE'!$B$65="",1E+99,'TO HOP NLAN'!D204/ncoc+IF(SUMSQ('TS-PILE'!$E$56:$E$75)=0,0,'TO HOP NLAN'!E204*'TS-PILE'!$E$65/SUMSQ('TS-PILE'!$E$56:$E$75))+IF(SUMSQ('TS-PILE'!$D$56:$D$75)=0,0,'TO HOP NLAN'!F204*'TS-PILE'!$D$65/SUMSQ('TS-PILE'!$D$56:$D$75))),IF('TS-PILE'!$B$66="",1E+99,'TO HOP NLAN'!D204/ncoc+IF(SUMSQ('TS-PILE'!$E$56:$E$75)=0,0,'TO HOP NLAN'!E204*'TS-PILE'!$E$66/SUMSQ('TS-PILE'!$E$56:$E$75))+IF(SUMSQ('TS-PILE'!$D$56:$D$75)=0,0,'TO HOP NLAN'!F204*'TS-PILE'!$D$66/SUMSQ('TS-PILE'!$D$56:$D$75))),IF('TS-PILE'!$B$67="",1E+99,'TO HOP NLAN'!D204/ncoc+IF(SUMSQ('TS-PILE'!$E$56:$E$75)=0,0,'TO HOP NLAN'!E204*'TS-PILE'!$E$67/SUMSQ('TS-PILE'!$E$56:$E$75))+IF(SUMSQ('TS-PILE'!$D$56:$D$75)=0,0,'TO HOP NLAN'!F204*'TS-PILE'!$D$67/SUMSQ('TS-PILE'!$D$56:$D$75))),IF('TS-PILE'!$B$68="",1E+99,'TO HOP NLAN'!D204/ncoc+IF(SUMSQ('TS-PILE'!$E$56:$E$75)=0,0,'TO HOP NLAN'!E204*'TS-PILE'!$E$68/SUMSQ('TS-PILE'!$E$56:$E$75))+IF(SUMSQ('TS-PILE'!$D$56:$D$75)=0,0,'TO HOP NLAN'!F204*'TS-PILE'!$D$68/SUMSQ('TS-PILE'!$D$56:$D$75))),IF('TS-PILE'!$B$69="",1E+99,'TO HOP NLAN'!D204/ncoc+IF(SUMSQ('TS-PILE'!$E$56:$E$75)=0,0,'TO HOP NLAN'!E204*'TS-PILE'!$E$69/SUMSQ('TS-PILE'!$E$56:$E$75))+IF(SUMSQ('TS-PILE'!$D$56:$D$75)=0,0,'TO HOP NLAN'!F204*'TS-PILE'!$D$69/SUMSQ('TS-PILE'!$D$56:$D$75))),IF('TS-PILE'!$B$70="",1E+99,'TO HOP NLAN'!D204/ncoc+IF(SUMSQ('TS-PILE'!$E$56:$E$75)=0,0,'TO HOP NLAN'!E204*'TS-PILE'!$E$70/SUMSQ('TS-PILE'!$E$56:$E$75))+IF(SUMSQ('TS-PILE'!$D$56:$D$75)=0,0,'TO HOP NLAN'!F204*'TS-PILE'!$D$70/SUMSQ('TS-PILE'!$D$56:$D$75))),IF('TS-PILE'!$B$71="",1E+99,'TO HOP NLAN'!D204/ncoc+IF(SUMSQ('TS-PILE'!$E$56:$E$75)=0,0,'TO HOP NLAN'!E204*'TS-PILE'!$E$71/SUMSQ('TS-PILE'!$E$56:$E$75))+IF(SUMSQ('TS-PILE'!$D$56:$D$75)=0,0,'TO HOP NLAN'!F204*'TS-PILE'!$D$71/SUMSQ('TS-PILE'!$D$56:$D$75))),IF('TS-PILE'!$B$72="",1E+99,'TO HOP NLAN'!D204/ncoc+IF(SUMSQ('TS-PILE'!$E$56:$E$75)=0,0,'TO HOP NLAN'!E204*'TS-PILE'!$E$72/SUMSQ('TS-PILE'!$E$56:$E$75))+IF(SUMSQ('TS-PILE'!$D$56:$D$75)=0,0,'TO HOP NLAN'!F204*'TS-PILE'!$D$72/SUMSQ('TS-PILE'!$D$56:$D$75))),IF('TS-PILE'!$B$73="",1E+99,'TO HOP NLAN'!D204/ncoc+IF(SUMSQ('TS-PILE'!$E$56:$E$75)=0,0,'TO HOP NLAN'!E204*'TS-PILE'!$E$73/SUMSQ('TS-PILE'!$E$56:$E$75))+IF(SUMSQ('TS-PILE'!$D$56:$D$75)=0,0,'TO HOP NLAN'!F204*'TS-PILE'!$D$73/SUMSQ('TS-PILE'!$D$56:$D$75))),IF('TS-PILE'!$B$74="",1E+99,'TO HOP NLAN'!D204/ncoc+IF(SUMSQ('TS-PILE'!$E$56:$E$75)=0,0,'TO HOP NLAN'!E204*'TS-PILE'!$E$74/SUMSQ('TS-PILE'!$E$56:$E$75))+IF(SUMSQ('TS-PILE'!$D$56:$D$75)=0,0,'TO HOP NLAN'!F204*'TS-PILE'!$D$74/SUMSQ('TS-PILE'!$D$56:$D$75))),IF('TS-PILE'!$B$75="",1E+99,'TO HOP NLAN'!D204/ncoc+IF(SUMSQ('TS-PILE'!$E$56:$E$75)=0,0,'TO HOP NLAN'!E204*'TS-PILE'!$E$75/SUMSQ('TS-PILE'!$E$56:$E$75))+IF(SUMSQ('TS-PILE'!$D$56:$D$75)=0,0,'TO HOP NLAN'!F204*'TS-PILE'!$D$75/SUMSQ('TS-PILE'!$D$56:$D$75)))))</f>
        <v>0</v>
      </c>
      <c r="E204" s="46">
        <f t="shared" si="12"/>
        <v>-9.9999999999999997E+98</v>
      </c>
      <c r="F204" s="46">
        <f t="shared" si="13"/>
        <v>9.9999999999999997E+98</v>
      </c>
      <c r="G204" s="46">
        <f t="shared" si="14"/>
        <v>-9.9999999999999997E+98</v>
      </c>
      <c r="H204" s="46">
        <f t="shared" si="15"/>
        <v>9.9999999999999997E+98</v>
      </c>
    </row>
    <row r="205" spans="1:8" x14ac:dyDescent="0.3">
      <c r="A205" s="40" t="str">
        <f>'TO HOP NLAN'!A205</f>
        <v/>
      </c>
      <c r="B205" s="40" t="str">
        <f>'TO HOP NLAN'!L205</f>
        <v>STRENGTH</v>
      </c>
      <c r="C205" s="46">
        <f>IF(A205="",0,MAX(IF('TS-PILE'!$B$56="",-1E+99,'TO HOP NLAN'!D205/ncoc+IF(SUMSQ('TS-PILE'!$E$56:$E$75)=0,0,'TO HOP NLAN'!E205*'TS-PILE'!$E$56/SUMSQ('TS-PILE'!$E$56:$E$75))+IF(SUMSQ('TS-PILE'!$D$56:$D$75)=0,0,'TO HOP NLAN'!F205*'TS-PILE'!$D$56/SUMSQ('TS-PILE'!$D$56:$D$75))),IF('TS-PILE'!$B$57="",-1E+99,'TO HOP NLAN'!D205/ncoc+IF(SUMSQ('TS-PILE'!$E$56:$E$75)=0,0,'TO HOP NLAN'!E205*'TS-PILE'!$E$57/SUMSQ('TS-PILE'!$E$56:$E$75))+IF(SUMSQ('TS-PILE'!$D$56:$D$75)=0,0,'TO HOP NLAN'!F205*'TS-PILE'!$D$57/SUMSQ('TS-PILE'!$D$56:$D$75))),IF('TS-PILE'!$B$58="",-1E+99,'TO HOP NLAN'!D205/ncoc+IF(SUMSQ('TS-PILE'!$E$56:$E$75)=0,0,'TO HOP NLAN'!E205*'TS-PILE'!$E$58/SUMSQ('TS-PILE'!$E$56:$E$75))+IF(SUMSQ('TS-PILE'!$D$56:$D$75)=0,0,'TO HOP NLAN'!F205*'TS-PILE'!$D$58/SUMSQ('TS-PILE'!$D$56:$D$75))),IF('TS-PILE'!$B$59="",-1E+99,'TO HOP NLAN'!D205/ncoc+IF(SUMSQ('TS-PILE'!$E$56:$E$75)=0,0,'TO HOP NLAN'!E205*'TS-PILE'!$E$59/SUMSQ('TS-PILE'!$E$56:$E$75))+IF(SUMSQ('TS-PILE'!$D$56:$D$75)=0,0,'TO HOP NLAN'!F205*'TS-PILE'!$D$59/SUMSQ('TS-PILE'!$D$56:$D$75))),IF('TS-PILE'!$B$60="",-1E+99,'TO HOP NLAN'!D205/ncoc+IF(SUMSQ('TS-PILE'!$E$56:$E$75)=0,0,'TO HOP NLAN'!E205*'TS-PILE'!$E$60/SUMSQ('TS-PILE'!$E$56:$E$75))+IF(SUMSQ('TS-PILE'!$D$56:$D$75)=0,0,'TO HOP NLAN'!F205*'TS-PILE'!$D$60/SUMSQ('TS-PILE'!$D$56:$D$75))),IF('TS-PILE'!$B$61="",-1E+99,'TO HOP NLAN'!D205/ncoc+IF(SUMSQ('TS-PILE'!$E$56:$E$75)=0,0,'TO HOP NLAN'!E205*'TS-PILE'!$E$61/SUMSQ('TS-PILE'!$E$56:$E$75))+IF(SUMSQ('TS-PILE'!$D$56:$D$75)=0,0,'TO HOP NLAN'!F205*'TS-PILE'!$D$61/SUMSQ('TS-PILE'!$D$56:$D$75))),IF('TS-PILE'!$B$62="",-1E+99,'TO HOP NLAN'!D205/ncoc+IF(SUMSQ('TS-PILE'!$E$56:$E$75)=0,0,'TO HOP NLAN'!E205*'TS-PILE'!$E$62/SUMSQ('TS-PILE'!$E$56:$E$75))+IF(SUMSQ('TS-PILE'!$D$56:$D$75)=0,0,'TO HOP NLAN'!F205*'TS-PILE'!$D$62/SUMSQ('TS-PILE'!$D$56:$D$75))),IF('TS-PILE'!$B$63="",-1E+99,'TO HOP NLAN'!D205/ncoc+IF(SUMSQ('TS-PILE'!$E$56:$E$75)=0,0,'TO HOP NLAN'!E205*'TS-PILE'!$E$63/SUMSQ('TS-PILE'!$E$56:$E$75))+IF(SUMSQ('TS-PILE'!$D$56:$D$75)=0,0,'TO HOP NLAN'!F205*'TS-PILE'!$D$63/SUMSQ('TS-PILE'!$D$56:$D$75))),IF('TS-PILE'!$B$64="",-1E+99,'TO HOP NLAN'!D205/ncoc+IF(SUMSQ('TS-PILE'!$E$56:$E$75)=0,0,'TO HOP NLAN'!E205*'TS-PILE'!$E$64/SUMSQ('TS-PILE'!$E$56:$E$75))+IF(SUMSQ('TS-PILE'!$D$56:$D$75)=0,0,'TO HOP NLAN'!F205*'TS-PILE'!$D$64/SUMSQ('TS-PILE'!$D$56:$D$75))),IF('TS-PILE'!$B$65="",-1E+99,'TO HOP NLAN'!D205/ncoc+IF(SUMSQ('TS-PILE'!$E$56:$E$75)=0,0,'TO HOP NLAN'!E205*'TS-PILE'!$E$65/SUMSQ('TS-PILE'!$E$56:$E$75))+IF(SUMSQ('TS-PILE'!$D$56:$D$75)=0,0,'TO HOP NLAN'!F205*'TS-PILE'!$D$65/SUMSQ('TS-PILE'!$D$56:$D$75))),IF('TS-PILE'!$B$66="",-1E+99,'TO HOP NLAN'!D205/ncoc+IF(SUMSQ('TS-PILE'!$E$56:$E$75)=0,0,'TO HOP NLAN'!E205*'TS-PILE'!$E$66/SUMSQ('TS-PILE'!$E$56:$E$75))+IF(SUMSQ('TS-PILE'!$D$56:$D$75)=0,0,'TO HOP NLAN'!F205*'TS-PILE'!$D$66/SUMSQ('TS-PILE'!$D$56:$D$75))),IF('TS-PILE'!$B$67="",-1E+99,'TO HOP NLAN'!D205/ncoc+IF(SUMSQ('TS-PILE'!$E$56:$E$75)=0,0,'TO HOP NLAN'!E205*'TS-PILE'!$E$67/SUMSQ('TS-PILE'!$E$56:$E$75))+IF(SUMSQ('TS-PILE'!$D$56:$D$75)=0,0,'TO HOP NLAN'!F205*'TS-PILE'!$D$67/SUMSQ('TS-PILE'!$D$56:$D$75))),IF('TS-PILE'!$B$68="",-1E+99,'TO HOP NLAN'!D205/ncoc+IF(SUMSQ('TS-PILE'!$E$56:$E$75)=0,0,'TO HOP NLAN'!E205*'TS-PILE'!$E$68/SUMSQ('TS-PILE'!$E$56:$E$75))+IF(SUMSQ('TS-PILE'!$D$56:$D$75)=0,0,'TO HOP NLAN'!F205*'TS-PILE'!$D$68/SUMSQ('TS-PILE'!$D$56:$D$75))),IF('TS-PILE'!$B$69="",-1E+99,'TO HOP NLAN'!D205/ncoc+IF(SUMSQ('TS-PILE'!$E$56:$E$75)=0,0,'TO HOP NLAN'!E205*'TS-PILE'!$E$69/SUMSQ('TS-PILE'!$E$56:$E$75))+IF(SUMSQ('TS-PILE'!$D$56:$D$75)=0,0,'TO HOP NLAN'!F205*'TS-PILE'!$D$69/SUMSQ('TS-PILE'!$D$56:$D$75))),IF('TS-PILE'!$B$70="",-1E+99,'TO HOP NLAN'!D205/ncoc+IF(SUMSQ('TS-PILE'!$E$56:$E$75)=0,0,'TO HOP NLAN'!E205*'TS-PILE'!$E$70/SUMSQ('TS-PILE'!$E$56:$E$75))+IF(SUMSQ('TS-PILE'!$D$56:$D$75)=0,0,'TO HOP NLAN'!F205*'TS-PILE'!$D$70/SUMSQ('TS-PILE'!$D$56:$D$75))),IF('TS-PILE'!$B$71="",-1E+99,'TO HOP NLAN'!D205/ncoc+IF(SUMSQ('TS-PILE'!$E$56:$E$75)=0,0,'TO HOP NLAN'!E205*'TS-PILE'!$E$71/SUMSQ('TS-PILE'!$E$56:$E$75))+IF(SUMSQ('TS-PILE'!$D$56:$D$75)=0,0,'TO HOP NLAN'!F205*'TS-PILE'!$D$71/SUMSQ('TS-PILE'!$D$56:$D$75))),IF('TS-PILE'!$B$72="",-1E+99,'TO HOP NLAN'!D205/ncoc+IF(SUMSQ('TS-PILE'!$E$56:$E$75)=0,0,'TO HOP NLAN'!E205*'TS-PILE'!$E$72/SUMSQ('TS-PILE'!$E$56:$E$75))+IF(SUMSQ('TS-PILE'!$D$56:$D$75)=0,0,'TO HOP NLAN'!F205*'TS-PILE'!$D$72/SUMSQ('TS-PILE'!$D$56:$D$75))),IF('TS-PILE'!$B$73="",-1E+99,'TO HOP NLAN'!D205/ncoc+IF(SUMSQ('TS-PILE'!$E$56:$E$75)=0,0,'TO HOP NLAN'!E205*'TS-PILE'!$E$73/SUMSQ('TS-PILE'!$E$56:$E$75))+IF(SUMSQ('TS-PILE'!$D$56:$D$75)=0,0,'TO HOP NLAN'!F205*'TS-PILE'!$D$73/SUMSQ('TS-PILE'!$D$56:$D$75))),IF('TS-PILE'!$B$74="",-1E+99,'TO HOP NLAN'!D205/ncoc+IF(SUMSQ('TS-PILE'!$E$56:$E$75)=0,0,'TO HOP NLAN'!E205*'TS-PILE'!$E$74/SUMSQ('TS-PILE'!$E$56:$E$75))+IF(SUMSQ('TS-PILE'!$D$56:$D$75)=0,0,'TO HOP NLAN'!F205*'TS-PILE'!$D$74/SUMSQ('TS-PILE'!$D$56:$D$75))),IF('TS-PILE'!$B$75="",-1E+99,'TO HOP NLAN'!D205/ncoc+IF(SUMSQ('TS-PILE'!$E$56:$E$75)=0,0,'TO HOP NLAN'!E205*'TS-PILE'!$E$75/SUMSQ('TS-PILE'!$E$56:$E$75))+IF(SUMSQ('TS-PILE'!$D$56:$D$75)=0,0,'TO HOP NLAN'!F205*'TS-PILE'!$D$75/SUMSQ('TS-PILE'!$D$56:$D$75)))))</f>
        <v>0</v>
      </c>
      <c r="D205" s="46">
        <f>IF(A205="",0,MIN(IF('TS-PILE'!$B$56="",1E+99,'TO HOP NLAN'!D205/ncoc+IF(SUMSQ('TS-PILE'!$E$56:$E$75)=0,0,'TO HOP NLAN'!E205*'TS-PILE'!$E$56/SUMSQ('TS-PILE'!$E$56:$E$75))+IF(SUMSQ('TS-PILE'!$D$56:$D$75)=0,0,'TO HOP NLAN'!F205*'TS-PILE'!$D$56/SUMSQ('TS-PILE'!$D$56:$D$75))),IF('TS-PILE'!$B$57="",1E+99,'TO HOP NLAN'!D205/ncoc+IF(SUMSQ('TS-PILE'!$E$56:$E$75)=0,0,'TO HOP NLAN'!E205*'TS-PILE'!$E$57/SUMSQ('TS-PILE'!$E$56:$E$75))+IF(SUMSQ('TS-PILE'!$D$56:$D$75)=0,0,'TO HOP NLAN'!F205*'TS-PILE'!$D$57/SUMSQ('TS-PILE'!$D$56:$D$75))),IF('TS-PILE'!$B$58="",1E+99,'TO HOP NLAN'!D205/ncoc+IF(SUMSQ('TS-PILE'!$E$56:$E$75)=0,0,'TO HOP NLAN'!E205*'TS-PILE'!$E$58/SUMSQ('TS-PILE'!$E$56:$E$75))+IF(SUMSQ('TS-PILE'!$D$56:$D$75)=0,0,'TO HOP NLAN'!F205*'TS-PILE'!$D$58/SUMSQ('TS-PILE'!$D$56:$D$75))),IF('TS-PILE'!$B$59="",1E+99,'TO HOP NLAN'!D205/ncoc+IF(SUMSQ('TS-PILE'!$E$56:$E$75)=0,0,'TO HOP NLAN'!E205*'TS-PILE'!$E$59/SUMSQ('TS-PILE'!$E$56:$E$75))+IF(SUMSQ('TS-PILE'!$D$56:$D$75)=0,0,'TO HOP NLAN'!F205*'TS-PILE'!$D$59/SUMSQ('TS-PILE'!$D$56:$D$75))),IF('TS-PILE'!$B$60="",1E+99,'TO HOP NLAN'!D205/ncoc+IF(SUMSQ('TS-PILE'!$E$56:$E$75)=0,0,'TO HOP NLAN'!E205*'TS-PILE'!$E$60/SUMSQ('TS-PILE'!$E$56:$E$75))+IF(SUMSQ('TS-PILE'!$D$56:$D$75)=0,0,'TO HOP NLAN'!F205*'TS-PILE'!$D$60/SUMSQ('TS-PILE'!$D$56:$D$75))),IF('TS-PILE'!$B$61="",1E+99,'TO HOP NLAN'!D205/ncoc+IF(SUMSQ('TS-PILE'!$E$56:$E$75)=0,0,'TO HOP NLAN'!E205*'TS-PILE'!$E$61/SUMSQ('TS-PILE'!$E$56:$E$75))+IF(SUMSQ('TS-PILE'!$D$56:$D$75)=0,0,'TO HOP NLAN'!F205*'TS-PILE'!$D$61/SUMSQ('TS-PILE'!$D$56:$D$75))),IF('TS-PILE'!$B$62="",1E+99,'TO HOP NLAN'!D205/ncoc+IF(SUMSQ('TS-PILE'!$E$56:$E$75)=0,0,'TO HOP NLAN'!E205*'TS-PILE'!$E$62/SUMSQ('TS-PILE'!$E$56:$E$75))+IF(SUMSQ('TS-PILE'!$D$56:$D$75)=0,0,'TO HOP NLAN'!F205*'TS-PILE'!$D$62/SUMSQ('TS-PILE'!$D$56:$D$75))),IF('TS-PILE'!$B$63="",1E+99,'TO HOP NLAN'!D205/ncoc+IF(SUMSQ('TS-PILE'!$E$56:$E$75)=0,0,'TO HOP NLAN'!E205*'TS-PILE'!$E$63/SUMSQ('TS-PILE'!$E$56:$E$75))+IF(SUMSQ('TS-PILE'!$D$56:$D$75)=0,0,'TO HOP NLAN'!F205*'TS-PILE'!$D$63/SUMSQ('TS-PILE'!$D$56:$D$75))),IF('TS-PILE'!$B$64="",1E+99,'TO HOP NLAN'!D205/ncoc+IF(SUMSQ('TS-PILE'!$E$56:$E$75)=0,0,'TO HOP NLAN'!E205*'TS-PILE'!$E$64/SUMSQ('TS-PILE'!$E$56:$E$75))+IF(SUMSQ('TS-PILE'!$D$56:$D$75)=0,0,'TO HOP NLAN'!F205*'TS-PILE'!$D$64/SUMSQ('TS-PILE'!$D$56:$D$75))),IF('TS-PILE'!$B$65="",1E+99,'TO HOP NLAN'!D205/ncoc+IF(SUMSQ('TS-PILE'!$E$56:$E$75)=0,0,'TO HOP NLAN'!E205*'TS-PILE'!$E$65/SUMSQ('TS-PILE'!$E$56:$E$75))+IF(SUMSQ('TS-PILE'!$D$56:$D$75)=0,0,'TO HOP NLAN'!F205*'TS-PILE'!$D$65/SUMSQ('TS-PILE'!$D$56:$D$75))),IF('TS-PILE'!$B$66="",1E+99,'TO HOP NLAN'!D205/ncoc+IF(SUMSQ('TS-PILE'!$E$56:$E$75)=0,0,'TO HOP NLAN'!E205*'TS-PILE'!$E$66/SUMSQ('TS-PILE'!$E$56:$E$75))+IF(SUMSQ('TS-PILE'!$D$56:$D$75)=0,0,'TO HOP NLAN'!F205*'TS-PILE'!$D$66/SUMSQ('TS-PILE'!$D$56:$D$75))),IF('TS-PILE'!$B$67="",1E+99,'TO HOP NLAN'!D205/ncoc+IF(SUMSQ('TS-PILE'!$E$56:$E$75)=0,0,'TO HOP NLAN'!E205*'TS-PILE'!$E$67/SUMSQ('TS-PILE'!$E$56:$E$75))+IF(SUMSQ('TS-PILE'!$D$56:$D$75)=0,0,'TO HOP NLAN'!F205*'TS-PILE'!$D$67/SUMSQ('TS-PILE'!$D$56:$D$75))),IF('TS-PILE'!$B$68="",1E+99,'TO HOP NLAN'!D205/ncoc+IF(SUMSQ('TS-PILE'!$E$56:$E$75)=0,0,'TO HOP NLAN'!E205*'TS-PILE'!$E$68/SUMSQ('TS-PILE'!$E$56:$E$75))+IF(SUMSQ('TS-PILE'!$D$56:$D$75)=0,0,'TO HOP NLAN'!F205*'TS-PILE'!$D$68/SUMSQ('TS-PILE'!$D$56:$D$75))),IF('TS-PILE'!$B$69="",1E+99,'TO HOP NLAN'!D205/ncoc+IF(SUMSQ('TS-PILE'!$E$56:$E$75)=0,0,'TO HOP NLAN'!E205*'TS-PILE'!$E$69/SUMSQ('TS-PILE'!$E$56:$E$75))+IF(SUMSQ('TS-PILE'!$D$56:$D$75)=0,0,'TO HOP NLAN'!F205*'TS-PILE'!$D$69/SUMSQ('TS-PILE'!$D$56:$D$75))),IF('TS-PILE'!$B$70="",1E+99,'TO HOP NLAN'!D205/ncoc+IF(SUMSQ('TS-PILE'!$E$56:$E$75)=0,0,'TO HOP NLAN'!E205*'TS-PILE'!$E$70/SUMSQ('TS-PILE'!$E$56:$E$75))+IF(SUMSQ('TS-PILE'!$D$56:$D$75)=0,0,'TO HOP NLAN'!F205*'TS-PILE'!$D$70/SUMSQ('TS-PILE'!$D$56:$D$75))),IF('TS-PILE'!$B$71="",1E+99,'TO HOP NLAN'!D205/ncoc+IF(SUMSQ('TS-PILE'!$E$56:$E$75)=0,0,'TO HOP NLAN'!E205*'TS-PILE'!$E$71/SUMSQ('TS-PILE'!$E$56:$E$75))+IF(SUMSQ('TS-PILE'!$D$56:$D$75)=0,0,'TO HOP NLAN'!F205*'TS-PILE'!$D$71/SUMSQ('TS-PILE'!$D$56:$D$75))),IF('TS-PILE'!$B$72="",1E+99,'TO HOP NLAN'!D205/ncoc+IF(SUMSQ('TS-PILE'!$E$56:$E$75)=0,0,'TO HOP NLAN'!E205*'TS-PILE'!$E$72/SUMSQ('TS-PILE'!$E$56:$E$75))+IF(SUMSQ('TS-PILE'!$D$56:$D$75)=0,0,'TO HOP NLAN'!F205*'TS-PILE'!$D$72/SUMSQ('TS-PILE'!$D$56:$D$75))),IF('TS-PILE'!$B$73="",1E+99,'TO HOP NLAN'!D205/ncoc+IF(SUMSQ('TS-PILE'!$E$56:$E$75)=0,0,'TO HOP NLAN'!E205*'TS-PILE'!$E$73/SUMSQ('TS-PILE'!$E$56:$E$75))+IF(SUMSQ('TS-PILE'!$D$56:$D$75)=0,0,'TO HOP NLAN'!F205*'TS-PILE'!$D$73/SUMSQ('TS-PILE'!$D$56:$D$75))),IF('TS-PILE'!$B$74="",1E+99,'TO HOP NLAN'!D205/ncoc+IF(SUMSQ('TS-PILE'!$E$56:$E$75)=0,0,'TO HOP NLAN'!E205*'TS-PILE'!$E$74/SUMSQ('TS-PILE'!$E$56:$E$75))+IF(SUMSQ('TS-PILE'!$D$56:$D$75)=0,0,'TO HOP NLAN'!F205*'TS-PILE'!$D$74/SUMSQ('TS-PILE'!$D$56:$D$75))),IF('TS-PILE'!$B$75="",1E+99,'TO HOP NLAN'!D205/ncoc+IF(SUMSQ('TS-PILE'!$E$56:$E$75)=0,0,'TO HOP NLAN'!E205*'TS-PILE'!$E$75/SUMSQ('TS-PILE'!$E$56:$E$75))+IF(SUMSQ('TS-PILE'!$D$56:$D$75)=0,0,'TO HOP NLAN'!F205*'TS-PILE'!$D$75/SUMSQ('TS-PILE'!$D$56:$D$75)))))</f>
        <v>0</v>
      </c>
      <c r="E205" s="46">
        <f t="shared" si="12"/>
        <v>-9.9999999999999997E+98</v>
      </c>
      <c r="F205" s="46">
        <f t="shared" si="13"/>
        <v>9.9999999999999997E+98</v>
      </c>
      <c r="G205" s="46">
        <f t="shared" si="14"/>
        <v>-9.9999999999999997E+98</v>
      </c>
      <c r="H205" s="46">
        <f t="shared" si="15"/>
        <v>9.9999999999999997E+98</v>
      </c>
    </row>
    <row r="206" spans="1:8" x14ac:dyDescent="0.3">
      <c r="A206" s="40" t="str">
        <f>'TO HOP NLAN'!A206</f>
        <v/>
      </c>
      <c r="B206" s="40" t="str">
        <f>'TO HOP NLAN'!L206</f>
        <v>STRENGTH</v>
      </c>
      <c r="C206" s="46">
        <f>IF(A206="",0,MAX(IF('TS-PILE'!$B$56="",-1E+99,'TO HOP NLAN'!D206/ncoc+IF(SUMSQ('TS-PILE'!$E$56:$E$75)=0,0,'TO HOP NLAN'!E206*'TS-PILE'!$E$56/SUMSQ('TS-PILE'!$E$56:$E$75))+IF(SUMSQ('TS-PILE'!$D$56:$D$75)=0,0,'TO HOP NLAN'!F206*'TS-PILE'!$D$56/SUMSQ('TS-PILE'!$D$56:$D$75))),IF('TS-PILE'!$B$57="",-1E+99,'TO HOP NLAN'!D206/ncoc+IF(SUMSQ('TS-PILE'!$E$56:$E$75)=0,0,'TO HOP NLAN'!E206*'TS-PILE'!$E$57/SUMSQ('TS-PILE'!$E$56:$E$75))+IF(SUMSQ('TS-PILE'!$D$56:$D$75)=0,0,'TO HOP NLAN'!F206*'TS-PILE'!$D$57/SUMSQ('TS-PILE'!$D$56:$D$75))),IF('TS-PILE'!$B$58="",-1E+99,'TO HOP NLAN'!D206/ncoc+IF(SUMSQ('TS-PILE'!$E$56:$E$75)=0,0,'TO HOP NLAN'!E206*'TS-PILE'!$E$58/SUMSQ('TS-PILE'!$E$56:$E$75))+IF(SUMSQ('TS-PILE'!$D$56:$D$75)=0,0,'TO HOP NLAN'!F206*'TS-PILE'!$D$58/SUMSQ('TS-PILE'!$D$56:$D$75))),IF('TS-PILE'!$B$59="",-1E+99,'TO HOP NLAN'!D206/ncoc+IF(SUMSQ('TS-PILE'!$E$56:$E$75)=0,0,'TO HOP NLAN'!E206*'TS-PILE'!$E$59/SUMSQ('TS-PILE'!$E$56:$E$75))+IF(SUMSQ('TS-PILE'!$D$56:$D$75)=0,0,'TO HOP NLAN'!F206*'TS-PILE'!$D$59/SUMSQ('TS-PILE'!$D$56:$D$75))),IF('TS-PILE'!$B$60="",-1E+99,'TO HOP NLAN'!D206/ncoc+IF(SUMSQ('TS-PILE'!$E$56:$E$75)=0,0,'TO HOP NLAN'!E206*'TS-PILE'!$E$60/SUMSQ('TS-PILE'!$E$56:$E$75))+IF(SUMSQ('TS-PILE'!$D$56:$D$75)=0,0,'TO HOP NLAN'!F206*'TS-PILE'!$D$60/SUMSQ('TS-PILE'!$D$56:$D$75))),IF('TS-PILE'!$B$61="",-1E+99,'TO HOP NLAN'!D206/ncoc+IF(SUMSQ('TS-PILE'!$E$56:$E$75)=0,0,'TO HOP NLAN'!E206*'TS-PILE'!$E$61/SUMSQ('TS-PILE'!$E$56:$E$75))+IF(SUMSQ('TS-PILE'!$D$56:$D$75)=0,0,'TO HOP NLAN'!F206*'TS-PILE'!$D$61/SUMSQ('TS-PILE'!$D$56:$D$75))),IF('TS-PILE'!$B$62="",-1E+99,'TO HOP NLAN'!D206/ncoc+IF(SUMSQ('TS-PILE'!$E$56:$E$75)=0,0,'TO HOP NLAN'!E206*'TS-PILE'!$E$62/SUMSQ('TS-PILE'!$E$56:$E$75))+IF(SUMSQ('TS-PILE'!$D$56:$D$75)=0,0,'TO HOP NLAN'!F206*'TS-PILE'!$D$62/SUMSQ('TS-PILE'!$D$56:$D$75))),IF('TS-PILE'!$B$63="",-1E+99,'TO HOP NLAN'!D206/ncoc+IF(SUMSQ('TS-PILE'!$E$56:$E$75)=0,0,'TO HOP NLAN'!E206*'TS-PILE'!$E$63/SUMSQ('TS-PILE'!$E$56:$E$75))+IF(SUMSQ('TS-PILE'!$D$56:$D$75)=0,0,'TO HOP NLAN'!F206*'TS-PILE'!$D$63/SUMSQ('TS-PILE'!$D$56:$D$75))),IF('TS-PILE'!$B$64="",-1E+99,'TO HOP NLAN'!D206/ncoc+IF(SUMSQ('TS-PILE'!$E$56:$E$75)=0,0,'TO HOP NLAN'!E206*'TS-PILE'!$E$64/SUMSQ('TS-PILE'!$E$56:$E$75))+IF(SUMSQ('TS-PILE'!$D$56:$D$75)=0,0,'TO HOP NLAN'!F206*'TS-PILE'!$D$64/SUMSQ('TS-PILE'!$D$56:$D$75))),IF('TS-PILE'!$B$65="",-1E+99,'TO HOP NLAN'!D206/ncoc+IF(SUMSQ('TS-PILE'!$E$56:$E$75)=0,0,'TO HOP NLAN'!E206*'TS-PILE'!$E$65/SUMSQ('TS-PILE'!$E$56:$E$75))+IF(SUMSQ('TS-PILE'!$D$56:$D$75)=0,0,'TO HOP NLAN'!F206*'TS-PILE'!$D$65/SUMSQ('TS-PILE'!$D$56:$D$75))),IF('TS-PILE'!$B$66="",-1E+99,'TO HOP NLAN'!D206/ncoc+IF(SUMSQ('TS-PILE'!$E$56:$E$75)=0,0,'TO HOP NLAN'!E206*'TS-PILE'!$E$66/SUMSQ('TS-PILE'!$E$56:$E$75))+IF(SUMSQ('TS-PILE'!$D$56:$D$75)=0,0,'TO HOP NLAN'!F206*'TS-PILE'!$D$66/SUMSQ('TS-PILE'!$D$56:$D$75))),IF('TS-PILE'!$B$67="",-1E+99,'TO HOP NLAN'!D206/ncoc+IF(SUMSQ('TS-PILE'!$E$56:$E$75)=0,0,'TO HOP NLAN'!E206*'TS-PILE'!$E$67/SUMSQ('TS-PILE'!$E$56:$E$75))+IF(SUMSQ('TS-PILE'!$D$56:$D$75)=0,0,'TO HOP NLAN'!F206*'TS-PILE'!$D$67/SUMSQ('TS-PILE'!$D$56:$D$75))),IF('TS-PILE'!$B$68="",-1E+99,'TO HOP NLAN'!D206/ncoc+IF(SUMSQ('TS-PILE'!$E$56:$E$75)=0,0,'TO HOP NLAN'!E206*'TS-PILE'!$E$68/SUMSQ('TS-PILE'!$E$56:$E$75))+IF(SUMSQ('TS-PILE'!$D$56:$D$75)=0,0,'TO HOP NLAN'!F206*'TS-PILE'!$D$68/SUMSQ('TS-PILE'!$D$56:$D$75))),IF('TS-PILE'!$B$69="",-1E+99,'TO HOP NLAN'!D206/ncoc+IF(SUMSQ('TS-PILE'!$E$56:$E$75)=0,0,'TO HOP NLAN'!E206*'TS-PILE'!$E$69/SUMSQ('TS-PILE'!$E$56:$E$75))+IF(SUMSQ('TS-PILE'!$D$56:$D$75)=0,0,'TO HOP NLAN'!F206*'TS-PILE'!$D$69/SUMSQ('TS-PILE'!$D$56:$D$75))),IF('TS-PILE'!$B$70="",-1E+99,'TO HOP NLAN'!D206/ncoc+IF(SUMSQ('TS-PILE'!$E$56:$E$75)=0,0,'TO HOP NLAN'!E206*'TS-PILE'!$E$70/SUMSQ('TS-PILE'!$E$56:$E$75))+IF(SUMSQ('TS-PILE'!$D$56:$D$75)=0,0,'TO HOP NLAN'!F206*'TS-PILE'!$D$70/SUMSQ('TS-PILE'!$D$56:$D$75))),IF('TS-PILE'!$B$71="",-1E+99,'TO HOP NLAN'!D206/ncoc+IF(SUMSQ('TS-PILE'!$E$56:$E$75)=0,0,'TO HOP NLAN'!E206*'TS-PILE'!$E$71/SUMSQ('TS-PILE'!$E$56:$E$75))+IF(SUMSQ('TS-PILE'!$D$56:$D$75)=0,0,'TO HOP NLAN'!F206*'TS-PILE'!$D$71/SUMSQ('TS-PILE'!$D$56:$D$75))),IF('TS-PILE'!$B$72="",-1E+99,'TO HOP NLAN'!D206/ncoc+IF(SUMSQ('TS-PILE'!$E$56:$E$75)=0,0,'TO HOP NLAN'!E206*'TS-PILE'!$E$72/SUMSQ('TS-PILE'!$E$56:$E$75))+IF(SUMSQ('TS-PILE'!$D$56:$D$75)=0,0,'TO HOP NLAN'!F206*'TS-PILE'!$D$72/SUMSQ('TS-PILE'!$D$56:$D$75))),IF('TS-PILE'!$B$73="",-1E+99,'TO HOP NLAN'!D206/ncoc+IF(SUMSQ('TS-PILE'!$E$56:$E$75)=0,0,'TO HOP NLAN'!E206*'TS-PILE'!$E$73/SUMSQ('TS-PILE'!$E$56:$E$75))+IF(SUMSQ('TS-PILE'!$D$56:$D$75)=0,0,'TO HOP NLAN'!F206*'TS-PILE'!$D$73/SUMSQ('TS-PILE'!$D$56:$D$75))),IF('TS-PILE'!$B$74="",-1E+99,'TO HOP NLAN'!D206/ncoc+IF(SUMSQ('TS-PILE'!$E$56:$E$75)=0,0,'TO HOP NLAN'!E206*'TS-PILE'!$E$74/SUMSQ('TS-PILE'!$E$56:$E$75))+IF(SUMSQ('TS-PILE'!$D$56:$D$75)=0,0,'TO HOP NLAN'!F206*'TS-PILE'!$D$74/SUMSQ('TS-PILE'!$D$56:$D$75))),IF('TS-PILE'!$B$75="",-1E+99,'TO HOP NLAN'!D206/ncoc+IF(SUMSQ('TS-PILE'!$E$56:$E$75)=0,0,'TO HOP NLAN'!E206*'TS-PILE'!$E$75/SUMSQ('TS-PILE'!$E$56:$E$75))+IF(SUMSQ('TS-PILE'!$D$56:$D$75)=0,0,'TO HOP NLAN'!F206*'TS-PILE'!$D$75/SUMSQ('TS-PILE'!$D$56:$D$75)))))</f>
        <v>0</v>
      </c>
      <c r="D206" s="46">
        <f>IF(A206="",0,MIN(IF('TS-PILE'!$B$56="",1E+99,'TO HOP NLAN'!D206/ncoc+IF(SUMSQ('TS-PILE'!$E$56:$E$75)=0,0,'TO HOP NLAN'!E206*'TS-PILE'!$E$56/SUMSQ('TS-PILE'!$E$56:$E$75))+IF(SUMSQ('TS-PILE'!$D$56:$D$75)=0,0,'TO HOP NLAN'!F206*'TS-PILE'!$D$56/SUMSQ('TS-PILE'!$D$56:$D$75))),IF('TS-PILE'!$B$57="",1E+99,'TO HOP NLAN'!D206/ncoc+IF(SUMSQ('TS-PILE'!$E$56:$E$75)=0,0,'TO HOP NLAN'!E206*'TS-PILE'!$E$57/SUMSQ('TS-PILE'!$E$56:$E$75))+IF(SUMSQ('TS-PILE'!$D$56:$D$75)=0,0,'TO HOP NLAN'!F206*'TS-PILE'!$D$57/SUMSQ('TS-PILE'!$D$56:$D$75))),IF('TS-PILE'!$B$58="",1E+99,'TO HOP NLAN'!D206/ncoc+IF(SUMSQ('TS-PILE'!$E$56:$E$75)=0,0,'TO HOP NLAN'!E206*'TS-PILE'!$E$58/SUMSQ('TS-PILE'!$E$56:$E$75))+IF(SUMSQ('TS-PILE'!$D$56:$D$75)=0,0,'TO HOP NLAN'!F206*'TS-PILE'!$D$58/SUMSQ('TS-PILE'!$D$56:$D$75))),IF('TS-PILE'!$B$59="",1E+99,'TO HOP NLAN'!D206/ncoc+IF(SUMSQ('TS-PILE'!$E$56:$E$75)=0,0,'TO HOP NLAN'!E206*'TS-PILE'!$E$59/SUMSQ('TS-PILE'!$E$56:$E$75))+IF(SUMSQ('TS-PILE'!$D$56:$D$75)=0,0,'TO HOP NLAN'!F206*'TS-PILE'!$D$59/SUMSQ('TS-PILE'!$D$56:$D$75))),IF('TS-PILE'!$B$60="",1E+99,'TO HOP NLAN'!D206/ncoc+IF(SUMSQ('TS-PILE'!$E$56:$E$75)=0,0,'TO HOP NLAN'!E206*'TS-PILE'!$E$60/SUMSQ('TS-PILE'!$E$56:$E$75))+IF(SUMSQ('TS-PILE'!$D$56:$D$75)=0,0,'TO HOP NLAN'!F206*'TS-PILE'!$D$60/SUMSQ('TS-PILE'!$D$56:$D$75))),IF('TS-PILE'!$B$61="",1E+99,'TO HOP NLAN'!D206/ncoc+IF(SUMSQ('TS-PILE'!$E$56:$E$75)=0,0,'TO HOP NLAN'!E206*'TS-PILE'!$E$61/SUMSQ('TS-PILE'!$E$56:$E$75))+IF(SUMSQ('TS-PILE'!$D$56:$D$75)=0,0,'TO HOP NLAN'!F206*'TS-PILE'!$D$61/SUMSQ('TS-PILE'!$D$56:$D$75))),IF('TS-PILE'!$B$62="",1E+99,'TO HOP NLAN'!D206/ncoc+IF(SUMSQ('TS-PILE'!$E$56:$E$75)=0,0,'TO HOP NLAN'!E206*'TS-PILE'!$E$62/SUMSQ('TS-PILE'!$E$56:$E$75))+IF(SUMSQ('TS-PILE'!$D$56:$D$75)=0,0,'TO HOP NLAN'!F206*'TS-PILE'!$D$62/SUMSQ('TS-PILE'!$D$56:$D$75))),IF('TS-PILE'!$B$63="",1E+99,'TO HOP NLAN'!D206/ncoc+IF(SUMSQ('TS-PILE'!$E$56:$E$75)=0,0,'TO HOP NLAN'!E206*'TS-PILE'!$E$63/SUMSQ('TS-PILE'!$E$56:$E$75))+IF(SUMSQ('TS-PILE'!$D$56:$D$75)=0,0,'TO HOP NLAN'!F206*'TS-PILE'!$D$63/SUMSQ('TS-PILE'!$D$56:$D$75))),IF('TS-PILE'!$B$64="",1E+99,'TO HOP NLAN'!D206/ncoc+IF(SUMSQ('TS-PILE'!$E$56:$E$75)=0,0,'TO HOP NLAN'!E206*'TS-PILE'!$E$64/SUMSQ('TS-PILE'!$E$56:$E$75))+IF(SUMSQ('TS-PILE'!$D$56:$D$75)=0,0,'TO HOP NLAN'!F206*'TS-PILE'!$D$64/SUMSQ('TS-PILE'!$D$56:$D$75))),IF('TS-PILE'!$B$65="",1E+99,'TO HOP NLAN'!D206/ncoc+IF(SUMSQ('TS-PILE'!$E$56:$E$75)=0,0,'TO HOP NLAN'!E206*'TS-PILE'!$E$65/SUMSQ('TS-PILE'!$E$56:$E$75))+IF(SUMSQ('TS-PILE'!$D$56:$D$75)=0,0,'TO HOP NLAN'!F206*'TS-PILE'!$D$65/SUMSQ('TS-PILE'!$D$56:$D$75))),IF('TS-PILE'!$B$66="",1E+99,'TO HOP NLAN'!D206/ncoc+IF(SUMSQ('TS-PILE'!$E$56:$E$75)=0,0,'TO HOP NLAN'!E206*'TS-PILE'!$E$66/SUMSQ('TS-PILE'!$E$56:$E$75))+IF(SUMSQ('TS-PILE'!$D$56:$D$75)=0,0,'TO HOP NLAN'!F206*'TS-PILE'!$D$66/SUMSQ('TS-PILE'!$D$56:$D$75))),IF('TS-PILE'!$B$67="",1E+99,'TO HOP NLAN'!D206/ncoc+IF(SUMSQ('TS-PILE'!$E$56:$E$75)=0,0,'TO HOP NLAN'!E206*'TS-PILE'!$E$67/SUMSQ('TS-PILE'!$E$56:$E$75))+IF(SUMSQ('TS-PILE'!$D$56:$D$75)=0,0,'TO HOP NLAN'!F206*'TS-PILE'!$D$67/SUMSQ('TS-PILE'!$D$56:$D$75))),IF('TS-PILE'!$B$68="",1E+99,'TO HOP NLAN'!D206/ncoc+IF(SUMSQ('TS-PILE'!$E$56:$E$75)=0,0,'TO HOP NLAN'!E206*'TS-PILE'!$E$68/SUMSQ('TS-PILE'!$E$56:$E$75))+IF(SUMSQ('TS-PILE'!$D$56:$D$75)=0,0,'TO HOP NLAN'!F206*'TS-PILE'!$D$68/SUMSQ('TS-PILE'!$D$56:$D$75))),IF('TS-PILE'!$B$69="",1E+99,'TO HOP NLAN'!D206/ncoc+IF(SUMSQ('TS-PILE'!$E$56:$E$75)=0,0,'TO HOP NLAN'!E206*'TS-PILE'!$E$69/SUMSQ('TS-PILE'!$E$56:$E$75))+IF(SUMSQ('TS-PILE'!$D$56:$D$75)=0,0,'TO HOP NLAN'!F206*'TS-PILE'!$D$69/SUMSQ('TS-PILE'!$D$56:$D$75))),IF('TS-PILE'!$B$70="",1E+99,'TO HOP NLAN'!D206/ncoc+IF(SUMSQ('TS-PILE'!$E$56:$E$75)=0,0,'TO HOP NLAN'!E206*'TS-PILE'!$E$70/SUMSQ('TS-PILE'!$E$56:$E$75))+IF(SUMSQ('TS-PILE'!$D$56:$D$75)=0,0,'TO HOP NLAN'!F206*'TS-PILE'!$D$70/SUMSQ('TS-PILE'!$D$56:$D$75))),IF('TS-PILE'!$B$71="",1E+99,'TO HOP NLAN'!D206/ncoc+IF(SUMSQ('TS-PILE'!$E$56:$E$75)=0,0,'TO HOP NLAN'!E206*'TS-PILE'!$E$71/SUMSQ('TS-PILE'!$E$56:$E$75))+IF(SUMSQ('TS-PILE'!$D$56:$D$75)=0,0,'TO HOP NLAN'!F206*'TS-PILE'!$D$71/SUMSQ('TS-PILE'!$D$56:$D$75))),IF('TS-PILE'!$B$72="",1E+99,'TO HOP NLAN'!D206/ncoc+IF(SUMSQ('TS-PILE'!$E$56:$E$75)=0,0,'TO HOP NLAN'!E206*'TS-PILE'!$E$72/SUMSQ('TS-PILE'!$E$56:$E$75))+IF(SUMSQ('TS-PILE'!$D$56:$D$75)=0,0,'TO HOP NLAN'!F206*'TS-PILE'!$D$72/SUMSQ('TS-PILE'!$D$56:$D$75))),IF('TS-PILE'!$B$73="",1E+99,'TO HOP NLAN'!D206/ncoc+IF(SUMSQ('TS-PILE'!$E$56:$E$75)=0,0,'TO HOP NLAN'!E206*'TS-PILE'!$E$73/SUMSQ('TS-PILE'!$E$56:$E$75))+IF(SUMSQ('TS-PILE'!$D$56:$D$75)=0,0,'TO HOP NLAN'!F206*'TS-PILE'!$D$73/SUMSQ('TS-PILE'!$D$56:$D$75))),IF('TS-PILE'!$B$74="",1E+99,'TO HOP NLAN'!D206/ncoc+IF(SUMSQ('TS-PILE'!$E$56:$E$75)=0,0,'TO HOP NLAN'!E206*'TS-PILE'!$E$74/SUMSQ('TS-PILE'!$E$56:$E$75))+IF(SUMSQ('TS-PILE'!$D$56:$D$75)=0,0,'TO HOP NLAN'!F206*'TS-PILE'!$D$74/SUMSQ('TS-PILE'!$D$56:$D$75))),IF('TS-PILE'!$B$75="",1E+99,'TO HOP NLAN'!D206/ncoc+IF(SUMSQ('TS-PILE'!$E$56:$E$75)=0,0,'TO HOP NLAN'!E206*'TS-PILE'!$E$75/SUMSQ('TS-PILE'!$E$56:$E$75))+IF(SUMSQ('TS-PILE'!$D$56:$D$75)=0,0,'TO HOP NLAN'!F206*'TS-PILE'!$D$75/SUMSQ('TS-PILE'!$D$56:$D$75)))))</f>
        <v>0</v>
      </c>
      <c r="E206" s="46">
        <f t="shared" si="12"/>
        <v>-9.9999999999999997E+98</v>
      </c>
      <c r="F206" s="46">
        <f t="shared" si="13"/>
        <v>9.9999999999999997E+98</v>
      </c>
      <c r="G206" s="46">
        <f t="shared" si="14"/>
        <v>-9.9999999999999997E+98</v>
      </c>
      <c r="H206" s="46">
        <f t="shared" si="15"/>
        <v>9.9999999999999997E+98</v>
      </c>
    </row>
    <row r="207" spans="1:8" x14ac:dyDescent="0.3">
      <c r="A207" s="40" t="str">
        <f>'TO HOP NLAN'!A207</f>
        <v/>
      </c>
      <c r="B207" s="40" t="str">
        <f>'TO HOP NLAN'!L207</f>
        <v>STRENGTH</v>
      </c>
      <c r="C207" s="46">
        <f>IF(A207="",0,MAX(IF('TS-PILE'!$B$56="",-1E+99,'TO HOP NLAN'!D207/ncoc+IF(SUMSQ('TS-PILE'!$E$56:$E$75)=0,0,'TO HOP NLAN'!E207*'TS-PILE'!$E$56/SUMSQ('TS-PILE'!$E$56:$E$75))+IF(SUMSQ('TS-PILE'!$D$56:$D$75)=0,0,'TO HOP NLAN'!F207*'TS-PILE'!$D$56/SUMSQ('TS-PILE'!$D$56:$D$75))),IF('TS-PILE'!$B$57="",-1E+99,'TO HOP NLAN'!D207/ncoc+IF(SUMSQ('TS-PILE'!$E$56:$E$75)=0,0,'TO HOP NLAN'!E207*'TS-PILE'!$E$57/SUMSQ('TS-PILE'!$E$56:$E$75))+IF(SUMSQ('TS-PILE'!$D$56:$D$75)=0,0,'TO HOP NLAN'!F207*'TS-PILE'!$D$57/SUMSQ('TS-PILE'!$D$56:$D$75))),IF('TS-PILE'!$B$58="",-1E+99,'TO HOP NLAN'!D207/ncoc+IF(SUMSQ('TS-PILE'!$E$56:$E$75)=0,0,'TO HOP NLAN'!E207*'TS-PILE'!$E$58/SUMSQ('TS-PILE'!$E$56:$E$75))+IF(SUMSQ('TS-PILE'!$D$56:$D$75)=0,0,'TO HOP NLAN'!F207*'TS-PILE'!$D$58/SUMSQ('TS-PILE'!$D$56:$D$75))),IF('TS-PILE'!$B$59="",-1E+99,'TO HOP NLAN'!D207/ncoc+IF(SUMSQ('TS-PILE'!$E$56:$E$75)=0,0,'TO HOP NLAN'!E207*'TS-PILE'!$E$59/SUMSQ('TS-PILE'!$E$56:$E$75))+IF(SUMSQ('TS-PILE'!$D$56:$D$75)=0,0,'TO HOP NLAN'!F207*'TS-PILE'!$D$59/SUMSQ('TS-PILE'!$D$56:$D$75))),IF('TS-PILE'!$B$60="",-1E+99,'TO HOP NLAN'!D207/ncoc+IF(SUMSQ('TS-PILE'!$E$56:$E$75)=0,0,'TO HOP NLAN'!E207*'TS-PILE'!$E$60/SUMSQ('TS-PILE'!$E$56:$E$75))+IF(SUMSQ('TS-PILE'!$D$56:$D$75)=0,0,'TO HOP NLAN'!F207*'TS-PILE'!$D$60/SUMSQ('TS-PILE'!$D$56:$D$75))),IF('TS-PILE'!$B$61="",-1E+99,'TO HOP NLAN'!D207/ncoc+IF(SUMSQ('TS-PILE'!$E$56:$E$75)=0,0,'TO HOP NLAN'!E207*'TS-PILE'!$E$61/SUMSQ('TS-PILE'!$E$56:$E$75))+IF(SUMSQ('TS-PILE'!$D$56:$D$75)=0,0,'TO HOP NLAN'!F207*'TS-PILE'!$D$61/SUMSQ('TS-PILE'!$D$56:$D$75))),IF('TS-PILE'!$B$62="",-1E+99,'TO HOP NLAN'!D207/ncoc+IF(SUMSQ('TS-PILE'!$E$56:$E$75)=0,0,'TO HOP NLAN'!E207*'TS-PILE'!$E$62/SUMSQ('TS-PILE'!$E$56:$E$75))+IF(SUMSQ('TS-PILE'!$D$56:$D$75)=0,0,'TO HOP NLAN'!F207*'TS-PILE'!$D$62/SUMSQ('TS-PILE'!$D$56:$D$75))),IF('TS-PILE'!$B$63="",-1E+99,'TO HOP NLAN'!D207/ncoc+IF(SUMSQ('TS-PILE'!$E$56:$E$75)=0,0,'TO HOP NLAN'!E207*'TS-PILE'!$E$63/SUMSQ('TS-PILE'!$E$56:$E$75))+IF(SUMSQ('TS-PILE'!$D$56:$D$75)=0,0,'TO HOP NLAN'!F207*'TS-PILE'!$D$63/SUMSQ('TS-PILE'!$D$56:$D$75))),IF('TS-PILE'!$B$64="",-1E+99,'TO HOP NLAN'!D207/ncoc+IF(SUMSQ('TS-PILE'!$E$56:$E$75)=0,0,'TO HOP NLAN'!E207*'TS-PILE'!$E$64/SUMSQ('TS-PILE'!$E$56:$E$75))+IF(SUMSQ('TS-PILE'!$D$56:$D$75)=0,0,'TO HOP NLAN'!F207*'TS-PILE'!$D$64/SUMSQ('TS-PILE'!$D$56:$D$75))),IF('TS-PILE'!$B$65="",-1E+99,'TO HOP NLAN'!D207/ncoc+IF(SUMSQ('TS-PILE'!$E$56:$E$75)=0,0,'TO HOP NLAN'!E207*'TS-PILE'!$E$65/SUMSQ('TS-PILE'!$E$56:$E$75))+IF(SUMSQ('TS-PILE'!$D$56:$D$75)=0,0,'TO HOP NLAN'!F207*'TS-PILE'!$D$65/SUMSQ('TS-PILE'!$D$56:$D$75))),IF('TS-PILE'!$B$66="",-1E+99,'TO HOP NLAN'!D207/ncoc+IF(SUMSQ('TS-PILE'!$E$56:$E$75)=0,0,'TO HOP NLAN'!E207*'TS-PILE'!$E$66/SUMSQ('TS-PILE'!$E$56:$E$75))+IF(SUMSQ('TS-PILE'!$D$56:$D$75)=0,0,'TO HOP NLAN'!F207*'TS-PILE'!$D$66/SUMSQ('TS-PILE'!$D$56:$D$75))),IF('TS-PILE'!$B$67="",-1E+99,'TO HOP NLAN'!D207/ncoc+IF(SUMSQ('TS-PILE'!$E$56:$E$75)=0,0,'TO HOP NLAN'!E207*'TS-PILE'!$E$67/SUMSQ('TS-PILE'!$E$56:$E$75))+IF(SUMSQ('TS-PILE'!$D$56:$D$75)=0,0,'TO HOP NLAN'!F207*'TS-PILE'!$D$67/SUMSQ('TS-PILE'!$D$56:$D$75))),IF('TS-PILE'!$B$68="",-1E+99,'TO HOP NLAN'!D207/ncoc+IF(SUMSQ('TS-PILE'!$E$56:$E$75)=0,0,'TO HOP NLAN'!E207*'TS-PILE'!$E$68/SUMSQ('TS-PILE'!$E$56:$E$75))+IF(SUMSQ('TS-PILE'!$D$56:$D$75)=0,0,'TO HOP NLAN'!F207*'TS-PILE'!$D$68/SUMSQ('TS-PILE'!$D$56:$D$75))),IF('TS-PILE'!$B$69="",-1E+99,'TO HOP NLAN'!D207/ncoc+IF(SUMSQ('TS-PILE'!$E$56:$E$75)=0,0,'TO HOP NLAN'!E207*'TS-PILE'!$E$69/SUMSQ('TS-PILE'!$E$56:$E$75))+IF(SUMSQ('TS-PILE'!$D$56:$D$75)=0,0,'TO HOP NLAN'!F207*'TS-PILE'!$D$69/SUMSQ('TS-PILE'!$D$56:$D$75))),IF('TS-PILE'!$B$70="",-1E+99,'TO HOP NLAN'!D207/ncoc+IF(SUMSQ('TS-PILE'!$E$56:$E$75)=0,0,'TO HOP NLAN'!E207*'TS-PILE'!$E$70/SUMSQ('TS-PILE'!$E$56:$E$75))+IF(SUMSQ('TS-PILE'!$D$56:$D$75)=0,0,'TO HOP NLAN'!F207*'TS-PILE'!$D$70/SUMSQ('TS-PILE'!$D$56:$D$75))),IF('TS-PILE'!$B$71="",-1E+99,'TO HOP NLAN'!D207/ncoc+IF(SUMSQ('TS-PILE'!$E$56:$E$75)=0,0,'TO HOP NLAN'!E207*'TS-PILE'!$E$71/SUMSQ('TS-PILE'!$E$56:$E$75))+IF(SUMSQ('TS-PILE'!$D$56:$D$75)=0,0,'TO HOP NLAN'!F207*'TS-PILE'!$D$71/SUMSQ('TS-PILE'!$D$56:$D$75))),IF('TS-PILE'!$B$72="",-1E+99,'TO HOP NLAN'!D207/ncoc+IF(SUMSQ('TS-PILE'!$E$56:$E$75)=0,0,'TO HOP NLAN'!E207*'TS-PILE'!$E$72/SUMSQ('TS-PILE'!$E$56:$E$75))+IF(SUMSQ('TS-PILE'!$D$56:$D$75)=0,0,'TO HOP NLAN'!F207*'TS-PILE'!$D$72/SUMSQ('TS-PILE'!$D$56:$D$75))),IF('TS-PILE'!$B$73="",-1E+99,'TO HOP NLAN'!D207/ncoc+IF(SUMSQ('TS-PILE'!$E$56:$E$75)=0,0,'TO HOP NLAN'!E207*'TS-PILE'!$E$73/SUMSQ('TS-PILE'!$E$56:$E$75))+IF(SUMSQ('TS-PILE'!$D$56:$D$75)=0,0,'TO HOP NLAN'!F207*'TS-PILE'!$D$73/SUMSQ('TS-PILE'!$D$56:$D$75))),IF('TS-PILE'!$B$74="",-1E+99,'TO HOP NLAN'!D207/ncoc+IF(SUMSQ('TS-PILE'!$E$56:$E$75)=0,0,'TO HOP NLAN'!E207*'TS-PILE'!$E$74/SUMSQ('TS-PILE'!$E$56:$E$75))+IF(SUMSQ('TS-PILE'!$D$56:$D$75)=0,0,'TO HOP NLAN'!F207*'TS-PILE'!$D$74/SUMSQ('TS-PILE'!$D$56:$D$75))),IF('TS-PILE'!$B$75="",-1E+99,'TO HOP NLAN'!D207/ncoc+IF(SUMSQ('TS-PILE'!$E$56:$E$75)=0,0,'TO HOP NLAN'!E207*'TS-PILE'!$E$75/SUMSQ('TS-PILE'!$E$56:$E$75))+IF(SUMSQ('TS-PILE'!$D$56:$D$75)=0,0,'TO HOP NLAN'!F207*'TS-PILE'!$D$75/SUMSQ('TS-PILE'!$D$56:$D$75)))))</f>
        <v>0</v>
      </c>
      <c r="D207" s="46">
        <f>IF(A207="",0,MIN(IF('TS-PILE'!$B$56="",1E+99,'TO HOP NLAN'!D207/ncoc+IF(SUMSQ('TS-PILE'!$E$56:$E$75)=0,0,'TO HOP NLAN'!E207*'TS-PILE'!$E$56/SUMSQ('TS-PILE'!$E$56:$E$75))+IF(SUMSQ('TS-PILE'!$D$56:$D$75)=0,0,'TO HOP NLAN'!F207*'TS-PILE'!$D$56/SUMSQ('TS-PILE'!$D$56:$D$75))),IF('TS-PILE'!$B$57="",1E+99,'TO HOP NLAN'!D207/ncoc+IF(SUMSQ('TS-PILE'!$E$56:$E$75)=0,0,'TO HOP NLAN'!E207*'TS-PILE'!$E$57/SUMSQ('TS-PILE'!$E$56:$E$75))+IF(SUMSQ('TS-PILE'!$D$56:$D$75)=0,0,'TO HOP NLAN'!F207*'TS-PILE'!$D$57/SUMSQ('TS-PILE'!$D$56:$D$75))),IF('TS-PILE'!$B$58="",1E+99,'TO HOP NLAN'!D207/ncoc+IF(SUMSQ('TS-PILE'!$E$56:$E$75)=0,0,'TO HOP NLAN'!E207*'TS-PILE'!$E$58/SUMSQ('TS-PILE'!$E$56:$E$75))+IF(SUMSQ('TS-PILE'!$D$56:$D$75)=0,0,'TO HOP NLAN'!F207*'TS-PILE'!$D$58/SUMSQ('TS-PILE'!$D$56:$D$75))),IF('TS-PILE'!$B$59="",1E+99,'TO HOP NLAN'!D207/ncoc+IF(SUMSQ('TS-PILE'!$E$56:$E$75)=0,0,'TO HOP NLAN'!E207*'TS-PILE'!$E$59/SUMSQ('TS-PILE'!$E$56:$E$75))+IF(SUMSQ('TS-PILE'!$D$56:$D$75)=0,0,'TO HOP NLAN'!F207*'TS-PILE'!$D$59/SUMSQ('TS-PILE'!$D$56:$D$75))),IF('TS-PILE'!$B$60="",1E+99,'TO HOP NLAN'!D207/ncoc+IF(SUMSQ('TS-PILE'!$E$56:$E$75)=0,0,'TO HOP NLAN'!E207*'TS-PILE'!$E$60/SUMSQ('TS-PILE'!$E$56:$E$75))+IF(SUMSQ('TS-PILE'!$D$56:$D$75)=0,0,'TO HOP NLAN'!F207*'TS-PILE'!$D$60/SUMSQ('TS-PILE'!$D$56:$D$75))),IF('TS-PILE'!$B$61="",1E+99,'TO HOP NLAN'!D207/ncoc+IF(SUMSQ('TS-PILE'!$E$56:$E$75)=0,0,'TO HOP NLAN'!E207*'TS-PILE'!$E$61/SUMSQ('TS-PILE'!$E$56:$E$75))+IF(SUMSQ('TS-PILE'!$D$56:$D$75)=0,0,'TO HOP NLAN'!F207*'TS-PILE'!$D$61/SUMSQ('TS-PILE'!$D$56:$D$75))),IF('TS-PILE'!$B$62="",1E+99,'TO HOP NLAN'!D207/ncoc+IF(SUMSQ('TS-PILE'!$E$56:$E$75)=0,0,'TO HOP NLAN'!E207*'TS-PILE'!$E$62/SUMSQ('TS-PILE'!$E$56:$E$75))+IF(SUMSQ('TS-PILE'!$D$56:$D$75)=0,0,'TO HOP NLAN'!F207*'TS-PILE'!$D$62/SUMSQ('TS-PILE'!$D$56:$D$75))),IF('TS-PILE'!$B$63="",1E+99,'TO HOP NLAN'!D207/ncoc+IF(SUMSQ('TS-PILE'!$E$56:$E$75)=0,0,'TO HOP NLAN'!E207*'TS-PILE'!$E$63/SUMSQ('TS-PILE'!$E$56:$E$75))+IF(SUMSQ('TS-PILE'!$D$56:$D$75)=0,0,'TO HOP NLAN'!F207*'TS-PILE'!$D$63/SUMSQ('TS-PILE'!$D$56:$D$75))),IF('TS-PILE'!$B$64="",1E+99,'TO HOP NLAN'!D207/ncoc+IF(SUMSQ('TS-PILE'!$E$56:$E$75)=0,0,'TO HOP NLAN'!E207*'TS-PILE'!$E$64/SUMSQ('TS-PILE'!$E$56:$E$75))+IF(SUMSQ('TS-PILE'!$D$56:$D$75)=0,0,'TO HOP NLAN'!F207*'TS-PILE'!$D$64/SUMSQ('TS-PILE'!$D$56:$D$75))),IF('TS-PILE'!$B$65="",1E+99,'TO HOP NLAN'!D207/ncoc+IF(SUMSQ('TS-PILE'!$E$56:$E$75)=0,0,'TO HOP NLAN'!E207*'TS-PILE'!$E$65/SUMSQ('TS-PILE'!$E$56:$E$75))+IF(SUMSQ('TS-PILE'!$D$56:$D$75)=0,0,'TO HOP NLAN'!F207*'TS-PILE'!$D$65/SUMSQ('TS-PILE'!$D$56:$D$75))),IF('TS-PILE'!$B$66="",1E+99,'TO HOP NLAN'!D207/ncoc+IF(SUMSQ('TS-PILE'!$E$56:$E$75)=0,0,'TO HOP NLAN'!E207*'TS-PILE'!$E$66/SUMSQ('TS-PILE'!$E$56:$E$75))+IF(SUMSQ('TS-PILE'!$D$56:$D$75)=0,0,'TO HOP NLAN'!F207*'TS-PILE'!$D$66/SUMSQ('TS-PILE'!$D$56:$D$75))),IF('TS-PILE'!$B$67="",1E+99,'TO HOP NLAN'!D207/ncoc+IF(SUMSQ('TS-PILE'!$E$56:$E$75)=0,0,'TO HOP NLAN'!E207*'TS-PILE'!$E$67/SUMSQ('TS-PILE'!$E$56:$E$75))+IF(SUMSQ('TS-PILE'!$D$56:$D$75)=0,0,'TO HOP NLAN'!F207*'TS-PILE'!$D$67/SUMSQ('TS-PILE'!$D$56:$D$75))),IF('TS-PILE'!$B$68="",1E+99,'TO HOP NLAN'!D207/ncoc+IF(SUMSQ('TS-PILE'!$E$56:$E$75)=0,0,'TO HOP NLAN'!E207*'TS-PILE'!$E$68/SUMSQ('TS-PILE'!$E$56:$E$75))+IF(SUMSQ('TS-PILE'!$D$56:$D$75)=0,0,'TO HOP NLAN'!F207*'TS-PILE'!$D$68/SUMSQ('TS-PILE'!$D$56:$D$75))),IF('TS-PILE'!$B$69="",1E+99,'TO HOP NLAN'!D207/ncoc+IF(SUMSQ('TS-PILE'!$E$56:$E$75)=0,0,'TO HOP NLAN'!E207*'TS-PILE'!$E$69/SUMSQ('TS-PILE'!$E$56:$E$75))+IF(SUMSQ('TS-PILE'!$D$56:$D$75)=0,0,'TO HOP NLAN'!F207*'TS-PILE'!$D$69/SUMSQ('TS-PILE'!$D$56:$D$75))),IF('TS-PILE'!$B$70="",1E+99,'TO HOP NLAN'!D207/ncoc+IF(SUMSQ('TS-PILE'!$E$56:$E$75)=0,0,'TO HOP NLAN'!E207*'TS-PILE'!$E$70/SUMSQ('TS-PILE'!$E$56:$E$75))+IF(SUMSQ('TS-PILE'!$D$56:$D$75)=0,0,'TO HOP NLAN'!F207*'TS-PILE'!$D$70/SUMSQ('TS-PILE'!$D$56:$D$75))),IF('TS-PILE'!$B$71="",1E+99,'TO HOP NLAN'!D207/ncoc+IF(SUMSQ('TS-PILE'!$E$56:$E$75)=0,0,'TO HOP NLAN'!E207*'TS-PILE'!$E$71/SUMSQ('TS-PILE'!$E$56:$E$75))+IF(SUMSQ('TS-PILE'!$D$56:$D$75)=0,0,'TO HOP NLAN'!F207*'TS-PILE'!$D$71/SUMSQ('TS-PILE'!$D$56:$D$75))),IF('TS-PILE'!$B$72="",1E+99,'TO HOP NLAN'!D207/ncoc+IF(SUMSQ('TS-PILE'!$E$56:$E$75)=0,0,'TO HOP NLAN'!E207*'TS-PILE'!$E$72/SUMSQ('TS-PILE'!$E$56:$E$75))+IF(SUMSQ('TS-PILE'!$D$56:$D$75)=0,0,'TO HOP NLAN'!F207*'TS-PILE'!$D$72/SUMSQ('TS-PILE'!$D$56:$D$75))),IF('TS-PILE'!$B$73="",1E+99,'TO HOP NLAN'!D207/ncoc+IF(SUMSQ('TS-PILE'!$E$56:$E$75)=0,0,'TO HOP NLAN'!E207*'TS-PILE'!$E$73/SUMSQ('TS-PILE'!$E$56:$E$75))+IF(SUMSQ('TS-PILE'!$D$56:$D$75)=0,0,'TO HOP NLAN'!F207*'TS-PILE'!$D$73/SUMSQ('TS-PILE'!$D$56:$D$75))),IF('TS-PILE'!$B$74="",1E+99,'TO HOP NLAN'!D207/ncoc+IF(SUMSQ('TS-PILE'!$E$56:$E$75)=0,0,'TO HOP NLAN'!E207*'TS-PILE'!$E$74/SUMSQ('TS-PILE'!$E$56:$E$75))+IF(SUMSQ('TS-PILE'!$D$56:$D$75)=0,0,'TO HOP NLAN'!F207*'TS-PILE'!$D$74/SUMSQ('TS-PILE'!$D$56:$D$75))),IF('TS-PILE'!$B$75="",1E+99,'TO HOP NLAN'!D207/ncoc+IF(SUMSQ('TS-PILE'!$E$56:$E$75)=0,0,'TO HOP NLAN'!E207*'TS-PILE'!$E$75/SUMSQ('TS-PILE'!$E$56:$E$75))+IF(SUMSQ('TS-PILE'!$D$56:$D$75)=0,0,'TO HOP NLAN'!F207*'TS-PILE'!$D$75/SUMSQ('TS-PILE'!$D$56:$D$75)))))</f>
        <v>0</v>
      </c>
      <c r="E207" s="46">
        <f t="shared" si="12"/>
        <v>-9.9999999999999997E+98</v>
      </c>
      <c r="F207" s="46">
        <f t="shared" si="13"/>
        <v>9.9999999999999997E+98</v>
      </c>
      <c r="G207" s="46">
        <f t="shared" si="14"/>
        <v>-9.9999999999999997E+98</v>
      </c>
      <c r="H207" s="46">
        <f t="shared" si="15"/>
        <v>9.9999999999999997E+98</v>
      </c>
    </row>
    <row r="208" spans="1:8" x14ac:dyDescent="0.3">
      <c r="A208" s="40" t="str">
        <f>'TO HOP NLAN'!A208</f>
        <v/>
      </c>
      <c r="B208" s="40" t="str">
        <f>'TO HOP NLAN'!L208</f>
        <v>STRENGTH</v>
      </c>
      <c r="C208" s="46">
        <f>IF(A208="",0,MAX(IF('TS-PILE'!$B$56="",-1E+99,'TO HOP NLAN'!D208/ncoc+IF(SUMSQ('TS-PILE'!$E$56:$E$75)=0,0,'TO HOP NLAN'!E208*'TS-PILE'!$E$56/SUMSQ('TS-PILE'!$E$56:$E$75))+IF(SUMSQ('TS-PILE'!$D$56:$D$75)=0,0,'TO HOP NLAN'!F208*'TS-PILE'!$D$56/SUMSQ('TS-PILE'!$D$56:$D$75))),IF('TS-PILE'!$B$57="",-1E+99,'TO HOP NLAN'!D208/ncoc+IF(SUMSQ('TS-PILE'!$E$56:$E$75)=0,0,'TO HOP NLAN'!E208*'TS-PILE'!$E$57/SUMSQ('TS-PILE'!$E$56:$E$75))+IF(SUMSQ('TS-PILE'!$D$56:$D$75)=0,0,'TO HOP NLAN'!F208*'TS-PILE'!$D$57/SUMSQ('TS-PILE'!$D$56:$D$75))),IF('TS-PILE'!$B$58="",-1E+99,'TO HOP NLAN'!D208/ncoc+IF(SUMSQ('TS-PILE'!$E$56:$E$75)=0,0,'TO HOP NLAN'!E208*'TS-PILE'!$E$58/SUMSQ('TS-PILE'!$E$56:$E$75))+IF(SUMSQ('TS-PILE'!$D$56:$D$75)=0,0,'TO HOP NLAN'!F208*'TS-PILE'!$D$58/SUMSQ('TS-PILE'!$D$56:$D$75))),IF('TS-PILE'!$B$59="",-1E+99,'TO HOP NLAN'!D208/ncoc+IF(SUMSQ('TS-PILE'!$E$56:$E$75)=0,0,'TO HOP NLAN'!E208*'TS-PILE'!$E$59/SUMSQ('TS-PILE'!$E$56:$E$75))+IF(SUMSQ('TS-PILE'!$D$56:$D$75)=0,0,'TO HOP NLAN'!F208*'TS-PILE'!$D$59/SUMSQ('TS-PILE'!$D$56:$D$75))),IF('TS-PILE'!$B$60="",-1E+99,'TO HOP NLAN'!D208/ncoc+IF(SUMSQ('TS-PILE'!$E$56:$E$75)=0,0,'TO HOP NLAN'!E208*'TS-PILE'!$E$60/SUMSQ('TS-PILE'!$E$56:$E$75))+IF(SUMSQ('TS-PILE'!$D$56:$D$75)=0,0,'TO HOP NLAN'!F208*'TS-PILE'!$D$60/SUMSQ('TS-PILE'!$D$56:$D$75))),IF('TS-PILE'!$B$61="",-1E+99,'TO HOP NLAN'!D208/ncoc+IF(SUMSQ('TS-PILE'!$E$56:$E$75)=0,0,'TO HOP NLAN'!E208*'TS-PILE'!$E$61/SUMSQ('TS-PILE'!$E$56:$E$75))+IF(SUMSQ('TS-PILE'!$D$56:$D$75)=0,0,'TO HOP NLAN'!F208*'TS-PILE'!$D$61/SUMSQ('TS-PILE'!$D$56:$D$75))),IF('TS-PILE'!$B$62="",-1E+99,'TO HOP NLAN'!D208/ncoc+IF(SUMSQ('TS-PILE'!$E$56:$E$75)=0,0,'TO HOP NLAN'!E208*'TS-PILE'!$E$62/SUMSQ('TS-PILE'!$E$56:$E$75))+IF(SUMSQ('TS-PILE'!$D$56:$D$75)=0,0,'TO HOP NLAN'!F208*'TS-PILE'!$D$62/SUMSQ('TS-PILE'!$D$56:$D$75))),IF('TS-PILE'!$B$63="",-1E+99,'TO HOP NLAN'!D208/ncoc+IF(SUMSQ('TS-PILE'!$E$56:$E$75)=0,0,'TO HOP NLAN'!E208*'TS-PILE'!$E$63/SUMSQ('TS-PILE'!$E$56:$E$75))+IF(SUMSQ('TS-PILE'!$D$56:$D$75)=0,0,'TO HOP NLAN'!F208*'TS-PILE'!$D$63/SUMSQ('TS-PILE'!$D$56:$D$75))),IF('TS-PILE'!$B$64="",-1E+99,'TO HOP NLAN'!D208/ncoc+IF(SUMSQ('TS-PILE'!$E$56:$E$75)=0,0,'TO HOP NLAN'!E208*'TS-PILE'!$E$64/SUMSQ('TS-PILE'!$E$56:$E$75))+IF(SUMSQ('TS-PILE'!$D$56:$D$75)=0,0,'TO HOP NLAN'!F208*'TS-PILE'!$D$64/SUMSQ('TS-PILE'!$D$56:$D$75))),IF('TS-PILE'!$B$65="",-1E+99,'TO HOP NLAN'!D208/ncoc+IF(SUMSQ('TS-PILE'!$E$56:$E$75)=0,0,'TO HOP NLAN'!E208*'TS-PILE'!$E$65/SUMSQ('TS-PILE'!$E$56:$E$75))+IF(SUMSQ('TS-PILE'!$D$56:$D$75)=0,0,'TO HOP NLAN'!F208*'TS-PILE'!$D$65/SUMSQ('TS-PILE'!$D$56:$D$75))),IF('TS-PILE'!$B$66="",-1E+99,'TO HOP NLAN'!D208/ncoc+IF(SUMSQ('TS-PILE'!$E$56:$E$75)=0,0,'TO HOP NLAN'!E208*'TS-PILE'!$E$66/SUMSQ('TS-PILE'!$E$56:$E$75))+IF(SUMSQ('TS-PILE'!$D$56:$D$75)=0,0,'TO HOP NLAN'!F208*'TS-PILE'!$D$66/SUMSQ('TS-PILE'!$D$56:$D$75))),IF('TS-PILE'!$B$67="",-1E+99,'TO HOP NLAN'!D208/ncoc+IF(SUMSQ('TS-PILE'!$E$56:$E$75)=0,0,'TO HOP NLAN'!E208*'TS-PILE'!$E$67/SUMSQ('TS-PILE'!$E$56:$E$75))+IF(SUMSQ('TS-PILE'!$D$56:$D$75)=0,0,'TO HOP NLAN'!F208*'TS-PILE'!$D$67/SUMSQ('TS-PILE'!$D$56:$D$75))),IF('TS-PILE'!$B$68="",-1E+99,'TO HOP NLAN'!D208/ncoc+IF(SUMSQ('TS-PILE'!$E$56:$E$75)=0,0,'TO HOP NLAN'!E208*'TS-PILE'!$E$68/SUMSQ('TS-PILE'!$E$56:$E$75))+IF(SUMSQ('TS-PILE'!$D$56:$D$75)=0,0,'TO HOP NLAN'!F208*'TS-PILE'!$D$68/SUMSQ('TS-PILE'!$D$56:$D$75))),IF('TS-PILE'!$B$69="",-1E+99,'TO HOP NLAN'!D208/ncoc+IF(SUMSQ('TS-PILE'!$E$56:$E$75)=0,0,'TO HOP NLAN'!E208*'TS-PILE'!$E$69/SUMSQ('TS-PILE'!$E$56:$E$75))+IF(SUMSQ('TS-PILE'!$D$56:$D$75)=0,0,'TO HOP NLAN'!F208*'TS-PILE'!$D$69/SUMSQ('TS-PILE'!$D$56:$D$75))),IF('TS-PILE'!$B$70="",-1E+99,'TO HOP NLAN'!D208/ncoc+IF(SUMSQ('TS-PILE'!$E$56:$E$75)=0,0,'TO HOP NLAN'!E208*'TS-PILE'!$E$70/SUMSQ('TS-PILE'!$E$56:$E$75))+IF(SUMSQ('TS-PILE'!$D$56:$D$75)=0,0,'TO HOP NLAN'!F208*'TS-PILE'!$D$70/SUMSQ('TS-PILE'!$D$56:$D$75))),IF('TS-PILE'!$B$71="",-1E+99,'TO HOP NLAN'!D208/ncoc+IF(SUMSQ('TS-PILE'!$E$56:$E$75)=0,0,'TO HOP NLAN'!E208*'TS-PILE'!$E$71/SUMSQ('TS-PILE'!$E$56:$E$75))+IF(SUMSQ('TS-PILE'!$D$56:$D$75)=0,0,'TO HOP NLAN'!F208*'TS-PILE'!$D$71/SUMSQ('TS-PILE'!$D$56:$D$75))),IF('TS-PILE'!$B$72="",-1E+99,'TO HOP NLAN'!D208/ncoc+IF(SUMSQ('TS-PILE'!$E$56:$E$75)=0,0,'TO HOP NLAN'!E208*'TS-PILE'!$E$72/SUMSQ('TS-PILE'!$E$56:$E$75))+IF(SUMSQ('TS-PILE'!$D$56:$D$75)=0,0,'TO HOP NLAN'!F208*'TS-PILE'!$D$72/SUMSQ('TS-PILE'!$D$56:$D$75))),IF('TS-PILE'!$B$73="",-1E+99,'TO HOP NLAN'!D208/ncoc+IF(SUMSQ('TS-PILE'!$E$56:$E$75)=0,0,'TO HOP NLAN'!E208*'TS-PILE'!$E$73/SUMSQ('TS-PILE'!$E$56:$E$75))+IF(SUMSQ('TS-PILE'!$D$56:$D$75)=0,0,'TO HOP NLAN'!F208*'TS-PILE'!$D$73/SUMSQ('TS-PILE'!$D$56:$D$75))),IF('TS-PILE'!$B$74="",-1E+99,'TO HOP NLAN'!D208/ncoc+IF(SUMSQ('TS-PILE'!$E$56:$E$75)=0,0,'TO HOP NLAN'!E208*'TS-PILE'!$E$74/SUMSQ('TS-PILE'!$E$56:$E$75))+IF(SUMSQ('TS-PILE'!$D$56:$D$75)=0,0,'TO HOP NLAN'!F208*'TS-PILE'!$D$74/SUMSQ('TS-PILE'!$D$56:$D$75))),IF('TS-PILE'!$B$75="",-1E+99,'TO HOP NLAN'!D208/ncoc+IF(SUMSQ('TS-PILE'!$E$56:$E$75)=0,0,'TO HOP NLAN'!E208*'TS-PILE'!$E$75/SUMSQ('TS-PILE'!$E$56:$E$75))+IF(SUMSQ('TS-PILE'!$D$56:$D$75)=0,0,'TO HOP NLAN'!F208*'TS-PILE'!$D$75/SUMSQ('TS-PILE'!$D$56:$D$75)))))</f>
        <v>0</v>
      </c>
      <c r="D208" s="46">
        <f>IF(A208="",0,MIN(IF('TS-PILE'!$B$56="",1E+99,'TO HOP NLAN'!D208/ncoc+IF(SUMSQ('TS-PILE'!$E$56:$E$75)=0,0,'TO HOP NLAN'!E208*'TS-PILE'!$E$56/SUMSQ('TS-PILE'!$E$56:$E$75))+IF(SUMSQ('TS-PILE'!$D$56:$D$75)=0,0,'TO HOP NLAN'!F208*'TS-PILE'!$D$56/SUMSQ('TS-PILE'!$D$56:$D$75))),IF('TS-PILE'!$B$57="",1E+99,'TO HOP NLAN'!D208/ncoc+IF(SUMSQ('TS-PILE'!$E$56:$E$75)=0,0,'TO HOP NLAN'!E208*'TS-PILE'!$E$57/SUMSQ('TS-PILE'!$E$56:$E$75))+IF(SUMSQ('TS-PILE'!$D$56:$D$75)=0,0,'TO HOP NLAN'!F208*'TS-PILE'!$D$57/SUMSQ('TS-PILE'!$D$56:$D$75))),IF('TS-PILE'!$B$58="",1E+99,'TO HOP NLAN'!D208/ncoc+IF(SUMSQ('TS-PILE'!$E$56:$E$75)=0,0,'TO HOP NLAN'!E208*'TS-PILE'!$E$58/SUMSQ('TS-PILE'!$E$56:$E$75))+IF(SUMSQ('TS-PILE'!$D$56:$D$75)=0,0,'TO HOP NLAN'!F208*'TS-PILE'!$D$58/SUMSQ('TS-PILE'!$D$56:$D$75))),IF('TS-PILE'!$B$59="",1E+99,'TO HOP NLAN'!D208/ncoc+IF(SUMSQ('TS-PILE'!$E$56:$E$75)=0,0,'TO HOP NLAN'!E208*'TS-PILE'!$E$59/SUMSQ('TS-PILE'!$E$56:$E$75))+IF(SUMSQ('TS-PILE'!$D$56:$D$75)=0,0,'TO HOP NLAN'!F208*'TS-PILE'!$D$59/SUMSQ('TS-PILE'!$D$56:$D$75))),IF('TS-PILE'!$B$60="",1E+99,'TO HOP NLAN'!D208/ncoc+IF(SUMSQ('TS-PILE'!$E$56:$E$75)=0,0,'TO HOP NLAN'!E208*'TS-PILE'!$E$60/SUMSQ('TS-PILE'!$E$56:$E$75))+IF(SUMSQ('TS-PILE'!$D$56:$D$75)=0,0,'TO HOP NLAN'!F208*'TS-PILE'!$D$60/SUMSQ('TS-PILE'!$D$56:$D$75))),IF('TS-PILE'!$B$61="",1E+99,'TO HOP NLAN'!D208/ncoc+IF(SUMSQ('TS-PILE'!$E$56:$E$75)=0,0,'TO HOP NLAN'!E208*'TS-PILE'!$E$61/SUMSQ('TS-PILE'!$E$56:$E$75))+IF(SUMSQ('TS-PILE'!$D$56:$D$75)=0,0,'TO HOP NLAN'!F208*'TS-PILE'!$D$61/SUMSQ('TS-PILE'!$D$56:$D$75))),IF('TS-PILE'!$B$62="",1E+99,'TO HOP NLAN'!D208/ncoc+IF(SUMSQ('TS-PILE'!$E$56:$E$75)=0,0,'TO HOP NLAN'!E208*'TS-PILE'!$E$62/SUMSQ('TS-PILE'!$E$56:$E$75))+IF(SUMSQ('TS-PILE'!$D$56:$D$75)=0,0,'TO HOP NLAN'!F208*'TS-PILE'!$D$62/SUMSQ('TS-PILE'!$D$56:$D$75))),IF('TS-PILE'!$B$63="",1E+99,'TO HOP NLAN'!D208/ncoc+IF(SUMSQ('TS-PILE'!$E$56:$E$75)=0,0,'TO HOP NLAN'!E208*'TS-PILE'!$E$63/SUMSQ('TS-PILE'!$E$56:$E$75))+IF(SUMSQ('TS-PILE'!$D$56:$D$75)=0,0,'TO HOP NLAN'!F208*'TS-PILE'!$D$63/SUMSQ('TS-PILE'!$D$56:$D$75))),IF('TS-PILE'!$B$64="",1E+99,'TO HOP NLAN'!D208/ncoc+IF(SUMSQ('TS-PILE'!$E$56:$E$75)=0,0,'TO HOP NLAN'!E208*'TS-PILE'!$E$64/SUMSQ('TS-PILE'!$E$56:$E$75))+IF(SUMSQ('TS-PILE'!$D$56:$D$75)=0,0,'TO HOP NLAN'!F208*'TS-PILE'!$D$64/SUMSQ('TS-PILE'!$D$56:$D$75))),IF('TS-PILE'!$B$65="",1E+99,'TO HOP NLAN'!D208/ncoc+IF(SUMSQ('TS-PILE'!$E$56:$E$75)=0,0,'TO HOP NLAN'!E208*'TS-PILE'!$E$65/SUMSQ('TS-PILE'!$E$56:$E$75))+IF(SUMSQ('TS-PILE'!$D$56:$D$75)=0,0,'TO HOP NLAN'!F208*'TS-PILE'!$D$65/SUMSQ('TS-PILE'!$D$56:$D$75))),IF('TS-PILE'!$B$66="",1E+99,'TO HOP NLAN'!D208/ncoc+IF(SUMSQ('TS-PILE'!$E$56:$E$75)=0,0,'TO HOP NLAN'!E208*'TS-PILE'!$E$66/SUMSQ('TS-PILE'!$E$56:$E$75))+IF(SUMSQ('TS-PILE'!$D$56:$D$75)=0,0,'TO HOP NLAN'!F208*'TS-PILE'!$D$66/SUMSQ('TS-PILE'!$D$56:$D$75))),IF('TS-PILE'!$B$67="",1E+99,'TO HOP NLAN'!D208/ncoc+IF(SUMSQ('TS-PILE'!$E$56:$E$75)=0,0,'TO HOP NLAN'!E208*'TS-PILE'!$E$67/SUMSQ('TS-PILE'!$E$56:$E$75))+IF(SUMSQ('TS-PILE'!$D$56:$D$75)=0,0,'TO HOP NLAN'!F208*'TS-PILE'!$D$67/SUMSQ('TS-PILE'!$D$56:$D$75))),IF('TS-PILE'!$B$68="",1E+99,'TO HOP NLAN'!D208/ncoc+IF(SUMSQ('TS-PILE'!$E$56:$E$75)=0,0,'TO HOP NLAN'!E208*'TS-PILE'!$E$68/SUMSQ('TS-PILE'!$E$56:$E$75))+IF(SUMSQ('TS-PILE'!$D$56:$D$75)=0,0,'TO HOP NLAN'!F208*'TS-PILE'!$D$68/SUMSQ('TS-PILE'!$D$56:$D$75))),IF('TS-PILE'!$B$69="",1E+99,'TO HOP NLAN'!D208/ncoc+IF(SUMSQ('TS-PILE'!$E$56:$E$75)=0,0,'TO HOP NLAN'!E208*'TS-PILE'!$E$69/SUMSQ('TS-PILE'!$E$56:$E$75))+IF(SUMSQ('TS-PILE'!$D$56:$D$75)=0,0,'TO HOP NLAN'!F208*'TS-PILE'!$D$69/SUMSQ('TS-PILE'!$D$56:$D$75))),IF('TS-PILE'!$B$70="",1E+99,'TO HOP NLAN'!D208/ncoc+IF(SUMSQ('TS-PILE'!$E$56:$E$75)=0,0,'TO HOP NLAN'!E208*'TS-PILE'!$E$70/SUMSQ('TS-PILE'!$E$56:$E$75))+IF(SUMSQ('TS-PILE'!$D$56:$D$75)=0,0,'TO HOP NLAN'!F208*'TS-PILE'!$D$70/SUMSQ('TS-PILE'!$D$56:$D$75))),IF('TS-PILE'!$B$71="",1E+99,'TO HOP NLAN'!D208/ncoc+IF(SUMSQ('TS-PILE'!$E$56:$E$75)=0,0,'TO HOP NLAN'!E208*'TS-PILE'!$E$71/SUMSQ('TS-PILE'!$E$56:$E$75))+IF(SUMSQ('TS-PILE'!$D$56:$D$75)=0,0,'TO HOP NLAN'!F208*'TS-PILE'!$D$71/SUMSQ('TS-PILE'!$D$56:$D$75))),IF('TS-PILE'!$B$72="",1E+99,'TO HOP NLAN'!D208/ncoc+IF(SUMSQ('TS-PILE'!$E$56:$E$75)=0,0,'TO HOP NLAN'!E208*'TS-PILE'!$E$72/SUMSQ('TS-PILE'!$E$56:$E$75))+IF(SUMSQ('TS-PILE'!$D$56:$D$75)=0,0,'TO HOP NLAN'!F208*'TS-PILE'!$D$72/SUMSQ('TS-PILE'!$D$56:$D$75))),IF('TS-PILE'!$B$73="",1E+99,'TO HOP NLAN'!D208/ncoc+IF(SUMSQ('TS-PILE'!$E$56:$E$75)=0,0,'TO HOP NLAN'!E208*'TS-PILE'!$E$73/SUMSQ('TS-PILE'!$E$56:$E$75))+IF(SUMSQ('TS-PILE'!$D$56:$D$75)=0,0,'TO HOP NLAN'!F208*'TS-PILE'!$D$73/SUMSQ('TS-PILE'!$D$56:$D$75))),IF('TS-PILE'!$B$74="",1E+99,'TO HOP NLAN'!D208/ncoc+IF(SUMSQ('TS-PILE'!$E$56:$E$75)=0,0,'TO HOP NLAN'!E208*'TS-PILE'!$E$74/SUMSQ('TS-PILE'!$E$56:$E$75))+IF(SUMSQ('TS-PILE'!$D$56:$D$75)=0,0,'TO HOP NLAN'!F208*'TS-PILE'!$D$74/SUMSQ('TS-PILE'!$D$56:$D$75))),IF('TS-PILE'!$B$75="",1E+99,'TO HOP NLAN'!D208/ncoc+IF(SUMSQ('TS-PILE'!$E$56:$E$75)=0,0,'TO HOP NLAN'!E208*'TS-PILE'!$E$75/SUMSQ('TS-PILE'!$E$56:$E$75))+IF(SUMSQ('TS-PILE'!$D$56:$D$75)=0,0,'TO HOP NLAN'!F208*'TS-PILE'!$D$75/SUMSQ('TS-PILE'!$D$56:$D$75)))))</f>
        <v>0</v>
      </c>
      <c r="E208" s="46">
        <f t="shared" si="12"/>
        <v>-9.9999999999999997E+98</v>
      </c>
      <c r="F208" s="46">
        <f t="shared" si="13"/>
        <v>9.9999999999999997E+98</v>
      </c>
      <c r="G208" s="46">
        <f t="shared" si="14"/>
        <v>-9.9999999999999997E+98</v>
      </c>
      <c r="H208" s="46">
        <f t="shared" si="15"/>
        <v>9.9999999999999997E+98</v>
      </c>
    </row>
    <row r="209" spans="1:8" x14ac:dyDescent="0.3">
      <c r="A209" s="40" t="str">
        <f>'TO HOP NLAN'!A209</f>
        <v/>
      </c>
      <c r="B209" s="40" t="str">
        <f>'TO HOP NLAN'!L209</f>
        <v>STRENGTH</v>
      </c>
      <c r="C209" s="46">
        <f>IF(A209="",0,MAX(IF('TS-PILE'!$B$56="",-1E+99,'TO HOP NLAN'!D209/ncoc+IF(SUMSQ('TS-PILE'!$E$56:$E$75)=0,0,'TO HOP NLAN'!E209*'TS-PILE'!$E$56/SUMSQ('TS-PILE'!$E$56:$E$75))+IF(SUMSQ('TS-PILE'!$D$56:$D$75)=0,0,'TO HOP NLAN'!F209*'TS-PILE'!$D$56/SUMSQ('TS-PILE'!$D$56:$D$75))),IF('TS-PILE'!$B$57="",-1E+99,'TO HOP NLAN'!D209/ncoc+IF(SUMSQ('TS-PILE'!$E$56:$E$75)=0,0,'TO HOP NLAN'!E209*'TS-PILE'!$E$57/SUMSQ('TS-PILE'!$E$56:$E$75))+IF(SUMSQ('TS-PILE'!$D$56:$D$75)=0,0,'TO HOP NLAN'!F209*'TS-PILE'!$D$57/SUMSQ('TS-PILE'!$D$56:$D$75))),IF('TS-PILE'!$B$58="",-1E+99,'TO HOP NLAN'!D209/ncoc+IF(SUMSQ('TS-PILE'!$E$56:$E$75)=0,0,'TO HOP NLAN'!E209*'TS-PILE'!$E$58/SUMSQ('TS-PILE'!$E$56:$E$75))+IF(SUMSQ('TS-PILE'!$D$56:$D$75)=0,0,'TO HOP NLAN'!F209*'TS-PILE'!$D$58/SUMSQ('TS-PILE'!$D$56:$D$75))),IF('TS-PILE'!$B$59="",-1E+99,'TO HOP NLAN'!D209/ncoc+IF(SUMSQ('TS-PILE'!$E$56:$E$75)=0,0,'TO HOP NLAN'!E209*'TS-PILE'!$E$59/SUMSQ('TS-PILE'!$E$56:$E$75))+IF(SUMSQ('TS-PILE'!$D$56:$D$75)=0,0,'TO HOP NLAN'!F209*'TS-PILE'!$D$59/SUMSQ('TS-PILE'!$D$56:$D$75))),IF('TS-PILE'!$B$60="",-1E+99,'TO HOP NLAN'!D209/ncoc+IF(SUMSQ('TS-PILE'!$E$56:$E$75)=0,0,'TO HOP NLAN'!E209*'TS-PILE'!$E$60/SUMSQ('TS-PILE'!$E$56:$E$75))+IF(SUMSQ('TS-PILE'!$D$56:$D$75)=0,0,'TO HOP NLAN'!F209*'TS-PILE'!$D$60/SUMSQ('TS-PILE'!$D$56:$D$75))),IF('TS-PILE'!$B$61="",-1E+99,'TO HOP NLAN'!D209/ncoc+IF(SUMSQ('TS-PILE'!$E$56:$E$75)=0,0,'TO HOP NLAN'!E209*'TS-PILE'!$E$61/SUMSQ('TS-PILE'!$E$56:$E$75))+IF(SUMSQ('TS-PILE'!$D$56:$D$75)=0,0,'TO HOP NLAN'!F209*'TS-PILE'!$D$61/SUMSQ('TS-PILE'!$D$56:$D$75))),IF('TS-PILE'!$B$62="",-1E+99,'TO HOP NLAN'!D209/ncoc+IF(SUMSQ('TS-PILE'!$E$56:$E$75)=0,0,'TO HOP NLAN'!E209*'TS-PILE'!$E$62/SUMSQ('TS-PILE'!$E$56:$E$75))+IF(SUMSQ('TS-PILE'!$D$56:$D$75)=0,0,'TO HOP NLAN'!F209*'TS-PILE'!$D$62/SUMSQ('TS-PILE'!$D$56:$D$75))),IF('TS-PILE'!$B$63="",-1E+99,'TO HOP NLAN'!D209/ncoc+IF(SUMSQ('TS-PILE'!$E$56:$E$75)=0,0,'TO HOP NLAN'!E209*'TS-PILE'!$E$63/SUMSQ('TS-PILE'!$E$56:$E$75))+IF(SUMSQ('TS-PILE'!$D$56:$D$75)=0,0,'TO HOP NLAN'!F209*'TS-PILE'!$D$63/SUMSQ('TS-PILE'!$D$56:$D$75))),IF('TS-PILE'!$B$64="",-1E+99,'TO HOP NLAN'!D209/ncoc+IF(SUMSQ('TS-PILE'!$E$56:$E$75)=0,0,'TO HOP NLAN'!E209*'TS-PILE'!$E$64/SUMSQ('TS-PILE'!$E$56:$E$75))+IF(SUMSQ('TS-PILE'!$D$56:$D$75)=0,0,'TO HOP NLAN'!F209*'TS-PILE'!$D$64/SUMSQ('TS-PILE'!$D$56:$D$75))),IF('TS-PILE'!$B$65="",-1E+99,'TO HOP NLAN'!D209/ncoc+IF(SUMSQ('TS-PILE'!$E$56:$E$75)=0,0,'TO HOP NLAN'!E209*'TS-PILE'!$E$65/SUMSQ('TS-PILE'!$E$56:$E$75))+IF(SUMSQ('TS-PILE'!$D$56:$D$75)=0,0,'TO HOP NLAN'!F209*'TS-PILE'!$D$65/SUMSQ('TS-PILE'!$D$56:$D$75))),IF('TS-PILE'!$B$66="",-1E+99,'TO HOP NLAN'!D209/ncoc+IF(SUMSQ('TS-PILE'!$E$56:$E$75)=0,0,'TO HOP NLAN'!E209*'TS-PILE'!$E$66/SUMSQ('TS-PILE'!$E$56:$E$75))+IF(SUMSQ('TS-PILE'!$D$56:$D$75)=0,0,'TO HOP NLAN'!F209*'TS-PILE'!$D$66/SUMSQ('TS-PILE'!$D$56:$D$75))),IF('TS-PILE'!$B$67="",-1E+99,'TO HOP NLAN'!D209/ncoc+IF(SUMSQ('TS-PILE'!$E$56:$E$75)=0,0,'TO HOP NLAN'!E209*'TS-PILE'!$E$67/SUMSQ('TS-PILE'!$E$56:$E$75))+IF(SUMSQ('TS-PILE'!$D$56:$D$75)=0,0,'TO HOP NLAN'!F209*'TS-PILE'!$D$67/SUMSQ('TS-PILE'!$D$56:$D$75))),IF('TS-PILE'!$B$68="",-1E+99,'TO HOP NLAN'!D209/ncoc+IF(SUMSQ('TS-PILE'!$E$56:$E$75)=0,0,'TO HOP NLAN'!E209*'TS-PILE'!$E$68/SUMSQ('TS-PILE'!$E$56:$E$75))+IF(SUMSQ('TS-PILE'!$D$56:$D$75)=0,0,'TO HOP NLAN'!F209*'TS-PILE'!$D$68/SUMSQ('TS-PILE'!$D$56:$D$75))),IF('TS-PILE'!$B$69="",-1E+99,'TO HOP NLAN'!D209/ncoc+IF(SUMSQ('TS-PILE'!$E$56:$E$75)=0,0,'TO HOP NLAN'!E209*'TS-PILE'!$E$69/SUMSQ('TS-PILE'!$E$56:$E$75))+IF(SUMSQ('TS-PILE'!$D$56:$D$75)=0,0,'TO HOP NLAN'!F209*'TS-PILE'!$D$69/SUMSQ('TS-PILE'!$D$56:$D$75))),IF('TS-PILE'!$B$70="",-1E+99,'TO HOP NLAN'!D209/ncoc+IF(SUMSQ('TS-PILE'!$E$56:$E$75)=0,0,'TO HOP NLAN'!E209*'TS-PILE'!$E$70/SUMSQ('TS-PILE'!$E$56:$E$75))+IF(SUMSQ('TS-PILE'!$D$56:$D$75)=0,0,'TO HOP NLAN'!F209*'TS-PILE'!$D$70/SUMSQ('TS-PILE'!$D$56:$D$75))),IF('TS-PILE'!$B$71="",-1E+99,'TO HOP NLAN'!D209/ncoc+IF(SUMSQ('TS-PILE'!$E$56:$E$75)=0,0,'TO HOP NLAN'!E209*'TS-PILE'!$E$71/SUMSQ('TS-PILE'!$E$56:$E$75))+IF(SUMSQ('TS-PILE'!$D$56:$D$75)=0,0,'TO HOP NLAN'!F209*'TS-PILE'!$D$71/SUMSQ('TS-PILE'!$D$56:$D$75))),IF('TS-PILE'!$B$72="",-1E+99,'TO HOP NLAN'!D209/ncoc+IF(SUMSQ('TS-PILE'!$E$56:$E$75)=0,0,'TO HOP NLAN'!E209*'TS-PILE'!$E$72/SUMSQ('TS-PILE'!$E$56:$E$75))+IF(SUMSQ('TS-PILE'!$D$56:$D$75)=0,0,'TO HOP NLAN'!F209*'TS-PILE'!$D$72/SUMSQ('TS-PILE'!$D$56:$D$75))),IF('TS-PILE'!$B$73="",-1E+99,'TO HOP NLAN'!D209/ncoc+IF(SUMSQ('TS-PILE'!$E$56:$E$75)=0,0,'TO HOP NLAN'!E209*'TS-PILE'!$E$73/SUMSQ('TS-PILE'!$E$56:$E$75))+IF(SUMSQ('TS-PILE'!$D$56:$D$75)=0,0,'TO HOP NLAN'!F209*'TS-PILE'!$D$73/SUMSQ('TS-PILE'!$D$56:$D$75))),IF('TS-PILE'!$B$74="",-1E+99,'TO HOP NLAN'!D209/ncoc+IF(SUMSQ('TS-PILE'!$E$56:$E$75)=0,0,'TO HOP NLAN'!E209*'TS-PILE'!$E$74/SUMSQ('TS-PILE'!$E$56:$E$75))+IF(SUMSQ('TS-PILE'!$D$56:$D$75)=0,0,'TO HOP NLAN'!F209*'TS-PILE'!$D$74/SUMSQ('TS-PILE'!$D$56:$D$75))),IF('TS-PILE'!$B$75="",-1E+99,'TO HOP NLAN'!D209/ncoc+IF(SUMSQ('TS-PILE'!$E$56:$E$75)=0,0,'TO HOP NLAN'!E209*'TS-PILE'!$E$75/SUMSQ('TS-PILE'!$E$56:$E$75))+IF(SUMSQ('TS-PILE'!$D$56:$D$75)=0,0,'TO HOP NLAN'!F209*'TS-PILE'!$D$75/SUMSQ('TS-PILE'!$D$56:$D$75)))))</f>
        <v>0</v>
      </c>
      <c r="D209" s="46">
        <f>IF(A209="",0,MIN(IF('TS-PILE'!$B$56="",1E+99,'TO HOP NLAN'!D209/ncoc+IF(SUMSQ('TS-PILE'!$E$56:$E$75)=0,0,'TO HOP NLAN'!E209*'TS-PILE'!$E$56/SUMSQ('TS-PILE'!$E$56:$E$75))+IF(SUMSQ('TS-PILE'!$D$56:$D$75)=0,0,'TO HOP NLAN'!F209*'TS-PILE'!$D$56/SUMSQ('TS-PILE'!$D$56:$D$75))),IF('TS-PILE'!$B$57="",1E+99,'TO HOP NLAN'!D209/ncoc+IF(SUMSQ('TS-PILE'!$E$56:$E$75)=0,0,'TO HOP NLAN'!E209*'TS-PILE'!$E$57/SUMSQ('TS-PILE'!$E$56:$E$75))+IF(SUMSQ('TS-PILE'!$D$56:$D$75)=0,0,'TO HOP NLAN'!F209*'TS-PILE'!$D$57/SUMSQ('TS-PILE'!$D$56:$D$75))),IF('TS-PILE'!$B$58="",1E+99,'TO HOP NLAN'!D209/ncoc+IF(SUMSQ('TS-PILE'!$E$56:$E$75)=0,0,'TO HOP NLAN'!E209*'TS-PILE'!$E$58/SUMSQ('TS-PILE'!$E$56:$E$75))+IF(SUMSQ('TS-PILE'!$D$56:$D$75)=0,0,'TO HOP NLAN'!F209*'TS-PILE'!$D$58/SUMSQ('TS-PILE'!$D$56:$D$75))),IF('TS-PILE'!$B$59="",1E+99,'TO HOP NLAN'!D209/ncoc+IF(SUMSQ('TS-PILE'!$E$56:$E$75)=0,0,'TO HOP NLAN'!E209*'TS-PILE'!$E$59/SUMSQ('TS-PILE'!$E$56:$E$75))+IF(SUMSQ('TS-PILE'!$D$56:$D$75)=0,0,'TO HOP NLAN'!F209*'TS-PILE'!$D$59/SUMSQ('TS-PILE'!$D$56:$D$75))),IF('TS-PILE'!$B$60="",1E+99,'TO HOP NLAN'!D209/ncoc+IF(SUMSQ('TS-PILE'!$E$56:$E$75)=0,0,'TO HOP NLAN'!E209*'TS-PILE'!$E$60/SUMSQ('TS-PILE'!$E$56:$E$75))+IF(SUMSQ('TS-PILE'!$D$56:$D$75)=0,0,'TO HOP NLAN'!F209*'TS-PILE'!$D$60/SUMSQ('TS-PILE'!$D$56:$D$75))),IF('TS-PILE'!$B$61="",1E+99,'TO HOP NLAN'!D209/ncoc+IF(SUMSQ('TS-PILE'!$E$56:$E$75)=0,0,'TO HOP NLAN'!E209*'TS-PILE'!$E$61/SUMSQ('TS-PILE'!$E$56:$E$75))+IF(SUMSQ('TS-PILE'!$D$56:$D$75)=0,0,'TO HOP NLAN'!F209*'TS-PILE'!$D$61/SUMSQ('TS-PILE'!$D$56:$D$75))),IF('TS-PILE'!$B$62="",1E+99,'TO HOP NLAN'!D209/ncoc+IF(SUMSQ('TS-PILE'!$E$56:$E$75)=0,0,'TO HOP NLAN'!E209*'TS-PILE'!$E$62/SUMSQ('TS-PILE'!$E$56:$E$75))+IF(SUMSQ('TS-PILE'!$D$56:$D$75)=0,0,'TO HOP NLAN'!F209*'TS-PILE'!$D$62/SUMSQ('TS-PILE'!$D$56:$D$75))),IF('TS-PILE'!$B$63="",1E+99,'TO HOP NLAN'!D209/ncoc+IF(SUMSQ('TS-PILE'!$E$56:$E$75)=0,0,'TO HOP NLAN'!E209*'TS-PILE'!$E$63/SUMSQ('TS-PILE'!$E$56:$E$75))+IF(SUMSQ('TS-PILE'!$D$56:$D$75)=0,0,'TO HOP NLAN'!F209*'TS-PILE'!$D$63/SUMSQ('TS-PILE'!$D$56:$D$75))),IF('TS-PILE'!$B$64="",1E+99,'TO HOP NLAN'!D209/ncoc+IF(SUMSQ('TS-PILE'!$E$56:$E$75)=0,0,'TO HOP NLAN'!E209*'TS-PILE'!$E$64/SUMSQ('TS-PILE'!$E$56:$E$75))+IF(SUMSQ('TS-PILE'!$D$56:$D$75)=0,0,'TO HOP NLAN'!F209*'TS-PILE'!$D$64/SUMSQ('TS-PILE'!$D$56:$D$75))),IF('TS-PILE'!$B$65="",1E+99,'TO HOP NLAN'!D209/ncoc+IF(SUMSQ('TS-PILE'!$E$56:$E$75)=0,0,'TO HOP NLAN'!E209*'TS-PILE'!$E$65/SUMSQ('TS-PILE'!$E$56:$E$75))+IF(SUMSQ('TS-PILE'!$D$56:$D$75)=0,0,'TO HOP NLAN'!F209*'TS-PILE'!$D$65/SUMSQ('TS-PILE'!$D$56:$D$75))),IF('TS-PILE'!$B$66="",1E+99,'TO HOP NLAN'!D209/ncoc+IF(SUMSQ('TS-PILE'!$E$56:$E$75)=0,0,'TO HOP NLAN'!E209*'TS-PILE'!$E$66/SUMSQ('TS-PILE'!$E$56:$E$75))+IF(SUMSQ('TS-PILE'!$D$56:$D$75)=0,0,'TO HOP NLAN'!F209*'TS-PILE'!$D$66/SUMSQ('TS-PILE'!$D$56:$D$75))),IF('TS-PILE'!$B$67="",1E+99,'TO HOP NLAN'!D209/ncoc+IF(SUMSQ('TS-PILE'!$E$56:$E$75)=0,0,'TO HOP NLAN'!E209*'TS-PILE'!$E$67/SUMSQ('TS-PILE'!$E$56:$E$75))+IF(SUMSQ('TS-PILE'!$D$56:$D$75)=0,0,'TO HOP NLAN'!F209*'TS-PILE'!$D$67/SUMSQ('TS-PILE'!$D$56:$D$75))),IF('TS-PILE'!$B$68="",1E+99,'TO HOP NLAN'!D209/ncoc+IF(SUMSQ('TS-PILE'!$E$56:$E$75)=0,0,'TO HOP NLAN'!E209*'TS-PILE'!$E$68/SUMSQ('TS-PILE'!$E$56:$E$75))+IF(SUMSQ('TS-PILE'!$D$56:$D$75)=0,0,'TO HOP NLAN'!F209*'TS-PILE'!$D$68/SUMSQ('TS-PILE'!$D$56:$D$75))),IF('TS-PILE'!$B$69="",1E+99,'TO HOP NLAN'!D209/ncoc+IF(SUMSQ('TS-PILE'!$E$56:$E$75)=0,0,'TO HOP NLAN'!E209*'TS-PILE'!$E$69/SUMSQ('TS-PILE'!$E$56:$E$75))+IF(SUMSQ('TS-PILE'!$D$56:$D$75)=0,0,'TO HOP NLAN'!F209*'TS-PILE'!$D$69/SUMSQ('TS-PILE'!$D$56:$D$75))),IF('TS-PILE'!$B$70="",1E+99,'TO HOP NLAN'!D209/ncoc+IF(SUMSQ('TS-PILE'!$E$56:$E$75)=0,0,'TO HOP NLAN'!E209*'TS-PILE'!$E$70/SUMSQ('TS-PILE'!$E$56:$E$75))+IF(SUMSQ('TS-PILE'!$D$56:$D$75)=0,0,'TO HOP NLAN'!F209*'TS-PILE'!$D$70/SUMSQ('TS-PILE'!$D$56:$D$75))),IF('TS-PILE'!$B$71="",1E+99,'TO HOP NLAN'!D209/ncoc+IF(SUMSQ('TS-PILE'!$E$56:$E$75)=0,0,'TO HOP NLAN'!E209*'TS-PILE'!$E$71/SUMSQ('TS-PILE'!$E$56:$E$75))+IF(SUMSQ('TS-PILE'!$D$56:$D$75)=0,0,'TO HOP NLAN'!F209*'TS-PILE'!$D$71/SUMSQ('TS-PILE'!$D$56:$D$75))),IF('TS-PILE'!$B$72="",1E+99,'TO HOP NLAN'!D209/ncoc+IF(SUMSQ('TS-PILE'!$E$56:$E$75)=0,0,'TO HOP NLAN'!E209*'TS-PILE'!$E$72/SUMSQ('TS-PILE'!$E$56:$E$75))+IF(SUMSQ('TS-PILE'!$D$56:$D$75)=0,0,'TO HOP NLAN'!F209*'TS-PILE'!$D$72/SUMSQ('TS-PILE'!$D$56:$D$75))),IF('TS-PILE'!$B$73="",1E+99,'TO HOP NLAN'!D209/ncoc+IF(SUMSQ('TS-PILE'!$E$56:$E$75)=0,0,'TO HOP NLAN'!E209*'TS-PILE'!$E$73/SUMSQ('TS-PILE'!$E$56:$E$75))+IF(SUMSQ('TS-PILE'!$D$56:$D$75)=0,0,'TO HOP NLAN'!F209*'TS-PILE'!$D$73/SUMSQ('TS-PILE'!$D$56:$D$75))),IF('TS-PILE'!$B$74="",1E+99,'TO HOP NLAN'!D209/ncoc+IF(SUMSQ('TS-PILE'!$E$56:$E$75)=0,0,'TO HOP NLAN'!E209*'TS-PILE'!$E$74/SUMSQ('TS-PILE'!$E$56:$E$75))+IF(SUMSQ('TS-PILE'!$D$56:$D$75)=0,0,'TO HOP NLAN'!F209*'TS-PILE'!$D$74/SUMSQ('TS-PILE'!$D$56:$D$75))),IF('TS-PILE'!$B$75="",1E+99,'TO HOP NLAN'!D209/ncoc+IF(SUMSQ('TS-PILE'!$E$56:$E$75)=0,0,'TO HOP NLAN'!E209*'TS-PILE'!$E$75/SUMSQ('TS-PILE'!$E$56:$E$75))+IF(SUMSQ('TS-PILE'!$D$56:$D$75)=0,0,'TO HOP NLAN'!F209*'TS-PILE'!$D$75/SUMSQ('TS-PILE'!$D$56:$D$75)))))</f>
        <v>0</v>
      </c>
      <c r="E209" s="46">
        <f t="shared" si="12"/>
        <v>-9.9999999999999997E+98</v>
      </c>
      <c r="F209" s="46">
        <f t="shared" si="13"/>
        <v>9.9999999999999997E+98</v>
      </c>
      <c r="G209" s="46">
        <f t="shared" si="14"/>
        <v>-9.9999999999999997E+98</v>
      </c>
      <c r="H209" s="46">
        <f t="shared" si="15"/>
        <v>9.9999999999999997E+98</v>
      </c>
    </row>
    <row r="210" spans="1:8" x14ac:dyDescent="0.3">
      <c r="A210" s="40" t="str">
        <f>'TO HOP NLAN'!A210</f>
        <v/>
      </c>
      <c r="B210" s="40" t="str">
        <f>'TO HOP NLAN'!L210</f>
        <v>STRENGTH</v>
      </c>
      <c r="C210" s="46">
        <f>IF(A210="",0,MAX(IF('TS-PILE'!$B$56="",-1E+99,'TO HOP NLAN'!D210/ncoc+IF(SUMSQ('TS-PILE'!$E$56:$E$75)=0,0,'TO HOP NLAN'!E210*'TS-PILE'!$E$56/SUMSQ('TS-PILE'!$E$56:$E$75))+IF(SUMSQ('TS-PILE'!$D$56:$D$75)=0,0,'TO HOP NLAN'!F210*'TS-PILE'!$D$56/SUMSQ('TS-PILE'!$D$56:$D$75))),IF('TS-PILE'!$B$57="",-1E+99,'TO HOP NLAN'!D210/ncoc+IF(SUMSQ('TS-PILE'!$E$56:$E$75)=0,0,'TO HOP NLAN'!E210*'TS-PILE'!$E$57/SUMSQ('TS-PILE'!$E$56:$E$75))+IF(SUMSQ('TS-PILE'!$D$56:$D$75)=0,0,'TO HOP NLAN'!F210*'TS-PILE'!$D$57/SUMSQ('TS-PILE'!$D$56:$D$75))),IF('TS-PILE'!$B$58="",-1E+99,'TO HOP NLAN'!D210/ncoc+IF(SUMSQ('TS-PILE'!$E$56:$E$75)=0,0,'TO HOP NLAN'!E210*'TS-PILE'!$E$58/SUMSQ('TS-PILE'!$E$56:$E$75))+IF(SUMSQ('TS-PILE'!$D$56:$D$75)=0,0,'TO HOP NLAN'!F210*'TS-PILE'!$D$58/SUMSQ('TS-PILE'!$D$56:$D$75))),IF('TS-PILE'!$B$59="",-1E+99,'TO HOP NLAN'!D210/ncoc+IF(SUMSQ('TS-PILE'!$E$56:$E$75)=0,0,'TO HOP NLAN'!E210*'TS-PILE'!$E$59/SUMSQ('TS-PILE'!$E$56:$E$75))+IF(SUMSQ('TS-PILE'!$D$56:$D$75)=0,0,'TO HOP NLAN'!F210*'TS-PILE'!$D$59/SUMSQ('TS-PILE'!$D$56:$D$75))),IF('TS-PILE'!$B$60="",-1E+99,'TO HOP NLAN'!D210/ncoc+IF(SUMSQ('TS-PILE'!$E$56:$E$75)=0,0,'TO HOP NLAN'!E210*'TS-PILE'!$E$60/SUMSQ('TS-PILE'!$E$56:$E$75))+IF(SUMSQ('TS-PILE'!$D$56:$D$75)=0,0,'TO HOP NLAN'!F210*'TS-PILE'!$D$60/SUMSQ('TS-PILE'!$D$56:$D$75))),IF('TS-PILE'!$B$61="",-1E+99,'TO HOP NLAN'!D210/ncoc+IF(SUMSQ('TS-PILE'!$E$56:$E$75)=0,0,'TO HOP NLAN'!E210*'TS-PILE'!$E$61/SUMSQ('TS-PILE'!$E$56:$E$75))+IF(SUMSQ('TS-PILE'!$D$56:$D$75)=0,0,'TO HOP NLAN'!F210*'TS-PILE'!$D$61/SUMSQ('TS-PILE'!$D$56:$D$75))),IF('TS-PILE'!$B$62="",-1E+99,'TO HOP NLAN'!D210/ncoc+IF(SUMSQ('TS-PILE'!$E$56:$E$75)=0,0,'TO HOP NLAN'!E210*'TS-PILE'!$E$62/SUMSQ('TS-PILE'!$E$56:$E$75))+IF(SUMSQ('TS-PILE'!$D$56:$D$75)=0,0,'TO HOP NLAN'!F210*'TS-PILE'!$D$62/SUMSQ('TS-PILE'!$D$56:$D$75))),IF('TS-PILE'!$B$63="",-1E+99,'TO HOP NLAN'!D210/ncoc+IF(SUMSQ('TS-PILE'!$E$56:$E$75)=0,0,'TO HOP NLAN'!E210*'TS-PILE'!$E$63/SUMSQ('TS-PILE'!$E$56:$E$75))+IF(SUMSQ('TS-PILE'!$D$56:$D$75)=0,0,'TO HOP NLAN'!F210*'TS-PILE'!$D$63/SUMSQ('TS-PILE'!$D$56:$D$75))),IF('TS-PILE'!$B$64="",-1E+99,'TO HOP NLAN'!D210/ncoc+IF(SUMSQ('TS-PILE'!$E$56:$E$75)=0,0,'TO HOP NLAN'!E210*'TS-PILE'!$E$64/SUMSQ('TS-PILE'!$E$56:$E$75))+IF(SUMSQ('TS-PILE'!$D$56:$D$75)=0,0,'TO HOP NLAN'!F210*'TS-PILE'!$D$64/SUMSQ('TS-PILE'!$D$56:$D$75))),IF('TS-PILE'!$B$65="",-1E+99,'TO HOP NLAN'!D210/ncoc+IF(SUMSQ('TS-PILE'!$E$56:$E$75)=0,0,'TO HOP NLAN'!E210*'TS-PILE'!$E$65/SUMSQ('TS-PILE'!$E$56:$E$75))+IF(SUMSQ('TS-PILE'!$D$56:$D$75)=0,0,'TO HOP NLAN'!F210*'TS-PILE'!$D$65/SUMSQ('TS-PILE'!$D$56:$D$75))),IF('TS-PILE'!$B$66="",-1E+99,'TO HOP NLAN'!D210/ncoc+IF(SUMSQ('TS-PILE'!$E$56:$E$75)=0,0,'TO HOP NLAN'!E210*'TS-PILE'!$E$66/SUMSQ('TS-PILE'!$E$56:$E$75))+IF(SUMSQ('TS-PILE'!$D$56:$D$75)=0,0,'TO HOP NLAN'!F210*'TS-PILE'!$D$66/SUMSQ('TS-PILE'!$D$56:$D$75))),IF('TS-PILE'!$B$67="",-1E+99,'TO HOP NLAN'!D210/ncoc+IF(SUMSQ('TS-PILE'!$E$56:$E$75)=0,0,'TO HOP NLAN'!E210*'TS-PILE'!$E$67/SUMSQ('TS-PILE'!$E$56:$E$75))+IF(SUMSQ('TS-PILE'!$D$56:$D$75)=0,0,'TO HOP NLAN'!F210*'TS-PILE'!$D$67/SUMSQ('TS-PILE'!$D$56:$D$75))),IF('TS-PILE'!$B$68="",-1E+99,'TO HOP NLAN'!D210/ncoc+IF(SUMSQ('TS-PILE'!$E$56:$E$75)=0,0,'TO HOP NLAN'!E210*'TS-PILE'!$E$68/SUMSQ('TS-PILE'!$E$56:$E$75))+IF(SUMSQ('TS-PILE'!$D$56:$D$75)=0,0,'TO HOP NLAN'!F210*'TS-PILE'!$D$68/SUMSQ('TS-PILE'!$D$56:$D$75))),IF('TS-PILE'!$B$69="",-1E+99,'TO HOP NLAN'!D210/ncoc+IF(SUMSQ('TS-PILE'!$E$56:$E$75)=0,0,'TO HOP NLAN'!E210*'TS-PILE'!$E$69/SUMSQ('TS-PILE'!$E$56:$E$75))+IF(SUMSQ('TS-PILE'!$D$56:$D$75)=0,0,'TO HOP NLAN'!F210*'TS-PILE'!$D$69/SUMSQ('TS-PILE'!$D$56:$D$75))),IF('TS-PILE'!$B$70="",-1E+99,'TO HOP NLAN'!D210/ncoc+IF(SUMSQ('TS-PILE'!$E$56:$E$75)=0,0,'TO HOP NLAN'!E210*'TS-PILE'!$E$70/SUMSQ('TS-PILE'!$E$56:$E$75))+IF(SUMSQ('TS-PILE'!$D$56:$D$75)=0,0,'TO HOP NLAN'!F210*'TS-PILE'!$D$70/SUMSQ('TS-PILE'!$D$56:$D$75))),IF('TS-PILE'!$B$71="",-1E+99,'TO HOP NLAN'!D210/ncoc+IF(SUMSQ('TS-PILE'!$E$56:$E$75)=0,0,'TO HOP NLAN'!E210*'TS-PILE'!$E$71/SUMSQ('TS-PILE'!$E$56:$E$75))+IF(SUMSQ('TS-PILE'!$D$56:$D$75)=0,0,'TO HOP NLAN'!F210*'TS-PILE'!$D$71/SUMSQ('TS-PILE'!$D$56:$D$75))),IF('TS-PILE'!$B$72="",-1E+99,'TO HOP NLAN'!D210/ncoc+IF(SUMSQ('TS-PILE'!$E$56:$E$75)=0,0,'TO HOP NLAN'!E210*'TS-PILE'!$E$72/SUMSQ('TS-PILE'!$E$56:$E$75))+IF(SUMSQ('TS-PILE'!$D$56:$D$75)=0,0,'TO HOP NLAN'!F210*'TS-PILE'!$D$72/SUMSQ('TS-PILE'!$D$56:$D$75))),IF('TS-PILE'!$B$73="",-1E+99,'TO HOP NLAN'!D210/ncoc+IF(SUMSQ('TS-PILE'!$E$56:$E$75)=0,0,'TO HOP NLAN'!E210*'TS-PILE'!$E$73/SUMSQ('TS-PILE'!$E$56:$E$75))+IF(SUMSQ('TS-PILE'!$D$56:$D$75)=0,0,'TO HOP NLAN'!F210*'TS-PILE'!$D$73/SUMSQ('TS-PILE'!$D$56:$D$75))),IF('TS-PILE'!$B$74="",-1E+99,'TO HOP NLAN'!D210/ncoc+IF(SUMSQ('TS-PILE'!$E$56:$E$75)=0,0,'TO HOP NLAN'!E210*'TS-PILE'!$E$74/SUMSQ('TS-PILE'!$E$56:$E$75))+IF(SUMSQ('TS-PILE'!$D$56:$D$75)=0,0,'TO HOP NLAN'!F210*'TS-PILE'!$D$74/SUMSQ('TS-PILE'!$D$56:$D$75))),IF('TS-PILE'!$B$75="",-1E+99,'TO HOP NLAN'!D210/ncoc+IF(SUMSQ('TS-PILE'!$E$56:$E$75)=0,0,'TO HOP NLAN'!E210*'TS-PILE'!$E$75/SUMSQ('TS-PILE'!$E$56:$E$75))+IF(SUMSQ('TS-PILE'!$D$56:$D$75)=0,0,'TO HOP NLAN'!F210*'TS-PILE'!$D$75/SUMSQ('TS-PILE'!$D$56:$D$75)))))</f>
        <v>0</v>
      </c>
      <c r="D210" s="46">
        <f>IF(A210="",0,MIN(IF('TS-PILE'!$B$56="",1E+99,'TO HOP NLAN'!D210/ncoc+IF(SUMSQ('TS-PILE'!$E$56:$E$75)=0,0,'TO HOP NLAN'!E210*'TS-PILE'!$E$56/SUMSQ('TS-PILE'!$E$56:$E$75))+IF(SUMSQ('TS-PILE'!$D$56:$D$75)=0,0,'TO HOP NLAN'!F210*'TS-PILE'!$D$56/SUMSQ('TS-PILE'!$D$56:$D$75))),IF('TS-PILE'!$B$57="",1E+99,'TO HOP NLAN'!D210/ncoc+IF(SUMSQ('TS-PILE'!$E$56:$E$75)=0,0,'TO HOP NLAN'!E210*'TS-PILE'!$E$57/SUMSQ('TS-PILE'!$E$56:$E$75))+IF(SUMSQ('TS-PILE'!$D$56:$D$75)=0,0,'TO HOP NLAN'!F210*'TS-PILE'!$D$57/SUMSQ('TS-PILE'!$D$56:$D$75))),IF('TS-PILE'!$B$58="",1E+99,'TO HOP NLAN'!D210/ncoc+IF(SUMSQ('TS-PILE'!$E$56:$E$75)=0,0,'TO HOP NLAN'!E210*'TS-PILE'!$E$58/SUMSQ('TS-PILE'!$E$56:$E$75))+IF(SUMSQ('TS-PILE'!$D$56:$D$75)=0,0,'TO HOP NLAN'!F210*'TS-PILE'!$D$58/SUMSQ('TS-PILE'!$D$56:$D$75))),IF('TS-PILE'!$B$59="",1E+99,'TO HOP NLAN'!D210/ncoc+IF(SUMSQ('TS-PILE'!$E$56:$E$75)=0,0,'TO HOP NLAN'!E210*'TS-PILE'!$E$59/SUMSQ('TS-PILE'!$E$56:$E$75))+IF(SUMSQ('TS-PILE'!$D$56:$D$75)=0,0,'TO HOP NLAN'!F210*'TS-PILE'!$D$59/SUMSQ('TS-PILE'!$D$56:$D$75))),IF('TS-PILE'!$B$60="",1E+99,'TO HOP NLAN'!D210/ncoc+IF(SUMSQ('TS-PILE'!$E$56:$E$75)=0,0,'TO HOP NLAN'!E210*'TS-PILE'!$E$60/SUMSQ('TS-PILE'!$E$56:$E$75))+IF(SUMSQ('TS-PILE'!$D$56:$D$75)=0,0,'TO HOP NLAN'!F210*'TS-PILE'!$D$60/SUMSQ('TS-PILE'!$D$56:$D$75))),IF('TS-PILE'!$B$61="",1E+99,'TO HOP NLAN'!D210/ncoc+IF(SUMSQ('TS-PILE'!$E$56:$E$75)=0,0,'TO HOP NLAN'!E210*'TS-PILE'!$E$61/SUMSQ('TS-PILE'!$E$56:$E$75))+IF(SUMSQ('TS-PILE'!$D$56:$D$75)=0,0,'TO HOP NLAN'!F210*'TS-PILE'!$D$61/SUMSQ('TS-PILE'!$D$56:$D$75))),IF('TS-PILE'!$B$62="",1E+99,'TO HOP NLAN'!D210/ncoc+IF(SUMSQ('TS-PILE'!$E$56:$E$75)=0,0,'TO HOP NLAN'!E210*'TS-PILE'!$E$62/SUMSQ('TS-PILE'!$E$56:$E$75))+IF(SUMSQ('TS-PILE'!$D$56:$D$75)=0,0,'TO HOP NLAN'!F210*'TS-PILE'!$D$62/SUMSQ('TS-PILE'!$D$56:$D$75))),IF('TS-PILE'!$B$63="",1E+99,'TO HOP NLAN'!D210/ncoc+IF(SUMSQ('TS-PILE'!$E$56:$E$75)=0,0,'TO HOP NLAN'!E210*'TS-PILE'!$E$63/SUMSQ('TS-PILE'!$E$56:$E$75))+IF(SUMSQ('TS-PILE'!$D$56:$D$75)=0,0,'TO HOP NLAN'!F210*'TS-PILE'!$D$63/SUMSQ('TS-PILE'!$D$56:$D$75))),IF('TS-PILE'!$B$64="",1E+99,'TO HOP NLAN'!D210/ncoc+IF(SUMSQ('TS-PILE'!$E$56:$E$75)=0,0,'TO HOP NLAN'!E210*'TS-PILE'!$E$64/SUMSQ('TS-PILE'!$E$56:$E$75))+IF(SUMSQ('TS-PILE'!$D$56:$D$75)=0,0,'TO HOP NLAN'!F210*'TS-PILE'!$D$64/SUMSQ('TS-PILE'!$D$56:$D$75))),IF('TS-PILE'!$B$65="",1E+99,'TO HOP NLAN'!D210/ncoc+IF(SUMSQ('TS-PILE'!$E$56:$E$75)=0,0,'TO HOP NLAN'!E210*'TS-PILE'!$E$65/SUMSQ('TS-PILE'!$E$56:$E$75))+IF(SUMSQ('TS-PILE'!$D$56:$D$75)=0,0,'TO HOP NLAN'!F210*'TS-PILE'!$D$65/SUMSQ('TS-PILE'!$D$56:$D$75))),IF('TS-PILE'!$B$66="",1E+99,'TO HOP NLAN'!D210/ncoc+IF(SUMSQ('TS-PILE'!$E$56:$E$75)=0,0,'TO HOP NLAN'!E210*'TS-PILE'!$E$66/SUMSQ('TS-PILE'!$E$56:$E$75))+IF(SUMSQ('TS-PILE'!$D$56:$D$75)=0,0,'TO HOP NLAN'!F210*'TS-PILE'!$D$66/SUMSQ('TS-PILE'!$D$56:$D$75))),IF('TS-PILE'!$B$67="",1E+99,'TO HOP NLAN'!D210/ncoc+IF(SUMSQ('TS-PILE'!$E$56:$E$75)=0,0,'TO HOP NLAN'!E210*'TS-PILE'!$E$67/SUMSQ('TS-PILE'!$E$56:$E$75))+IF(SUMSQ('TS-PILE'!$D$56:$D$75)=0,0,'TO HOP NLAN'!F210*'TS-PILE'!$D$67/SUMSQ('TS-PILE'!$D$56:$D$75))),IF('TS-PILE'!$B$68="",1E+99,'TO HOP NLAN'!D210/ncoc+IF(SUMSQ('TS-PILE'!$E$56:$E$75)=0,0,'TO HOP NLAN'!E210*'TS-PILE'!$E$68/SUMSQ('TS-PILE'!$E$56:$E$75))+IF(SUMSQ('TS-PILE'!$D$56:$D$75)=0,0,'TO HOP NLAN'!F210*'TS-PILE'!$D$68/SUMSQ('TS-PILE'!$D$56:$D$75))),IF('TS-PILE'!$B$69="",1E+99,'TO HOP NLAN'!D210/ncoc+IF(SUMSQ('TS-PILE'!$E$56:$E$75)=0,0,'TO HOP NLAN'!E210*'TS-PILE'!$E$69/SUMSQ('TS-PILE'!$E$56:$E$75))+IF(SUMSQ('TS-PILE'!$D$56:$D$75)=0,0,'TO HOP NLAN'!F210*'TS-PILE'!$D$69/SUMSQ('TS-PILE'!$D$56:$D$75))),IF('TS-PILE'!$B$70="",1E+99,'TO HOP NLAN'!D210/ncoc+IF(SUMSQ('TS-PILE'!$E$56:$E$75)=0,0,'TO HOP NLAN'!E210*'TS-PILE'!$E$70/SUMSQ('TS-PILE'!$E$56:$E$75))+IF(SUMSQ('TS-PILE'!$D$56:$D$75)=0,0,'TO HOP NLAN'!F210*'TS-PILE'!$D$70/SUMSQ('TS-PILE'!$D$56:$D$75))),IF('TS-PILE'!$B$71="",1E+99,'TO HOP NLAN'!D210/ncoc+IF(SUMSQ('TS-PILE'!$E$56:$E$75)=0,0,'TO HOP NLAN'!E210*'TS-PILE'!$E$71/SUMSQ('TS-PILE'!$E$56:$E$75))+IF(SUMSQ('TS-PILE'!$D$56:$D$75)=0,0,'TO HOP NLAN'!F210*'TS-PILE'!$D$71/SUMSQ('TS-PILE'!$D$56:$D$75))),IF('TS-PILE'!$B$72="",1E+99,'TO HOP NLAN'!D210/ncoc+IF(SUMSQ('TS-PILE'!$E$56:$E$75)=0,0,'TO HOP NLAN'!E210*'TS-PILE'!$E$72/SUMSQ('TS-PILE'!$E$56:$E$75))+IF(SUMSQ('TS-PILE'!$D$56:$D$75)=0,0,'TO HOP NLAN'!F210*'TS-PILE'!$D$72/SUMSQ('TS-PILE'!$D$56:$D$75))),IF('TS-PILE'!$B$73="",1E+99,'TO HOP NLAN'!D210/ncoc+IF(SUMSQ('TS-PILE'!$E$56:$E$75)=0,0,'TO HOP NLAN'!E210*'TS-PILE'!$E$73/SUMSQ('TS-PILE'!$E$56:$E$75))+IF(SUMSQ('TS-PILE'!$D$56:$D$75)=0,0,'TO HOP NLAN'!F210*'TS-PILE'!$D$73/SUMSQ('TS-PILE'!$D$56:$D$75))),IF('TS-PILE'!$B$74="",1E+99,'TO HOP NLAN'!D210/ncoc+IF(SUMSQ('TS-PILE'!$E$56:$E$75)=0,0,'TO HOP NLAN'!E210*'TS-PILE'!$E$74/SUMSQ('TS-PILE'!$E$56:$E$75))+IF(SUMSQ('TS-PILE'!$D$56:$D$75)=0,0,'TO HOP NLAN'!F210*'TS-PILE'!$D$74/SUMSQ('TS-PILE'!$D$56:$D$75))),IF('TS-PILE'!$B$75="",1E+99,'TO HOP NLAN'!D210/ncoc+IF(SUMSQ('TS-PILE'!$E$56:$E$75)=0,0,'TO HOP NLAN'!E210*'TS-PILE'!$E$75/SUMSQ('TS-PILE'!$E$56:$E$75))+IF(SUMSQ('TS-PILE'!$D$56:$D$75)=0,0,'TO HOP NLAN'!F210*'TS-PILE'!$D$75/SUMSQ('TS-PILE'!$D$56:$D$75)))))</f>
        <v>0</v>
      </c>
      <c r="E210" s="46">
        <f t="shared" si="12"/>
        <v>-9.9999999999999997E+98</v>
      </c>
      <c r="F210" s="46">
        <f t="shared" si="13"/>
        <v>9.9999999999999997E+98</v>
      </c>
      <c r="G210" s="46">
        <f t="shared" si="14"/>
        <v>-9.9999999999999997E+98</v>
      </c>
      <c r="H210" s="46">
        <f t="shared" si="15"/>
        <v>9.9999999999999997E+98</v>
      </c>
    </row>
    <row r="211" spans="1:8" x14ac:dyDescent="0.3">
      <c r="A211" s="40" t="str">
        <f>'TO HOP NLAN'!A211</f>
        <v/>
      </c>
      <c r="B211" s="40" t="str">
        <f>'TO HOP NLAN'!L211</f>
        <v>STRENGTH</v>
      </c>
      <c r="C211" s="46">
        <f>IF(A211="",0,MAX(IF('TS-PILE'!$B$56="",-1E+99,'TO HOP NLAN'!D211/ncoc+IF(SUMSQ('TS-PILE'!$E$56:$E$75)=0,0,'TO HOP NLAN'!E211*'TS-PILE'!$E$56/SUMSQ('TS-PILE'!$E$56:$E$75))+IF(SUMSQ('TS-PILE'!$D$56:$D$75)=0,0,'TO HOP NLAN'!F211*'TS-PILE'!$D$56/SUMSQ('TS-PILE'!$D$56:$D$75))),IF('TS-PILE'!$B$57="",-1E+99,'TO HOP NLAN'!D211/ncoc+IF(SUMSQ('TS-PILE'!$E$56:$E$75)=0,0,'TO HOP NLAN'!E211*'TS-PILE'!$E$57/SUMSQ('TS-PILE'!$E$56:$E$75))+IF(SUMSQ('TS-PILE'!$D$56:$D$75)=0,0,'TO HOP NLAN'!F211*'TS-PILE'!$D$57/SUMSQ('TS-PILE'!$D$56:$D$75))),IF('TS-PILE'!$B$58="",-1E+99,'TO HOP NLAN'!D211/ncoc+IF(SUMSQ('TS-PILE'!$E$56:$E$75)=0,0,'TO HOP NLAN'!E211*'TS-PILE'!$E$58/SUMSQ('TS-PILE'!$E$56:$E$75))+IF(SUMSQ('TS-PILE'!$D$56:$D$75)=0,0,'TO HOP NLAN'!F211*'TS-PILE'!$D$58/SUMSQ('TS-PILE'!$D$56:$D$75))),IF('TS-PILE'!$B$59="",-1E+99,'TO HOP NLAN'!D211/ncoc+IF(SUMSQ('TS-PILE'!$E$56:$E$75)=0,0,'TO HOP NLAN'!E211*'TS-PILE'!$E$59/SUMSQ('TS-PILE'!$E$56:$E$75))+IF(SUMSQ('TS-PILE'!$D$56:$D$75)=0,0,'TO HOP NLAN'!F211*'TS-PILE'!$D$59/SUMSQ('TS-PILE'!$D$56:$D$75))),IF('TS-PILE'!$B$60="",-1E+99,'TO HOP NLAN'!D211/ncoc+IF(SUMSQ('TS-PILE'!$E$56:$E$75)=0,0,'TO HOP NLAN'!E211*'TS-PILE'!$E$60/SUMSQ('TS-PILE'!$E$56:$E$75))+IF(SUMSQ('TS-PILE'!$D$56:$D$75)=0,0,'TO HOP NLAN'!F211*'TS-PILE'!$D$60/SUMSQ('TS-PILE'!$D$56:$D$75))),IF('TS-PILE'!$B$61="",-1E+99,'TO HOP NLAN'!D211/ncoc+IF(SUMSQ('TS-PILE'!$E$56:$E$75)=0,0,'TO HOP NLAN'!E211*'TS-PILE'!$E$61/SUMSQ('TS-PILE'!$E$56:$E$75))+IF(SUMSQ('TS-PILE'!$D$56:$D$75)=0,0,'TO HOP NLAN'!F211*'TS-PILE'!$D$61/SUMSQ('TS-PILE'!$D$56:$D$75))),IF('TS-PILE'!$B$62="",-1E+99,'TO HOP NLAN'!D211/ncoc+IF(SUMSQ('TS-PILE'!$E$56:$E$75)=0,0,'TO HOP NLAN'!E211*'TS-PILE'!$E$62/SUMSQ('TS-PILE'!$E$56:$E$75))+IF(SUMSQ('TS-PILE'!$D$56:$D$75)=0,0,'TO HOP NLAN'!F211*'TS-PILE'!$D$62/SUMSQ('TS-PILE'!$D$56:$D$75))),IF('TS-PILE'!$B$63="",-1E+99,'TO HOP NLAN'!D211/ncoc+IF(SUMSQ('TS-PILE'!$E$56:$E$75)=0,0,'TO HOP NLAN'!E211*'TS-PILE'!$E$63/SUMSQ('TS-PILE'!$E$56:$E$75))+IF(SUMSQ('TS-PILE'!$D$56:$D$75)=0,0,'TO HOP NLAN'!F211*'TS-PILE'!$D$63/SUMSQ('TS-PILE'!$D$56:$D$75))),IF('TS-PILE'!$B$64="",-1E+99,'TO HOP NLAN'!D211/ncoc+IF(SUMSQ('TS-PILE'!$E$56:$E$75)=0,0,'TO HOP NLAN'!E211*'TS-PILE'!$E$64/SUMSQ('TS-PILE'!$E$56:$E$75))+IF(SUMSQ('TS-PILE'!$D$56:$D$75)=0,0,'TO HOP NLAN'!F211*'TS-PILE'!$D$64/SUMSQ('TS-PILE'!$D$56:$D$75))),IF('TS-PILE'!$B$65="",-1E+99,'TO HOP NLAN'!D211/ncoc+IF(SUMSQ('TS-PILE'!$E$56:$E$75)=0,0,'TO HOP NLAN'!E211*'TS-PILE'!$E$65/SUMSQ('TS-PILE'!$E$56:$E$75))+IF(SUMSQ('TS-PILE'!$D$56:$D$75)=0,0,'TO HOP NLAN'!F211*'TS-PILE'!$D$65/SUMSQ('TS-PILE'!$D$56:$D$75))),IF('TS-PILE'!$B$66="",-1E+99,'TO HOP NLAN'!D211/ncoc+IF(SUMSQ('TS-PILE'!$E$56:$E$75)=0,0,'TO HOP NLAN'!E211*'TS-PILE'!$E$66/SUMSQ('TS-PILE'!$E$56:$E$75))+IF(SUMSQ('TS-PILE'!$D$56:$D$75)=0,0,'TO HOP NLAN'!F211*'TS-PILE'!$D$66/SUMSQ('TS-PILE'!$D$56:$D$75))),IF('TS-PILE'!$B$67="",-1E+99,'TO HOP NLAN'!D211/ncoc+IF(SUMSQ('TS-PILE'!$E$56:$E$75)=0,0,'TO HOP NLAN'!E211*'TS-PILE'!$E$67/SUMSQ('TS-PILE'!$E$56:$E$75))+IF(SUMSQ('TS-PILE'!$D$56:$D$75)=0,0,'TO HOP NLAN'!F211*'TS-PILE'!$D$67/SUMSQ('TS-PILE'!$D$56:$D$75))),IF('TS-PILE'!$B$68="",-1E+99,'TO HOP NLAN'!D211/ncoc+IF(SUMSQ('TS-PILE'!$E$56:$E$75)=0,0,'TO HOP NLAN'!E211*'TS-PILE'!$E$68/SUMSQ('TS-PILE'!$E$56:$E$75))+IF(SUMSQ('TS-PILE'!$D$56:$D$75)=0,0,'TO HOP NLAN'!F211*'TS-PILE'!$D$68/SUMSQ('TS-PILE'!$D$56:$D$75))),IF('TS-PILE'!$B$69="",-1E+99,'TO HOP NLAN'!D211/ncoc+IF(SUMSQ('TS-PILE'!$E$56:$E$75)=0,0,'TO HOP NLAN'!E211*'TS-PILE'!$E$69/SUMSQ('TS-PILE'!$E$56:$E$75))+IF(SUMSQ('TS-PILE'!$D$56:$D$75)=0,0,'TO HOP NLAN'!F211*'TS-PILE'!$D$69/SUMSQ('TS-PILE'!$D$56:$D$75))),IF('TS-PILE'!$B$70="",-1E+99,'TO HOP NLAN'!D211/ncoc+IF(SUMSQ('TS-PILE'!$E$56:$E$75)=0,0,'TO HOP NLAN'!E211*'TS-PILE'!$E$70/SUMSQ('TS-PILE'!$E$56:$E$75))+IF(SUMSQ('TS-PILE'!$D$56:$D$75)=0,0,'TO HOP NLAN'!F211*'TS-PILE'!$D$70/SUMSQ('TS-PILE'!$D$56:$D$75))),IF('TS-PILE'!$B$71="",-1E+99,'TO HOP NLAN'!D211/ncoc+IF(SUMSQ('TS-PILE'!$E$56:$E$75)=0,0,'TO HOP NLAN'!E211*'TS-PILE'!$E$71/SUMSQ('TS-PILE'!$E$56:$E$75))+IF(SUMSQ('TS-PILE'!$D$56:$D$75)=0,0,'TO HOP NLAN'!F211*'TS-PILE'!$D$71/SUMSQ('TS-PILE'!$D$56:$D$75))),IF('TS-PILE'!$B$72="",-1E+99,'TO HOP NLAN'!D211/ncoc+IF(SUMSQ('TS-PILE'!$E$56:$E$75)=0,0,'TO HOP NLAN'!E211*'TS-PILE'!$E$72/SUMSQ('TS-PILE'!$E$56:$E$75))+IF(SUMSQ('TS-PILE'!$D$56:$D$75)=0,0,'TO HOP NLAN'!F211*'TS-PILE'!$D$72/SUMSQ('TS-PILE'!$D$56:$D$75))),IF('TS-PILE'!$B$73="",-1E+99,'TO HOP NLAN'!D211/ncoc+IF(SUMSQ('TS-PILE'!$E$56:$E$75)=0,0,'TO HOP NLAN'!E211*'TS-PILE'!$E$73/SUMSQ('TS-PILE'!$E$56:$E$75))+IF(SUMSQ('TS-PILE'!$D$56:$D$75)=0,0,'TO HOP NLAN'!F211*'TS-PILE'!$D$73/SUMSQ('TS-PILE'!$D$56:$D$75))),IF('TS-PILE'!$B$74="",-1E+99,'TO HOP NLAN'!D211/ncoc+IF(SUMSQ('TS-PILE'!$E$56:$E$75)=0,0,'TO HOP NLAN'!E211*'TS-PILE'!$E$74/SUMSQ('TS-PILE'!$E$56:$E$75))+IF(SUMSQ('TS-PILE'!$D$56:$D$75)=0,0,'TO HOP NLAN'!F211*'TS-PILE'!$D$74/SUMSQ('TS-PILE'!$D$56:$D$75))),IF('TS-PILE'!$B$75="",-1E+99,'TO HOP NLAN'!D211/ncoc+IF(SUMSQ('TS-PILE'!$E$56:$E$75)=0,0,'TO HOP NLAN'!E211*'TS-PILE'!$E$75/SUMSQ('TS-PILE'!$E$56:$E$75))+IF(SUMSQ('TS-PILE'!$D$56:$D$75)=0,0,'TO HOP NLAN'!F211*'TS-PILE'!$D$75/SUMSQ('TS-PILE'!$D$56:$D$75)))))</f>
        <v>0</v>
      </c>
      <c r="D211" s="46">
        <f>IF(A211="",0,MIN(IF('TS-PILE'!$B$56="",1E+99,'TO HOP NLAN'!D211/ncoc+IF(SUMSQ('TS-PILE'!$E$56:$E$75)=0,0,'TO HOP NLAN'!E211*'TS-PILE'!$E$56/SUMSQ('TS-PILE'!$E$56:$E$75))+IF(SUMSQ('TS-PILE'!$D$56:$D$75)=0,0,'TO HOP NLAN'!F211*'TS-PILE'!$D$56/SUMSQ('TS-PILE'!$D$56:$D$75))),IF('TS-PILE'!$B$57="",1E+99,'TO HOP NLAN'!D211/ncoc+IF(SUMSQ('TS-PILE'!$E$56:$E$75)=0,0,'TO HOP NLAN'!E211*'TS-PILE'!$E$57/SUMSQ('TS-PILE'!$E$56:$E$75))+IF(SUMSQ('TS-PILE'!$D$56:$D$75)=0,0,'TO HOP NLAN'!F211*'TS-PILE'!$D$57/SUMSQ('TS-PILE'!$D$56:$D$75))),IF('TS-PILE'!$B$58="",1E+99,'TO HOP NLAN'!D211/ncoc+IF(SUMSQ('TS-PILE'!$E$56:$E$75)=0,0,'TO HOP NLAN'!E211*'TS-PILE'!$E$58/SUMSQ('TS-PILE'!$E$56:$E$75))+IF(SUMSQ('TS-PILE'!$D$56:$D$75)=0,0,'TO HOP NLAN'!F211*'TS-PILE'!$D$58/SUMSQ('TS-PILE'!$D$56:$D$75))),IF('TS-PILE'!$B$59="",1E+99,'TO HOP NLAN'!D211/ncoc+IF(SUMSQ('TS-PILE'!$E$56:$E$75)=0,0,'TO HOP NLAN'!E211*'TS-PILE'!$E$59/SUMSQ('TS-PILE'!$E$56:$E$75))+IF(SUMSQ('TS-PILE'!$D$56:$D$75)=0,0,'TO HOP NLAN'!F211*'TS-PILE'!$D$59/SUMSQ('TS-PILE'!$D$56:$D$75))),IF('TS-PILE'!$B$60="",1E+99,'TO HOP NLAN'!D211/ncoc+IF(SUMSQ('TS-PILE'!$E$56:$E$75)=0,0,'TO HOP NLAN'!E211*'TS-PILE'!$E$60/SUMSQ('TS-PILE'!$E$56:$E$75))+IF(SUMSQ('TS-PILE'!$D$56:$D$75)=0,0,'TO HOP NLAN'!F211*'TS-PILE'!$D$60/SUMSQ('TS-PILE'!$D$56:$D$75))),IF('TS-PILE'!$B$61="",1E+99,'TO HOP NLAN'!D211/ncoc+IF(SUMSQ('TS-PILE'!$E$56:$E$75)=0,0,'TO HOP NLAN'!E211*'TS-PILE'!$E$61/SUMSQ('TS-PILE'!$E$56:$E$75))+IF(SUMSQ('TS-PILE'!$D$56:$D$75)=0,0,'TO HOP NLAN'!F211*'TS-PILE'!$D$61/SUMSQ('TS-PILE'!$D$56:$D$75))),IF('TS-PILE'!$B$62="",1E+99,'TO HOP NLAN'!D211/ncoc+IF(SUMSQ('TS-PILE'!$E$56:$E$75)=0,0,'TO HOP NLAN'!E211*'TS-PILE'!$E$62/SUMSQ('TS-PILE'!$E$56:$E$75))+IF(SUMSQ('TS-PILE'!$D$56:$D$75)=0,0,'TO HOP NLAN'!F211*'TS-PILE'!$D$62/SUMSQ('TS-PILE'!$D$56:$D$75))),IF('TS-PILE'!$B$63="",1E+99,'TO HOP NLAN'!D211/ncoc+IF(SUMSQ('TS-PILE'!$E$56:$E$75)=0,0,'TO HOP NLAN'!E211*'TS-PILE'!$E$63/SUMSQ('TS-PILE'!$E$56:$E$75))+IF(SUMSQ('TS-PILE'!$D$56:$D$75)=0,0,'TO HOP NLAN'!F211*'TS-PILE'!$D$63/SUMSQ('TS-PILE'!$D$56:$D$75))),IF('TS-PILE'!$B$64="",1E+99,'TO HOP NLAN'!D211/ncoc+IF(SUMSQ('TS-PILE'!$E$56:$E$75)=0,0,'TO HOP NLAN'!E211*'TS-PILE'!$E$64/SUMSQ('TS-PILE'!$E$56:$E$75))+IF(SUMSQ('TS-PILE'!$D$56:$D$75)=0,0,'TO HOP NLAN'!F211*'TS-PILE'!$D$64/SUMSQ('TS-PILE'!$D$56:$D$75))),IF('TS-PILE'!$B$65="",1E+99,'TO HOP NLAN'!D211/ncoc+IF(SUMSQ('TS-PILE'!$E$56:$E$75)=0,0,'TO HOP NLAN'!E211*'TS-PILE'!$E$65/SUMSQ('TS-PILE'!$E$56:$E$75))+IF(SUMSQ('TS-PILE'!$D$56:$D$75)=0,0,'TO HOP NLAN'!F211*'TS-PILE'!$D$65/SUMSQ('TS-PILE'!$D$56:$D$75))),IF('TS-PILE'!$B$66="",1E+99,'TO HOP NLAN'!D211/ncoc+IF(SUMSQ('TS-PILE'!$E$56:$E$75)=0,0,'TO HOP NLAN'!E211*'TS-PILE'!$E$66/SUMSQ('TS-PILE'!$E$56:$E$75))+IF(SUMSQ('TS-PILE'!$D$56:$D$75)=0,0,'TO HOP NLAN'!F211*'TS-PILE'!$D$66/SUMSQ('TS-PILE'!$D$56:$D$75))),IF('TS-PILE'!$B$67="",1E+99,'TO HOP NLAN'!D211/ncoc+IF(SUMSQ('TS-PILE'!$E$56:$E$75)=0,0,'TO HOP NLAN'!E211*'TS-PILE'!$E$67/SUMSQ('TS-PILE'!$E$56:$E$75))+IF(SUMSQ('TS-PILE'!$D$56:$D$75)=0,0,'TO HOP NLAN'!F211*'TS-PILE'!$D$67/SUMSQ('TS-PILE'!$D$56:$D$75))),IF('TS-PILE'!$B$68="",1E+99,'TO HOP NLAN'!D211/ncoc+IF(SUMSQ('TS-PILE'!$E$56:$E$75)=0,0,'TO HOP NLAN'!E211*'TS-PILE'!$E$68/SUMSQ('TS-PILE'!$E$56:$E$75))+IF(SUMSQ('TS-PILE'!$D$56:$D$75)=0,0,'TO HOP NLAN'!F211*'TS-PILE'!$D$68/SUMSQ('TS-PILE'!$D$56:$D$75))),IF('TS-PILE'!$B$69="",1E+99,'TO HOP NLAN'!D211/ncoc+IF(SUMSQ('TS-PILE'!$E$56:$E$75)=0,0,'TO HOP NLAN'!E211*'TS-PILE'!$E$69/SUMSQ('TS-PILE'!$E$56:$E$75))+IF(SUMSQ('TS-PILE'!$D$56:$D$75)=0,0,'TO HOP NLAN'!F211*'TS-PILE'!$D$69/SUMSQ('TS-PILE'!$D$56:$D$75))),IF('TS-PILE'!$B$70="",1E+99,'TO HOP NLAN'!D211/ncoc+IF(SUMSQ('TS-PILE'!$E$56:$E$75)=0,0,'TO HOP NLAN'!E211*'TS-PILE'!$E$70/SUMSQ('TS-PILE'!$E$56:$E$75))+IF(SUMSQ('TS-PILE'!$D$56:$D$75)=0,0,'TO HOP NLAN'!F211*'TS-PILE'!$D$70/SUMSQ('TS-PILE'!$D$56:$D$75))),IF('TS-PILE'!$B$71="",1E+99,'TO HOP NLAN'!D211/ncoc+IF(SUMSQ('TS-PILE'!$E$56:$E$75)=0,0,'TO HOP NLAN'!E211*'TS-PILE'!$E$71/SUMSQ('TS-PILE'!$E$56:$E$75))+IF(SUMSQ('TS-PILE'!$D$56:$D$75)=0,0,'TO HOP NLAN'!F211*'TS-PILE'!$D$71/SUMSQ('TS-PILE'!$D$56:$D$75))),IF('TS-PILE'!$B$72="",1E+99,'TO HOP NLAN'!D211/ncoc+IF(SUMSQ('TS-PILE'!$E$56:$E$75)=0,0,'TO HOP NLAN'!E211*'TS-PILE'!$E$72/SUMSQ('TS-PILE'!$E$56:$E$75))+IF(SUMSQ('TS-PILE'!$D$56:$D$75)=0,0,'TO HOP NLAN'!F211*'TS-PILE'!$D$72/SUMSQ('TS-PILE'!$D$56:$D$75))),IF('TS-PILE'!$B$73="",1E+99,'TO HOP NLAN'!D211/ncoc+IF(SUMSQ('TS-PILE'!$E$56:$E$75)=0,0,'TO HOP NLAN'!E211*'TS-PILE'!$E$73/SUMSQ('TS-PILE'!$E$56:$E$75))+IF(SUMSQ('TS-PILE'!$D$56:$D$75)=0,0,'TO HOP NLAN'!F211*'TS-PILE'!$D$73/SUMSQ('TS-PILE'!$D$56:$D$75))),IF('TS-PILE'!$B$74="",1E+99,'TO HOP NLAN'!D211/ncoc+IF(SUMSQ('TS-PILE'!$E$56:$E$75)=0,0,'TO HOP NLAN'!E211*'TS-PILE'!$E$74/SUMSQ('TS-PILE'!$E$56:$E$75))+IF(SUMSQ('TS-PILE'!$D$56:$D$75)=0,0,'TO HOP NLAN'!F211*'TS-PILE'!$D$74/SUMSQ('TS-PILE'!$D$56:$D$75))),IF('TS-PILE'!$B$75="",1E+99,'TO HOP NLAN'!D211/ncoc+IF(SUMSQ('TS-PILE'!$E$56:$E$75)=0,0,'TO HOP NLAN'!E211*'TS-PILE'!$E$75/SUMSQ('TS-PILE'!$E$56:$E$75))+IF(SUMSQ('TS-PILE'!$D$56:$D$75)=0,0,'TO HOP NLAN'!F211*'TS-PILE'!$D$75/SUMSQ('TS-PILE'!$D$56:$D$75)))))</f>
        <v>0</v>
      </c>
      <c r="E211" s="46">
        <f t="shared" si="12"/>
        <v>-9.9999999999999997E+98</v>
      </c>
      <c r="F211" s="46">
        <f t="shared" si="13"/>
        <v>9.9999999999999997E+98</v>
      </c>
      <c r="G211" s="46">
        <f t="shared" si="14"/>
        <v>-9.9999999999999997E+98</v>
      </c>
      <c r="H211" s="46">
        <f t="shared" si="15"/>
        <v>9.9999999999999997E+98</v>
      </c>
    </row>
    <row r="212" spans="1:8" x14ac:dyDescent="0.3">
      <c r="A212" s="40" t="str">
        <f>'TO HOP NLAN'!A212</f>
        <v/>
      </c>
      <c r="B212" s="40" t="str">
        <f>'TO HOP NLAN'!L212</f>
        <v>STRENGTH</v>
      </c>
      <c r="C212" s="46">
        <f>IF(A212="",0,MAX(IF('TS-PILE'!$B$56="",-1E+99,'TO HOP NLAN'!D212/ncoc+IF(SUMSQ('TS-PILE'!$E$56:$E$75)=0,0,'TO HOP NLAN'!E212*'TS-PILE'!$E$56/SUMSQ('TS-PILE'!$E$56:$E$75))+IF(SUMSQ('TS-PILE'!$D$56:$D$75)=0,0,'TO HOP NLAN'!F212*'TS-PILE'!$D$56/SUMSQ('TS-PILE'!$D$56:$D$75))),IF('TS-PILE'!$B$57="",-1E+99,'TO HOP NLAN'!D212/ncoc+IF(SUMSQ('TS-PILE'!$E$56:$E$75)=0,0,'TO HOP NLAN'!E212*'TS-PILE'!$E$57/SUMSQ('TS-PILE'!$E$56:$E$75))+IF(SUMSQ('TS-PILE'!$D$56:$D$75)=0,0,'TO HOP NLAN'!F212*'TS-PILE'!$D$57/SUMSQ('TS-PILE'!$D$56:$D$75))),IF('TS-PILE'!$B$58="",-1E+99,'TO HOP NLAN'!D212/ncoc+IF(SUMSQ('TS-PILE'!$E$56:$E$75)=0,0,'TO HOP NLAN'!E212*'TS-PILE'!$E$58/SUMSQ('TS-PILE'!$E$56:$E$75))+IF(SUMSQ('TS-PILE'!$D$56:$D$75)=0,0,'TO HOP NLAN'!F212*'TS-PILE'!$D$58/SUMSQ('TS-PILE'!$D$56:$D$75))),IF('TS-PILE'!$B$59="",-1E+99,'TO HOP NLAN'!D212/ncoc+IF(SUMSQ('TS-PILE'!$E$56:$E$75)=0,0,'TO HOP NLAN'!E212*'TS-PILE'!$E$59/SUMSQ('TS-PILE'!$E$56:$E$75))+IF(SUMSQ('TS-PILE'!$D$56:$D$75)=0,0,'TO HOP NLAN'!F212*'TS-PILE'!$D$59/SUMSQ('TS-PILE'!$D$56:$D$75))),IF('TS-PILE'!$B$60="",-1E+99,'TO HOP NLAN'!D212/ncoc+IF(SUMSQ('TS-PILE'!$E$56:$E$75)=0,0,'TO HOP NLAN'!E212*'TS-PILE'!$E$60/SUMSQ('TS-PILE'!$E$56:$E$75))+IF(SUMSQ('TS-PILE'!$D$56:$D$75)=0,0,'TO HOP NLAN'!F212*'TS-PILE'!$D$60/SUMSQ('TS-PILE'!$D$56:$D$75))),IF('TS-PILE'!$B$61="",-1E+99,'TO HOP NLAN'!D212/ncoc+IF(SUMSQ('TS-PILE'!$E$56:$E$75)=0,0,'TO HOP NLAN'!E212*'TS-PILE'!$E$61/SUMSQ('TS-PILE'!$E$56:$E$75))+IF(SUMSQ('TS-PILE'!$D$56:$D$75)=0,0,'TO HOP NLAN'!F212*'TS-PILE'!$D$61/SUMSQ('TS-PILE'!$D$56:$D$75))),IF('TS-PILE'!$B$62="",-1E+99,'TO HOP NLAN'!D212/ncoc+IF(SUMSQ('TS-PILE'!$E$56:$E$75)=0,0,'TO HOP NLAN'!E212*'TS-PILE'!$E$62/SUMSQ('TS-PILE'!$E$56:$E$75))+IF(SUMSQ('TS-PILE'!$D$56:$D$75)=0,0,'TO HOP NLAN'!F212*'TS-PILE'!$D$62/SUMSQ('TS-PILE'!$D$56:$D$75))),IF('TS-PILE'!$B$63="",-1E+99,'TO HOP NLAN'!D212/ncoc+IF(SUMSQ('TS-PILE'!$E$56:$E$75)=0,0,'TO HOP NLAN'!E212*'TS-PILE'!$E$63/SUMSQ('TS-PILE'!$E$56:$E$75))+IF(SUMSQ('TS-PILE'!$D$56:$D$75)=0,0,'TO HOP NLAN'!F212*'TS-PILE'!$D$63/SUMSQ('TS-PILE'!$D$56:$D$75))),IF('TS-PILE'!$B$64="",-1E+99,'TO HOP NLAN'!D212/ncoc+IF(SUMSQ('TS-PILE'!$E$56:$E$75)=0,0,'TO HOP NLAN'!E212*'TS-PILE'!$E$64/SUMSQ('TS-PILE'!$E$56:$E$75))+IF(SUMSQ('TS-PILE'!$D$56:$D$75)=0,0,'TO HOP NLAN'!F212*'TS-PILE'!$D$64/SUMSQ('TS-PILE'!$D$56:$D$75))),IF('TS-PILE'!$B$65="",-1E+99,'TO HOP NLAN'!D212/ncoc+IF(SUMSQ('TS-PILE'!$E$56:$E$75)=0,0,'TO HOP NLAN'!E212*'TS-PILE'!$E$65/SUMSQ('TS-PILE'!$E$56:$E$75))+IF(SUMSQ('TS-PILE'!$D$56:$D$75)=0,0,'TO HOP NLAN'!F212*'TS-PILE'!$D$65/SUMSQ('TS-PILE'!$D$56:$D$75))),IF('TS-PILE'!$B$66="",-1E+99,'TO HOP NLAN'!D212/ncoc+IF(SUMSQ('TS-PILE'!$E$56:$E$75)=0,0,'TO HOP NLAN'!E212*'TS-PILE'!$E$66/SUMSQ('TS-PILE'!$E$56:$E$75))+IF(SUMSQ('TS-PILE'!$D$56:$D$75)=0,0,'TO HOP NLAN'!F212*'TS-PILE'!$D$66/SUMSQ('TS-PILE'!$D$56:$D$75))),IF('TS-PILE'!$B$67="",-1E+99,'TO HOP NLAN'!D212/ncoc+IF(SUMSQ('TS-PILE'!$E$56:$E$75)=0,0,'TO HOP NLAN'!E212*'TS-PILE'!$E$67/SUMSQ('TS-PILE'!$E$56:$E$75))+IF(SUMSQ('TS-PILE'!$D$56:$D$75)=0,0,'TO HOP NLAN'!F212*'TS-PILE'!$D$67/SUMSQ('TS-PILE'!$D$56:$D$75))),IF('TS-PILE'!$B$68="",-1E+99,'TO HOP NLAN'!D212/ncoc+IF(SUMSQ('TS-PILE'!$E$56:$E$75)=0,0,'TO HOP NLAN'!E212*'TS-PILE'!$E$68/SUMSQ('TS-PILE'!$E$56:$E$75))+IF(SUMSQ('TS-PILE'!$D$56:$D$75)=0,0,'TO HOP NLAN'!F212*'TS-PILE'!$D$68/SUMSQ('TS-PILE'!$D$56:$D$75))),IF('TS-PILE'!$B$69="",-1E+99,'TO HOP NLAN'!D212/ncoc+IF(SUMSQ('TS-PILE'!$E$56:$E$75)=0,0,'TO HOP NLAN'!E212*'TS-PILE'!$E$69/SUMSQ('TS-PILE'!$E$56:$E$75))+IF(SUMSQ('TS-PILE'!$D$56:$D$75)=0,0,'TO HOP NLAN'!F212*'TS-PILE'!$D$69/SUMSQ('TS-PILE'!$D$56:$D$75))),IF('TS-PILE'!$B$70="",-1E+99,'TO HOP NLAN'!D212/ncoc+IF(SUMSQ('TS-PILE'!$E$56:$E$75)=0,0,'TO HOP NLAN'!E212*'TS-PILE'!$E$70/SUMSQ('TS-PILE'!$E$56:$E$75))+IF(SUMSQ('TS-PILE'!$D$56:$D$75)=0,0,'TO HOP NLAN'!F212*'TS-PILE'!$D$70/SUMSQ('TS-PILE'!$D$56:$D$75))),IF('TS-PILE'!$B$71="",-1E+99,'TO HOP NLAN'!D212/ncoc+IF(SUMSQ('TS-PILE'!$E$56:$E$75)=0,0,'TO HOP NLAN'!E212*'TS-PILE'!$E$71/SUMSQ('TS-PILE'!$E$56:$E$75))+IF(SUMSQ('TS-PILE'!$D$56:$D$75)=0,0,'TO HOP NLAN'!F212*'TS-PILE'!$D$71/SUMSQ('TS-PILE'!$D$56:$D$75))),IF('TS-PILE'!$B$72="",-1E+99,'TO HOP NLAN'!D212/ncoc+IF(SUMSQ('TS-PILE'!$E$56:$E$75)=0,0,'TO HOP NLAN'!E212*'TS-PILE'!$E$72/SUMSQ('TS-PILE'!$E$56:$E$75))+IF(SUMSQ('TS-PILE'!$D$56:$D$75)=0,0,'TO HOP NLAN'!F212*'TS-PILE'!$D$72/SUMSQ('TS-PILE'!$D$56:$D$75))),IF('TS-PILE'!$B$73="",-1E+99,'TO HOP NLAN'!D212/ncoc+IF(SUMSQ('TS-PILE'!$E$56:$E$75)=0,0,'TO HOP NLAN'!E212*'TS-PILE'!$E$73/SUMSQ('TS-PILE'!$E$56:$E$75))+IF(SUMSQ('TS-PILE'!$D$56:$D$75)=0,0,'TO HOP NLAN'!F212*'TS-PILE'!$D$73/SUMSQ('TS-PILE'!$D$56:$D$75))),IF('TS-PILE'!$B$74="",-1E+99,'TO HOP NLAN'!D212/ncoc+IF(SUMSQ('TS-PILE'!$E$56:$E$75)=0,0,'TO HOP NLAN'!E212*'TS-PILE'!$E$74/SUMSQ('TS-PILE'!$E$56:$E$75))+IF(SUMSQ('TS-PILE'!$D$56:$D$75)=0,0,'TO HOP NLAN'!F212*'TS-PILE'!$D$74/SUMSQ('TS-PILE'!$D$56:$D$75))),IF('TS-PILE'!$B$75="",-1E+99,'TO HOP NLAN'!D212/ncoc+IF(SUMSQ('TS-PILE'!$E$56:$E$75)=0,0,'TO HOP NLAN'!E212*'TS-PILE'!$E$75/SUMSQ('TS-PILE'!$E$56:$E$75))+IF(SUMSQ('TS-PILE'!$D$56:$D$75)=0,0,'TO HOP NLAN'!F212*'TS-PILE'!$D$75/SUMSQ('TS-PILE'!$D$56:$D$75)))))</f>
        <v>0</v>
      </c>
      <c r="D212" s="46">
        <f>IF(A212="",0,MIN(IF('TS-PILE'!$B$56="",1E+99,'TO HOP NLAN'!D212/ncoc+IF(SUMSQ('TS-PILE'!$E$56:$E$75)=0,0,'TO HOP NLAN'!E212*'TS-PILE'!$E$56/SUMSQ('TS-PILE'!$E$56:$E$75))+IF(SUMSQ('TS-PILE'!$D$56:$D$75)=0,0,'TO HOP NLAN'!F212*'TS-PILE'!$D$56/SUMSQ('TS-PILE'!$D$56:$D$75))),IF('TS-PILE'!$B$57="",1E+99,'TO HOP NLAN'!D212/ncoc+IF(SUMSQ('TS-PILE'!$E$56:$E$75)=0,0,'TO HOP NLAN'!E212*'TS-PILE'!$E$57/SUMSQ('TS-PILE'!$E$56:$E$75))+IF(SUMSQ('TS-PILE'!$D$56:$D$75)=0,0,'TO HOP NLAN'!F212*'TS-PILE'!$D$57/SUMSQ('TS-PILE'!$D$56:$D$75))),IF('TS-PILE'!$B$58="",1E+99,'TO HOP NLAN'!D212/ncoc+IF(SUMSQ('TS-PILE'!$E$56:$E$75)=0,0,'TO HOP NLAN'!E212*'TS-PILE'!$E$58/SUMSQ('TS-PILE'!$E$56:$E$75))+IF(SUMSQ('TS-PILE'!$D$56:$D$75)=0,0,'TO HOP NLAN'!F212*'TS-PILE'!$D$58/SUMSQ('TS-PILE'!$D$56:$D$75))),IF('TS-PILE'!$B$59="",1E+99,'TO HOP NLAN'!D212/ncoc+IF(SUMSQ('TS-PILE'!$E$56:$E$75)=0,0,'TO HOP NLAN'!E212*'TS-PILE'!$E$59/SUMSQ('TS-PILE'!$E$56:$E$75))+IF(SUMSQ('TS-PILE'!$D$56:$D$75)=0,0,'TO HOP NLAN'!F212*'TS-PILE'!$D$59/SUMSQ('TS-PILE'!$D$56:$D$75))),IF('TS-PILE'!$B$60="",1E+99,'TO HOP NLAN'!D212/ncoc+IF(SUMSQ('TS-PILE'!$E$56:$E$75)=0,0,'TO HOP NLAN'!E212*'TS-PILE'!$E$60/SUMSQ('TS-PILE'!$E$56:$E$75))+IF(SUMSQ('TS-PILE'!$D$56:$D$75)=0,0,'TO HOP NLAN'!F212*'TS-PILE'!$D$60/SUMSQ('TS-PILE'!$D$56:$D$75))),IF('TS-PILE'!$B$61="",1E+99,'TO HOP NLAN'!D212/ncoc+IF(SUMSQ('TS-PILE'!$E$56:$E$75)=0,0,'TO HOP NLAN'!E212*'TS-PILE'!$E$61/SUMSQ('TS-PILE'!$E$56:$E$75))+IF(SUMSQ('TS-PILE'!$D$56:$D$75)=0,0,'TO HOP NLAN'!F212*'TS-PILE'!$D$61/SUMSQ('TS-PILE'!$D$56:$D$75))),IF('TS-PILE'!$B$62="",1E+99,'TO HOP NLAN'!D212/ncoc+IF(SUMSQ('TS-PILE'!$E$56:$E$75)=0,0,'TO HOP NLAN'!E212*'TS-PILE'!$E$62/SUMSQ('TS-PILE'!$E$56:$E$75))+IF(SUMSQ('TS-PILE'!$D$56:$D$75)=0,0,'TO HOP NLAN'!F212*'TS-PILE'!$D$62/SUMSQ('TS-PILE'!$D$56:$D$75))),IF('TS-PILE'!$B$63="",1E+99,'TO HOP NLAN'!D212/ncoc+IF(SUMSQ('TS-PILE'!$E$56:$E$75)=0,0,'TO HOP NLAN'!E212*'TS-PILE'!$E$63/SUMSQ('TS-PILE'!$E$56:$E$75))+IF(SUMSQ('TS-PILE'!$D$56:$D$75)=0,0,'TO HOP NLAN'!F212*'TS-PILE'!$D$63/SUMSQ('TS-PILE'!$D$56:$D$75))),IF('TS-PILE'!$B$64="",1E+99,'TO HOP NLAN'!D212/ncoc+IF(SUMSQ('TS-PILE'!$E$56:$E$75)=0,0,'TO HOP NLAN'!E212*'TS-PILE'!$E$64/SUMSQ('TS-PILE'!$E$56:$E$75))+IF(SUMSQ('TS-PILE'!$D$56:$D$75)=0,0,'TO HOP NLAN'!F212*'TS-PILE'!$D$64/SUMSQ('TS-PILE'!$D$56:$D$75))),IF('TS-PILE'!$B$65="",1E+99,'TO HOP NLAN'!D212/ncoc+IF(SUMSQ('TS-PILE'!$E$56:$E$75)=0,0,'TO HOP NLAN'!E212*'TS-PILE'!$E$65/SUMSQ('TS-PILE'!$E$56:$E$75))+IF(SUMSQ('TS-PILE'!$D$56:$D$75)=0,0,'TO HOP NLAN'!F212*'TS-PILE'!$D$65/SUMSQ('TS-PILE'!$D$56:$D$75))),IF('TS-PILE'!$B$66="",1E+99,'TO HOP NLAN'!D212/ncoc+IF(SUMSQ('TS-PILE'!$E$56:$E$75)=0,0,'TO HOP NLAN'!E212*'TS-PILE'!$E$66/SUMSQ('TS-PILE'!$E$56:$E$75))+IF(SUMSQ('TS-PILE'!$D$56:$D$75)=0,0,'TO HOP NLAN'!F212*'TS-PILE'!$D$66/SUMSQ('TS-PILE'!$D$56:$D$75))),IF('TS-PILE'!$B$67="",1E+99,'TO HOP NLAN'!D212/ncoc+IF(SUMSQ('TS-PILE'!$E$56:$E$75)=0,0,'TO HOP NLAN'!E212*'TS-PILE'!$E$67/SUMSQ('TS-PILE'!$E$56:$E$75))+IF(SUMSQ('TS-PILE'!$D$56:$D$75)=0,0,'TO HOP NLAN'!F212*'TS-PILE'!$D$67/SUMSQ('TS-PILE'!$D$56:$D$75))),IF('TS-PILE'!$B$68="",1E+99,'TO HOP NLAN'!D212/ncoc+IF(SUMSQ('TS-PILE'!$E$56:$E$75)=0,0,'TO HOP NLAN'!E212*'TS-PILE'!$E$68/SUMSQ('TS-PILE'!$E$56:$E$75))+IF(SUMSQ('TS-PILE'!$D$56:$D$75)=0,0,'TO HOP NLAN'!F212*'TS-PILE'!$D$68/SUMSQ('TS-PILE'!$D$56:$D$75))),IF('TS-PILE'!$B$69="",1E+99,'TO HOP NLAN'!D212/ncoc+IF(SUMSQ('TS-PILE'!$E$56:$E$75)=0,0,'TO HOP NLAN'!E212*'TS-PILE'!$E$69/SUMSQ('TS-PILE'!$E$56:$E$75))+IF(SUMSQ('TS-PILE'!$D$56:$D$75)=0,0,'TO HOP NLAN'!F212*'TS-PILE'!$D$69/SUMSQ('TS-PILE'!$D$56:$D$75))),IF('TS-PILE'!$B$70="",1E+99,'TO HOP NLAN'!D212/ncoc+IF(SUMSQ('TS-PILE'!$E$56:$E$75)=0,0,'TO HOP NLAN'!E212*'TS-PILE'!$E$70/SUMSQ('TS-PILE'!$E$56:$E$75))+IF(SUMSQ('TS-PILE'!$D$56:$D$75)=0,0,'TO HOP NLAN'!F212*'TS-PILE'!$D$70/SUMSQ('TS-PILE'!$D$56:$D$75))),IF('TS-PILE'!$B$71="",1E+99,'TO HOP NLAN'!D212/ncoc+IF(SUMSQ('TS-PILE'!$E$56:$E$75)=0,0,'TO HOP NLAN'!E212*'TS-PILE'!$E$71/SUMSQ('TS-PILE'!$E$56:$E$75))+IF(SUMSQ('TS-PILE'!$D$56:$D$75)=0,0,'TO HOP NLAN'!F212*'TS-PILE'!$D$71/SUMSQ('TS-PILE'!$D$56:$D$75))),IF('TS-PILE'!$B$72="",1E+99,'TO HOP NLAN'!D212/ncoc+IF(SUMSQ('TS-PILE'!$E$56:$E$75)=0,0,'TO HOP NLAN'!E212*'TS-PILE'!$E$72/SUMSQ('TS-PILE'!$E$56:$E$75))+IF(SUMSQ('TS-PILE'!$D$56:$D$75)=0,0,'TO HOP NLAN'!F212*'TS-PILE'!$D$72/SUMSQ('TS-PILE'!$D$56:$D$75))),IF('TS-PILE'!$B$73="",1E+99,'TO HOP NLAN'!D212/ncoc+IF(SUMSQ('TS-PILE'!$E$56:$E$75)=0,0,'TO HOP NLAN'!E212*'TS-PILE'!$E$73/SUMSQ('TS-PILE'!$E$56:$E$75))+IF(SUMSQ('TS-PILE'!$D$56:$D$75)=0,0,'TO HOP NLAN'!F212*'TS-PILE'!$D$73/SUMSQ('TS-PILE'!$D$56:$D$75))),IF('TS-PILE'!$B$74="",1E+99,'TO HOP NLAN'!D212/ncoc+IF(SUMSQ('TS-PILE'!$E$56:$E$75)=0,0,'TO HOP NLAN'!E212*'TS-PILE'!$E$74/SUMSQ('TS-PILE'!$E$56:$E$75))+IF(SUMSQ('TS-PILE'!$D$56:$D$75)=0,0,'TO HOP NLAN'!F212*'TS-PILE'!$D$74/SUMSQ('TS-PILE'!$D$56:$D$75))),IF('TS-PILE'!$B$75="",1E+99,'TO HOP NLAN'!D212/ncoc+IF(SUMSQ('TS-PILE'!$E$56:$E$75)=0,0,'TO HOP NLAN'!E212*'TS-PILE'!$E$75/SUMSQ('TS-PILE'!$E$56:$E$75))+IF(SUMSQ('TS-PILE'!$D$56:$D$75)=0,0,'TO HOP NLAN'!F212*'TS-PILE'!$D$75/SUMSQ('TS-PILE'!$D$56:$D$75)))))</f>
        <v>0</v>
      </c>
      <c r="E212" s="46">
        <f t="shared" si="12"/>
        <v>-9.9999999999999997E+98</v>
      </c>
      <c r="F212" s="46">
        <f t="shared" si="13"/>
        <v>9.9999999999999997E+98</v>
      </c>
      <c r="G212" s="46">
        <f t="shared" si="14"/>
        <v>-9.9999999999999997E+98</v>
      </c>
      <c r="H212" s="46">
        <f t="shared" si="15"/>
        <v>9.9999999999999997E+98</v>
      </c>
    </row>
    <row r="213" spans="1:8" x14ac:dyDescent="0.3">
      <c r="A213" s="40" t="str">
        <f>'TO HOP NLAN'!A213</f>
        <v/>
      </c>
      <c r="B213" s="40" t="str">
        <f>'TO HOP NLAN'!L213</f>
        <v>STRENGTH</v>
      </c>
      <c r="C213" s="46">
        <f>IF(A213="",0,MAX(IF('TS-PILE'!$B$56="",-1E+99,'TO HOP NLAN'!D213/ncoc+IF(SUMSQ('TS-PILE'!$E$56:$E$75)=0,0,'TO HOP NLAN'!E213*'TS-PILE'!$E$56/SUMSQ('TS-PILE'!$E$56:$E$75))+IF(SUMSQ('TS-PILE'!$D$56:$D$75)=0,0,'TO HOP NLAN'!F213*'TS-PILE'!$D$56/SUMSQ('TS-PILE'!$D$56:$D$75))),IF('TS-PILE'!$B$57="",-1E+99,'TO HOP NLAN'!D213/ncoc+IF(SUMSQ('TS-PILE'!$E$56:$E$75)=0,0,'TO HOP NLAN'!E213*'TS-PILE'!$E$57/SUMSQ('TS-PILE'!$E$56:$E$75))+IF(SUMSQ('TS-PILE'!$D$56:$D$75)=0,0,'TO HOP NLAN'!F213*'TS-PILE'!$D$57/SUMSQ('TS-PILE'!$D$56:$D$75))),IF('TS-PILE'!$B$58="",-1E+99,'TO HOP NLAN'!D213/ncoc+IF(SUMSQ('TS-PILE'!$E$56:$E$75)=0,0,'TO HOP NLAN'!E213*'TS-PILE'!$E$58/SUMSQ('TS-PILE'!$E$56:$E$75))+IF(SUMSQ('TS-PILE'!$D$56:$D$75)=0,0,'TO HOP NLAN'!F213*'TS-PILE'!$D$58/SUMSQ('TS-PILE'!$D$56:$D$75))),IF('TS-PILE'!$B$59="",-1E+99,'TO HOP NLAN'!D213/ncoc+IF(SUMSQ('TS-PILE'!$E$56:$E$75)=0,0,'TO HOP NLAN'!E213*'TS-PILE'!$E$59/SUMSQ('TS-PILE'!$E$56:$E$75))+IF(SUMSQ('TS-PILE'!$D$56:$D$75)=0,0,'TO HOP NLAN'!F213*'TS-PILE'!$D$59/SUMSQ('TS-PILE'!$D$56:$D$75))),IF('TS-PILE'!$B$60="",-1E+99,'TO HOP NLAN'!D213/ncoc+IF(SUMSQ('TS-PILE'!$E$56:$E$75)=0,0,'TO HOP NLAN'!E213*'TS-PILE'!$E$60/SUMSQ('TS-PILE'!$E$56:$E$75))+IF(SUMSQ('TS-PILE'!$D$56:$D$75)=0,0,'TO HOP NLAN'!F213*'TS-PILE'!$D$60/SUMSQ('TS-PILE'!$D$56:$D$75))),IF('TS-PILE'!$B$61="",-1E+99,'TO HOP NLAN'!D213/ncoc+IF(SUMSQ('TS-PILE'!$E$56:$E$75)=0,0,'TO HOP NLAN'!E213*'TS-PILE'!$E$61/SUMSQ('TS-PILE'!$E$56:$E$75))+IF(SUMSQ('TS-PILE'!$D$56:$D$75)=0,0,'TO HOP NLAN'!F213*'TS-PILE'!$D$61/SUMSQ('TS-PILE'!$D$56:$D$75))),IF('TS-PILE'!$B$62="",-1E+99,'TO HOP NLAN'!D213/ncoc+IF(SUMSQ('TS-PILE'!$E$56:$E$75)=0,0,'TO HOP NLAN'!E213*'TS-PILE'!$E$62/SUMSQ('TS-PILE'!$E$56:$E$75))+IF(SUMSQ('TS-PILE'!$D$56:$D$75)=0,0,'TO HOP NLAN'!F213*'TS-PILE'!$D$62/SUMSQ('TS-PILE'!$D$56:$D$75))),IF('TS-PILE'!$B$63="",-1E+99,'TO HOP NLAN'!D213/ncoc+IF(SUMSQ('TS-PILE'!$E$56:$E$75)=0,0,'TO HOP NLAN'!E213*'TS-PILE'!$E$63/SUMSQ('TS-PILE'!$E$56:$E$75))+IF(SUMSQ('TS-PILE'!$D$56:$D$75)=0,0,'TO HOP NLAN'!F213*'TS-PILE'!$D$63/SUMSQ('TS-PILE'!$D$56:$D$75))),IF('TS-PILE'!$B$64="",-1E+99,'TO HOP NLAN'!D213/ncoc+IF(SUMSQ('TS-PILE'!$E$56:$E$75)=0,0,'TO HOP NLAN'!E213*'TS-PILE'!$E$64/SUMSQ('TS-PILE'!$E$56:$E$75))+IF(SUMSQ('TS-PILE'!$D$56:$D$75)=0,0,'TO HOP NLAN'!F213*'TS-PILE'!$D$64/SUMSQ('TS-PILE'!$D$56:$D$75))),IF('TS-PILE'!$B$65="",-1E+99,'TO HOP NLAN'!D213/ncoc+IF(SUMSQ('TS-PILE'!$E$56:$E$75)=0,0,'TO HOP NLAN'!E213*'TS-PILE'!$E$65/SUMSQ('TS-PILE'!$E$56:$E$75))+IF(SUMSQ('TS-PILE'!$D$56:$D$75)=0,0,'TO HOP NLAN'!F213*'TS-PILE'!$D$65/SUMSQ('TS-PILE'!$D$56:$D$75))),IF('TS-PILE'!$B$66="",-1E+99,'TO HOP NLAN'!D213/ncoc+IF(SUMSQ('TS-PILE'!$E$56:$E$75)=0,0,'TO HOP NLAN'!E213*'TS-PILE'!$E$66/SUMSQ('TS-PILE'!$E$56:$E$75))+IF(SUMSQ('TS-PILE'!$D$56:$D$75)=0,0,'TO HOP NLAN'!F213*'TS-PILE'!$D$66/SUMSQ('TS-PILE'!$D$56:$D$75))),IF('TS-PILE'!$B$67="",-1E+99,'TO HOP NLAN'!D213/ncoc+IF(SUMSQ('TS-PILE'!$E$56:$E$75)=0,0,'TO HOP NLAN'!E213*'TS-PILE'!$E$67/SUMSQ('TS-PILE'!$E$56:$E$75))+IF(SUMSQ('TS-PILE'!$D$56:$D$75)=0,0,'TO HOP NLAN'!F213*'TS-PILE'!$D$67/SUMSQ('TS-PILE'!$D$56:$D$75))),IF('TS-PILE'!$B$68="",-1E+99,'TO HOP NLAN'!D213/ncoc+IF(SUMSQ('TS-PILE'!$E$56:$E$75)=0,0,'TO HOP NLAN'!E213*'TS-PILE'!$E$68/SUMSQ('TS-PILE'!$E$56:$E$75))+IF(SUMSQ('TS-PILE'!$D$56:$D$75)=0,0,'TO HOP NLAN'!F213*'TS-PILE'!$D$68/SUMSQ('TS-PILE'!$D$56:$D$75))),IF('TS-PILE'!$B$69="",-1E+99,'TO HOP NLAN'!D213/ncoc+IF(SUMSQ('TS-PILE'!$E$56:$E$75)=0,0,'TO HOP NLAN'!E213*'TS-PILE'!$E$69/SUMSQ('TS-PILE'!$E$56:$E$75))+IF(SUMSQ('TS-PILE'!$D$56:$D$75)=0,0,'TO HOP NLAN'!F213*'TS-PILE'!$D$69/SUMSQ('TS-PILE'!$D$56:$D$75))),IF('TS-PILE'!$B$70="",-1E+99,'TO HOP NLAN'!D213/ncoc+IF(SUMSQ('TS-PILE'!$E$56:$E$75)=0,0,'TO HOP NLAN'!E213*'TS-PILE'!$E$70/SUMSQ('TS-PILE'!$E$56:$E$75))+IF(SUMSQ('TS-PILE'!$D$56:$D$75)=0,0,'TO HOP NLAN'!F213*'TS-PILE'!$D$70/SUMSQ('TS-PILE'!$D$56:$D$75))),IF('TS-PILE'!$B$71="",-1E+99,'TO HOP NLAN'!D213/ncoc+IF(SUMSQ('TS-PILE'!$E$56:$E$75)=0,0,'TO HOP NLAN'!E213*'TS-PILE'!$E$71/SUMSQ('TS-PILE'!$E$56:$E$75))+IF(SUMSQ('TS-PILE'!$D$56:$D$75)=0,0,'TO HOP NLAN'!F213*'TS-PILE'!$D$71/SUMSQ('TS-PILE'!$D$56:$D$75))),IF('TS-PILE'!$B$72="",-1E+99,'TO HOP NLAN'!D213/ncoc+IF(SUMSQ('TS-PILE'!$E$56:$E$75)=0,0,'TO HOP NLAN'!E213*'TS-PILE'!$E$72/SUMSQ('TS-PILE'!$E$56:$E$75))+IF(SUMSQ('TS-PILE'!$D$56:$D$75)=0,0,'TO HOP NLAN'!F213*'TS-PILE'!$D$72/SUMSQ('TS-PILE'!$D$56:$D$75))),IF('TS-PILE'!$B$73="",-1E+99,'TO HOP NLAN'!D213/ncoc+IF(SUMSQ('TS-PILE'!$E$56:$E$75)=0,0,'TO HOP NLAN'!E213*'TS-PILE'!$E$73/SUMSQ('TS-PILE'!$E$56:$E$75))+IF(SUMSQ('TS-PILE'!$D$56:$D$75)=0,0,'TO HOP NLAN'!F213*'TS-PILE'!$D$73/SUMSQ('TS-PILE'!$D$56:$D$75))),IF('TS-PILE'!$B$74="",-1E+99,'TO HOP NLAN'!D213/ncoc+IF(SUMSQ('TS-PILE'!$E$56:$E$75)=0,0,'TO HOP NLAN'!E213*'TS-PILE'!$E$74/SUMSQ('TS-PILE'!$E$56:$E$75))+IF(SUMSQ('TS-PILE'!$D$56:$D$75)=0,0,'TO HOP NLAN'!F213*'TS-PILE'!$D$74/SUMSQ('TS-PILE'!$D$56:$D$75))),IF('TS-PILE'!$B$75="",-1E+99,'TO HOP NLAN'!D213/ncoc+IF(SUMSQ('TS-PILE'!$E$56:$E$75)=0,0,'TO HOP NLAN'!E213*'TS-PILE'!$E$75/SUMSQ('TS-PILE'!$E$56:$E$75))+IF(SUMSQ('TS-PILE'!$D$56:$D$75)=0,0,'TO HOP NLAN'!F213*'TS-PILE'!$D$75/SUMSQ('TS-PILE'!$D$56:$D$75)))))</f>
        <v>0</v>
      </c>
      <c r="D213" s="46">
        <f>IF(A213="",0,MIN(IF('TS-PILE'!$B$56="",1E+99,'TO HOP NLAN'!D213/ncoc+IF(SUMSQ('TS-PILE'!$E$56:$E$75)=0,0,'TO HOP NLAN'!E213*'TS-PILE'!$E$56/SUMSQ('TS-PILE'!$E$56:$E$75))+IF(SUMSQ('TS-PILE'!$D$56:$D$75)=0,0,'TO HOP NLAN'!F213*'TS-PILE'!$D$56/SUMSQ('TS-PILE'!$D$56:$D$75))),IF('TS-PILE'!$B$57="",1E+99,'TO HOP NLAN'!D213/ncoc+IF(SUMSQ('TS-PILE'!$E$56:$E$75)=0,0,'TO HOP NLAN'!E213*'TS-PILE'!$E$57/SUMSQ('TS-PILE'!$E$56:$E$75))+IF(SUMSQ('TS-PILE'!$D$56:$D$75)=0,0,'TO HOP NLAN'!F213*'TS-PILE'!$D$57/SUMSQ('TS-PILE'!$D$56:$D$75))),IF('TS-PILE'!$B$58="",1E+99,'TO HOP NLAN'!D213/ncoc+IF(SUMSQ('TS-PILE'!$E$56:$E$75)=0,0,'TO HOP NLAN'!E213*'TS-PILE'!$E$58/SUMSQ('TS-PILE'!$E$56:$E$75))+IF(SUMSQ('TS-PILE'!$D$56:$D$75)=0,0,'TO HOP NLAN'!F213*'TS-PILE'!$D$58/SUMSQ('TS-PILE'!$D$56:$D$75))),IF('TS-PILE'!$B$59="",1E+99,'TO HOP NLAN'!D213/ncoc+IF(SUMSQ('TS-PILE'!$E$56:$E$75)=0,0,'TO HOP NLAN'!E213*'TS-PILE'!$E$59/SUMSQ('TS-PILE'!$E$56:$E$75))+IF(SUMSQ('TS-PILE'!$D$56:$D$75)=0,0,'TO HOP NLAN'!F213*'TS-PILE'!$D$59/SUMSQ('TS-PILE'!$D$56:$D$75))),IF('TS-PILE'!$B$60="",1E+99,'TO HOP NLAN'!D213/ncoc+IF(SUMSQ('TS-PILE'!$E$56:$E$75)=0,0,'TO HOP NLAN'!E213*'TS-PILE'!$E$60/SUMSQ('TS-PILE'!$E$56:$E$75))+IF(SUMSQ('TS-PILE'!$D$56:$D$75)=0,0,'TO HOP NLAN'!F213*'TS-PILE'!$D$60/SUMSQ('TS-PILE'!$D$56:$D$75))),IF('TS-PILE'!$B$61="",1E+99,'TO HOP NLAN'!D213/ncoc+IF(SUMSQ('TS-PILE'!$E$56:$E$75)=0,0,'TO HOP NLAN'!E213*'TS-PILE'!$E$61/SUMSQ('TS-PILE'!$E$56:$E$75))+IF(SUMSQ('TS-PILE'!$D$56:$D$75)=0,0,'TO HOP NLAN'!F213*'TS-PILE'!$D$61/SUMSQ('TS-PILE'!$D$56:$D$75))),IF('TS-PILE'!$B$62="",1E+99,'TO HOP NLAN'!D213/ncoc+IF(SUMSQ('TS-PILE'!$E$56:$E$75)=0,0,'TO HOP NLAN'!E213*'TS-PILE'!$E$62/SUMSQ('TS-PILE'!$E$56:$E$75))+IF(SUMSQ('TS-PILE'!$D$56:$D$75)=0,0,'TO HOP NLAN'!F213*'TS-PILE'!$D$62/SUMSQ('TS-PILE'!$D$56:$D$75))),IF('TS-PILE'!$B$63="",1E+99,'TO HOP NLAN'!D213/ncoc+IF(SUMSQ('TS-PILE'!$E$56:$E$75)=0,0,'TO HOP NLAN'!E213*'TS-PILE'!$E$63/SUMSQ('TS-PILE'!$E$56:$E$75))+IF(SUMSQ('TS-PILE'!$D$56:$D$75)=0,0,'TO HOP NLAN'!F213*'TS-PILE'!$D$63/SUMSQ('TS-PILE'!$D$56:$D$75))),IF('TS-PILE'!$B$64="",1E+99,'TO HOP NLAN'!D213/ncoc+IF(SUMSQ('TS-PILE'!$E$56:$E$75)=0,0,'TO HOP NLAN'!E213*'TS-PILE'!$E$64/SUMSQ('TS-PILE'!$E$56:$E$75))+IF(SUMSQ('TS-PILE'!$D$56:$D$75)=0,0,'TO HOP NLAN'!F213*'TS-PILE'!$D$64/SUMSQ('TS-PILE'!$D$56:$D$75))),IF('TS-PILE'!$B$65="",1E+99,'TO HOP NLAN'!D213/ncoc+IF(SUMSQ('TS-PILE'!$E$56:$E$75)=0,0,'TO HOP NLAN'!E213*'TS-PILE'!$E$65/SUMSQ('TS-PILE'!$E$56:$E$75))+IF(SUMSQ('TS-PILE'!$D$56:$D$75)=0,0,'TO HOP NLAN'!F213*'TS-PILE'!$D$65/SUMSQ('TS-PILE'!$D$56:$D$75))),IF('TS-PILE'!$B$66="",1E+99,'TO HOP NLAN'!D213/ncoc+IF(SUMSQ('TS-PILE'!$E$56:$E$75)=0,0,'TO HOP NLAN'!E213*'TS-PILE'!$E$66/SUMSQ('TS-PILE'!$E$56:$E$75))+IF(SUMSQ('TS-PILE'!$D$56:$D$75)=0,0,'TO HOP NLAN'!F213*'TS-PILE'!$D$66/SUMSQ('TS-PILE'!$D$56:$D$75))),IF('TS-PILE'!$B$67="",1E+99,'TO HOP NLAN'!D213/ncoc+IF(SUMSQ('TS-PILE'!$E$56:$E$75)=0,0,'TO HOP NLAN'!E213*'TS-PILE'!$E$67/SUMSQ('TS-PILE'!$E$56:$E$75))+IF(SUMSQ('TS-PILE'!$D$56:$D$75)=0,0,'TO HOP NLAN'!F213*'TS-PILE'!$D$67/SUMSQ('TS-PILE'!$D$56:$D$75))),IF('TS-PILE'!$B$68="",1E+99,'TO HOP NLAN'!D213/ncoc+IF(SUMSQ('TS-PILE'!$E$56:$E$75)=0,0,'TO HOP NLAN'!E213*'TS-PILE'!$E$68/SUMSQ('TS-PILE'!$E$56:$E$75))+IF(SUMSQ('TS-PILE'!$D$56:$D$75)=0,0,'TO HOP NLAN'!F213*'TS-PILE'!$D$68/SUMSQ('TS-PILE'!$D$56:$D$75))),IF('TS-PILE'!$B$69="",1E+99,'TO HOP NLAN'!D213/ncoc+IF(SUMSQ('TS-PILE'!$E$56:$E$75)=0,0,'TO HOP NLAN'!E213*'TS-PILE'!$E$69/SUMSQ('TS-PILE'!$E$56:$E$75))+IF(SUMSQ('TS-PILE'!$D$56:$D$75)=0,0,'TO HOP NLAN'!F213*'TS-PILE'!$D$69/SUMSQ('TS-PILE'!$D$56:$D$75))),IF('TS-PILE'!$B$70="",1E+99,'TO HOP NLAN'!D213/ncoc+IF(SUMSQ('TS-PILE'!$E$56:$E$75)=0,0,'TO HOP NLAN'!E213*'TS-PILE'!$E$70/SUMSQ('TS-PILE'!$E$56:$E$75))+IF(SUMSQ('TS-PILE'!$D$56:$D$75)=0,0,'TO HOP NLAN'!F213*'TS-PILE'!$D$70/SUMSQ('TS-PILE'!$D$56:$D$75))),IF('TS-PILE'!$B$71="",1E+99,'TO HOP NLAN'!D213/ncoc+IF(SUMSQ('TS-PILE'!$E$56:$E$75)=0,0,'TO HOP NLAN'!E213*'TS-PILE'!$E$71/SUMSQ('TS-PILE'!$E$56:$E$75))+IF(SUMSQ('TS-PILE'!$D$56:$D$75)=0,0,'TO HOP NLAN'!F213*'TS-PILE'!$D$71/SUMSQ('TS-PILE'!$D$56:$D$75))),IF('TS-PILE'!$B$72="",1E+99,'TO HOP NLAN'!D213/ncoc+IF(SUMSQ('TS-PILE'!$E$56:$E$75)=0,0,'TO HOP NLAN'!E213*'TS-PILE'!$E$72/SUMSQ('TS-PILE'!$E$56:$E$75))+IF(SUMSQ('TS-PILE'!$D$56:$D$75)=0,0,'TO HOP NLAN'!F213*'TS-PILE'!$D$72/SUMSQ('TS-PILE'!$D$56:$D$75))),IF('TS-PILE'!$B$73="",1E+99,'TO HOP NLAN'!D213/ncoc+IF(SUMSQ('TS-PILE'!$E$56:$E$75)=0,0,'TO HOP NLAN'!E213*'TS-PILE'!$E$73/SUMSQ('TS-PILE'!$E$56:$E$75))+IF(SUMSQ('TS-PILE'!$D$56:$D$75)=0,0,'TO HOP NLAN'!F213*'TS-PILE'!$D$73/SUMSQ('TS-PILE'!$D$56:$D$75))),IF('TS-PILE'!$B$74="",1E+99,'TO HOP NLAN'!D213/ncoc+IF(SUMSQ('TS-PILE'!$E$56:$E$75)=0,0,'TO HOP NLAN'!E213*'TS-PILE'!$E$74/SUMSQ('TS-PILE'!$E$56:$E$75))+IF(SUMSQ('TS-PILE'!$D$56:$D$75)=0,0,'TO HOP NLAN'!F213*'TS-PILE'!$D$74/SUMSQ('TS-PILE'!$D$56:$D$75))),IF('TS-PILE'!$B$75="",1E+99,'TO HOP NLAN'!D213/ncoc+IF(SUMSQ('TS-PILE'!$E$56:$E$75)=0,0,'TO HOP NLAN'!E213*'TS-PILE'!$E$75/SUMSQ('TS-PILE'!$E$56:$E$75))+IF(SUMSQ('TS-PILE'!$D$56:$D$75)=0,0,'TO HOP NLAN'!F213*'TS-PILE'!$D$75/SUMSQ('TS-PILE'!$D$56:$D$75)))))</f>
        <v>0</v>
      </c>
      <c r="E213" s="46">
        <f t="shared" si="12"/>
        <v>-9.9999999999999997E+98</v>
      </c>
      <c r="F213" s="46">
        <f t="shared" si="13"/>
        <v>9.9999999999999997E+98</v>
      </c>
      <c r="G213" s="46">
        <f t="shared" si="14"/>
        <v>-9.9999999999999997E+98</v>
      </c>
      <c r="H213" s="46">
        <f t="shared" si="15"/>
        <v>9.9999999999999997E+98</v>
      </c>
    </row>
    <row r="214" spans="1:8" x14ac:dyDescent="0.3">
      <c r="A214" s="40" t="str">
        <f>'TO HOP NLAN'!A214</f>
        <v/>
      </c>
      <c r="B214" s="40" t="str">
        <f>'TO HOP NLAN'!L214</f>
        <v>STRENGTH</v>
      </c>
      <c r="C214" s="46">
        <f>IF(A214="",0,MAX(IF('TS-PILE'!$B$56="",-1E+99,'TO HOP NLAN'!D214/ncoc+IF(SUMSQ('TS-PILE'!$E$56:$E$75)=0,0,'TO HOP NLAN'!E214*'TS-PILE'!$E$56/SUMSQ('TS-PILE'!$E$56:$E$75))+IF(SUMSQ('TS-PILE'!$D$56:$D$75)=0,0,'TO HOP NLAN'!F214*'TS-PILE'!$D$56/SUMSQ('TS-PILE'!$D$56:$D$75))),IF('TS-PILE'!$B$57="",-1E+99,'TO HOP NLAN'!D214/ncoc+IF(SUMSQ('TS-PILE'!$E$56:$E$75)=0,0,'TO HOP NLAN'!E214*'TS-PILE'!$E$57/SUMSQ('TS-PILE'!$E$56:$E$75))+IF(SUMSQ('TS-PILE'!$D$56:$D$75)=0,0,'TO HOP NLAN'!F214*'TS-PILE'!$D$57/SUMSQ('TS-PILE'!$D$56:$D$75))),IF('TS-PILE'!$B$58="",-1E+99,'TO HOP NLAN'!D214/ncoc+IF(SUMSQ('TS-PILE'!$E$56:$E$75)=0,0,'TO HOP NLAN'!E214*'TS-PILE'!$E$58/SUMSQ('TS-PILE'!$E$56:$E$75))+IF(SUMSQ('TS-PILE'!$D$56:$D$75)=0,0,'TO HOP NLAN'!F214*'TS-PILE'!$D$58/SUMSQ('TS-PILE'!$D$56:$D$75))),IF('TS-PILE'!$B$59="",-1E+99,'TO HOP NLAN'!D214/ncoc+IF(SUMSQ('TS-PILE'!$E$56:$E$75)=0,0,'TO HOP NLAN'!E214*'TS-PILE'!$E$59/SUMSQ('TS-PILE'!$E$56:$E$75))+IF(SUMSQ('TS-PILE'!$D$56:$D$75)=0,0,'TO HOP NLAN'!F214*'TS-PILE'!$D$59/SUMSQ('TS-PILE'!$D$56:$D$75))),IF('TS-PILE'!$B$60="",-1E+99,'TO HOP NLAN'!D214/ncoc+IF(SUMSQ('TS-PILE'!$E$56:$E$75)=0,0,'TO HOP NLAN'!E214*'TS-PILE'!$E$60/SUMSQ('TS-PILE'!$E$56:$E$75))+IF(SUMSQ('TS-PILE'!$D$56:$D$75)=0,0,'TO HOP NLAN'!F214*'TS-PILE'!$D$60/SUMSQ('TS-PILE'!$D$56:$D$75))),IF('TS-PILE'!$B$61="",-1E+99,'TO HOP NLAN'!D214/ncoc+IF(SUMSQ('TS-PILE'!$E$56:$E$75)=0,0,'TO HOP NLAN'!E214*'TS-PILE'!$E$61/SUMSQ('TS-PILE'!$E$56:$E$75))+IF(SUMSQ('TS-PILE'!$D$56:$D$75)=0,0,'TO HOP NLAN'!F214*'TS-PILE'!$D$61/SUMSQ('TS-PILE'!$D$56:$D$75))),IF('TS-PILE'!$B$62="",-1E+99,'TO HOP NLAN'!D214/ncoc+IF(SUMSQ('TS-PILE'!$E$56:$E$75)=0,0,'TO HOP NLAN'!E214*'TS-PILE'!$E$62/SUMSQ('TS-PILE'!$E$56:$E$75))+IF(SUMSQ('TS-PILE'!$D$56:$D$75)=0,0,'TO HOP NLAN'!F214*'TS-PILE'!$D$62/SUMSQ('TS-PILE'!$D$56:$D$75))),IF('TS-PILE'!$B$63="",-1E+99,'TO HOP NLAN'!D214/ncoc+IF(SUMSQ('TS-PILE'!$E$56:$E$75)=0,0,'TO HOP NLAN'!E214*'TS-PILE'!$E$63/SUMSQ('TS-PILE'!$E$56:$E$75))+IF(SUMSQ('TS-PILE'!$D$56:$D$75)=0,0,'TO HOP NLAN'!F214*'TS-PILE'!$D$63/SUMSQ('TS-PILE'!$D$56:$D$75))),IF('TS-PILE'!$B$64="",-1E+99,'TO HOP NLAN'!D214/ncoc+IF(SUMSQ('TS-PILE'!$E$56:$E$75)=0,0,'TO HOP NLAN'!E214*'TS-PILE'!$E$64/SUMSQ('TS-PILE'!$E$56:$E$75))+IF(SUMSQ('TS-PILE'!$D$56:$D$75)=0,0,'TO HOP NLAN'!F214*'TS-PILE'!$D$64/SUMSQ('TS-PILE'!$D$56:$D$75))),IF('TS-PILE'!$B$65="",-1E+99,'TO HOP NLAN'!D214/ncoc+IF(SUMSQ('TS-PILE'!$E$56:$E$75)=0,0,'TO HOP NLAN'!E214*'TS-PILE'!$E$65/SUMSQ('TS-PILE'!$E$56:$E$75))+IF(SUMSQ('TS-PILE'!$D$56:$D$75)=0,0,'TO HOP NLAN'!F214*'TS-PILE'!$D$65/SUMSQ('TS-PILE'!$D$56:$D$75))),IF('TS-PILE'!$B$66="",-1E+99,'TO HOP NLAN'!D214/ncoc+IF(SUMSQ('TS-PILE'!$E$56:$E$75)=0,0,'TO HOP NLAN'!E214*'TS-PILE'!$E$66/SUMSQ('TS-PILE'!$E$56:$E$75))+IF(SUMSQ('TS-PILE'!$D$56:$D$75)=0,0,'TO HOP NLAN'!F214*'TS-PILE'!$D$66/SUMSQ('TS-PILE'!$D$56:$D$75))),IF('TS-PILE'!$B$67="",-1E+99,'TO HOP NLAN'!D214/ncoc+IF(SUMSQ('TS-PILE'!$E$56:$E$75)=0,0,'TO HOP NLAN'!E214*'TS-PILE'!$E$67/SUMSQ('TS-PILE'!$E$56:$E$75))+IF(SUMSQ('TS-PILE'!$D$56:$D$75)=0,0,'TO HOP NLAN'!F214*'TS-PILE'!$D$67/SUMSQ('TS-PILE'!$D$56:$D$75))),IF('TS-PILE'!$B$68="",-1E+99,'TO HOP NLAN'!D214/ncoc+IF(SUMSQ('TS-PILE'!$E$56:$E$75)=0,0,'TO HOP NLAN'!E214*'TS-PILE'!$E$68/SUMSQ('TS-PILE'!$E$56:$E$75))+IF(SUMSQ('TS-PILE'!$D$56:$D$75)=0,0,'TO HOP NLAN'!F214*'TS-PILE'!$D$68/SUMSQ('TS-PILE'!$D$56:$D$75))),IF('TS-PILE'!$B$69="",-1E+99,'TO HOP NLAN'!D214/ncoc+IF(SUMSQ('TS-PILE'!$E$56:$E$75)=0,0,'TO HOP NLAN'!E214*'TS-PILE'!$E$69/SUMSQ('TS-PILE'!$E$56:$E$75))+IF(SUMSQ('TS-PILE'!$D$56:$D$75)=0,0,'TO HOP NLAN'!F214*'TS-PILE'!$D$69/SUMSQ('TS-PILE'!$D$56:$D$75))),IF('TS-PILE'!$B$70="",-1E+99,'TO HOP NLAN'!D214/ncoc+IF(SUMSQ('TS-PILE'!$E$56:$E$75)=0,0,'TO HOP NLAN'!E214*'TS-PILE'!$E$70/SUMSQ('TS-PILE'!$E$56:$E$75))+IF(SUMSQ('TS-PILE'!$D$56:$D$75)=0,0,'TO HOP NLAN'!F214*'TS-PILE'!$D$70/SUMSQ('TS-PILE'!$D$56:$D$75))),IF('TS-PILE'!$B$71="",-1E+99,'TO HOP NLAN'!D214/ncoc+IF(SUMSQ('TS-PILE'!$E$56:$E$75)=0,0,'TO HOP NLAN'!E214*'TS-PILE'!$E$71/SUMSQ('TS-PILE'!$E$56:$E$75))+IF(SUMSQ('TS-PILE'!$D$56:$D$75)=0,0,'TO HOP NLAN'!F214*'TS-PILE'!$D$71/SUMSQ('TS-PILE'!$D$56:$D$75))),IF('TS-PILE'!$B$72="",-1E+99,'TO HOP NLAN'!D214/ncoc+IF(SUMSQ('TS-PILE'!$E$56:$E$75)=0,0,'TO HOP NLAN'!E214*'TS-PILE'!$E$72/SUMSQ('TS-PILE'!$E$56:$E$75))+IF(SUMSQ('TS-PILE'!$D$56:$D$75)=0,0,'TO HOP NLAN'!F214*'TS-PILE'!$D$72/SUMSQ('TS-PILE'!$D$56:$D$75))),IF('TS-PILE'!$B$73="",-1E+99,'TO HOP NLAN'!D214/ncoc+IF(SUMSQ('TS-PILE'!$E$56:$E$75)=0,0,'TO HOP NLAN'!E214*'TS-PILE'!$E$73/SUMSQ('TS-PILE'!$E$56:$E$75))+IF(SUMSQ('TS-PILE'!$D$56:$D$75)=0,0,'TO HOP NLAN'!F214*'TS-PILE'!$D$73/SUMSQ('TS-PILE'!$D$56:$D$75))),IF('TS-PILE'!$B$74="",-1E+99,'TO HOP NLAN'!D214/ncoc+IF(SUMSQ('TS-PILE'!$E$56:$E$75)=0,0,'TO HOP NLAN'!E214*'TS-PILE'!$E$74/SUMSQ('TS-PILE'!$E$56:$E$75))+IF(SUMSQ('TS-PILE'!$D$56:$D$75)=0,0,'TO HOP NLAN'!F214*'TS-PILE'!$D$74/SUMSQ('TS-PILE'!$D$56:$D$75))),IF('TS-PILE'!$B$75="",-1E+99,'TO HOP NLAN'!D214/ncoc+IF(SUMSQ('TS-PILE'!$E$56:$E$75)=0,0,'TO HOP NLAN'!E214*'TS-PILE'!$E$75/SUMSQ('TS-PILE'!$E$56:$E$75))+IF(SUMSQ('TS-PILE'!$D$56:$D$75)=0,0,'TO HOP NLAN'!F214*'TS-PILE'!$D$75/SUMSQ('TS-PILE'!$D$56:$D$75)))))</f>
        <v>0</v>
      </c>
      <c r="D214" s="46">
        <f>IF(A214="",0,MIN(IF('TS-PILE'!$B$56="",1E+99,'TO HOP NLAN'!D214/ncoc+IF(SUMSQ('TS-PILE'!$E$56:$E$75)=0,0,'TO HOP NLAN'!E214*'TS-PILE'!$E$56/SUMSQ('TS-PILE'!$E$56:$E$75))+IF(SUMSQ('TS-PILE'!$D$56:$D$75)=0,0,'TO HOP NLAN'!F214*'TS-PILE'!$D$56/SUMSQ('TS-PILE'!$D$56:$D$75))),IF('TS-PILE'!$B$57="",1E+99,'TO HOP NLAN'!D214/ncoc+IF(SUMSQ('TS-PILE'!$E$56:$E$75)=0,0,'TO HOP NLAN'!E214*'TS-PILE'!$E$57/SUMSQ('TS-PILE'!$E$56:$E$75))+IF(SUMSQ('TS-PILE'!$D$56:$D$75)=0,0,'TO HOP NLAN'!F214*'TS-PILE'!$D$57/SUMSQ('TS-PILE'!$D$56:$D$75))),IF('TS-PILE'!$B$58="",1E+99,'TO HOP NLAN'!D214/ncoc+IF(SUMSQ('TS-PILE'!$E$56:$E$75)=0,0,'TO HOP NLAN'!E214*'TS-PILE'!$E$58/SUMSQ('TS-PILE'!$E$56:$E$75))+IF(SUMSQ('TS-PILE'!$D$56:$D$75)=0,0,'TO HOP NLAN'!F214*'TS-PILE'!$D$58/SUMSQ('TS-PILE'!$D$56:$D$75))),IF('TS-PILE'!$B$59="",1E+99,'TO HOP NLAN'!D214/ncoc+IF(SUMSQ('TS-PILE'!$E$56:$E$75)=0,0,'TO HOP NLAN'!E214*'TS-PILE'!$E$59/SUMSQ('TS-PILE'!$E$56:$E$75))+IF(SUMSQ('TS-PILE'!$D$56:$D$75)=0,0,'TO HOP NLAN'!F214*'TS-PILE'!$D$59/SUMSQ('TS-PILE'!$D$56:$D$75))),IF('TS-PILE'!$B$60="",1E+99,'TO HOP NLAN'!D214/ncoc+IF(SUMSQ('TS-PILE'!$E$56:$E$75)=0,0,'TO HOP NLAN'!E214*'TS-PILE'!$E$60/SUMSQ('TS-PILE'!$E$56:$E$75))+IF(SUMSQ('TS-PILE'!$D$56:$D$75)=0,0,'TO HOP NLAN'!F214*'TS-PILE'!$D$60/SUMSQ('TS-PILE'!$D$56:$D$75))),IF('TS-PILE'!$B$61="",1E+99,'TO HOP NLAN'!D214/ncoc+IF(SUMSQ('TS-PILE'!$E$56:$E$75)=0,0,'TO HOP NLAN'!E214*'TS-PILE'!$E$61/SUMSQ('TS-PILE'!$E$56:$E$75))+IF(SUMSQ('TS-PILE'!$D$56:$D$75)=0,0,'TO HOP NLAN'!F214*'TS-PILE'!$D$61/SUMSQ('TS-PILE'!$D$56:$D$75))),IF('TS-PILE'!$B$62="",1E+99,'TO HOP NLAN'!D214/ncoc+IF(SUMSQ('TS-PILE'!$E$56:$E$75)=0,0,'TO HOP NLAN'!E214*'TS-PILE'!$E$62/SUMSQ('TS-PILE'!$E$56:$E$75))+IF(SUMSQ('TS-PILE'!$D$56:$D$75)=0,0,'TO HOP NLAN'!F214*'TS-PILE'!$D$62/SUMSQ('TS-PILE'!$D$56:$D$75))),IF('TS-PILE'!$B$63="",1E+99,'TO HOP NLAN'!D214/ncoc+IF(SUMSQ('TS-PILE'!$E$56:$E$75)=0,0,'TO HOP NLAN'!E214*'TS-PILE'!$E$63/SUMSQ('TS-PILE'!$E$56:$E$75))+IF(SUMSQ('TS-PILE'!$D$56:$D$75)=0,0,'TO HOP NLAN'!F214*'TS-PILE'!$D$63/SUMSQ('TS-PILE'!$D$56:$D$75))),IF('TS-PILE'!$B$64="",1E+99,'TO HOP NLAN'!D214/ncoc+IF(SUMSQ('TS-PILE'!$E$56:$E$75)=0,0,'TO HOP NLAN'!E214*'TS-PILE'!$E$64/SUMSQ('TS-PILE'!$E$56:$E$75))+IF(SUMSQ('TS-PILE'!$D$56:$D$75)=0,0,'TO HOP NLAN'!F214*'TS-PILE'!$D$64/SUMSQ('TS-PILE'!$D$56:$D$75))),IF('TS-PILE'!$B$65="",1E+99,'TO HOP NLAN'!D214/ncoc+IF(SUMSQ('TS-PILE'!$E$56:$E$75)=0,0,'TO HOP NLAN'!E214*'TS-PILE'!$E$65/SUMSQ('TS-PILE'!$E$56:$E$75))+IF(SUMSQ('TS-PILE'!$D$56:$D$75)=0,0,'TO HOP NLAN'!F214*'TS-PILE'!$D$65/SUMSQ('TS-PILE'!$D$56:$D$75))),IF('TS-PILE'!$B$66="",1E+99,'TO HOP NLAN'!D214/ncoc+IF(SUMSQ('TS-PILE'!$E$56:$E$75)=0,0,'TO HOP NLAN'!E214*'TS-PILE'!$E$66/SUMSQ('TS-PILE'!$E$56:$E$75))+IF(SUMSQ('TS-PILE'!$D$56:$D$75)=0,0,'TO HOP NLAN'!F214*'TS-PILE'!$D$66/SUMSQ('TS-PILE'!$D$56:$D$75))),IF('TS-PILE'!$B$67="",1E+99,'TO HOP NLAN'!D214/ncoc+IF(SUMSQ('TS-PILE'!$E$56:$E$75)=0,0,'TO HOP NLAN'!E214*'TS-PILE'!$E$67/SUMSQ('TS-PILE'!$E$56:$E$75))+IF(SUMSQ('TS-PILE'!$D$56:$D$75)=0,0,'TO HOP NLAN'!F214*'TS-PILE'!$D$67/SUMSQ('TS-PILE'!$D$56:$D$75))),IF('TS-PILE'!$B$68="",1E+99,'TO HOP NLAN'!D214/ncoc+IF(SUMSQ('TS-PILE'!$E$56:$E$75)=0,0,'TO HOP NLAN'!E214*'TS-PILE'!$E$68/SUMSQ('TS-PILE'!$E$56:$E$75))+IF(SUMSQ('TS-PILE'!$D$56:$D$75)=0,0,'TO HOP NLAN'!F214*'TS-PILE'!$D$68/SUMSQ('TS-PILE'!$D$56:$D$75))),IF('TS-PILE'!$B$69="",1E+99,'TO HOP NLAN'!D214/ncoc+IF(SUMSQ('TS-PILE'!$E$56:$E$75)=0,0,'TO HOP NLAN'!E214*'TS-PILE'!$E$69/SUMSQ('TS-PILE'!$E$56:$E$75))+IF(SUMSQ('TS-PILE'!$D$56:$D$75)=0,0,'TO HOP NLAN'!F214*'TS-PILE'!$D$69/SUMSQ('TS-PILE'!$D$56:$D$75))),IF('TS-PILE'!$B$70="",1E+99,'TO HOP NLAN'!D214/ncoc+IF(SUMSQ('TS-PILE'!$E$56:$E$75)=0,0,'TO HOP NLAN'!E214*'TS-PILE'!$E$70/SUMSQ('TS-PILE'!$E$56:$E$75))+IF(SUMSQ('TS-PILE'!$D$56:$D$75)=0,0,'TO HOP NLAN'!F214*'TS-PILE'!$D$70/SUMSQ('TS-PILE'!$D$56:$D$75))),IF('TS-PILE'!$B$71="",1E+99,'TO HOP NLAN'!D214/ncoc+IF(SUMSQ('TS-PILE'!$E$56:$E$75)=0,0,'TO HOP NLAN'!E214*'TS-PILE'!$E$71/SUMSQ('TS-PILE'!$E$56:$E$75))+IF(SUMSQ('TS-PILE'!$D$56:$D$75)=0,0,'TO HOP NLAN'!F214*'TS-PILE'!$D$71/SUMSQ('TS-PILE'!$D$56:$D$75))),IF('TS-PILE'!$B$72="",1E+99,'TO HOP NLAN'!D214/ncoc+IF(SUMSQ('TS-PILE'!$E$56:$E$75)=0,0,'TO HOP NLAN'!E214*'TS-PILE'!$E$72/SUMSQ('TS-PILE'!$E$56:$E$75))+IF(SUMSQ('TS-PILE'!$D$56:$D$75)=0,0,'TO HOP NLAN'!F214*'TS-PILE'!$D$72/SUMSQ('TS-PILE'!$D$56:$D$75))),IF('TS-PILE'!$B$73="",1E+99,'TO HOP NLAN'!D214/ncoc+IF(SUMSQ('TS-PILE'!$E$56:$E$75)=0,0,'TO HOP NLAN'!E214*'TS-PILE'!$E$73/SUMSQ('TS-PILE'!$E$56:$E$75))+IF(SUMSQ('TS-PILE'!$D$56:$D$75)=0,0,'TO HOP NLAN'!F214*'TS-PILE'!$D$73/SUMSQ('TS-PILE'!$D$56:$D$75))),IF('TS-PILE'!$B$74="",1E+99,'TO HOP NLAN'!D214/ncoc+IF(SUMSQ('TS-PILE'!$E$56:$E$75)=0,0,'TO HOP NLAN'!E214*'TS-PILE'!$E$74/SUMSQ('TS-PILE'!$E$56:$E$75))+IF(SUMSQ('TS-PILE'!$D$56:$D$75)=0,0,'TO HOP NLAN'!F214*'TS-PILE'!$D$74/SUMSQ('TS-PILE'!$D$56:$D$75))),IF('TS-PILE'!$B$75="",1E+99,'TO HOP NLAN'!D214/ncoc+IF(SUMSQ('TS-PILE'!$E$56:$E$75)=0,0,'TO HOP NLAN'!E214*'TS-PILE'!$E$75/SUMSQ('TS-PILE'!$E$56:$E$75))+IF(SUMSQ('TS-PILE'!$D$56:$D$75)=0,0,'TO HOP NLAN'!F214*'TS-PILE'!$D$75/SUMSQ('TS-PILE'!$D$56:$D$75)))))</f>
        <v>0</v>
      </c>
      <c r="E214" s="46">
        <f t="shared" si="12"/>
        <v>-9.9999999999999997E+98</v>
      </c>
      <c r="F214" s="46">
        <f t="shared" si="13"/>
        <v>9.9999999999999997E+98</v>
      </c>
      <c r="G214" s="46">
        <f t="shared" si="14"/>
        <v>-9.9999999999999997E+98</v>
      </c>
      <c r="H214" s="46">
        <f t="shared" si="15"/>
        <v>9.9999999999999997E+98</v>
      </c>
    </row>
    <row r="215" spans="1:8" x14ac:dyDescent="0.3">
      <c r="A215" s="40" t="str">
        <f>'TO HOP NLAN'!A215</f>
        <v/>
      </c>
      <c r="B215" s="40" t="str">
        <f>'TO HOP NLAN'!L215</f>
        <v>STRENGTH</v>
      </c>
      <c r="C215" s="46">
        <f>IF(A215="",0,MAX(IF('TS-PILE'!$B$56="",-1E+99,'TO HOP NLAN'!D215/ncoc+IF(SUMSQ('TS-PILE'!$E$56:$E$75)=0,0,'TO HOP NLAN'!E215*'TS-PILE'!$E$56/SUMSQ('TS-PILE'!$E$56:$E$75))+IF(SUMSQ('TS-PILE'!$D$56:$D$75)=0,0,'TO HOP NLAN'!F215*'TS-PILE'!$D$56/SUMSQ('TS-PILE'!$D$56:$D$75))),IF('TS-PILE'!$B$57="",-1E+99,'TO HOP NLAN'!D215/ncoc+IF(SUMSQ('TS-PILE'!$E$56:$E$75)=0,0,'TO HOP NLAN'!E215*'TS-PILE'!$E$57/SUMSQ('TS-PILE'!$E$56:$E$75))+IF(SUMSQ('TS-PILE'!$D$56:$D$75)=0,0,'TO HOP NLAN'!F215*'TS-PILE'!$D$57/SUMSQ('TS-PILE'!$D$56:$D$75))),IF('TS-PILE'!$B$58="",-1E+99,'TO HOP NLAN'!D215/ncoc+IF(SUMSQ('TS-PILE'!$E$56:$E$75)=0,0,'TO HOP NLAN'!E215*'TS-PILE'!$E$58/SUMSQ('TS-PILE'!$E$56:$E$75))+IF(SUMSQ('TS-PILE'!$D$56:$D$75)=0,0,'TO HOP NLAN'!F215*'TS-PILE'!$D$58/SUMSQ('TS-PILE'!$D$56:$D$75))),IF('TS-PILE'!$B$59="",-1E+99,'TO HOP NLAN'!D215/ncoc+IF(SUMSQ('TS-PILE'!$E$56:$E$75)=0,0,'TO HOP NLAN'!E215*'TS-PILE'!$E$59/SUMSQ('TS-PILE'!$E$56:$E$75))+IF(SUMSQ('TS-PILE'!$D$56:$D$75)=0,0,'TO HOP NLAN'!F215*'TS-PILE'!$D$59/SUMSQ('TS-PILE'!$D$56:$D$75))),IF('TS-PILE'!$B$60="",-1E+99,'TO HOP NLAN'!D215/ncoc+IF(SUMSQ('TS-PILE'!$E$56:$E$75)=0,0,'TO HOP NLAN'!E215*'TS-PILE'!$E$60/SUMSQ('TS-PILE'!$E$56:$E$75))+IF(SUMSQ('TS-PILE'!$D$56:$D$75)=0,0,'TO HOP NLAN'!F215*'TS-PILE'!$D$60/SUMSQ('TS-PILE'!$D$56:$D$75))),IF('TS-PILE'!$B$61="",-1E+99,'TO HOP NLAN'!D215/ncoc+IF(SUMSQ('TS-PILE'!$E$56:$E$75)=0,0,'TO HOP NLAN'!E215*'TS-PILE'!$E$61/SUMSQ('TS-PILE'!$E$56:$E$75))+IF(SUMSQ('TS-PILE'!$D$56:$D$75)=0,0,'TO HOP NLAN'!F215*'TS-PILE'!$D$61/SUMSQ('TS-PILE'!$D$56:$D$75))),IF('TS-PILE'!$B$62="",-1E+99,'TO HOP NLAN'!D215/ncoc+IF(SUMSQ('TS-PILE'!$E$56:$E$75)=0,0,'TO HOP NLAN'!E215*'TS-PILE'!$E$62/SUMSQ('TS-PILE'!$E$56:$E$75))+IF(SUMSQ('TS-PILE'!$D$56:$D$75)=0,0,'TO HOP NLAN'!F215*'TS-PILE'!$D$62/SUMSQ('TS-PILE'!$D$56:$D$75))),IF('TS-PILE'!$B$63="",-1E+99,'TO HOP NLAN'!D215/ncoc+IF(SUMSQ('TS-PILE'!$E$56:$E$75)=0,0,'TO HOP NLAN'!E215*'TS-PILE'!$E$63/SUMSQ('TS-PILE'!$E$56:$E$75))+IF(SUMSQ('TS-PILE'!$D$56:$D$75)=0,0,'TO HOP NLAN'!F215*'TS-PILE'!$D$63/SUMSQ('TS-PILE'!$D$56:$D$75))),IF('TS-PILE'!$B$64="",-1E+99,'TO HOP NLAN'!D215/ncoc+IF(SUMSQ('TS-PILE'!$E$56:$E$75)=0,0,'TO HOP NLAN'!E215*'TS-PILE'!$E$64/SUMSQ('TS-PILE'!$E$56:$E$75))+IF(SUMSQ('TS-PILE'!$D$56:$D$75)=0,0,'TO HOP NLAN'!F215*'TS-PILE'!$D$64/SUMSQ('TS-PILE'!$D$56:$D$75))),IF('TS-PILE'!$B$65="",-1E+99,'TO HOP NLAN'!D215/ncoc+IF(SUMSQ('TS-PILE'!$E$56:$E$75)=0,0,'TO HOP NLAN'!E215*'TS-PILE'!$E$65/SUMSQ('TS-PILE'!$E$56:$E$75))+IF(SUMSQ('TS-PILE'!$D$56:$D$75)=0,0,'TO HOP NLAN'!F215*'TS-PILE'!$D$65/SUMSQ('TS-PILE'!$D$56:$D$75))),IF('TS-PILE'!$B$66="",-1E+99,'TO HOP NLAN'!D215/ncoc+IF(SUMSQ('TS-PILE'!$E$56:$E$75)=0,0,'TO HOP NLAN'!E215*'TS-PILE'!$E$66/SUMSQ('TS-PILE'!$E$56:$E$75))+IF(SUMSQ('TS-PILE'!$D$56:$D$75)=0,0,'TO HOP NLAN'!F215*'TS-PILE'!$D$66/SUMSQ('TS-PILE'!$D$56:$D$75))),IF('TS-PILE'!$B$67="",-1E+99,'TO HOP NLAN'!D215/ncoc+IF(SUMSQ('TS-PILE'!$E$56:$E$75)=0,0,'TO HOP NLAN'!E215*'TS-PILE'!$E$67/SUMSQ('TS-PILE'!$E$56:$E$75))+IF(SUMSQ('TS-PILE'!$D$56:$D$75)=0,0,'TO HOP NLAN'!F215*'TS-PILE'!$D$67/SUMSQ('TS-PILE'!$D$56:$D$75))),IF('TS-PILE'!$B$68="",-1E+99,'TO HOP NLAN'!D215/ncoc+IF(SUMSQ('TS-PILE'!$E$56:$E$75)=0,0,'TO HOP NLAN'!E215*'TS-PILE'!$E$68/SUMSQ('TS-PILE'!$E$56:$E$75))+IF(SUMSQ('TS-PILE'!$D$56:$D$75)=0,0,'TO HOP NLAN'!F215*'TS-PILE'!$D$68/SUMSQ('TS-PILE'!$D$56:$D$75))),IF('TS-PILE'!$B$69="",-1E+99,'TO HOP NLAN'!D215/ncoc+IF(SUMSQ('TS-PILE'!$E$56:$E$75)=0,0,'TO HOP NLAN'!E215*'TS-PILE'!$E$69/SUMSQ('TS-PILE'!$E$56:$E$75))+IF(SUMSQ('TS-PILE'!$D$56:$D$75)=0,0,'TO HOP NLAN'!F215*'TS-PILE'!$D$69/SUMSQ('TS-PILE'!$D$56:$D$75))),IF('TS-PILE'!$B$70="",-1E+99,'TO HOP NLAN'!D215/ncoc+IF(SUMSQ('TS-PILE'!$E$56:$E$75)=0,0,'TO HOP NLAN'!E215*'TS-PILE'!$E$70/SUMSQ('TS-PILE'!$E$56:$E$75))+IF(SUMSQ('TS-PILE'!$D$56:$D$75)=0,0,'TO HOP NLAN'!F215*'TS-PILE'!$D$70/SUMSQ('TS-PILE'!$D$56:$D$75))),IF('TS-PILE'!$B$71="",-1E+99,'TO HOP NLAN'!D215/ncoc+IF(SUMSQ('TS-PILE'!$E$56:$E$75)=0,0,'TO HOP NLAN'!E215*'TS-PILE'!$E$71/SUMSQ('TS-PILE'!$E$56:$E$75))+IF(SUMSQ('TS-PILE'!$D$56:$D$75)=0,0,'TO HOP NLAN'!F215*'TS-PILE'!$D$71/SUMSQ('TS-PILE'!$D$56:$D$75))),IF('TS-PILE'!$B$72="",-1E+99,'TO HOP NLAN'!D215/ncoc+IF(SUMSQ('TS-PILE'!$E$56:$E$75)=0,0,'TO HOP NLAN'!E215*'TS-PILE'!$E$72/SUMSQ('TS-PILE'!$E$56:$E$75))+IF(SUMSQ('TS-PILE'!$D$56:$D$75)=0,0,'TO HOP NLAN'!F215*'TS-PILE'!$D$72/SUMSQ('TS-PILE'!$D$56:$D$75))),IF('TS-PILE'!$B$73="",-1E+99,'TO HOP NLAN'!D215/ncoc+IF(SUMSQ('TS-PILE'!$E$56:$E$75)=0,0,'TO HOP NLAN'!E215*'TS-PILE'!$E$73/SUMSQ('TS-PILE'!$E$56:$E$75))+IF(SUMSQ('TS-PILE'!$D$56:$D$75)=0,0,'TO HOP NLAN'!F215*'TS-PILE'!$D$73/SUMSQ('TS-PILE'!$D$56:$D$75))),IF('TS-PILE'!$B$74="",-1E+99,'TO HOP NLAN'!D215/ncoc+IF(SUMSQ('TS-PILE'!$E$56:$E$75)=0,0,'TO HOP NLAN'!E215*'TS-PILE'!$E$74/SUMSQ('TS-PILE'!$E$56:$E$75))+IF(SUMSQ('TS-PILE'!$D$56:$D$75)=0,0,'TO HOP NLAN'!F215*'TS-PILE'!$D$74/SUMSQ('TS-PILE'!$D$56:$D$75))),IF('TS-PILE'!$B$75="",-1E+99,'TO HOP NLAN'!D215/ncoc+IF(SUMSQ('TS-PILE'!$E$56:$E$75)=0,0,'TO HOP NLAN'!E215*'TS-PILE'!$E$75/SUMSQ('TS-PILE'!$E$56:$E$75))+IF(SUMSQ('TS-PILE'!$D$56:$D$75)=0,0,'TO HOP NLAN'!F215*'TS-PILE'!$D$75/SUMSQ('TS-PILE'!$D$56:$D$75)))))</f>
        <v>0</v>
      </c>
      <c r="D215" s="46">
        <f>IF(A215="",0,MIN(IF('TS-PILE'!$B$56="",1E+99,'TO HOP NLAN'!D215/ncoc+IF(SUMSQ('TS-PILE'!$E$56:$E$75)=0,0,'TO HOP NLAN'!E215*'TS-PILE'!$E$56/SUMSQ('TS-PILE'!$E$56:$E$75))+IF(SUMSQ('TS-PILE'!$D$56:$D$75)=0,0,'TO HOP NLAN'!F215*'TS-PILE'!$D$56/SUMSQ('TS-PILE'!$D$56:$D$75))),IF('TS-PILE'!$B$57="",1E+99,'TO HOP NLAN'!D215/ncoc+IF(SUMSQ('TS-PILE'!$E$56:$E$75)=0,0,'TO HOP NLAN'!E215*'TS-PILE'!$E$57/SUMSQ('TS-PILE'!$E$56:$E$75))+IF(SUMSQ('TS-PILE'!$D$56:$D$75)=0,0,'TO HOP NLAN'!F215*'TS-PILE'!$D$57/SUMSQ('TS-PILE'!$D$56:$D$75))),IF('TS-PILE'!$B$58="",1E+99,'TO HOP NLAN'!D215/ncoc+IF(SUMSQ('TS-PILE'!$E$56:$E$75)=0,0,'TO HOP NLAN'!E215*'TS-PILE'!$E$58/SUMSQ('TS-PILE'!$E$56:$E$75))+IF(SUMSQ('TS-PILE'!$D$56:$D$75)=0,0,'TO HOP NLAN'!F215*'TS-PILE'!$D$58/SUMSQ('TS-PILE'!$D$56:$D$75))),IF('TS-PILE'!$B$59="",1E+99,'TO HOP NLAN'!D215/ncoc+IF(SUMSQ('TS-PILE'!$E$56:$E$75)=0,0,'TO HOP NLAN'!E215*'TS-PILE'!$E$59/SUMSQ('TS-PILE'!$E$56:$E$75))+IF(SUMSQ('TS-PILE'!$D$56:$D$75)=0,0,'TO HOP NLAN'!F215*'TS-PILE'!$D$59/SUMSQ('TS-PILE'!$D$56:$D$75))),IF('TS-PILE'!$B$60="",1E+99,'TO HOP NLAN'!D215/ncoc+IF(SUMSQ('TS-PILE'!$E$56:$E$75)=0,0,'TO HOP NLAN'!E215*'TS-PILE'!$E$60/SUMSQ('TS-PILE'!$E$56:$E$75))+IF(SUMSQ('TS-PILE'!$D$56:$D$75)=0,0,'TO HOP NLAN'!F215*'TS-PILE'!$D$60/SUMSQ('TS-PILE'!$D$56:$D$75))),IF('TS-PILE'!$B$61="",1E+99,'TO HOP NLAN'!D215/ncoc+IF(SUMSQ('TS-PILE'!$E$56:$E$75)=0,0,'TO HOP NLAN'!E215*'TS-PILE'!$E$61/SUMSQ('TS-PILE'!$E$56:$E$75))+IF(SUMSQ('TS-PILE'!$D$56:$D$75)=0,0,'TO HOP NLAN'!F215*'TS-PILE'!$D$61/SUMSQ('TS-PILE'!$D$56:$D$75))),IF('TS-PILE'!$B$62="",1E+99,'TO HOP NLAN'!D215/ncoc+IF(SUMSQ('TS-PILE'!$E$56:$E$75)=0,0,'TO HOP NLAN'!E215*'TS-PILE'!$E$62/SUMSQ('TS-PILE'!$E$56:$E$75))+IF(SUMSQ('TS-PILE'!$D$56:$D$75)=0,0,'TO HOP NLAN'!F215*'TS-PILE'!$D$62/SUMSQ('TS-PILE'!$D$56:$D$75))),IF('TS-PILE'!$B$63="",1E+99,'TO HOP NLAN'!D215/ncoc+IF(SUMSQ('TS-PILE'!$E$56:$E$75)=0,0,'TO HOP NLAN'!E215*'TS-PILE'!$E$63/SUMSQ('TS-PILE'!$E$56:$E$75))+IF(SUMSQ('TS-PILE'!$D$56:$D$75)=0,0,'TO HOP NLAN'!F215*'TS-PILE'!$D$63/SUMSQ('TS-PILE'!$D$56:$D$75))),IF('TS-PILE'!$B$64="",1E+99,'TO HOP NLAN'!D215/ncoc+IF(SUMSQ('TS-PILE'!$E$56:$E$75)=0,0,'TO HOP NLAN'!E215*'TS-PILE'!$E$64/SUMSQ('TS-PILE'!$E$56:$E$75))+IF(SUMSQ('TS-PILE'!$D$56:$D$75)=0,0,'TO HOP NLAN'!F215*'TS-PILE'!$D$64/SUMSQ('TS-PILE'!$D$56:$D$75))),IF('TS-PILE'!$B$65="",1E+99,'TO HOP NLAN'!D215/ncoc+IF(SUMSQ('TS-PILE'!$E$56:$E$75)=0,0,'TO HOP NLAN'!E215*'TS-PILE'!$E$65/SUMSQ('TS-PILE'!$E$56:$E$75))+IF(SUMSQ('TS-PILE'!$D$56:$D$75)=0,0,'TO HOP NLAN'!F215*'TS-PILE'!$D$65/SUMSQ('TS-PILE'!$D$56:$D$75))),IF('TS-PILE'!$B$66="",1E+99,'TO HOP NLAN'!D215/ncoc+IF(SUMSQ('TS-PILE'!$E$56:$E$75)=0,0,'TO HOP NLAN'!E215*'TS-PILE'!$E$66/SUMSQ('TS-PILE'!$E$56:$E$75))+IF(SUMSQ('TS-PILE'!$D$56:$D$75)=0,0,'TO HOP NLAN'!F215*'TS-PILE'!$D$66/SUMSQ('TS-PILE'!$D$56:$D$75))),IF('TS-PILE'!$B$67="",1E+99,'TO HOP NLAN'!D215/ncoc+IF(SUMSQ('TS-PILE'!$E$56:$E$75)=0,0,'TO HOP NLAN'!E215*'TS-PILE'!$E$67/SUMSQ('TS-PILE'!$E$56:$E$75))+IF(SUMSQ('TS-PILE'!$D$56:$D$75)=0,0,'TO HOP NLAN'!F215*'TS-PILE'!$D$67/SUMSQ('TS-PILE'!$D$56:$D$75))),IF('TS-PILE'!$B$68="",1E+99,'TO HOP NLAN'!D215/ncoc+IF(SUMSQ('TS-PILE'!$E$56:$E$75)=0,0,'TO HOP NLAN'!E215*'TS-PILE'!$E$68/SUMSQ('TS-PILE'!$E$56:$E$75))+IF(SUMSQ('TS-PILE'!$D$56:$D$75)=0,0,'TO HOP NLAN'!F215*'TS-PILE'!$D$68/SUMSQ('TS-PILE'!$D$56:$D$75))),IF('TS-PILE'!$B$69="",1E+99,'TO HOP NLAN'!D215/ncoc+IF(SUMSQ('TS-PILE'!$E$56:$E$75)=0,0,'TO HOP NLAN'!E215*'TS-PILE'!$E$69/SUMSQ('TS-PILE'!$E$56:$E$75))+IF(SUMSQ('TS-PILE'!$D$56:$D$75)=0,0,'TO HOP NLAN'!F215*'TS-PILE'!$D$69/SUMSQ('TS-PILE'!$D$56:$D$75))),IF('TS-PILE'!$B$70="",1E+99,'TO HOP NLAN'!D215/ncoc+IF(SUMSQ('TS-PILE'!$E$56:$E$75)=0,0,'TO HOP NLAN'!E215*'TS-PILE'!$E$70/SUMSQ('TS-PILE'!$E$56:$E$75))+IF(SUMSQ('TS-PILE'!$D$56:$D$75)=0,0,'TO HOP NLAN'!F215*'TS-PILE'!$D$70/SUMSQ('TS-PILE'!$D$56:$D$75))),IF('TS-PILE'!$B$71="",1E+99,'TO HOP NLAN'!D215/ncoc+IF(SUMSQ('TS-PILE'!$E$56:$E$75)=0,0,'TO HOP NLAN'!E215*'TS-PILE'!$E$71/SUMSQ('TS-PILE'!$E$56:$E$75))+IF(SUMSQ('TS-PILE'!$D$56:$D$75)=0,0,'TO HOP NLAN'!F215*'TS-PILE'!$D$71/SUMSQ('TS-PILE'!$D$56:$D$75))),IF('TS-PILE'!$B$72="",1E+99,'TO HOP NLAN'!D215/ncoc+IF(SUMSQ('TS-PILE'!$E$56:$E$75)=0,0,'TO HOP NLAN'!E215*'TS-PILE'!$E$72/SUMSQ('TS-PILE'!$E$56:$E$75))+IF(SUMSQ('TS-PILE'!$D$56:$D$75)=0,0,'TO HOP NLAN'!F215*'TS-PILE'!$D$72/SUMSQ('TS-PILE'!$D$56:$D$75))),IF('TS-PILE'!$B$73="",1E+99,'TO HOP NLAN'!D215/ncoc+IF(SUMSQ('TS-PILE'!$E$56:$E$75)=0,0,'TO HOP NLAN'!E215*'TS-PILE'!$E$73/SUMSQ('TS-PILE'!$E$56:$E$75))+IF(SUMSQ('TS-PILE'!$D$56:$D$75)=0,0,'TO HOP NLAN'!F215*'TS-PILE'!$D$73/SUMSQ('TS-PILE'!$D$56:$D$75))),IF('TS-PILE'!$B$74="",1E+99,'TO HOP NLAN'!D215/ncoc+IF(SUMSQ('TS-PILE'!$E$56:$E$75)=0,0,'TO HOP NLAN'!E215*'TS-PILE'!$E$74/SUMSQ('TS-PILE'!$E$56:$E$75))+IF(SUMSQ('TS-PILE'!$D$56:$D$75)=0,0,'TO HOP NLAN'!F215*'TS-PILE'!$D$74/SUMSQ('TS-PILE'!$D$56:$D$75))),IF('TS-PILE'!$B$75="",1E+99,'TO HOP NLAN'!D215/ncoc+IF(SUMSQ('TS-PILE'!$E$56:$E$75)=0,0,'TO HOP NLAN'!E215*'TS-PILE'!$E$75/SUMSQ('TS-PILE'!$E$56:$E$75))+IF(SUMSQ('TS-PILE'!$D$56:$D$75)=0,0,'TO HOP NLAN'!F215*'TS-PILE'!$D$75/SUMSQ('TS-PILE'!$D$56:$D$75)))))</f>
        <v>0</v>
      </c>
      <c r="E215" s="46">
        <f t="shared" si="12"/>
        <v>-9.9999999999999997E+98</v>
      </c>
      <c r="F215" s="46">
        <f t="shared" si="13"/>
        <v>9.9999999999999997E+98</v>
      </c>
      <c r="G215" s="46">
        <f t="shared" si="14"/>
        <v>-9.9999999999999997E+98</v>
      </c>
      <c r="H215" s="46">
        <f t="shared" si="15"/>
        <v>9.9999999999999997E+98</v>
      </c>
    </row>
    <row r="216" spans="1:8" x14ac:dyDescent="0.3">
      <c r="A216" s="40" t="str">
        <f>'TO HOP NLAN'!A216</f>
        <v/>
      </c>
      <c r="B216" s="40" t="str">
        <f>'TO HOP NLAN'!L216</f>
        <v>STRENGTH</v>
      </c>
      <c r="C216" s="46">
        <f>IF(A216="",0,MAX(IF('TS-PILE'!$B$56="",-1E+99,'TO HOP NLAN'!D216/ncoc+IF(SUMSQ('TS-PILE'!$E$56:$E$75)=0,0,'TO HOP NLAN'!E216*'TS-PILE'!$E$56/SUMSQ('TS-PILE'!$E$56:$E$75))+IF(SUMSQ('TS-PILE'!$D$56:$D$75)=0,0,'TO HOP NLAN'!F216*'TS-PILE'!$D$56/SUMSQ('TS-PILE'!$D$56:$D$75))),IF('TS-PILE'!$B$57="",-1E+99,'TO HOP NLAN'!D216/ncoc+IF(SUMSQ('TS-PILE'!$E$56:$E$75)=0,0,'TO HOP NLAN'!E216*'TS-PILE'!$E$57/SUMSQ('TS-PILE'!$E$56:$E$75))+IF(SUMSQ('TS-PILE'!$D$56:$D$75)=0,0,'TO HOP NLAN'!F216*'TS-PILE'!$D$57/SUMSQ('TS-PILE'!$D$56:$D$75))),IF('TS-PILE'!$B$58="",-1E+99,'TO HOP NLAN'!D216/ncoc+IF(SUMSQ('TS-PILE'!$E$56:$E$75)=0,0,'TO HOP NLAN'!E216*'TS-PILE'!$E$58/SUMSQ('TS-PILE'!$E$56:$E$75))+IF(SUMSQ('TS-PILE'!$D$56:$D$75)=0,0,'TO HOP NLAN'!F216*'TS-PILE'!$D$58/SUMSQ('TS-PILE'!$D$56:$D$75))),IF('TS-PILE'!$B$59="",-1E+99,'TO HOP NLAN'!D216/ncoc+IF(SUMSQ('TS-PILE'!$E$56:$E$75)=0,0,'TO HOP NLAN'!E216*'TS-PILE'!$E$59/SUMSQ('TS-PILE'!$E$56:$E$75))+IF(SUMSQ('TS-PILE'!$D$56:$D$75)=0,0,'TO HOP NLAN'!F216*'TS-PILE'!$D$59/SUMSQ('TS-PILE'!$D$56:$D$75))),IF('TS-PILE'!$B$60="",-1E+99,'TO HOP NLAN'!D216/ncoc+IF(SUMSQ('TS-PILE'!$E$56:$E$75)=0,0,'TO HOP NLAN'!E216*'TS-PILE'!$E$60/SUMSQ('TS-PILE'!$E$56:$E$75))+IF(SUMSQ('TS-PILE'!$D$56:$D$75)=0,0,'TO HOP NLAN'!F216*'TS-PILE'!$D$60/SUMSQ('TS-PILE'!$D$56:$D$75))),IF('TS-PILE'!$B$61="",-1E+99,'TO HOP NLAN'!D216/ncoc+IF(SUMSQ('TS-PILE'!$E$56:$E$75)=0,0,'TO HOP NLAN'!E216*'TS-PILE'!$E$61/SUMSQ('TS-PILE'!$E$56:$E$75))+IF(SUMSQ('TS-PILE'!$D$56:$D$75)=0,0,'TO HOP NLAN'!F216*'TS-PILE'!$D$61/SUMSQ('TS-PILE'!$D$56:$D$75))),IF('TS-PILE'!$B$62="",-1E+99,'TO HOP NLAN'!D216/ncoc+IF(SUMSQ('TS-PILE'!$E$56:$E$75)=0,0,'TO HOP NLAN'!E216*'TS-PILE'!$E$62/SUMSQ('TS-PILE'!$E$56:$E$75))+IF(SUMSQ('TS-PILE'!$D$56:$D$75)=0,0,'TO HOP NLAN'!F216*'TS-PILE'!$D$62/SUMSQ('TS-PILE'!$D$56:$D$75))),IF('TS-PILE'!$B$63="",-1E+99,'TO HOP NLAN'!D216/ncoc+IF(SUMSQ('TS-PILE'!$E$56:$E$75)=0,0,'TO HOP NLAN'!E216*'TS-PILE'!$E$63/SUMSQ('TS-PILE'!$E$56:$E$75))+IF(SUMSQ('TS-PILE'!$D$56:$D$75)=0,0,'TO HOP NLAN'!F216*'TS-PILE'!$D$63/SUMSQ('TS-PILE'!$D$56:$D$75))),IF('TS-PILE'!$B$64="",-1E+99,'TO HOP NLAN'!D216/ncoc+IF(SUMSQ('TS-PILE'!$E$56:$E$75)=0,0,'TO HOP NLAN'!E216*'TS-PILE'!$E$64/SUMSQ('TS-PILE'!$E$56:$E$75))+IF(SUMSQ('TS-PILE'!$D$56:$D$75)=0,0,'TO HOP NLAN'!F216*'TS-PILE'!$D$64/SUMSQ('TS-PILE'!$D$56:$D$75))),IF('TS-PILE'!$B$65="",-1E+99,'TO HOP NLAN'!D216/ncoc+IF(SUMSQ('TS-PILE'!$E$56:$E$75)=0,0,'TO HOP NLAN'!E216*'TS-PILE'!$E$65/SUMSQ('TS-PILE'!$E$56:$E$75))+IF(SUMSQ('TS-PILE'!$D$56:$D$75)=0,0,'TO HOP NLAN'!F216*'TS-PILE'!$D$65/SUMSQ('TS-PILE'!$D$56:$D$75))),IF('TS-PILE'!$B$66="",-1E+99,'TO HOP NLAN'!D216/ncoc+IF(SUMSQ('TS-PILE'!$E$56:$E$75)=0,0,'TO HOP NLAN'!E216*'TS-PILE'!$E$66/SUMSQ('TS-PILE'!$E$56:$E$75))+IF(SUMSQ('TS-PILE'!$D$56:$D$75)=0,0,'TO HOP NLAN'!F216*'TS-PILE'!$D$66/SUMSQ('TS-PILE'!$D$56:$D$75))),IF('TS-PILE'!$B$67="",-1E+99,'TO HOP NLAN'!D216/ncoc+IF(SUMSQ('TS-PILE'!$E$56:$E$75)=0,0,'TO HOP NLAN'!E216*'TS-PILE'!$E$67/SUMSQ('TS-PILE'!$E$56:$E$75))+IF(SUMSQ('TS-PILE'!$D$56:$D$75)=0,0,'TO HOP NLAN'!F216*'TS-PILE'!$D$67/SUMSQ('TS-PILE'!$D$56:$D$75))),IF('TS-PILE'!$B$68="",-1E+99,'TO HOP NLAN'!D216/ncoc+IF(SUMSQ('TS-PILE'!$E$56:$E$75)=0,0,'TO HOP NLAN'!E216*'TS-PILE'!$E$68/SUMSQ('TS-PILE'!$E$56:$E$75))+IF(SUMSQ('TS-PILE'!$D$56:$D$75)=0,0,'TO HOP NLAN'!F216*'TS-PILE'!$D$68/SUMSQ('TS-PILE'!$D$56:$D$75))),IF('TS-PILE'!$B$69="",-1E+99,'TO HOP NLAN'!D216/ncoc+IF(SUMSQ('TS-PILE'!$E$56:$E$75)=0,0,'TO HOP NLAN'!E216*'TS-PILE'!$E$69/SUMSQ('TS-PILE'!$E$56:$E$75))+IF(SUMSQ('TS-PILE'!$D$56:$D$75)=0,0,'TO HOP NLAN'!F216*'TS-PILE'!$D$69/SUMSQ('TS-PILE'!$D$56:$D$75))),IF('TS-PILE'!$B$70="",-1E+99,'TO HOP NLAN'!D216/ncoc+IF(SUMSQ('TS-PILE'!$E$56:$E$75)=0,0,'TO HOP NLAN'!E216*'TS-PILE'!$E$70/SUMSQ('TS-PILE'!$E$56:$E$75))+IF(SUMSQ('TS-PILE'!$D$56:$D$75)=0,0,'TO HOP NLAN'!F216*'TS-PILE'!$D$70/SUMSQ('TS-PILE'!$D$56:$D$75))),IF('TS-PILE'!$B$71="",-1E+99,'TO HOP NLAN'!D216/ncoc+IF(SUMSQ('TS-PILE'!$E$56:$E$75)=0,0,'TO HOP NLAN'!E216*'TS-PILE'!$E$71/SUMSQ('TS-PILE'!$E$56:$E$75))+IF(SUMSQ('TS-PILE'!$D$56:$D$75)=0,0,'TO HOP NLAN'!F216*'TS-PILE'!$D$71/SUMSQ('TS-PILE'!$D$56:$D$75))),IF('TS-PILE'!$B$72="",-1E+99,'TO HOP NLAN'!D216/ncoc+IF(SUMSQ('TS-PILE'!$E$56:$E$75)=0,0,'TO HOP NLAN'!E216*'TS-PILE'!$E$72/SUMSQ('TS-PILE'!$E$56:$E$75))+IF(SUMSQ('TS-PILE'!$D$56:$D$75)=0,0,'TO HOP NLAN'!F216*'TS-PILE'!$D$72/SUMSQ('TS-PILE'!$D$56:$D$75))),IF('TS-PILE'!$B$73="",-1E+99,'TO HOP NLAN'!D216/ncoc+IF(SUMSQ('TS-PILE'!$E$56:$E$75)=0,0,'TO HOP NLAN'!E216*'TS-PILE'!$E$73/SUMSQ('TS-PILE'!$E$56:$E$75))+IF(SUMSQ('TS-PILE'!$D$56:$D$75)=0,0,'TO HOP NLAN'!F216*'TS-PILE'!$D$73/SUMSQ('TS-PILE'!$D$56:$D$75))),IF('TS-PILE'!$B$74="",-1E+99,'TO HOP NLAN'!D216/ncoc+IF(SUMSQ('TS-PILE'!$E$56:$E$75)=0,0,'TO HOP NLAN'!E216*'TS-PILE'!$E$74/SUMSQ('TS-PILE'!$E$56:$E$75))+IF(SUMSQ('TS-PILE'!$D$56:$D$75)=0,0,'TO HOP NLAN'!F216*'TS-PILE'!$D$74/SUMSQ('TS-PILE'!$D$56:$D$75))),IF('TS-PILE'!$B$75="",-1E+99,'TO HOP NLAN'!D216/ncoc+IF(SUMSQ('TS-PILE'!$E$56:$E$75)=0,0,'TO HOP NLAN'!E216*'TS-PILE'!$E$75/SUMSQ('TS-PILE'!$E$56:$E$75))+IF(SUMSQ('TS-PILE'!$D$56:$D$75)=0,0,'TO HOP NLAN'!F216*'TS-PILE'!$D$75/SUMSQ('TS-PILE'!$D$56:$D$75)))))</f>
        <v>0</v>
      </c>
      <c r="D216" s="46">
        <f>IF(A216="",0,MIN(IF('TS-PILE'!$B$56="",1E+99,'TO HOP NLAN'!D216/ncoc+IF(SUMSQ('TS-PILE'!$E$56:$E$75)=0,0,'TO HOP NLAN'!E216*'TS-PILE'!$E$56/SUMSQ('TS-PILE'!$E$56:$E$75))+IF(SUMSQ('TS-PILE'!$D$56:$D$75)=0,0,'TO HOP NLAN'!F216*'TS-PILE'!$D$56/SUMSQ('TS-PILE'!$D$56:$D$75))),IF('TS-PILE'!$B$57="",1E+99,'TO HOP NLAN'!D216/ncoc+IF(SUMSQ('TS-PILE'!$E$56:$E$75)=0,0,'TO HOP NLAN'!E216*'TS-PILE'!$E$57/SUMSQ('TS-PILE'!$E$56:$E$75))+IF(SUMSQ('TS-PILE'!$D$56:$D$75)=0,0,'TO HOP NLAN'!F216*'TS-PILE'!$D$57/SUMSQ('TS-PILE'!$D$56:$D$75))),IF('TS-PILE'!$B$58="",1E+99,'TO HOP NLAN'!D216/ncoc+IF(SUMSQ('TS-PILE'!$E$56:$E$75)=0,0,'TO HOP NLAN'!E216*'TS-PILE'!$E$58/SUMSQ('TS-PILE'!$E$56:$E$75))+IF(SUMSQ('TS-PILE'!$D$56:$D$75)=0,0,'TO HOP NLAN'!F216*'TS-PILE'!$D$58/SUMSQ('TS-PILE'!$D$56:$D$75))),IF('TS-PILE'!$B$59="",1E+99,'TO HOP NLAN'!D216/ncoc+IF(SUMSQ('TS-PILE'!$E$56:$E$75)=0,0,'TO HOP NLAN'!E216*'TS-PILE'!$E$59/SUMSQ('TS-PILE'!$E$56:$E$75))+IF(SUMSQ('TS-PILE'!$D$56:$D$75)=0,0,'TO HOP NLAN'!F216*'TS-PILE'!$D$59/SUMSQ('TS-PILE'!$D$56:$D$75))),IF('TS-PILE'!$B$60="",1E+99,'TO HOP NLAN'!D216/ncoc+IF(SUMSQ('TS-PILE'!$E$56:$E$75)=0,0,'TO HOP NLAN'!E216*'TS-PILE'!$E$60/SUMSQ('TS-PILE'!$E$56:$E$75))+IF(SUMSQ('TS-PILE'!$D$56:$D$75)=0,0,'TO HOP NLAN'!F216*'TS-PILE'!$D$60/SUMSQ('TS-PILE'!$D$56:$D$75))),IF('TS-PILE'!$B$61="",1E+99,'TO HOP NLAN'!D216/ncoc+IF(SUMSQ('TS-PILE'!$E$56:$E$75)=0,0,'TO HOP NLAN'!E216*'TS-PILE'!$E$61/SUMSQ('TS-PILE'!$E$56:$E$75))+IF(SUMSQ('TS-PILE'!$D$56:$D$75)=0,0,'TO HOP NLAN'!F216*'TS-PILE'!$D$61/SUMSQ('TS-PILE'!$D$56:$D$75))),IF('TS-PILE'!$B$62="",1E+99,'TO HOP NLAN'!D216/ncoc+IF(SUMSQ('TS-PILE'!$E$56:$E$75)=0,0,'TO HOP NLAN'!E216*'TS-PILE'!$E$62/SUMSQ('TS-PILE'!$E$56:$E$75))+IF(SUMSQ('TS-PILE'!$D$56:$D$75)=0,0,'TO HOP NLAN'!F216*'TS-PILE'!$D$62/SUMSQ('TS-PILE'!$D$56:$D$75))),IF('TS-PILE'!$B$63="",1E+99,'TO HOP NLAN'!D216/ncoc+IF(SUMSQ('TS-PILE'!$E$56:$E$75)=0,0,'TO HOP NLAN'!E216*'TS-PILE'!$E$63/SUMSQ('TS-PILE'!$E$56:$E$75))+IF(SUMSQ('TS-PILE'!$D$56:$D$75)=0,0,'TO HOP NLAN'!F216*'TS-PILE'!$D$63/SUMSQ('TS-PILE'!$D$56:$D$75))),IF('TS-PILE'!$B$64="",1E+99,'TO HOP NLAN'!D216/ncoc+IF(SUMSQ('TS-PILE'!$E$56:$E$75)=0,0,'TO HOP NLAN'!E216*'TS-PILE'!$E$64/SUMSQ('TS-PILE'!$E$56:$E$75))+IF(SUMSQ('TS-PILE'!$D$56:$D$75)=0,0,'TO HOP NLAN'!F216*'TS-PILE'!$D$64/SUMSQ('TS-PILE'!$D$56:$D$75))),IF('TS-PILE'!$B$65="",1E+99,'TO HOP NLAN'!D216/ncoc+IF(SUMSQ('TS-PILE'!$E$56:$E$75)=0,0,'TO HOP NLAN'!E216*'TS-PILE'!$E$65/SUMSQ('TS-PILE'!$E$56:$E$75))+IF(SUMSQ('TS-PILE'!$D$56:$D$75)=0,0,'TO HOP NLAN'!F216*'TS-PILE'!$D$65/SUMSQ('TS-PILE'!$D$56:$D$75))),IF('TS-PILE'!$B$66="",1E+99,'TO HOP NLAN'!D216/ncoc+IF(SUMSQ('TS-PILE'!$E$56:$E$75)=0,0,'TO HOP NLAN'!E216*'TS-PILE'!$E$66/SUMSQ('TS-PILE'!$E$56:$E$75))+IF(SUMSQ('TS-PILE'!$D$56:$D$75)=0,0,'TO HOP NLAN'!F216*'TS-PILE'!$D$66/SUMSQ('TS-PILE'!$D$56:$D$75))),IF('TS-PILE'!$B$67="",1E+99,'TO HOP NLAN'!D216/ncoc+IF(SUMSQ('TS-PILE'!$E$56:$E$75)=0,0,'TO HOP NLAN'!E216*'TS-PILE'!$E$67/SUMSQ('TS-PILE'!$E$56:$E$75))+IF(SUMSQ('TS-PILE'!$D$56:$D$75)=0,0,'TO HOP NLAN'!F216*'TS-PILE'!$D$67/SUMSQ('TS-PILE'!$D$56:$D$75))),IF('TS-PILE'!$B$68="",1E+99,'TO HOP NLAN'!D216/ncoc+IF(SUMSQ('TS-PILE'!$E$56:$E$75)=0,0,'TO HOP NLAN'!E216*'TS-PILE'!$E$68/SUMSQ('TS-PILE'!$E$56:$E$75))+IF(SUMSQ('TS-PILE'!$D$56:$D$75)=0,0,'TO HOP NLAN'!F216*'TS-PILE'!$D$68/SUMSQ('TS-PILE'!$D$56:$D$75))),IF('TS-PILE'!$B$69="",1E+99,'TO HOP NLAN'!D216/ncoc+IF(SUMSQ('TS-PILE'!$E$56:$E$75)=0,0,'TO HOP NLAN'!E216*'TS-PILE'!$E$69/SUMSQ('TS-PILE'!$E$56:$E$75))+IF(SUMSQ('TS-PILE'!$D$56:$D$75)=0,0,'TO HOP NLAN'!F216*'TS-PILE'!$D$69/SUMSQ('TS-PILE'!$D$56:$D$75))),IF('TS-PILE'!$B$70="",1E+99,'TO HOP NLAN'!D216/ncoc+IF(SUMSQ('TS-PILE'!$E$56:$E$75)=0,0,'TO HOP NLAN'!E216*'TS-PILE'!$E$70/SUMSQ('TS-PILE'!$E$56:$E$75))+IF(SUMSQ('TS-PILE'!$D$56:$D$75)=0,0,'TO HOP NLAN'!F216*'TS-PILE'!$D$70/SUMSQ('TS-PILE'!$D$56:$D$75))),IF('TS-PILE'!$B$71="",1E+99,'TO HOP NLAN'!D216/ncoc+IF(SUMSQ('TS-PILE'!$E$56:$E$75)=0,0,'TO HOP NLAN'!E216*'TS-PILE'!$E$71/SUMSQ('TS-PILE'!$E$56:$E$75))+IF(SUMSQ('TS-PILE'!$D$56:$D$75)=0,0,'TO HOP NLAN'!F216*'TS-PILE'!$D$71/SUMSQ('TS-PILE'!$D$56:$D$75))),IF('TS-PILE'!$B$72="",1E+99,'TO HOP NLAN'!D216/ncoc+IF(SUMSQ('TS-PILE'!$E$56:$E$75)=0,0,'TO HOP NLAN'!E216*'TS-PILE'!$E$72/SUMSQ('TS-PILE'!$E$56:$E$75))+IF(SUMSQ('TS-PILE'!$D$56:$D$75)=0,0,'TO HOP NLAN'!F216*'TS-PILE'!$D$72/SUMSQ('TS-PILE'!$D$56:$D$75))),IF('TS-PILE'!$B$73="",1E+99,'TO HOP NLAN'!D216/ncoc+IF(SUMSQ('TS-PILE'!$E$56:$E$75)=0,0,'TO HOP NLAN'!E216*'TS-PILE'!$E$73/SUMSQ('TS-PILE'!$E$56:$E$75))+IF(SUMSQ('TS-PILE'!$D$56:$D$75)=0,0,'TO HOP NLAN'!F216*'TS-PILE'!$D$73/SUMSQ('TS-PILE'!$D$56:$D$75))),IF('TS-PILE'!$B$74="",1E+99,'TO HOP NLAN'!D216/ncoc+IF(SUMSQ('TS-PILE'!$E$56:$E$75)=0,0,'TO HOP NLAN'!E216*'TS-PILE'!$E$74/SUMSQ('TS-PILE'!$E$56:$E$75))+IF(SUMSQ('TS-PILE'!$D$56:$D$75)=0,0,'TO HOP NLAN'!F216*'TS-PILE'!$D$74/SUMSQ('TS-PILE'!$D$56:$D$75))),IF('TS-PILE'!$B$75="",1E+99,'TO HOP NLAN'!D216/ncoc+IF(SUMSQ('TS-PILE'!$E$56:$E$75)=0,0,'TO HOP NLAN'!E216*'TS-PILE'!$E$75/SUMSQ('TS-PILE'!$E$56:$E$75))+IF(SUMSQ('TS-PILE'!$D$56:$D$75)=0,0,'TO HOP NLAN'!F216*'TS-PILE'!$D$75/SUMSQ('TS-PILE'!$D$56:$D$75)))))</f>
        <v>0</v>
      </c>
      <c r="E216" s="46">
        <f t="shared" si="12"/>
        <v>-9.9999999999999997E+98</v>
      </c>
      <c r="F216" s="46">
        <f t="shared" si="13"/>
        <v>9.9999999999999997E+98</v>
      </c>
      <c r="G216" s="46">
        <f t="shared" si="14"/>
        <v>-9.9999999999999997E+98</v>
      </c>
      <c r="H216" s="46">
        <f t="shared" si="15"/>
        <v>9.9999999999999997E+98</v>
      </c>
    </row>
    <row r="217" spans="1:8" x14ac:dyDescent="0.3">
      <c r="A217" s="40" t="str">
        <f>'TO HOP NLAN'!A217</f>
        <v/>
      </c>
      <c r="B217" s="40" t="str">
        <f>'TO HOP NLAN'!L217</f>
        <v>STRENGTH</v>
      </c>
      <c r="C217" s="46">
        <f>IF(A217="",0,MAX(IF('TS-PILE'!$B$56="",-1E+99,'TO HOP NLAN'!D217/ncoc+IF(SUMSQ('TS-PILE'!$E$56:$E$75)=0,0,'TO HOP NLAN'!E217*'TS-PILE'!$E$56/SUMSQ('TS-PILE'!$E$56:$E$75))+IF(SUMSQ('TS-PILE'!$D$56:$D$75)=0,0,'TO HOP NLAN'!F217*'TS-PILE'!$D$56/SUMSQ('TS-PILE'!$D$56:$D$75))),IF('TS-PILE'!$B$57="",-1E+99,'TO HOP NLAN'!D217/ncoc+IF(SUMSQ('TS-PILE'!$E$56:$E$75)=0,0,'TO HOP NLAN'!E217*'TS-PILE'!$E$57/SUMSQ('TS-PILE'!$E$56:$E$75))+IF(SUMSQ('TS-PILE'!$D$56:$D$75)=0,0,'TO HOP NLAN'!F217*'TS-PILE'!$D$57/SUMSQ('TS-PILE'!$D$56:$D$75))),IF('TS-PILE'!$B$58="",-1E+99,'TO HOP NLAN'!D217/ncoc+IF(SUMSQ('TS-PILE'!$E$56:$E$75)=0,0,'TO HOP NLAN'!E217*'TS-PILE'!$E$58/SUMSQ('TS-PILE'!$E$56:$E$75))+IF(SUMSQ('TS-PILE'!$D$56:$D$75)=0,0,'TO HOP NLAN'!F217*'TS-PILE'!$D$58/SUMSQ('TS-PILE'!$D$56:$D$75))),IF('TS-PILE'!$B$59="",-1E+99,'TO HOP NLAN'!D217/ncoc+IF(SUMSQ('TS-PILE'!$E$56:$E$75)=0,0,'TO HOP NLAN'!E217*'TS-PILE'!$E$59/SUMSQ('TS-PILE'!$E$56:$E$75))+IF(SUMSQ('TS-PILE'!$D$56:$D$75)=0,0,'TO HOP NLAN'!F217*'TS-PILE'!$D$59/SUMSQ('TS-PILE'!$D$56:$D$75))),IF('TS-PILE'!$B$60="",-1E+99,'TO HOP NLAN'!D217/ncoc+IF(SUMSQ('TS-PILE'!$E$56:$E$75)=0,0,'TO HOP NLAN'!E217*'TS-PILE'!$E$60/SUMSQ('TS-PILE'!$E$56:$E$75))+IF(SUMSQ('TS-PILE'!$D$56:$D$75)=0,0,'TO HOP NLAN'!F217*'TS-PILE'!$D$60/SUMSQ('TS-PILE'!$D$56:$D$75))),IF('TS-PILE'!$B$61="",-1E+99,'TO HOP NLAN'!D217/ncoc+IF(SUMSQ('TS-PILE'!$E$56:$E$75)=0,0,'TO HOP NLAN'!E217*'TS-PILE'!$E$61/SUMSQ('TS-PILE'!$E$56:$E$75))+IF(SUMSQ('TS-PILE'!$D$56:$D$75)=0,0,'TO HOP NLAN'!F217*'TS-PILE'!$D$61/SUMSQ('TS-PILE'!$D$56:$D$75))),IF('TS-PILE'!$B$62="",-1E+99,'TO HOP NLAN'!D217/ncoc+IF(SUMSQ('TS-PILE'!$E$56:$E$75)=0,0,'TO HOP NLAN'!E217*'TS-PILE'!$E$62/SUMSQ('TS-PILE'!$E$56:$E$75))+IF(SUMSQ('TS-PILE'!$D$56:$D$75)=0,0,'TO HOP NLAN'!F217*'TS-PILE'!$D$62/SUMSQ('TS-PILE'!$D$56:$D$75))),IF('TS-PILE'!$B$63="",-1E+99,'TO HOP NLAN'!D217/ncoc+IF(SUMSQ('TS-PILE'!$E$56:$E$75)=0,0,'TO HOP NLAN'!E217*'TS-PILE'!$E$63/SUMSQ('TS-PILE'!$E$56:$E$75))+IF(SUMSQ('TS-PILE'!$D$56:$D$75)=0,0,'TO HOP NLAN'!F217*'TS-PILE'!$D$63/SUMSQ('TS-PILE'!$D$56:$D$75))),IF('TS-PILE'!$B$64="",-1E+99,'TO HOP NLAN'!D217/ncoc+IF(SUMSQ('TS-PILE'!$E$56:$E$75)=0,0,'TO HOP NLAN'!E217*'TS-PILE'!$E$64/SUMSQ('TS-PILE'!$E$56:$E$75))+IF(SUMSQ('TS-PILE'!$D$56:$D$75)=0,0,'TO HOP NLAN'!F217*'TS-PILE'!$D$64/SUMSQ('TS-PILE'!$D$56:$D$75))),IF('TS-PILE'!$B$65="",-1E+99,'TO HOP NLAN'!D217/ncoc+IF(SUMSQ('TS-PILE'!$E$56:$E$75)=0,0,'TO HOP NLAN'!E217*'TS-PILE'!$E$65/SUMSQ('TS-PILE'!$E$56:$E$75))+IF(SUMSQ('TS-PILE'!$D$56:$D$75)=0,0,'TO HOP NLAN'!F217*'TS-PILE'!$D$65/SUMSQ('TS-PILE'!$D$56:$D$75))),IF('TS-PILE'!$B$66="",-1E+99,'TO HOP NLAN'!D217/ncoc+IF(SUMSQ('TS-PILE'!$E$56:$E$75)=0,0,'TO HOP NLAN'!E217*'TS-PILE'!$E$66/SUMSQ('TS-PILE'!$E$56:$E$75))+IF(SUMSQ('TS-PILE'!$D$56:$D$75)=0,0,'TO HOP NLAN'!F217*'TS-PILE'!$D$66/SUMSQ('TS-PILE'!$D$56:$D$75))),IF('TS-PILE'!$B$67="",-1E+99,'TO HOP NLAN'!D217/ncoc+IF(SUMSQ('TS-PILE'!$E$56:$E$75)=0,0,'TO HOP NLAN'!E217*'TS-PILE'!$E$67/SUMSQ('TS-PILE'!$E$56:$E$75))+IF(SUMSQ('TS-PILE'!$D$56:$D$75)=0,0,'TO HOP NLAN'!F217*'TS-PILE'!$D$67/SUMSQ('TS-PILE'!$D$56:$D$75))),IF('TS-PILE'!$B$68="",-1E+99,'TO HOP NLAN'!D217/ncoc+IF(SUMSQ('TS-PILE'!$E$56:$E$75)=0,0,'TO HOP NLAN'!E217*'TS-PILE'!$E$68/SUMSQ('TS-PILE'!$E$56:$E$75))+IF(SUMSQ('TS-PILE'!$D$56:$D$75)=0,0,'TO HOP NLAN'!F217*'TS-PILE'!$D$68/SUMSQ('TS-PILE'!$D$56:$D$75))),IF('TS-PILE'!$B$69="",-1E+99,'TO HOP NLAN'!D217/ncoc+IF(SUMSQ('TS-PILE'!$E$56:$E$75)=0,0,'TO HOP NLAN'!E217*'TS-PILE'!$E$69/SUMSQ('TS-PILE'!$E$56:$E$75))+IF(SUMSQ('TS-PILE'!$D$56:$D$75)=0,0,'TO HOP NLAN'!F217*'TS-PILE'!$D$69/SUMSQ('TS-PILE'!$D$56:$D$75))),IF('TS-PILE'!$B$70="",-1E+99,'TO HOP NLAN'!D217/ncoc+IF(SUMSQ('TS-PILE'!$E$56:$E$75)=0,0,'TO HOP NLAN'!E217*'TS-PILE'!$E$70/SUMSQ('TS-PILE'!$E$56:$E$75))+IF(SUMSQ('TS-PILE'!$D$56:$D$75)=0,0,'TO HOP NLAN'!F217*'TS-PILE'!$D$70/SUMSQ('TS-PILE'!$D$56:$D$75))),IF('TS-PILE'!$B$71="",-1E+99,'TO HOP NLAN'!D217/ncoc+IF(SUMSQ('TS-PILE'!$E$56:$E$75)=0,0,'TO HOP NLAN'!E217*'TS-PILE'!$E$71/SUMSQ('TS-PILE'!$E$56:$E$75))+IF(SUMSQ('TS-PILE'!$D$56:$D$75)=0,0,'TO HOP NLAN'!F217*'TS-PILE'!$D$71/SUMSQ('TS-PILE'!$D$56:$D$75))),IF('TS-PILE'!$B$72="",-1E+99,'TO HOP NLAN'!D217/ncoc+IF(SUMSQ('TS-PILE'!$E$56:$E$75)=0,0,'TO HOP NLAN'!E217*'TS-PILE'!$E$72/SUMSQ('TS-PILE'!$E$56:$E$75))+IF(SUMSQ('TS-PILE'!$D$56:$D$75)=0,0,'TO HOP NLAN'!F217*'TS-PILE'!$D$72/SUMSQ('TS-PILE'!$D$56:$D$75))),IF('TS-PILE'!$B$73="",-1E+99,'TO HOP NLAN'!D217/ncoc+IF(SUMSQ('TS-PILE'!$E$56:$E$75)=0,0,'TO HOP NLAN'!E217*'TS-PILE'!$E$73/SUMSQ('TS-PILE'!$E$56:$E$75))+IF(SUMSQ('TS-PILE'!$D$56:$D$75)=0,0,'TO HOP NLAN'!F217*'TS-PILE'!$D$73/SUMSQ('TS-PILE'!$D$56:$D$75))),IF('TS-PILE'!$B$74="",-1E+99,'TO HOP NLAN'!D217/ncoc+IF(SUMSQ('TS-PILE'!$E$56:$E$75)=0,0,'TO HOP NLAN'!E217*'TS-PILE'!$E$74/SUMSQ('TS-PILE'!$E$56:$E$75))+IF(SUMSQ('TS-PILE'!$D$56:$D$75)=0,0,'TO HOP NLAN'!F217*'TS-PILE'!$D$74/SUMSQ('TS-PILE'!$D$56:$D$75))),IF('TS-PILE'!$B$75="",-1E+99,'TO HOP NLAN'!D217/ncoc+IF(SUMSQ('TS-PILE'!$E$56:$E$75)=0,0,'TO HOP NLAN'!E217*'TS-PILE'!$E$75/SUMSQ('TS-PILE'!$E$56:$E$75))+IF(SUMSQ('TS-PILE'!$D$56:$D$75)=0,0,'TO HOP NLAN'!F217*'TS-PILE'!$D$75/SUMSQ('TS-PILE'!$D$56:$D$75)))))</f>
        <v>0</v>
      </c>
      <c r="D217" s="46">
        <f>IF(A217="",0,MIN(IF('TS-PILE'!$B$56="",1E+99,'TO HOP NLAN'!D217/ncoc+IF(SUMSQ('TS-PILE'!$E$56:$E$75)=0,0,'TO HOP NLAN'!E217*'TS-PILE'!$E$56/SUMSQ('TS-PILE'!$E$56:$E$75))+IF(SUMSQ('TS-PILE'!$D$56:$D$75)=0,0,'TO HOP NLAN'!F217*'TS-PILE'!$D$56/SUMSQ('TS-PILE'!$D$56:$D$75))),IF('TS-PILE'!$B$57="",1E+99,'TO HOP NLAN'!D217/ncoc+IF(SUMSQ('TS-PILE'!$E$56:$E$75)=0,0,'TO HOP NLAN'!E217*'TS-PILE'!$E$57/SUMSQ('TS-PILE'!$E$56:$E$75))+IF(SUMSQ('TS-PILE'!$D$56:$D$75)=0,0,'TO HOP NLAN'!F217*'TS-PILE'!$D$57/SUMSQ('TS-PILE'!$D$56:$D$75))),IF('TS-PILE'!$B$58="",1E+99,'TO HOP NLAN'!D217/ncoc+IF(SUMSQ('TS-PILE'!$E$56:$E$75)=0,0,'TO HOP NLAN'!E217*'TS-PILE'!$E$58/SUMSQ('TS-PILE'!$E$56:$E$75))+IF(SUMSQ('TS-PILE'!$D$56:$D$75)=0,0,'TO HOP NLAN'!F217*'TS-PILE'!$D$58/SUMSQ('TS-PILE'!$D$56:$D$75))),IF('TS-PILE'!$B$59="",1E+99,'TO HOP NLAN'!D217/ncoc+IF(SUMSQ('TS-PILE'!$E$56:$E$75)=0,0,'TO HOP NLAN'!E217*'TS-PILE'!$E$59/SUMSQ('TS-PILE'!$E$56:$E$75))+IF(SUMSQ('TS-PILE'!$D$56:$D$75)=0,0,'TO HOP NLAN'!F217*'TS-PILE'!$D$59/SUMSQ('TS-PILE'!$D$56:$D$75))),IF('TS-PILE'!$B$60="",1E+99,'TO HOP NLAN'!D217/ncoc+IF(SUMSQ('TS-PILE'!$E$56:$E$75)=0,0,'TO HOP NLAN'!E217*'TS-PILE'!$E$60/SUMSQ('TS-PILE'!$E$56:$E$75))+IF(SUMSQ('TS-PILE'!$D$56:$D$75)=0,0,'TO HOP NLAN'!F217*'TS-PILE'!$D$60/SUMSQ('TS-PILE'!$D$56:$D$75))),IF('TS-PILE'!$B$61="",1E+99,'TO HOP NLAN'!D217/ncoc+IF(SUMSQ('TS-PILE'!$E$56:$E$75)=0,0,'TO HOP NLAN'!E217*'TS-PILE'!$E$61/SUMSQ('TS-PILE'!$E$56:$E$75))+IF(SUMSQ('TS-PILE'!$D$56:$D$75)=0,0,'TO HOP NLAN'!F217*'TS-PILE'!$D$61/SUMSQ('TS-PILE'!$D$56:$D$75))),IF('TS-PILE'!$B$62="",1E+99,'TO HOP NLAN'!D217/ncoc+IF(SUMSQ('TS-PILE'!$E$56:$E$75)=0,0,'TO HOP NLAN'!E217*'TS-PILE'!$E$62/SUMSQ('TS-PILE'!$E$56:$E$75))+IF(SUMSQ('TS-PILE'!$D$56:$D$75)=0,0,'TO HOP NLAN'!F217*'TS-PILE'!$D$62/SUMSQ('TS-PILE'!$D$56:$D$75))),IF('TS-PILE'!$B$63="",1E+99,'TO HOP NLAN'!D217/ncoc+IF(SUMSQ('TS-PILE'!$E$56:$E$75)=0,0,'TO HOP NLAN'!E217*'TS-PILE'!$E$63/SUMSQ('TS-PILE'!$E$56:$E$75))+IF(SUMSQ('TS-PILE'!$D$56:$D$75)=0,0,'TO HOP NLAN'!F217*'TS-PILE'!$D$63/SUMSQ('TS-PILE'!$D$56:$D$75))),IF('TS-PILE'!$B$64="",1E+99,'TO HOP NLAN'!D217/ncoc+IF(SUMSQ('TS-PILE'!$E$56:$E$75)=0,0,'TO HOP NLAN'!E217*'TS-PILE'!$E$64/SUMSQ('TS-PILE'!$E$56:$E$75))+IF(SUMSQ('TS-PILE'!$D$56:$D$75)=0,0,'TO HOP NLAN'!F217*'TS-PILE'!$D$64/SUMSQ('TS-PILE'!$D$56:$D$75))),IF('TS-PILE'!$B$65="",1E+99,'TO HOP NLAN'!D217/ncoc+IF(SUMSQ('TS-PILE'!$E$56:$E$75)=0,0,'TO HOP NLAN'!E217*'TS-PILE'!$E$65/SUMSQ('TS-PILE'!$E$56:$E$75))+IF(SUMSQ('TS-PILE'!$D$56:$D$75)=0,0,'TO HOP NLAN'!F217*'TS-PILE'!$D$65/SUMSQ('TS-PILE'!$D$56:$D$75))),IF('TS-PILE'!$B$66="",1E+99,'TO HOP NLAN'!D217/ncoc+IF(SUMSQ('TS-PILE'!$E$56:$E$75)=0,0,'TO HOP NLAN'!E217*'TS-PILE'!$E$66/SUMSQ('TS-PILE'!$E$56:$E$75))+IF(SUMSQ('TS-PILE'!$D$56:$D$75)=0,0,'TO HOP NLAN'!F217*'TS-PILE'!$D$66/SUMSQ('TS-PILE'!$D$56:$D$75))),IF('TS-PILE'!$B$67="",1E+99,'TO HOP NLAN'!D217/ncoc+IF(SUMSQ('TS-PILE'!$E$56:$E$75)=0,0,'TO HOP NLAN'!E217*'TS-PILE'!$E$67/SUMSQ('TS-PILE'!$E$56:$E$75))+IF(SUMSQ('TS-PILE'!$D$56:$D$75)=0,0,'TO HOP NLAN'!F217*'TS-PILE'!$D$67/SUMSQ('TS-PILE'!$D$56:$D$75))),IF('TS-PILE'!$B$68="",1E+99,'TO HOP NLAN'!D217/ncoc+IF(SUMSQ('TS-PILE'!$E$56:$E$75)=0,0,'TO HOP NLAN'!E217*'TS-PILE'!$E$68/SUMSQ('TS-PILE'!$E$56:$E$75))+IF(SUMSQ('TS-PILE'!$D$56:$D$75)=0,0,'TO HOP NLAN'!F217*'TS-PILE'!$D$68/SUMSQ('TS-PILE'!$D$56:$D$75))),IF('TS-PILE'!$B$69="",1E+99,'TO HOP NLAN'!D217/ncoc+IF(SUMSQ('TS-PILE'!$E$56:$E$75)=0,0,'TO HOP NLAN'!E217*'TS-PILE'!$E$69/SUMSQ('TS-PILE'!$E$56:$E$75))+IF(SUMSQ('TS-PILE'!$D$56:$D$75)=0,0,'TO HOP NLAN'!F217*'TS-PILE'!$D$69/SUMSQ('TS-PILE'!$D$56:$D$75))),IF('TS-PILE'!$B$70="",1E+99,'TO HOP NLAN'!D217/ncoc+IF(SUMSQ('TS-PILE'!$E$56:$E$75)=0,0,'TO HOP NLAN'!E217*'TS-PILE'!$E$70/SUMSQ('TS-PILE'!$E$56:$E$75))+IF(SUMSQ('TS-PILE'!$D$56:$D$75)=0,0,'TO HOP NLAN'!F217*'TS-PILE'!$D$70/SUMSQ('TS-PILE'!$D$56:$D$75))),IF('TS-PILE'!$B$71="",1E+99,'TO HOP NLAN'!D217/ncoc+IF(SUMSQ('TS-PILE'!$E$56:$E$75)=0,0,'TO HOP NLAN'!E217*'TS-PILE'!$E$71/SUMSQ('TS-PILE'!$E$56:$E$75))+IF(SUMSQ('TS-PILE'!$D$56:$D$75)=0,0,'TO HOP NLAN'!F217*'TS-PILE'!$D$71/SUMSQ('TS-PILE'!$D$56:$D$75))),IF('TS-PILE'!$B$72="",1E+99,'TO HOP NLAN'!D217/ncoc+IF(SUMSQ('TS-PILE'!$E$56:$E$75)=0,0,'TO HOP NLAN'!E217*'TS-PILE'!$E$72/SUMSQ('TS-PILE'!$E$56:$E$75))+IF(SUMSQ('TS-PILE'!$D$56:$D$75)=0,0,'TO HOP NLAN'!F217*'TS-PILE'!$D$72/SUMSQ('TS-PILE'!$D$56:$D$75))),IF('TS-PILE'!$B$73="",1E+99,'TO HOP NLAN'!D217/ncoc+IF(SUMSQ('TS-PILE'!$E$56:$E$75)=0,0,'TO HOP NLAN'!E217*'TS-PILE'!$E$73/SUMSQ('TS-PILE'!$E$56:$E$75))+IF(SUMSQ('TS-PILE'!$D$56:$D$75)=0,0,'TO HOP NLAN'!F217*'TS-PILE'!$D$73/SUMSQ('TS-PILE'!$D$56:$D$75))),IF('TS-PILE'!$B$74="",1E+99,'TO HOP NLAN'!D217/ncoc+IF(SUMSQ('TS-PILE'!$E$56:$E$75)=0,0,'TO HOP NLAN'!E217*'TS-PILE'!$E$74/SUMSQ('TS-PILE'!$E$56:$E$75))+IF(SUMSQ('TS-PILE'!$D$56:$D$75)=0,0,'TO HOP NLAN'!F217*'TS-PILE'!$D$74/SUMSQ('TS-PILE'!$D$56:$D$75))),IF('TS-PILE'!$B$75="",1E+99,'TO HOP NLAN'!D217/ncoc+IF(SUMSQ('TS-PILE'!$E$56:$E$75)=0,0,'TO HOP NLAN'!E217*'TS-PILE'!$E$75/SUMSQ('TS-PILE'!$E$56:$E$75))+IF(SUMSQ('TS-PILE'!$D$56:$D$75)=0,0,'TO HOP NLAN'!F217*'TS-PILE'!$D$75/SUMSQ('TS-PILE'!$D$56:$D$75)))))</f>
        <v>0</v>
      </c>
      <c r="E217" s="46">
        <f t="shared" si="12"/>
        <v>-9.9999999999999997E+98</v>
      </c>
      <c r="F217" s="46">
        <f t="shared" si="13"/>
        <v>9.9999999999999997E+98</v>
      </c>
      <c r="G217" s="46">
        <f t="shared" si="14"/>
        <v>-9.9999999999999997E+98</v>
      </c>
      <c r="H217" s="46">
        <f t="shared" si="15"/>
        <v>9.9999999999999997E+98</v>
      </c>
    </row>
    <row r="218" spans="1:8" x14ac:dyDescent="0.3">
      <c r="A218" s="40" t="str">
        <f>'TO HOP NLAN'!A218</f>
        <v/>
      </c>
      <c r="B218" s="40" t="str">
        <f>'TO HOP NLAN'!L218</f>
        <v>STRENGTH</v>
      </c>
      <c r="C218" s="46">
        <f>IF(A218="",0,MAX(IF('TS-PILE'!$B$56="",-1E+99,'TO HOP NLAN'!D218/ncoc+IF(SUMSQ('TS-PILE'!$E$56:$E$75)=0,0,'TO HOP NLAN'!E218*'TS-PILE'!$E$56/SUMSQ('TS-PILE'!$E$56:$E$75))+IF(SUMSQ('TS-PILE'!$D$56:$D$75)=0,0,'TO HOP NLAN'!F218*'TS-PILE'!$D$56/SUMSQ('TS-PILE'!$D$56:$D$75))),IF('TS-PILE'!$B$57="",-1E+99,'TO HOP NLAN'!D218/ncoc+IF(SUMSQ('TS-PILE'!$E$56:$E$75)=0,0,'TO HOP NLAN'!E218*'TS-PILE'!$E$57/SUMSQ('TS-PILE'!$E$56:$E$75))+IF(SUMSQ('TS-PILE'!$D$56:$D$75)=0,0,'TO HOP NLAN'!F218*'TS-PILE'!$D$57/SUMSQ('TS-PILE'!$D$56:$D$75))),IF('TS-PILE'!$B$58="",-1E+99,'TO HOP NLAN'!D218/ncoc+IF(SUMSQ('TS-PILE'!$E$56:$E$75)=0,0,'TO HOP NLAN'!E218*'TS-PILE'!$E$58/SUMSQ('TS-PILE'!$E$56:$E$75))+IF(SUMSQ('TS-PILE'!$D$56:$D$75)=0,0,'TO HOP NLAN'!F218*'TS-PILE'!$D$58/SUMSQ('TS-PILE'!$D$56:$D$75))),IF('TS-PILE'!$B$59="",-1E+99,'TO HOP NLAN'!D218/ncoc+IF(SUMSQ('TS-PILE'!$E$56:$E$75)=0,0,'TO HOP NLAN'!E218*'TS-PILE'!$E$59/SUMSQ('TS-PILE'!$E$56:$E$75))+IF(SUMSQ('TS-PILE'!$D$56:$D$75)=0,0,'TO HOP NLAN'!F218*'TS-PILE'!$D$59/SUMSQ('TS-PILE'!$D$56:$D$75))),IF('TS-PILE'!$B$60="",-1E+99,'TO HOP NLAN'!D218/ncoc+IF(SUMSQ('TS-PILE'!$E$56:$E$75)=0,0,'TO HOP NLAN'!E218*'TS-PILE'!$E$60/SUMSQ('TS-PILE'!$E$56:$E$75))+IF(SUMSQ('TS-PILE'!$D$56:$D$75)=0,0,'TO HOP NLAN'!F218*'TS-PILE'!$D$60/SUMSQ('TS-PILE'!$D$56:$D$75))),IF('TS-PILE'!$B$61="",-1E+99,'TO HOP NLAN'!D218/ncoc+IF(SUMSQ('TS-PILE'!$E$56:$E$75)=0,0,'TO HOP NLAN'!E218*'TS-PILE'!$E$61/SUMSQ('TS-PILE'!$E$56:$E$75))+IF(SUMSQ('TS-PILE'!$D$56:$D$75)=0,0,'TO HOP NLAN'!F218*'TS-PILE'!$D$61/SUMSQ('TS-PILE'!$D$56:$D$75))),IF('TS-PILE'!$B$62="",-1E+99,'TO HOP NLAN'!D218/ncoc+IF(SUMSQ('TS-PILE'!$E$56:$E$75)=0,0,'TO HOP NLAN'!E218*'TS-PILE'!$E$62/SUMSQ('TS-PILE'!$E$56:$E$75))+IF(SUMSQ('TS-PILE'!$D$56:$D$75)=0,0,'TO HOP NLAN'!F218*'TS-PILE'!$D$62/SUMSQ('TS-PILE'!$D$56:$D$75))),IF('TS-PILE'!$B$63="",-1E+99,'TO HOP NLAN'!D218/ncoc+IF(SUMSQ('TS-PILE'!$E$56:$E$75)=0,0,'TO HOP NLAN'!E218*'TS-PILE'!$E$63/SUMSQ('TS-PILE'!$E$56:$E$75))+IF(SUMSQ('TS-PILE'!$D$56:$D$75)=0,0,'TO HOP NLAN'!F218*'TS-PILE'!$D$63/SUMSQ('TS-PILE'!$D$56:$D$75))),IF('TS-PILE'!$B$64="",-1E+99,'TO HOP NLAN'!D218/ncoc+IF(SUMSQ('TS-PILE'!$E$56:$E$75)=0,0,'TO HOP NLAN'!E218*'TS-PILE'!$E$64/SUMSQ('TS-PILE'!$E$56:$E$75))+IF(SUMSQ('TS-PILE'!$D$56:$D$75)=0,0,'TO HOP NLAN'!F218*'TS-PILE'!$D$64/SUMSQ('TS-PILE'!$D$56:$D$75))),IF('TS-PILE'!$B$65="",-1E+99,'TO HOP NLAN'!D218/ncoc+IF(SUMSQ('TS-PILE'!$E$56:$E$75)=0,0,'TO HOP NLAN'!E218*'TS-PILE'!$E$65/SUMSQ('TS-PILE'!$E$56:$E$75))+IF(SUMSQ('TS-PILE'!$D$56:$D$75)=0,0,'TO HOP NLAN'!F218*'TS-PILE'!$D$65/SUMSQ('TS-PILE'!$D$56:$D$75))),IF('TS-PILE'!$B$66="",-1E+99,'TO HOP NLAN'!D218/ncoc+IF(SUMSQ('TS-PILE'!$E$56:$E$75)=0,0,'TO HOP NLAN'!E218*'TS-PILE'!$E$66/SUMSQ('TS-PILE'!$E$56:$E$75))+IF(SUMSQ('TS-PILE'!$D$56:$D$75)=0,0,'TO HOP NLAN'!F218*'TS-PILE'!$D$66/SUMSQ('TS-PILE'!$D$56:$D$75))),IF('TS-PILE'!$B$67="",-1E+99,'TO HOP NLAN'!D218/ncoc+IF(SUMSQ('TS-PILE'!$E$56:$E$75)=0,0,'TO HOP NLAN'!E218*'TS-PILE'!$E$67/SUMSQ('TS-PILE'!$E$56:$E$75))+IF(SUMSQ('TS-PILE'!$D$56:$D$75)=0,0,'TO HOP NLAN'!F218*'TS-PILE'!$D$67/SUMSQ('TS-PILE'!$D$56:$D$75))),IF('TS-PILE'!$B$68="",-1E+99,'TO HOP NLAN'!D218/ncoc+IF(SUMSQ('TS-PILE'!$E$56:$E$75)=0,0,'TO HOP NLAN'!E218*'TS-PILE'!$E$68/SUMSQ('TS-PILE'!$E$56:$E$75))+IF(SUMSQ('TS-PILE'!$D$56:$D$75)=0,0,'TO HOP NLAN'!F218*'TS-PILE'!$D$68/SUMSQ('TS-PILE'!$D$56:$D$75))),IF('TS-PILE'!$B$69="",-1E+99,'TO HOP NLAN'!D218/ncoc+IF(SUMSQ('TS-PILE'!$E$56:$E$75)=0,0,'TO HOP NLAN'!E218*'TS-PILE'!$E$69/SUMSQ('TS-PILE'!$E$56:$E$75))+IF(SUMSQ('TS-PILE'!$D$56:$D$75)=0,0,'TO HOP NLAN'!F218*'TS-PILE'!$D$69/SUMSQ('TS-PILE'!$D$56:$D$75))),IF('TS-PILE'!$B$70="",-1E+99,'TO HOP NLAN'!D218/ncoc+IF(SUMSQ('TS-PILE'!$E$56:$E$75)=0,0,'TO HOP NLAN'!E218*'TS-PILE'!$E$70/SUMSQ('TS-PILE'!$E$56:$E$75))+IF(SUMSQ('TS-PILE'!$D$56:$D$75)=0,0,'TO HOP NLAN'!F218*'TS-PILE'!$D$70/SUMSQ('TS-PILE'!$D$56:$D$75))),IF('TS-PILE'!$B$71="",-1E+99,'TO HOP NLAN'!D218/ncoc+IF(SUMSQ('TS-PILE'!$E$56:$E$75)=0,0,'TO HOP NLAN'!E218*'TS-PILE'!$E$71/SUMSQ('TS-PILE'!$E$56:$E$75))+IF(SUMSQ('TS-PILE'!$D$56:$D$75)=0,0,'TO HOP NLAN'!F218*'TS-PILE'!$D$71/SUMSQ('TS-PILE'!$D$56:$D$75))),IF('TS-PILE'!$B$72="",-1E+99,'TO HOP NLAN'!D218/ncoc+IF(SUMSQ('TS-PILE'!$E$56:$E$75)=0,0,'TO HOP NLAN'!E218*'TS-PILE'!$E$72/SUMSQ('TS-PILE'!$E$56:$E$75))+IF(SUMSQ('TS-PILE'!$D$56:$D$75)=0,0,'TO HOP NLAN'!F218*'TS-PILE'!$D$72/SUMSQ('TS-PILE'!$D$56:$D$75))),IF('TS-PILE'!$B$73="",-1E+99,'TO HOP NLAN'!D218/ncoc+IF(SUMSQ('TS-PILE'!$E$56:$E$75)=0,0,'TO HOP NLAN'!E218*'TS-PILE'!$E$73/SUMSQ('TS-PILE'!$E$56:$E$75))+IF(SUMSQ('TS-PILE'!$D$56:$D$75)=0,0,'TO HOP NLAN'!F218*'TS-PILE'!$D$73/SUMSQ('TS-PILE'!$D$56:$D$75))),IF('TS-PILE'!$B$74="",-1E+99,'TO HOP NLAN'!D218/ncoc+IF(SUMSQ('TS-PILE'!$E$56:$E$75)=0,0,'TO HOP NLAN'!E218*'TS-PILE'!$E$74/SUMSQ('TS-PILE'!$E$56:$E$75))+IF(SUMSQ('TS-PILE'!$D$56:$D$75)=0,0,'TO HOP NLAN'!F218*'TS-PILE'!$D$74/SUMSQ('TS-PILE'!$D$56:$D$75))),IF('TS-PILE'!$B$75="",-1E+99,'TO HOP NLAN'!D218/ncoc+IF(SUMSQ('TS-PILE'!$E$56:$E$75)=0,0,'TO HOP NLAN'!E218*'TS-PILE'!$E$75/SUMSQ('TS-PILE'!$E$56:$E$75))+IF(SUMSQ('TS-PILE'!$D$56:$D$75)=0,0,'TO HOP NLAN'!F218*'TS-PILE'!$D$75/SUMSQ('TS-PILE'!$D$56:$D$75)))))</f>
        <v>0</v>
      </c>
      <c r="D218" s="46">
        <f>IF(A218="",0,MIN(IF('TS-PILE'!$B$56="",1E+99,'TO HOP NLAN'!D218/ncoc+IF(SUMSQ('TS-PILE'!$E$56:$E$75)=0,0,'TO HOP NLAN'!E218*'TS-PILE'!$E$56/SUMSQ('TS-PILE'!$E$56:$E$75))+IF(SUMSQ('TS-PILE'!$D$56:$D$75)=0,0,'TO HOP NLAN'!F218*'TS-PILE'!$D$56/SUMSQ('TS-PILE'!$D$56:$D$75))),IF('TS-PILE'!$B$57="",1E+99,'TO HOP NLAN'!D218/ncoc+IF(SUMSQ('TS-PILE'!$E$56:$E$75)=0,0,'TO HOP NLAN'!E218*'TS-PILE'!$E$57/SUMSQ('TS-PILE'!$E$56:$E$75))+IF(SUMSQ('TS-PILE'!$D$56:$D$75)=0,0,'TO HOP NLAN'!F218*'TS-PILE'!$D$57/SUMSQ('TS-PILE'!$D$56:$D$75))),IF('TS-PILE'!$B$58="",1E+99,'TO HOP NLAN'!D218/ncoc+IF(SUMSQ('TS-PILE'!$E$56:$E$75)=0,0,'TO HOP NLAN'!E218*'TS-PILE'!$E$58/SUMSQ('TS-PILE'!$E$56:$E$75))+IF(SUMSQ('TS-PILE'!$D$56:$D$75)=0,0,'TO HOP NLAN'!F218*'TS-PILE'!$D$58/SUMSQ('TS-PILE'!$D$56:$D$75))),IF('TS-PILE'!$B$59="",1E+99,'TO HOP NLAN'!D218/ncoc+IF(SUMSQ('TS-PILE'!$E$56:$E$75)=0,0,'TO HOP NLAN'!E218*'TS-PILE'!$E$59/SUMSQ('TS-PILE'!$E$56:$E$75))+IF(SUMSQ('TS-PILE'!$D$56:$D$75)=0,0,'TO HOP NLAN'!F218*'TS-PILE'!$D$59/SUMSQ('TS-PILE'!$D$56:$D$75))),IF('TS-PILE'!$B$60="",1E+99,'TO HOP NLAN'!D218/ncoc+IF(SUMSQ('TS-PILE'!$E$56:$E$75)=0,0,'TO HOP NLAN'!E218*'TS-PILE'!$E$60/SUMSQ('TS-PILE'!$E$56:$E$75))+IF(SUMSQ('TS-PILE'!$D$56:$D$75)=0,0,'TO HOP NLAN'!F218*'TS-PILE'!$D$60/SUMSQ('TS-PILE'!$D$56:$D$75))),IF('TS-PILE'!$B$61="",1E+99,'TO HOP NLAN'!D218/ncoc+IF(SUMSQ('TS-PILE'!$E$56:$E$75)=0,0,'TO HOP NLAN'!E218*'TS-PILE'!$E$61/SUMSQ('TS-PILE'!$E$56:$E$75))+IF(SUMSQ('TS-PILE'!$D$56:$D$75)=0,0,'TO HOP NLAN'!F218*'TS-PILE'!$D$61/SUMSQ('TS-PILE'!$D$56:$D$75))),IF('TS-PILE'!$B$62="",1E+99,'TO HOP NLAN'!D218/ncoc+IF(SUMSQ('TS-PILE'!$E$56:$E$75)=0,0,'TO HOP NLAN'!E218*'TS-PILE'!$E$62/SUMSQ('TS-PILE'!$E$56:$E$75))+IF(SUMSQ('TS-PILE'!$D$56:$D$75)=0,0,'TO HOP NLAN'!F218*'TS-PILE'!$D$62/SUMSQ('TS-PILE'!$D$56:$D$75))),IF('TS-PILE'!$B$63="",1E+99,'TO HOP NLAN'!D218/ncoc+IF(SUMSQ('TS-PILE'!$E$56:$E$75)=0,0,'TO HOP NLAN'!E218*'TS-PILE'!$E$63/SUMSQ('TS-PILE'!$E$56:$E$75))+IF(SUMSQ('TS-PILE'!$D$56:$D$75)=0,0,'TO HOP NLAN'!F218*'TS-PILE'!$D$63/SUMSQ('TS-PILE'!$D$56:$D$75))),IF('TS-PILE'!$B$64="",1E+99,'TO HOP NLAN'!D218/ncoc+IF(SUMSQ('TS-PILE'!$E$56:$E$75)=0,0,'TO HOP NLAN'!E218*'TS-PILE'!$E$64/SUMSQ('TS-PILE'!$E$56:$E$75))+IF(SUMSQ('TS-PILE'!$D$56:$D$75)=0,0,'TO HOP NLAN'!F218*'TS-PILE'!$D$64/SUMSQ('TS-PILE'!$D$56:$D$75))),IF('TS-PILE'!$B$65="",1E+99,'TO HOP NLAN'!D218/ncoc+IF(SUMSQ('TS-PILE'!$E$56:$E$75)=0,0,'TO HOP NLAN'!E218*'TS-PILE'!$E$65/SUMSQ('TS-PILE'!$E$56:$E$75))+IF(SUMSQ('TS-PILE'!$D$56:$D$75)=0,0,'TO HOP NLAN'!F218*'TS-PILE'!$D$65/SUMSQ('TS-PILE'!$D$56:$D$75))),IF('TS-PILE'!$B$66="",1E+99,'TO HOP NLAN'!D218/ncoc+IF(SUMSQ('TS-PILE'!$E$56:$E$75)=0,0,'TO HOP NLAN'!E218*'TS-PILE'!$E$66/SUMSQ('TS-PILE'!$E$56:$E$75))+IF(SUMSQ('TS-PILE'!$D$56:$D$75)=0,0,'TO HOP NLAN'!F218*'TS-PILE'!$D$66/SUMSQ('TS-PILE'!$D$56:$D$75))),IF('TS-PILE'!$B$67="",1E+99,'TO HOP NLAN'!D218/ncoc+IF(SUMSQ('TS-PILE'!$E$56:$E$75)=0,0,'TO HOP NLAN'!E218*'TS-PILE'!$E$67/SUMSQ('TS-PILE'!$E$56:$E$75))+IF(SUMSQ('TS-PILE'!$D$56:$D$75)=0,0,'TO HOP NLAN'!F218*'TS-PILE'!$D$67/SUMSQ('TS-PILE'!$D$56:$D$75))),IF('TS-PILE'!$B$68="",1E+99,'TO HOP NLAN'!D218/ncoc+IF(SUMSQ('TS-PILE'!$E$56:$E$75)=0,0,'TO HOP NLAN'!E218*'TS-PILE'!$E$68/SUMSQ('TS-PILE'!$E$56:$E$75))+IF(SUMSQ('TS-PILE'!$D$56:$D$75)=0,0,'TO HOP NLAN'!F218*'TS-PILE'!$D$68/SUMSQ('TS-PILE'!$D$56:$D$75))),IF('TS-PILE'!$B$69="",1E+99,'TO HOP NLAN'!D218/ncoc+IF(SUMSQ('TS-PILE'!$E$56:$E$75)=0,0,'TO HOP NLAN'!E218*'TS-PILE'!$E$69/SUMSQ('TS-PILE'!$E$56:$E$75))+IF(SUMSQ('TS-PILE'!$D$56:$D$75)=0,0,'TO HOP NLAN'!F218*'TS-PILE'!$D$69/SUMSQ('TS-PILE'!$D$56:$D$75))),IF('TS-PILE'!$B$70="",1E+99,'TO HOP NLAN'!D218/ncoc+IF(SUMSQ('TS-PILE'!$E$56:$E$75)=0,0,'TO HOP NLAN'!E218*'TS-PILE'!$E$70/SUMSQ('TS-PILE'!$E$56:$E$75))+IF(SUMSQ('TS-PILE'!$D$56:$D$75)=0,0,'TO HOP NLAN'!F218*'TS-PILE'!$D$70/SUMSQ('TS-PILE'!$D$56:$D$75))),IF('TS-PILE'!$B$71="",1E+99,'TO HOP NLAN'!D218/ncoc+IF(SUMSQ('TS-PILE'!$E$56:$E$75)=0,0,'TO HOP NLAN'!E218*'TS-PILE'!$E$71/SUMSQ('TS-PILE'!$E$56:$E$75))+IF(SUMSQ('TS-PILE'!$D$56:$D$75)=0,0,'TO HOP NLAN'!F218*'TS-PILE'!$D$71/SUMSQ('TS-PILE'!$D$56:$D$75))),IF('TS-PILE'!$B$72="",1E+99,'TO HOP NLAN'!D218/ncoc+IF(SUMSQ('TS-PILE'!$E$56:$E$75)=0,0,'TO HOP NLAN'!E218*'TS-PILE'!$E$72/SUMSQ('TS-PILE'!$E$56:$E$75))+IF(SUMSQ('TS-PILE'!$D$56:$D$75)=0,0,'TO HOP NLAN'!F218*'TS-PILE'!$D$72/SUMSQ('TS-PILE'!$D$56:$D$75))),IF('TS-PILE'!$B$73="",1E+99,'TO HOP NLAN'!D218/ncoc+IF(SUMSQ('TS-PILE'!$E$56:$E$75)=0,0,'TO HOP NLAN'!E218*'TS-PILE'!$E$73/SUMSQ('TS-PILE'!$E$56:$E$75))+IF(SUMSQ('TS-PILE'!$D$56:$D$75)=0,0,'TO HOP NLAN'!F218*'TS-PILE'!$D$73/SUMSQ('TS-PILE'!$D$56:$D$75))),IF('TS-PILE'!$B$74="",1E+99,'TO HOP NLAN'!D218/ncoc+IF(SUMSQ('TS-PILE'!$E$56:$E$75)=0,0,'TO HOP NLAN'!E218*'TS-PILE'!$E$74/SUMSQ('TS-PILE'!$E$56:$E$75))+IF(SUMSQ('TS-PILE'!$D$56:$D$75)=0,0,'TO HOP NLAN'!F218*'TS-PILE'!$D$74/SUMSQ('TS-PILE'!$D$56:$D$75))),IF('TS-PILE'!$B$75="",1E+99,'TO HOP NLAN'!D218/ncoc+IF(SUMSQ('TS-PILE'!$E$56:$E$75)=0,0,'TO HOP NLAN'!E218*'TS-PILE'!$E$75/SUMSQ('TS-PILE'!$E$56:$E$75))+IF(SUMSQ('TS-PILE'!$D$56:$D$75)=0,0,'TO HOP NLAN'!F218*'TS-PILE'!$D$75/SUMSQ('TS-PILE'!$D$56:$D$75)))))</f>
        <v>0</v>
      </c>
      <c r="E218" s="46">
        <f t="shared" si="12"/>
        <v>-9.9999999999999997E+98</v>
      </c>
      <c r="F218" s="46">
        <f t="shared" si="13"/>
        <v>9.9999999999999997E+98</v>
      </c>
      <c r="G218" s="46">
        <f t="shared" si="14"/>
        <v>-9.9999999999999997E+98</v>
      </c>
      <c r="H218" s="46">
        <f t="shared" si="15"/>
        <v>9.9999999999999997E+98</v>
      </c>
    </row>
    <row r="219" spans="1:8" x14ac:dyDescent="0.3">
      <c r="A219" s="40" t="str">
        <f>'TO HOP NLAN'!A219</f>
        <v/>
      </c>
      <c r="B219" s="40" t="str">
        <f>'TO HOP NLAN'!L219</f>
        <v>STRENGTH</v>
      </c>
      <c r="C219" s="46">
        <f>IF(A219="",0,MAX(IF('TS-PILE'!$B$56="",-1E+99,'TO HOP NLAN'!D219/ncoc+IF(SUMSQ('TS-PILE'!$E$56:$E$75)=0,0,'TO HOP NLAN'!E219*'TS-PILE'!$E$56/SUMSQ('TS-PILE'!$E$56:$E$75))+IF(SUMSQ('TS-PILE'!$D$56:$D$75)=0,0,'TO HOP NLAN'!F219*'TS-PILE'!$D$56/SUMSQ('TS-PILE'!$D$56:$D$75))),IF('TS-PILE'!$B$57="",-1E+99,'TO HOP NLAN'!D219/ncoc+IF(SUMSQ('TS-PILE'!$E$56:$E$75)=0,0,'TO HOP NLAN'!E219*'TS-PILE'!$E$57/SUMSQ('TS-PILE'!$E$56:$E$75))+IF(SUMSQ('TS-PILE'!$D$56:$D$75)=0,0,'TO HOP NLAN'!F219*'TS-PILE'!$D$57/SUMSQ('TS-PILE'!$D$56:$D$75))),IF('TS-PILE'!$B$58="",-1E+99,'TO HOP NLAN'!D219/ncoc+IF(SUMSQ('TS-PILE'!$E$56:$E$75)=0,0,'TO HOP NLAN'!E219*'TS-PILE'!$E$58/SUMSQ('TS-PILE'!$E$56:$E$75))+IF(SUMSQ('TS-PILE'!$D$56:$D$75)=0,0,'TO HOP NLAN'!F219*'TS-PILE'!$D$58/SUMSQ('TS-PILE'!$D$56:$D$75))),IF('TS-PILE'!$B$59="",-1E+99,'TO HOP NLAN'!D219/ncoc+IF(SUMSQ('TS-PILE'!$E$56:$E$75)=0,0,'TO HOP NLAN'!E219*'TS-PILE'!$E$59/SUMSQ('TS-PILE'!$E$56:$E$75))+IF(SUMSQ('TS-PILE'!$D$56:$D$75)=0,0,'TO HOP NLAN'!F219*'TS-PILE'!$D$59/SUMSQ('TS-PILE'!$D$56:$D$75))),IF('TS-PILE'!$B$60="",-1E+99,'TO HOP NLAN'!D219/ncoc+IF(SUMSQ('TS-PILE'!$E$56:$E$75)=0,0,'TO HOP NLAN'!E219*'TS-PILE'!$E$60/SUMSQ('TS-PILE'!$E$56:$E$75))+IF(SUMSQ('TS-PILE'!$D$56:$D$75)=0,0,'TO HOP NLAN'!F219*'TS-PILE'!$D$60/SUMSQ('TS-PILE'!$D$56:$D$75))),IF('TS-PILE'!$B$61="",-1E+99,'TO HOP NLAN'!D219/ncoc+IF(SUMSQ('TS-PILE'!$E$56:$E$75)=0,0,'TO HOP NLAN'!E219*'TS-PILE'!$E$61/SUMSQ('TS-PILE'!$E$56:$E$75))+IF(SUMSQ('TS-PILE'!$D$56:$D$75)=0,0,'TO HOP NLAN'!F219*'TS-PILE'!$D$61/SUMSQ('TS-PILE'!$D$56:$D$75))),IF('TS-PILE'!$B$62="",-1E+99,'TO HOP NLAN'!D219/ncoc+IF(SUMSQ('TS-PILE'!$E$56:$E$75)=0,0,'TO HOP NLAN'!E219*'TS-PILE'!$E$62/SUMSQ('TS-PILE'!$E$56:$E$75))+IF(SUMSQ('TS-PILE'!$D$56:$D$75)=0,0,'TO HOP NLAN'!F219*'TS-PILE'!$D$62/SUMSQ('TS-PILE'!$D$56:$D$75))),IF('TS-PILE'!$B$63="",-1E+99,'TO HOP NLAN'!D219/ncoc+IF(SUMSQ('TS-PILE'!$E$56:$E$75)=0,0,'TO HOP NLAN'!E219*'TS-PILE'!$E$63/SUMSQ('TS-PILE'!$E$56:$E$75))+IF(SUMSQ('TS-PILE'!$D$56:$D$75)=0,0,'TO HOP NLAN'!F219*'TS-PILE'!$D$63/SUMSQ('TS-PILE'!$D$56:$D$75))),IF('TS-PILE'!$B$64="",-1E+99,'TO HOP NLAN'!D219/ncoc+IF(SUMSQ('TS-PILE'!$E$56:$E$75)=0,0,'TO HOP NLAN'!E219*'TS-PILE'!$E$64/SUMSQ('TS-PILE'!$E$56:$E$75))+IF(SUMSQ('TS-PILE'!$D$56:$D$75)=0,0,'TO HOP NLAN'!F219*'TS-PILE'!$D$64/SUMSQ('TS-PILE'!$D$56:$D$75))),IF('TS-PILE'!$B$65="",-1E+99,'TO HOP NLAN'!D219/ncoc+IF(SUMSQ('TS-PILE'!$E$56:$E$75)=0,0,'TO HOP NLAN'!E219*'TS-PILE'!$E$65/SUMSQ('TS-PILE'!$E$56:$E$75))+IF(SUMSQ('TS-PILE'!$D$56:$D$75)=0,0,'TO HOP NLAN'!F219*'TS-PILE'!$D$65/SUMSQ('TS-PILE'!$D$56:$D$75))),IF('TS-PILE'!$B$66="",-1E+99,'TO HOP NLAN'!D219/ncoc+IF(SUMSQ('TS-PILE'!$E$56:$E$75)=0,0,'TO HOP NLAN'!E219*'TS-PILE'!$E$66/SUMSQ('TS-PILE'!$E$56:$E$75))+IF(SUMSQ('TS-PILE'!$D$56:$D$75)=0,0,'TO HOP NLAN'!F219*'TS-PILE'!$D$66/SUMSQ('TS-PILE'!$D$56:$D$75))),IF('TS-PILE'!$B$67="",-1E+99,'TO HOP NLAN'!D219/ncoc+IF(SUMSQ('TS-PILE'!$E$56:$E$75)=0,0,'TO HOP NLAN'!E219*'TS-PILE'!$E$67/SUMSQ('TS-PILE'!$E$56:$E$75))+IF(SUMSQ('TS-PILE'!$D$56:$D$75)=0,0,'TO HOP NLAN'!F219*'TS-PILE'!$D$67/SUMSQ('TS-PILE'!$D$56:$D$75))),IF('TS-PILE'!$B$68="",-1E+99,'TO HOP NLAN'!D219/ncoc+IF(SUMSQ('TS-PILE'!$E$56:$E$75)=0,0,'TO HOP NLAN'!E219*'TS-PILE'!$E$68/SUMSQ('TS-PILE'!$E$56:$E$75))+IF(SUMSQ('TS-PILE'!$D$56:$D$75)=0,0,'TO HOP NLAN'!F219*'TS-PILE'!$D$68/SUMSQ('TS-PILE'!$D$56:$D$75))),IF('TS-PILE'!$B$69="",-1E+99,'TO HOP NLAN'!D219/ncoc+IF(SUMSQ('TS-PILE'!$E$56:$E$75)=0,0,'TO HOP NLAN'!E219*'TS-PILE'!$E$69/SUMSQ('TS-PILE'!$E$56:$E$75))+IF(SUMSQ('TS-PILE'!$D$56:$D$75)=0,0,'TO HOP NLAN'!F219*'TS-PILE'!$D$69/SUMSQ('TS-PILE'!$D$56:$D$75))),IF('TS-PILE'!$B$70="",-1E+99,'TO HOP NLAN'!D219/ncoc+IF(SUMSQ('TS-PILE'!$E$56:$E$75)=0,0,'TO HOP NLAN'!E219*'TS-PILE'!$E$70/SUMSQ('TS-PILE'!$E$56:$E$75))+IF(SUMSQ('TS-PILE'!$D$56:$D$75)=0,0,'TO HOP NLAN'!F219*'TS-PILE'!$D$70/SUMSQ('TS-PILE'!$D$56:$D$75))),IF('TS-PILE'!$B$71="",-1E+99,'TO HOP NLAN'!D219/ncoc+IF(SUMSQ('TS-PILE'!$E$56:$E$75)=0,0,'TO HOP NLAN'!E219*'TS-PILE'!$E$71/SUMSQ('TS-PILE'!$E$56:$E$75))+IF(SUMSQ('TS-PILE'!$D$56:$D$75)=0,0,'TO HOP NLAN'!F219*'TS-PILE'!$D$71/SUMSQ('TS-PILE'!$D$56:$D$75))),IF('TS-PILE'!$B$72="",-1E+99,'TO HOP NLAN'!D219/ncoc+IF(SUMSQ('TS-PILE'!$E$56:$E$75)=0,0,'TO HOP NLAN'!E219*'TS-PILE'!$E$72/SUMSQ('TS-PILE'!$E$56:$E$75))+IF(SUMSQ('TS-PILE'!$D$56:$D$75)=0,0,'TO HOP NLAN'!F219*'TS-PILE'!$D$72/SUMSQ('TS-PILE'!$D$56:$D$75))),IF('TS-PILE'!$B$73="",-1E+99,'TO HOP NLAN'!D219/ncoc+IF(SUMSQ('TS-PILE'!$E$56:$E$75)=0,0,'TO HOP NLAN'!E219*'TS-PILE'!$E$73/SUMSQ('TS-PILE'!$E$56:$E$75))+IF(SUMSQ('TS-PILE'!$D$56:$D$75)=0,0,'TO HOP NLAN'!F219*'TS-PILE'!$D$73/SUMSQ('TS-PILE'!$D$56:$D$75))),IF('TS-PILE'!$B$74="",-1E+99,'TO HOP NLAN'!D219/ncoc+IF(SUMSQ('TS-PILE'!$E$56:$E$75)=0,0,'TO HOP NLAN'!E219*'TS-PILE'!$E$74/SUMSQ('TS-PILE'!$E$56:$E$75))+IF(SUMSQ('TS-PILE'!$D$56:$D$75)=0,0,'TO HOP NLAN'!F219*'TS-PILE'!$D$74/SUMSQ('TS-PILE'!$D$56:$D$75))),IF('TS-PILE'!$B$75="",-1E+99,'TO HOP NLAN'!D219/ncoc+IF(SUMSQ('TS-PILE'!$E$56:$E$75)=0,0,'TO HOP NLAN'!E219*'TS-PILE'!$E$75/SUMSQ('TS-PILE'!$E$56:$E$75))+IF(SUMSQ('TS-PILE'!$D$56:$D$75)=0,0,'TO HOP NLAN'!F219*'TS-PILE'!$D$75/SUMSQ('TS-PILE'!$D$56:$D$75)))))</f>
        <v>0</v>
      </c>
      <c r="D219" s="46">
        <f>IF(A219="",0,MIN(IF('TS-PILE'!$B$56="",1E+99,'TO HOP NLAN'!D219/ncoc+IF(SUMSQ('TS-PILE'!$E$56:$E$75)=0,0,'TO HOP NLAN'!E219*'TS-PILE'!$E$56/SUMSQ('TS-PILE'!$E$56:$E$75))+IF(SUMSQ('TS-PILE'!$D$56:$D$75)=0,0,'TO HOP NLAN'!F219*'TS-PILE'!$D$56/SUMSQ('TS-PILE'!$D$56:$D$75))),IF('TS-PILE'!$B$57="",1E+99,'TO HOP NLAN'!D219/ncoc+IF(SUMSQ('TS-PILE'!$E$56:$E$75)=0,0,'TO HOP NLAN'!E219*'TS-PILE'!$E$57/SUMSQ('TS-PILE'!$E$56:$E$75))+IF(SUMSQ('TS-PILE'!$D$56:$D$75)=0,0,'TO HOP NLAN'!F219*'TS-PILE'!$D$57/SUMSQ('TS-PILE'!$D$56:$D$75))),IF('TS-PILE'!$B$58="",1E+99,'TO HOP NLAN'!D219/ncoc+IF(SUMSQ('TS-PILE'!$E$56:$E$75)=0,0,'TO HOP NLAN'!E219*'TS-PILE'!$E$58/SUMSQ('TS-PILE'!$E$56:$E$75))+IF(SUMSQ('TS-PILE'!$D$56:$D$75)=0,0,'TO HOP NLAN'!F219*'TS-PILE'!$D$58/SUMSQ('TS-PILE'!$D$56:$D$75))),IF('TS-PILE'!$B$59="",1E+99,'TO HOP NLAN'!D219/ncoc+IF(SUMSQ('TS-PILE'!$E$56:$E$75)=0,0,'TO HOP NLAN'!E219*'TS-PILE'!$E$59/SUMSQ('TS-PILE'!$E$56:$E$75))+IF(SUMSQ('TS-PILE'!$D$56:$D$75)=0,0,'TO HOP NLAN'!F219*'TS-PILE'!$D$59/SUMSQ('TS-PILE'!$D$56:$D$75))),IF('TS-PILE'!$B$60="",1E+99,'TO HOP NLAN'!D219/ncoc+IF(SUMSQ('TS-PILE'!$E$56:$E$75)=0,0,'TO HOP NLAN'!E219*'TS-PILE'!$E$60/SUMSQ('TS-PILE'!$E$56:$E$75))+IF(SUMSQ('TS-PILE'!$D$56:$D$75)=0,0,'TO HOP NLAN'!F219*'TS-PILE'!$D$60/SUMSQ('TS-PILE'!$D$56:$D$75))),IF('TS-PILE'!$B$61="",1E+99,'TO HOP NLAN'!D219/ncoc+IF(SUMSQ('TS-PILE'!$E$56:$E$75)=0,0,'TO HOP NLAN'!E219*'TS-PILE'!$E$61/SUMSQ('TS-PILE'!$E$56:$E$75))+IF(SUMSQ('TS-PILE'!$D$56:$D$75)=0,0,'TO HOP NLAN'!F219*'TS-PILE'!$D$61/SUMSQ('TS-PILE'!$D$56:$D$75))),IF('TS-PILE'!$B$62="",1E+99,'TO HOP NLAN'!D219/ncoc+IF(SUMSQ('TS-PILE'!$E$56:$E$75)=0,0,'TO HOP NLAN'!E219*'TS-PILE'!$E$62/SUMSQ('TS-PILE'!$E$56:$E$75))+IF(SUMSQ('TS-PILE'!$D$56:$D$75)=0,0,'TO HOP NLAN'!F219*'TS-PILE'!$D$62/SUMSQ('TS-PILE'!$D$56:$D$75))),IF('TS-PILE'!$B$63="",1E+99,'TO HOP NLAN'!D219/ncoc+IF(SUMSQ('TS-PILE'!$E$56:$E$75)=0,0,'TO HOP NLAN'!E219*'TS-PILE'!$E$63/SUMSQ('TS-PILE'!$E$56:$E$75))+IF(SUMSQ('TS-PILE'!$D$56:$D$75)=0,0,'TO HOP NLAN'!F219*'TS-PILE'!$D$63/SUMSQ('TS-PILE'!$D$56:$D$75))),IF('TS-PILE'!$B$64="",1E+99,'TO HOP NLAN'!D219/ncoc+IF(SUMSQ('TS-PILE'!$E$56:$E$75)=0,0,'TO HOP NLAN'!E219*'TS-PILE'!$E$64/SUMSQ('TS-PILE'!$E$56:$E$75))+IF(SUMSQ('TS-PILE'!$D$56:$D$75)=0,0,'TO HOP NLAN'!F219*'TS-PILE'!$D$64/SUMSQ('TS-PILE'!$D$56:$D$75))),IF('TS-PILE'!$B$65="",1E+99,'TO HOP NLAN'!D219/ncoc+IF(SUMSQ('TS-PILE'!$E$56:$E$75)=0,0,'TO HOP NLAN'!E219*'TS-PILE'!$E$65/SUMSQ('TS-PILE'!$E$56:$E$75))+IF(SUMSQ('TS-PILE'!$D$56:$D$75)=0,0,'TO HOP NLAN'!F219*'TS-PILE'!$D$65/SUMSQ('TS-PILE'!$D$56:$D$75))),IF('TS-PILE'!$B$66="",1E+99,'TO HOP NLAN'!D219/ncoc+IF(SUMSQ('TS-PILE'!$E$56:$E$75)=0,0,'TO HOP NLAN'!E219*'TS-PILE'!$E$66/SUMSQ('TS-PILE'!$E$56:$E$75))+IF(SUMSQ('TS-PILE'!$D$56:$D$75)=0,0,'TO HOP NLAN'!F219*'TS-PILE'!$D$66/SUMSQ('TS-PILE'!$D$56:$D$75))),IF('TS-PILE'!$B$67="",1E+99,'TO HOP NLAN'!D219/ncoc+IF(SUMSQ('TS-PILE'!$E$56:$E$75)=0,0,'TO HOP NLAN'!E219*'TS-PILE'!$E$67/SUMSQ('TS-PILE'!$E$56:$E$75))+IF(SUMSQ('TS-PILE'!$D$56:$D$75)=0,0,'TO HOP NLAN'!F219*'TS-PILE'!$D$67/SUMSQ('TS-PILE'!$D$56:$D$75))),IF('TS-PILE'!$B$68="",1E+99,'TO HOP NLAN'!D219/ncoc+IF(SUMSQ('TS-PILE'!$E$56:$E$75)=0,0,'TO HOP NLAN'!E219*'TS-PILE'!$E$68/SUMSQ('TS-PILE'!$E$56:$E$75))+IF(SUMSQ('TS-PILE'!$D$56:$D$75)=0,0,'TO HOP NLAN'!F219*'TS-PILE'!$D$68/SUMSQ('TS-PILE'!$D$56:$D$75))),IF('TS-PILE'!$B$69="",1E+99,'TO HOP NLAN'!D219/ncoc+IF(SUMSQ('TS-PILE'!$E$56:$E$75)=0,0,'TO HOP NLAN'!E219*'TS-PILE'!$E$69/SUMSQ('TS-PILE'!$E$56:$E$75))+IF(SUMSQ('TS-PILE'!$D$56:$D$75)=0,0,'TO HOP NLAN'!F219*'TS-PILE'!$D$69/SUMSQ('TS-PILE'!$D$56:$D$75))),IF('TS-PILE'!$B$70="",1E+99,'TO HOP NLAN'!D219/ncoc+IF(SUMSQ('TS-PILE'!$E$56:$E$75)=0,0,'TO HOP NLAN'!E219*'TS-PILE'!$E$70/SUMSQ('TS-PILE'!$E$56:$E$75))+IF(SUMSQ('TS-PILE'!$D$56:$D$75)=0,0,'TO HOP NLAN'!F219*'TS-PILE'!$D$70/SUMSQ('TS-PILE'!$D$56:$D$75))),IF('TS-PILE'!$B$71="",1E+99,'TO HOP NLAN'!D219/ncoc+IF(SUMSQ('TS-PILE'!$E$56:$E$75)=0,0,'TO HOP NLAN'!E219*'TS-PILE'!$E$71/SUMSQ('TS-PILE'!$E$56:$E$75))+IF(SUMSQ('TS-PILE'!$D$56:$D$75)=0,0,'TO HOP NLAN'!F219*'TS-PILE'!$D$71/SUMSQ('TS-PILE'!$D$56:$D$75))),IF('TS-PILE'!$B$72="",1E+99,'TO HOP NLAN'!D219/ncoc+IF(SUMSQ('TS-PILE'!$E$56:$E$75)=0,0,'TO HOP NLAN'!E219*'TS-PILE'!$E$72/SUMSQ('TS-PILE'!$E$56:$E$75))+IF(SUMSQ('TS-PILE'!$D$56:$D$75)=0,0,'TO HOP NLAN'!F219*'TS-PILE'!$D$72/SUMSQ('TS-PILE'!$D$56:$D$75))),IF('TS-PILE'!$B$73="",1E+99,'TO HOP NLAN'!D219/ncoc+IF(SUMSQ('TS-PILE'!$E$56:$E$75)=0,0,'TO HOP NLAN'!E219*'TS-PILE'!$E$73/SUMSQ('TS-PILE'!$E$56:$E$75))+IF(SUMSQ('TS-PILE'!$D$56:$D$75)=0,0,'TO HOP NLAN'!F219*'TS-PILE'!$D$73/SUMSQ('TS-PILE'!$D$56:$D$75))),IF('TS-PILE'!$B$74="",1E+99,'TO HOP NLAN'!D219/ncoc+IF(SUMSQ('TS-PILE'!$E$56:$E$75)=0,0,'TO HOP NLAN'!E219*'TS-PILE'!$E$74/SUMSQ('TS-PILE'!$E$56:$E$75))+IF(SUMSQ('TS-PILE'!$D$56:$D$75)=0,0,'TO HOP NLAN'!F219*'TS-PILE'!$D$74/SUMSQ('TS-PILE'!$D$56:$D$75))),IF('TS-PILE'!$B$75="",1E+99,'TO HOP NLAN'!D219/ncoc+IF(SUMSQ('TS-PILE'!$E$56:$E$75)=0,0,'TO HOP NLAN'!E219*'TS-PILE'!$E$75/SUMSQ('TS-PILE'!$E$56:$E$75))+IF(SUMSQ('TS-PILE'!$D$56:$D$75)=0,0,'TO HOP NLAN'!F219*'TS-PILE'!$D$75/SUMSQ('TS-PILE'!$D$56:$D$75)))))</f>
        <v>0</v>
      </c>
      <c r="E219" s="46">
        <f t="shared" si="12"/>
        <v>-9.9999999999999997E+98</v>
      </c>
      <c r="F219" s="46">
        <f t="shared" si="13"/>
        <v>9.9999999999999997E+98</v>
      </c>
      <c r="G219" s="46">
        <f t="shared" si="14"/>
        <v>-9.9999999999999997E+98</v>
      </c>
      <c r="H219" s="46">
        <f t="shared" si="15"/>
        <v>9.9999999999999997E+98</v>
      </c>
    </row>
    <row r="220" spans="1:8" x14ac:dyDescent="0.3">
      <c r="A220" s="40" t="str">
        <f>'TO HOP NLAN'!A220</f>
        <v/>
      </c>
      <c r="B220" s="40" t="str">
        <f>'TO HOP NLAN'!L220</f>
        <v>STRENGTH</v>
      </c>
      <c r="C220" s="46">
        <f>IF(A220="",0,MAX(IF('TS-PILE'!$B$56="",-1E+99,'TO HOP NLAN'!D220/ncoc+IF(SUMSQ('TS-PILE'!$E$56:$E$75)=0,0,'TO HOP NLAN'!E220*'TS-PILE'!$E$56/SUMSQ('TS-PILE'!$E$56:$E$75))+IF(SUMSQ('TS-PILE'!$D$56:$D$75)=0,0,'TO HOP NLAN'!F220*'TS-PILE'!$D$56/SUMSQ('TS-PILE'!$D$56:$D$75))),IF('TS-PILE'!$B$57="",-1E+99,'TO HOP NLAN'!D220/ncoc+IF(SUMSQ('TS-PILE'!$E$56:$E$75)=0,0,'TO HOP NLAN'!E220*'TS-PILE'!$E$57/SUMSQ('TS-PILE'!$E$56:$E$75))+IF(SUMSQ('TS-PILE'!$D$56:$D$75)=0,0,'TO HOP NLAN'!F220*'TS-PILE'!$D$57/SUMSQ('TS-PILE'!$D$56:$D$75))),IF('TS-PILE'!$B$58="",-1E+99,'TO HOP NLAN'!D220/ncoc+IF(SUMSQ('TS-PILE'!$E$56:$E$75)=0,0,'TO HOP NLAN'!E220*'TS-PILE'!$E$58/SUMSQ('TS-PILE'!$E$56:$E$75))+IF(SUMSQ('TS-PILE'!$D$56:$D$75)=0,0,'TO HOP NLAN'!F220*'TS-PILE'!$D$58/SUMSQ('TS-PILE'!$D$56:$D$75))),IF('TS-PILE'!$B$59="",-1E+99,'TO HOP NLAN'!D220/ncoc+IF(SUMSQ('TS-PILE'!$E$56:$E$75)=0,0,'TO HOP NLAN'!E220*'TS-PILE'!$E$59/SUMSQ('TS-PILE'!$E$56:$E$75))+IF(SUMSQ('TS-PILE'!$D$56:$D$75)=0,0,'TO HOP NLAN'!F220*'TS-PILE'!$D$59/SUMSQ('TS-PILE'!$D$56:$D$75))),IF('TS-PILE'!$B$60="",-1E+99,'TO HOP NLAN'!D220/ncoc+IF(SUMSQ('TS-PILE'!$E$56:$E$75)=0,0,'TO HOP NLAN'!E220*'TS-PILE'!$E$60/SUMSQ('TS-PILE'!$E$56:$E$75))+IF(SUMSQ('TS-PILE'!$D$56:$D$75)=0,0,'TO HOP NLAN'!F220*'TS-PILE'!$D$60/SUMSQ('TS-PILE'!$D$56:$D$75))),IF('TS-PILE'!$B$61="",-1E+99,'TO HOP NLAN'!D220/ncoc+IF(SUMSQ('TS-PILE'!$E$56:$E$75)=0,0,'TO HOP NLAN'!E220*'TS-PILE'!$E$61/SUMSQ('TS-PILE'!$E$56:$E$75))+IF(SUMSQ('TS-PILE'!$D$56:$D$75)=0,0,'TO HOP NLAN'!F220*'TS-PILE'!$D$61/SUMSQ('TS-PILE'!$D$56:$D$75))),IF('TS-PILE'!$B$62="",-1E+99,'TO HOP NLAN'!D220/ncoc+IF(SUMSQ('TS-PILE'!$E$56:$E$75)=0,0,'TO HOP NLAN'!E220*'TS-PILE'!$E$62/SUMSQ('TS-PILE'!$E$56:$E$75))+IF(SUMSQ('TS-PILE'!$D$56:$D$75)=0,0,'TO HOP NLAN'!F220*'TS-PILE'!$D$62/SUMSQ('TS-PILE'!$D$56:$D$75))),IF('TS-PILE'!$B$63="",-1E+99,'TO HOP NLAN'!D220/ncoc+IF(SUMSQ('TS-PILE'!$E$56:$E$75)=0,0,'TO HOP NLAN'!E220*'TS-PILE'!$E$63/SUMSQ('TS-PILE'!$E$56:$E$75))+IF(SUMSQ('TS-PILE'!$D$56:$D$75)=0,0,'TO HOP NLAN'!F220*'TS-PILE'!$D$63/SUMSQ('TS-PILE'!$D$56:$D$75))),IF('TS-PILE'!$B$64="",-1E+99,'TO HOP NLAN'!D220/ncoc+IF(SUMSQ('TS-PILE'!$E$56:$E$75)=0,0,'TO HOP NLAN'!E220*'TS-PILE'!$E$64/SUMSQ('TS-PILE'!$E$56:$E$75))+IF(SUMSQ('TS-PILE'!$D$56:$D$75)=0,0,'TO HOP NLAN'!F220*'TS-PILE'!$D$64/SUMSQ('TS-PILE'!$D$56:$D$75))),IF('TS-PILE'!$B$65="",-1E+99,'TO HOP NLAN'!D220/ncoc+IF(SUMSQ('TS-PILE'!$E$56:$E$75)=0,0,'TO HOP NLAN'!E220*'TS-PILE'!$E$65/SUMSQ('TS-PILE'!$E$56:$E$75))+IF(SUMSQ('TS-PILE'!$D$56:$D$75)=0,0,'TO HOP NLAN'!F220*'TS-PILE'!$D$65/SUMSQ('TS-PILE'!$D$56:$D$75))),IF('TS-PILE'!$B$66="",-1E+99,'TO HOP NLAN'!D220/ncoc+IF(SUMSQ('TS-PILE'!$E$56:$E$75)=0,0,'TO HOP NLAN'!E220*'TS-PILE'!$E$66/SUMSQ('TS-PILE'!$E$56:$E$75))+IF(SUMSQ('TS-PILE'!$D$56:$D$75)=0,0,'TO HOP NLAN'!F220*'TS-PILE'!$D$66/SUMSQ('TS-PILE'!$D$56:$D$75))),IF('TS-PILE'!$B$67="",-1E+99,'TO HOP NLAN'!D220/ncoc+IF(SUMSQ('TS-PILE'!$E$56:$E$75)=0,0,'TO HOP NLAN'!E220*'TS-PILE'!$E$67/SUMSQ('TS-PILE'!$E$56:$E$75))+IF(SUMSQ('TS-PILE'!$D$56:$D$75)=0,0,'TO HOP NLAN'!F220*'TS-PILE'!$D$67/SUMSQ('TS-PILE'!$D$56:$D$75))),IF('TS-PILE'!$B$68="",-1E+99,'TO HOP NLAN'!D220/ncoc+IF(SUMSQ('TS-PILE'!$E$56:$E$75)=0,0,'TO HOP NLAN'!E220*'TS-PILE'!$E$68/SUMSQ('TS-PILE'!$E$56:$E$75))+IF(SUMSQ('TS-PILE'!$D$56:$D$75)=0,0,'TO HOP NLAN'!F220*'TS-PILE'!$D$68/SUMSQ('TS-PILE'!$D$56:$D$75))),IF('TS-PILE'!$B$69="",-1E+99,'TO HOP NLAN'!D220/ncoc+IF(SUMSQ('TS-PILE'!$E$56:$E$75)=0,0,'TO HOP NLAN'!E220*'TS-PILE'!$E$69/SUMSQ('TS-PILE'!$E$56:$E$75))+IF(SUMSQ('TS-PILE'!$D$56:$D$75)=0,0,'TO HOP NLAN'!F220*'TS-PILE'!$D$69/SUMSQ('TS-PILE'!$D$56:$D$75))),IF('TS-PILE'!$B$70="",-1E+99,'TO HOP NLAN'!D220/ncoc+IF(SUMSQ('TS-PILE'!$E$56:$E$75)=0,0,'TO HOP NLAN'!E220*'TS-PILE'!$E$70/SUMSQ('TS-PILE'!$E$56:$E$75))+IF(SUMSQ('TS-PILE'!$D$56:$D$75)=0,0,'TO HOP NLAN'!F220*'TS-PILE'!$D$70/SUMSQ('TS-PILE'!$D$56:$D$75))),IF('TS-PILE'!$B$71="",-1E+99,'TO HOP NLAN'!D220/ncoc+IF(SUMSQ('TS-PILE'!$E$56:$E$75)=0,0,'TO HOP NLAN'!E220*'TS-PILE'!$E$71/SUMSQ('TS-PILE'!$E$56:$E$75))+IF(SUMSQ('TS-PILE'!$D$56:$D$75)=0,0,'TO HOP NLAN'!F220*'TS-PILE'!$D$71/SUMSQ('TS-PILE'!$D$56:$D$75))),IF('TS-PILE'!$B$72="",-1E+99,'TO HOP NLAN'!D220/ncoc+IF(SUMSQ('TS-PILE'!$E$56:$E$75)=0,0,'TO HOP NLAN'!E220*'TS-PILE'!$E$72/SUMSQ('TS-PILE'!$E$56:$E$75))+IF(SUMSQ('TS-PILE'!$D$56:$D$75)=0,0,'TO HOP NLAN'!F220*'TS-PILE'!$D$72/SUMSQ('TS-PILE'!$D$56:$D$75))),IF('TS-PILE'!$B$73="",-1E+99,'TO HOP NLAN'!D220/ncoc+IF(SUMSQ('TS-PILE'!$E$56:$E$75)=0,0,'TO HOP NLAN'!E220*'TS-PILE'!$E$73/SUMSQ('TS-PILE'!$E$56:$E$75))+IF(SUMSQ('TS-PILE'!$D$56:$D$75)=0,0,'TO HOP NLAN'!F220*'TS-PILE'!$D$73/SUMSQ('TS-PILE'!$D$56:$D$75))),IF('TS-PILE'!$B$74="",-1E+99,'TO HOP NLAN'!D220/ncoc+IF(SUMSQ('TS-PILE'!$E$56:$E$75)=0,0,'TO HOP NLAN'!E220*'TS-PILE'!$E$74/SUMSQ('TS-PILE'!$E$56:$E$75))+IF(SUMSQ('TS-PILE'!$D$56:$D$75)=0,0,'TO HOP NLAN'!F220*'TS-PILE'!$D$74/SUMSQ('TS-PILE'!$D$56:$D$75))),IF('TS-PILE'!$B$75="",-1E+99,'TO HOP NLAN'!D220/ncoc+IF(SUMSQ('TS-PILE'!$E$56:$E$75)=0,0,'TO HOP NLAN'!E220*'TS-PILE'!$E$75/SUMSQ('TS-PILE'!$E$56:$E$75))+IF(SUMSQ('TS-PILE'!$D$56:$D$75)=0,0,'TO HOP NLAN'!F220*'TS-PILE'!$D$75/SUMSQ('TS-PILE'!$D$56:$D$75)))))</f>
        <v>0</v>
      </c>
      <c r="D220" s="46">
        <f>IF(A220="",0,MIN(IF('TS-PILE'!$B$56="",1E+99,'TO HOP NLAN'!D220/ncoc+IF(SUMSQ('TS-PILE'!$E$56:$E$75)=0,0,'TO HOP NLAN'!E220*'TS-PILE'!$E$56/SUMSQ('TS-PILE'!$E$56:$E$75))+IF(SUMSQ('TS-PILE'!$D$56:$D$75)=0,0,'TO HOP NLAN'!F220*'TS-PILE'!$D$56/SUMSQ('TS-PILE'!$D$56:$D$75))),IF('TS-PILE'!$B$57="",1E+99,'TO HOP NLAN'!D220/ncoc+IF(SUMSQ('TS-PILE'!$E$56:$E$75)=0,0,'TO HOP NLAN'!E220*'TS-PILE'!$E$57/SUMSQ('TS-PILE'!$E$56:$E$75))+IF(SUMSQ('TS-PILE'!$D$56:$D$75)=0,0,'TO HOP NLAN'!F220*'TS-PILE'!$D$57/SUMSQ('TS-PILE'!$D$56:$D$75))),IF('TS-PILE'!$B$58="",1E+99,'TO HOP NLAN'!D220/ncoc+IF(SUMSQ('TS-PILE'!$E$56:$E$75)=0,0,'TO HOP NLAN'!E220*'TS-PILE'!$E$58/SUMSQ('TS-PILE'!$E$56:$E$75))+IF(SUMSQ('TS-PILE'!$D$56:$D$75)=0,0,'TO HOP NLAN'!F220*'TS-PILE'!$D$58/SUMSQ('TS-PILE'!$D$56:$D$75))),IF('TS-PILE'!$B$59="",1E+99,'TO HOP NLAN'!D220/ncoc+IF(SUMSQ('TS-PILE'!$E$56:$E$75)=0,0,'TO HOP NLAN'!E220*'TS-PILE'!$E$59/SUMSQ('TS-PILE'!$E$56:$E$75))+IF(SUMSQ('TS-PILE'!$D$56:$D$75)=0,0,'TO HOP NLAN'!F220*'TS-PILE'!$D$59/SUMSQ('TS-PILE'!$D$56:$D$75))),IF('TS-PILE'!$B$60="",1E+99,'TO HOP NLAN'!D220/ncoc+IF(SUMSQ('TS-PILE'!$E$56:$E$75)=0,0,'TO HOP NLAN'!E220*'TS-PILE'!$E$60/SUMSQ('TS-PILE'!$E$56:$E$75))+IF(SUMSQ('TS-PILE'!$D$56:$D$75)=0,0,'TO HOP NLAN'!F220*'TS-PILE'!$D$60/SUMSQ('TS-PILE'!$D$56:$D$75))),IF('TS-PILE'!$B$61="",1E+99,'TO HOP NLAN'!D220/ncoc+IF(SUMSQ('TS-PILE'!$E$56:$E$75)=0,0,'TO HOP NLAN'!E220*'TS-PILE'!$E$61/SUMSQ('TS-PILE'!$E$56:$E$75))+IF(SUMSQ('TS-PILE'!$D$56:$D$75)=0,0,'TO HOP NLAN'!F220*'TS-PILE'!$D$61/SUMSQ('TS-PILE'!$D$56:$D$75))),IF('TS-PILE'!$B$62="",1E+99,'TO HOP NLAN'!D220/ncoc+IF(SUMSQ('TS-PILE'!$E$56:$E$75)=0,0,'TO HOP NLAN'!E220*'TS-PILE'!$E$62/SUMSQ('TS-PILE'!$E$56:$E$75))+IF(SUMSQ('TS-PILE'!$D$56:$D$75)=0,0,'TO HOP NLAN'!F220*'TS-PILE'!$D$62/SUMSQ('TS-PILE'!$D$56:$D$75))),IF('TS-PILE'!$B$63="",1E+99,'TO HOP NLAN'!D220/ncoc+IF(SUMSQ('TS-PILE'!$E$56:$E$75)=0,0,'TO HOP NLAN'!E220*'TS-PILE'!$E$63/SUMSQ('TS-PILE'!$E$56:$E$75))+IF(SUMSQ('TS-PILE'!$D$56:$D$75)=0,0,'TO HOP NLAN'!F220*'TS-PILE'!$D$63/SUMSQ('TS-PILE'!$D$56:$D$75))),IF('TS-PILE'!$B$64="",1E+99,'TO HOP NLAN'!D220/ncoc+IF(SUMSQ('TS-PILE'!$E$56:$E$75)=0,0,'TO HOP NLAN'!E220*'TS-PILE'!$E$64/SUMSQ('TS-PILE'!$E$56:$E$75))+IF(SUMSQ('TS-PILE'!$D$56:$D$75)=0,0,'TO HOP NLAN'!F220*'TS-PILE'!$D$64/SUMSQ('TS-PILE'!$D$56:$D$75))),IF('TS-PILE'!$B$65="",1E+99,'TO HOP NLAN'!D220/ncoc+IF(SUMSQ('TS-PILE'!$E$56:$E$75)=0,0,'TO HOP NLAN'!E220*'TS-PILE'!$E$65/SUMSQ('TS-PILE'!$E$56:$E$75))+IF(SUMSQ('TS-PILE'!$D$56:$D$75)=0,0,'TO HOP NLAN'!F220*'TS-PILE'!$D$65/SUMSQ('TS-PILE'!$D$56:$D$75))),IF('TS-PILE'!$B$66="",1E+99,'TO HOP NLAN'!D220/ncoc+IF(SUMSQ('TS-PILE'!$E$56:$E$75)=0,0,'TO HOP NLAN'!E220*'TS-PILE'!$E$66/SUMSQ('TS-PILE'!$E$56:$E$75))+IF(SUMSQ('TS-PILE'!$D$56:$D$75)=0,0,'TO HOP NLAN'!F220*'TS-PILE'!$D$66/SUMSQ('TS-PILE'!$D$56:$D$75))),IF('TS-PILE'!$B$67="",1E+99,'TO HOP NLAN'!D220/ncoc+IF(SUMSQ('TS-PILE'!$E$56:$E$75)=0,0,'TO HOP NLAN'!E220*'TS-PILE'!$E$67/SUMSQ('TS-PILE'!$E$56:$E$75))+IF(SUMSQ('TS-PILE'!$D$56:$D$75)=0,0,'TO HOP NLAN'!F220*'TS-PILE'!$D$67/SUMSQ('TS-PILE'!$D$56:$D$75))),IF('TS-PILE'!$B$68="",1E+99,'TO HOP NLAN'!D220/ncoc+IF(SUMSQ('TS-PILE'!$E$56:$E$75)=0,0,'TO HOP NLAN'!E220*'TS-PILE'!$E$68/SUMSQ('TS-PILE'!$E$56:$E$75))+IF(SUMSQ('TS-PILE'!$D$56:$D$75)=0,0,'TO HOP NLAN'!F220*'TS-PILE'!$D$68/SUMSQ('TS-PILE'!$D$56:$D$75))),IF('TS-PILE'!$B$69="",1E+99,'TO HOP NLAN'!D220/ncoc+IF(SUMSQ('TS-PILE'!$E$56:$E$75)=0,0,'TO HOP NLAN'!E220*'TS-PILE'!$E$69/SUMSQ('TS-PILE'!$E$56:$E$75))+IF(SUMSQ('TS-PILE'!$D$56:$D$75)=0,0,'TO HOP NLAN'!F220*'TS-PILE'!$D$69/SUMSQ('TS-PILE'!$D$56:$D$75))),IF('TS-PILE'!$B$70="",1E+99,'TO HOP NLAN'!D220/ncoc+IF(SUMSQ('TS-PILE'!$E$56:$E$75)=0,0,'TO HOP NLAN'!E220*'TS-PILE'!$E$70/SUMSQ('TS-PILE'!$E$56:$E$75))+IF(SUMSQ('TS-PILE'!$D$56:$D$75)=0,0,'TO HOP NLAN'!F220*'TS-PILE'!$D$70/SUMSQ('TS-PILE'!$D$56:$D$75))),IF('TS-PILE'!$B$71="",1E+99,'TO HOP NLAN'!D220/ncoc+IF(SUMSQ('TS-PILE'!$E$56:$E$75)=0,0,'TO HOP NLAN'!E220*'TS-PILE'!$E$71/SUMSQ('TS-PILE'!$E$56:$E$75))+IF(SUMSQ('TS-PILE'!$D$56:$D$75)=0,0,'TO HOP NLAN'!F220*'TS-PILE'!$D$71/SUMSQ('TS-PILE'!$D$56:$D$75))),IF('TS-PILE'!$B$72="",1E+99,'TO HOP NLAN'!D220/ncoc+IF(SUMSQ('TS-PILE'!$E$56:$E$75)=0,0,'TO HOP NLAN'!E220*'TS-PILE'!$E$72/SUMSQ('TS-PILE'!$E$56:$E$75))+IF(SUMSQ('TS-PILE'!$D$56:$D$75)=0,0,'TO HOP NLAN'!F220*'TS-PILE'!$D$72/SUMSQ('TS-PILE'!$D$56:$D$75))),IF('TS-PILE'!$B$73="",1E+99,'TO HOP NLAN'!D220/ncoc+IF(SUMSQ('TS-PILE'!$E$56:$E$75)=0,0,'TO HOP NLAN'!E220*'TS-PILE'!$E$73/SUMSQ('TS-PILE'!$E$56:$E$75))+IF(SUMSQ('TS-PILE'!$D$56:$D$75)=0,0,'TO HOP NLAN'!F220*'TS-PILE'!$D$73/SUMSQ('TS-PILE'!$D$56:$D$75))),IF('TS-PILE'!$B$74="",1E+99,'TO HOP NLAN'!D220/ncoc+IF(SUMSQ('TS-PILE'!$E$56:$E$75)=0,0,'TO HOP NLAN'!E220*'TS-PILE'!$E$74/SUMSQ('TS-PILE'!$E$56:$E$75))+IF(SUMSQ('TS-PILE'!$D$56:$D$75)=0,0,'TO HOP NLAN'!F220*'TS-PILE'!$D$74/SUMSQ('TS-PILE'!$D$56:$D$75))),IF('TS-PILE'!$B$75="",1E+99,'TO HOP NLAN'!D220/ncoc+IF(SUMSQ('TS-PILE'!$E$56:$E$75)=0,0,'TO HOP NLAN'!E220*'TS-PILE'!$E$75/SUMSQ('TS-PILE'!$E$56:$E$75))+IF(SUMSQ('TS-PILE'!$D$56:$D$75)=0,0,'TO HOP NLAN'!F220*'TS-PILE'!$D$75/SUMSQ('TS-PILE'!$D$56:$D$75)))))</f>
        <v>0</v>
      </c>
      <c r="E220" s="46">
        <f t="shared" si="12"/>
        <v>-9.9999999999999997E+98</v>
      </c>
      <c r="F220" s="46">
        <f t="shared" si="13"/>
        <v>9.9999999999999997E+98</v>
      </c>
      <c r="G220" s="46">
        <f t="shared" si="14"/>
        <v>-9.9999999999999997E+98</v>
      </c>
      <c r="H220" s="46">
        <f t="shared" si="15"/>
        <v>9.9999999999999997E+98</v>
      </c>
    </row>
    <row r="221" spans="1:8" x14ac:dyDescent="0.3">
      <c r="A221" s="40" t="str">
        <f>'TO HOP NLAN'!A221</f>
        <v/>
      </c>
      <c r="B221" s="40" t="str">
        <f>'TO HOP NLAN'!L221</f>
        <v>STRENGTH</v>
      </c>
      <c r="C221" s="46">
        <f>IF(A221="",0,MAX(IF('TS-PILE'!$B$56="",-1E+99,'TO HOP NLAN'!D221/ncoc+IF(SUMSQ('TS-PILE'!$E$56:$E$75)=0,0,'TO HOP NLAN'!E221*'TS-PILE'!$E$56/SUMSQ('TS-PILE'!$E$56:$E$75))+IF(SUMSQ('TS-PILE'!$D$56:$D$75)=0,0,'TO HOP NLAN'!F221*'TS-PILE'!$D$56/SUMSQ('TS-PILE'!$D$56:$D$75))),IF('TS-PILE'!$B$57="",-1E+99,'TO HOP NLAN'!D221/ncoc+IF(SUMSQ('TS-PILE'!$E$56:$E$75)=0,0,'TO HOP NLAN'!E221*'TS-PILE'!$E$57/SUMSQ('TS-PILE'!$E$56:$E$75))+IF(SUMSQ('TS-PILE'!$D$56:$D$75)=0,0,'TO HOP NLAN'!F221*'TS-PILE'!$D$57/SUMSQ('TS-PILE'!$D$56:$D$75))),IF('TS-PILE'!$B$58="",-1E+99,'TO HOP NLAN'!D221/ncoc+IF(SUMSQ('TS-PILE'!$E$56:$E$75)=0,0,'TO HOP NLAN'!E221*'TS-PILE'!$E$58/SUMSQ('TS-PILE'!$E$56:$E$75))+IF(SUMSQ('TS-PILE'!$D$56:$D$75)=0,0,'TO HOP NLAN'!F221*'TS-PILE'!$D$58/SUMSQ('TS-PILE'!$D$56:$D$75))),IF('TS-PILE'!$B$59="",-1E+99,'TO HOP NLAN'!D221/ncoc+IF(SUMSQ('TS-PILE'!$E$56:$E$75)=0,0,'TO HOP NLAN'!E221*'TS-PILE'!$E$59/SUMSQ('TS-PILE'!$E$56:$E$75))+IF(SUMSQ('TS-PILE'!$D$56:$D$75)=0,0,'TO HOP NLAN'!F221*'TS-PILE'!$D$59/SUMSQ('TS-PILE'!$D$56:$D$75))),IF('TS-PILE'!$B$60="",-1E+99,'TO HOP NLAN'!D221/ncoc+IF(SUMSQ('TS-PILE'!$E$56:$E$75)=0,0,'TO HOP NLAN'!E221*'TS-PILE'!$E$60/SUMSQ('TS-PILE'!$E$56:$E$75))+IF(SUMSQ('TS-PILE'!$D$56:$D$75)=0,0,'TO HOP NLAN'!F221*'TS-PILE'!$D$60/SUMSQ('TS-PILE'!$D$56:$D$75))),IF('TS-PILE'!$B$61="",-1E+99,'TO HOP NLAN'!D221/ncoc+IF(SUMSQ('TS-PILE'!$E$56:$E$75)=0,0,'TO HOP NLAN'!E221*'TS-PILE'!$E$61/SUMSQ('TS-PILE'!$E$56:$E$75))+IF(SUMSQ('TS-PILE'!$D$56:$D$75)=0,0,'TO HOP NLAN'!F221*'TS-PILE'!$D$61/SUMSQ('TS-PILE'!$D$56:$D$75))),IF('TS-PILE'!$B$62="",-1E+99,'TO HOP NLAN'!D221/ncoc+IF(SUMSQ('TS-PILE'!$E$56:$E$75)=0,0,'TO HOP NLAN'!E221*'TS-PILE'!$E$62/SUMSQ('TS-PILE'!$E$56:$E$75))+IF(SUMSQ('TS-PILE'!$D$56:$D$75)=0,0,'TO HOP NLAN'!F221*'TS-PILE'!$D$62/SUMSQ('TS-PILE'!$D$56:$D$75))),IF('TS-PILE'!$B$63="",-1E+99,'TO HOP NLAN'!D221/ncoc+IF(SUMSQ('TS-PILE'!$E$56:$E$75)=0,0,'TO HOP NLAN'!E221*'TS-PILE'!$E$63/SUMSQ('TS-PILE'!$E$56:$E$75))+IF(SUMSQ('TS-PILE'!$D$56:$D$75)=0,0,'TO HOP NLAN'!F221*'TS-PILE'!$D$63/SUMSQ('TS-PILE'!$D$56:$D$75))),IF('TS-PILE'!$B$64="",-1E+99,'TO HOP NLAN'!D221/ncoc+IF(SUMSQ('TS-PILE'!$E$56:$E$75)=0,0,'TO HOP NLAN'!E221*'TS-PILE'!$E$64/SUMSQ('TS-PILE'!$E$56:$E$75))+IF(SUMSQ('TS-PILE'!$D$56:$D$75)=0,0,'TO HOP NLAN'!F221*'TS-PILE'!$D$64/SUMSQ('TS-PILE'!$D$56:$D$75))),IF('TS-PILE'!$B$65="",-1E+99,'TO HOP NLAN'!D221/ncoc+IF(SUMSQ('TS-PILE'!$E$56:$E$75)=0,0,'TO HOP NLAN'!E221*'TS-PILE'!$E$65/SUMSQ('TS-PILE'!$E$56:$E$75))+IF(SUMSQ('TS-PILE'!$D$56:$D$75)=0,0,'TO HOP NLAN'!F221*'TS-PILE'!$D$65/SUMSQ('TS-PILE'!$D$56:$D$75))),IF('TS-PILE'!$B$66="",-1E+99,'TO HOP NLAN'!D221/ncoc+IF(SUMSQ('TS-PILE'!$E$56:$E$75)=0,0,'TO HOP NLAN'!E221*'TS-PILE'!$E$66/SUMSQ('TS-PILE'!$E$56:$E$75))+IF(SUMSQ('TS-PILE'!$D$56:$D$75)=0,0,'TO HOP NLAN'!F221*'TS-PILE'!$D$66/SUMSQ('TS-PILE'!$D$56:$D$75))),IF('TS-PILE'!$B$67="",-1E+99,'TO HOP NLAN'!D221/ncoc+IF(SUMSQ('TS-PILE'!$E$56:$E$75)=0,0,'TO HOP NLAN'!E221*'TS-PILE'!$E$67/SUMSQ('TS-PILE'!$E$56:$E$75))+IF(SUMSQ('TS-PILE'!$D$56:$D$75)=0,0,'TO HOP NLAN'!F221*'TS-PILE'!$D$67/SUMSQ('TS-PILE'!$D$56:$D$75))),IF('TS-PILE'!$B$68="",-1E+99,'TO HOP NLAN'!D221/ncoc+IF(SUMSQ('TS-PILE'!$E$56:$E$75)=0,0,'TO HOP NLAN'!E221*'TS-PILE'!$E$68/SUMSQ('TS-PILE'!$E$56:$E$75))+IF(SUMSQ('TS-PILE'!$D$56:$D$75)=0,0,'TO HOP NLAN'!F221*'TS-PILE'!$D$68/SUMSQ('TS-PILE'!$D$56:$D$75))),IF('TS-PILE'!$B$69="",-1E+99,'TO HOP NLAN'!D221/ncoc+IF(SUMSQ('TS-PILE'!$E$56:$E$75)=0,0,'TO HOP NLAN'!E221*'TS-PILE'!$E$69/SUMSQ('TS-PILE'!$E$56:$E$75))+IF(SUMSQ('TS-PILE'!$D$56:$D$75)=0,0,'TO HOP NLAN'!F221*'TS-PILE'!$D$69/SUMSQ('TS-PILE'!$D$56:$D$75))),IF('TS-PILE'!$B$70="",-1E+99,'TO HOP NLAN'!D221/ncoc+IF(SUMSQ('TS-PILE'!$E$56:$E$75)=0,0,'TO HOP NLAN'!E221*'TS-PILE'!$E$70/SUMSQ('TS-PILE'!$E$56:$E$75))+IF(SUMSQ('TS-PILE'!$D$56:$D$75)=0,0,'TO HOP NLAN'!F221*'TS-PILE'!$D$70/SUMSQ('TS-PILE'!$D$56:$D$75))),IF('TS-PILE'!$B$71="",-1E+99,'TO HOP NLAN'!D221/ncoc+IF(SUMSQ('TS-PILE'!$E$56:$E$75)=0,0,'TO HOP NLAN'!E221*'TS-PILE'!$E$71/SUMSQ('TS-PILE'!$E$56:$E$75))+IF(SUMSQ('TS-PILE'!$D$56:$D$75)=0,0,'TO HOP NLAN'!F221*'TS-PILE'!$D$71/SUMSQ('TS-PILE'!$D$56:$D$75))),IF('TS-PILE'!$B$72="",-1E+99,'TO HOP NLAN'!D221/ncoc+IF(SUMSQ('TS-PILE'!$E$56:$E$75)=0,0,'TO HOP NLAN'!E221*'TS-PILE'!$E$72/SUMSQ('TS-PILE'!$E$56:$E$75))+IF(SUMSQ('TS-PILE'!$D$56:$D$75)=0,0,'TO HOP NLAN'!F221*'TS-PILE'!$D$72/SUMSQ('TS-PILE'!$D$56:$D$75))),IF('TS-PILE'!$B$73="",-1E+99,'TO HOP NLAN'!D221/ncoc+IF(SUMSQ('TS-PILE'!$E$56:$E$75)=0,0,'TO HOP NLAN'!E221*'TS-PILE'!$E$73/SUMSQ('TS-PILE'!$E$56:$E$75))+IF(SUMSQ('TS-PILE'!$D$56:$D$75)=0,0,'TO HOP NLAN'!F221*'TS-PILE'!$D$73/SUMSQ('TS-PILE'!$D$56:$D$75))),IF('TS-PILE'!$B$74="",-1E+99,'TO HOP NLAN'!D221/ncoc+IF(SUMSQ('TS-PILE'!$E$56:$E$75)=0,0,'TO HOP NLAN'!E221*'TS-PILE'!$E$74/SUMSQ('TS-PILE'!$E$56:$E$75))+IF(SUMSQ('TS-PILE'!$D$56:$D$75)=0,0,'TO HOP NLAN'!F221*'TS-PILE'!$D$74/SUMSQ('TS-PILE'!$D$56:$D$75))),IF('TS-PILE'!$B$75="",-1E+99,'TO HOP NLAN'!D221/ncoc+IF(SUMSQ('TS-PILE'!$E$56:$E$75)=0,0,'TO HOP NLAN'!E221*'TS-PILE'!$E$75/SUMSQ('TS-PILE'!$E$56:$E$75))+IF(SUMSQ('TS-PILE'!$D$56:$D$75)=0,0,'TO HOP NLAN'!F221*'TS-PILE'!$D$75/SUMSQ('TS-PILE'!$D$56:$D$75)))))</f>
        <v>0</v>
      </c>
      <c r="D221" s="46">
        <f>IF(A221="",0,MIN(IF('TS-PILE'!$B$56="",1E+99,'TO HOP NLAN'!D221/ncoc+IF(SUMSQ('TS-PILE'!$E$56:$E$75)=0,0,'TO HOP NLAN'!E221*'TS-PILE'!$E$56/SUMSQ('TS-PILE'!$E$56:$E$75))+IF(SUMSQ('TS-PILE'!$D$56:$D$75)=0,0,'TO HOP NLAN'!F221*'TS-PILE'!$D$56/SUMSQ('TS-PILE'!$D$56:$D$75))),IF('TS-PILE'!$B$57="",1E+99,'TO HOP NLAN'!D221/ncoc+IF(SUMSQ('TS-PILE'!$E$56:$E$75)=0,0,'TO HOP NLAN'!E221*'TS-PILE'!$E$57/SUMSQ('TS-PILE'!$E$56:$E$75))+IF(SUMSQ('TS-PILE'!$D$56:$D$75)=0,0,'TO HOP NLAN'!F221*'TS-PILE'!$D$57/SUMSQ('TS-PILE'!$D$56:$D$75))),IF('TS-PILE'!$B$58="",1E+99,'TO HOP NLAN'!D221/ncoc+IF(SUMSQ('TS-PILE'!$E$56:$E$75)=0,0,'TO HOP NLAN'!E221*'TS-PILE'!$E$58/SUMSQ('TS-PILE'!$E$56:$E$75))+IF(SUMSQ('TS-PILE'!$D$56:$D$75)=0,0,'TO HOP NLAN'!F221*'TS-PILE'!$D$58/SUMSQ('TS-PILE'!$D$56:$D$75))),IF('TS-PILE'!$B$59="",1E+99,'TO HOP NLAN'!D221/ncoc+IF(SUMSQ('TS-PILE'!$E$56:$E$75)=0,0,'TO HOP NLAN'!E221*'TS-PILE'!$E$59/SUMSQ('TS-PILE'!$E$56:$E$75))+IF(SUMSQ('TS-PILE'!$D$56:$D$75)=0,0,'TO HOP NLAN'!F221*'TS-PILE'!$D$59/SUMSQ('TS-PILE'!$D$56:$D$75))),IF('TS-PILE'!$B$60="",1E+99,'TO HOP NLAN'!D221/ncoc+IF(SUMSQ('TS-PILE'!$E$56:$E$75)=0,0,'TO HOP NLAN'!E221*'TS-PILE'!$E$60/SUMSQ('TS-PILE'!$E$56:$E$75))+IF(SUMSQ('TS-PILE'!$D$56:$D$75)=0,0,'TO HOP NLAN'!F221*'TS-PILE'!$D$60/SUMSQ('TS-PILE'!$D$56:$D$75))),IF('TS-PILE'!$B$61="",1E+99,'TO HOP NLAN'!D221/ncoc+IF(SUMSQ('TS-PILE'!$E$56:$E$75)=0,0,'TO HOP NLAN'!E221*'TS-PILE'!$E$61/SUMSQ('TS-PILE'!$E$56:$E$75))+IF(SUMSQ('TS-PILE'!$D$56:$D$75)=0,0,'TO HOP NLAN'!F221*'TS-PILE'!$D$61/SUMSQ('TS-PILE'!$D$56:$D$75))),IF('TS-PILE'!$B$62="",1E+99,'TO HOP NLAN'!D221/ncoc+IF(SUMSQ('TS-PILE'!$E$56:$E$75)=0,0,'TO HOP NLAN'!E221*'TS-PILE'!$E$62/SUMSQ('TS-PILE'!$E$56:$E$75))+IF(SUMSQ('TS-PILE'!$D$56:$D$75)=0,0,'TO HOP NLAN'!F221*'TS-PILE'!$D$62/SUMSQ('TS-PILE'!$D$56:$D$75))),IF('TS-PILE'!$B$63="",1E+99,'TO HOP NLAN'!D221/ncoc+IF(SUMSQ('TS-PILE'!$E$56:$E$75)=0,0,'TO HOP NLAN'!E221*'TS-PILE'!$E$63/SUMSQ('TS-PILE'!$E$56:$E$75))+IF(SUMSQ('TS-PILE'!$D$56:$D$75)=0,0,'TO HOP NLAN'!F221*'TS-PILE'!$D$63/SUMSQ('TS-PILE'!$D$56:$D$75))),IF('TS-PILE'!$B$64="",1E+99,'TO HOP NLAN'!D221/ncoc+IF(SUMSQ('TS-PILE'!$E$56:$E$75)=0,0,'TO HOP NLAN'!E221*'TS-PILE'!$E$64/SUMSQ('TS-PILE'!$E$56:$E$75))+IF(SUMSQ('TS-PILE'!$D$56:$D$75)=0,0,'TO HOP NLAN'!F221*'TS-PILE'!$D$64/SUMSQ('TS-PILE'!$D$56:$D$75))),IF('TS-PILE'!$B$65="",1E+99,'TO HOP NLAN'!D221/ncoc+IF(SUMSQ('TS-PILE'!$E$56:$E$75)=0,0,'TO HOP NLAN'!E221*'TS-PILE'!$E$65/SUMSQ('TS-PILE'!$E$56:$E$75))+IF(SUMSQ('TS-PILE'!$D$56:$D$75)=0,0,'TO HOP NLAN'!F221*'TS-PILE'!$D$65/SUMSQ('TS-PILE'!$D$56:$D$75))),IF('TS-PILE'!$B$66="",1E+99,'TO HOP NLAN'!D221/ncoc+IF(SUMSQ('TS-PILE'!$E$56:$E$75)=0,0,'TO HOP NLAN'!E221*'TS-PILE'!$E$66/SUMSQ('TS-PILE'!$E$56:$E$75))+IF(SUMSQ('TS-PILE'!$D$56:$D$75)=0,0,'TO HOP NLAN'!F221*'TS-PILE'!$D$66/SUMSQ('TS-PILE'!$D$56:$D$75))),IF('TS-PILE'!$B$67="",1E+99,'TO HOP NLAN'!D221/ncoc+IF(SUMSQ('TS-PILE'!$E$56:$E$75)=0,0,'TO HOP NLAN'!E221*'TS-PILE'!$E$67/SUMSQ('TS-PILE'!$E$56:$E$75))+IF(SUMSQ('TS-PILE'!$D$56:$D$75)=0,0,'TO HOP NLAN'!F221*'TS-PILE'!$D$67/SUMSQ('TS-PILE'!$D$56:$D$75))),IF('TS-PILE'!$B$68="",1E+99,'TO HOP NLAN'!D221/ncoc+IF(SUMSQ('TS-PILE'!$E$56:$E$75)=0,0,'TO HOP NLAN'!E221*'TS-PILE'!$E$68/SUMSQ('TS-PILE'!$E$56:$E$75))+IF(SUMSQ('TS-PILE'!$D$56:$D$75)=0,0,'TO HOP NLAN'!F221*'TS-PILE'!$D$68/SUMSQ('TS-PILE'!$D$56:$D$75))),IF('TS-PILE'!$B$69="",1E+99,'TO HOP NLAN'!D221/ncoc+IF(SUMSQ('TS-PILE'!$E$56:$E$75)=0,0,'TO HOP NLAN'!E221*'TS-PILE'!$E$69/SUMSQ('TS-PILE'!$E$56:$E$75))+IF(SUMSQ('TS-PILE'!$D$56:$D$75)=0,0,'TO HOP NLAN'!F221*'TS-PILE'!$D$69/SUMSQ('TS-PILE'!$D$56:$D$75))),IF('TS-PILE'!$B$70="",1E+99,'TO HOP NLAN'!D221/ncoc+IF(SUMSQ('TS-PILE'!$E$56:$E$75)=0,0,'TO HOP NLAN'!E221*'TS-PILE'!$E$70/SUMSQ('TS-PILE'!$E$56:$E$75))+IF(SUMSQ('TS-PILE'!$D$56:$D$75)=0,0,'TO HOP NLAN'!F221*'TS-PILE'!$D$70/SUMSQ('TS-PILE'!$D$56:$D$75))),IF('TS-PILE'!$B$71="",1E+99,'TO HOP NLAN'!D221/ncoc+IF(SUMSQ('TS-PILE'!$E$56:$E$75)=0,0,'TO HOP NLAN'!E221*'TS-PILE'!$E$71/SUMSQ('TS-PILE'!$E$56:$E$75))+IF(SUMSQ('TS-PILE'!$D$56:$D$75)=0,0,'TO HOP NLAN'!F221*'TS-PILE'!$D$71/SUMSQ('TS-PILE'!$D$56:$D$75))),IF('TS-PILE'!$B$72="",1E+99,'TO HOP NLAN'!D221/ncoc+IF(SUMSQ('TS-PILE'!$E$56:$E$75)=0,0,'TO HOP NLAN'!E221*'TS-PILE'!$E$72/SUMSQ('TS-PILE'!$E$56:$E$75))+IF(SUMSQ('TS-PILE'!$D$56:$D$75)=0,0,'TO HOP NLAN'!F221*'TS-PILE'!$D$72/SUMSQ('TS-PILE'!$D$56:$D$75))),IF('TS-PILE'!$B$73="",1E+99,'TO HOP NLAN'!D221/ncoc+IF(SUMSQ('TS-PILE'!$E$56:$E$75)=0,0,'TO HOP NLAN'!E221*'TS-PILE'!$E$73/SUMSQ('TS-PILE'!$E$56:$E$75))+IF(SUMSQ('TS-PILE'!$D$56:$D$75)=0,0,'TO HOP NLAN'!F221*'TS-PILE'!$D$73/SUMSQ('TS-PILE'!$D$56:$D$75))),IF('TS-PILE'!$B$74="",1E+99,'TO HOP NLAN'!D221/ncoc+IF(SUMSQ('TS-PILE'!$E$56:$E$75)=0,0,'TO HOP NLAN'!E221*'TS-PILE'!$E$74/SUMSQ('TS-PILE'!$E$56:$E$75))+IF(SUMSQ('TS-PILE'!$D$56:$D$75)=0,0,'TO HOP NLAN'!F221*'TS-PILE'!$D$74/SUMSQ('TS-PILE'!$D$56:$D$75))),IF('TS-PILE'!$B$75="",1E+99,'TO HOP NLAN'!D221/ncoc+IF(SUMSQ('TS-PILE'!$E$56:$E$75)=0,0,'TO HOP NLAN'!E221*'TS-PILE'!$E$75/SUMSQ('TS-PILE'!$E$56:$E$75))+IF(SUMSQ('TS-PILE'!$D$56:$D$75)=0,0,'TO HOP NLAN'!F221*'TS-PILE'!$D$75/SUMSQ('TS-PILE'!$D$56:$D$75)))))</f>
        <v>0</v>
      </c>
      <c r="E221" s="46">
        <f t="shared" si="12"/>
        <v>-9.9999999999999997E+98</v>
      </c>
      <c r="F221" s="46">
        <f t="shared" si="13"/>
        <v>9.9999999999999997E+98</v>
      </c>
      <c r="G221" s="46">
        <f t="shared" si="14"/>
        <v>-9.9999999999999997E+98</v>
      </c>
      <c r="H221" s="46">
        <f t="shared" si="15"/>
        <v>9.9999999999999997E+98</v>
      </c>
    </row>
    <row r="222" spans="1:8" x14ac:dyDescent="0.3">
      <c r="A222" s="40" t="str">
        <f>'TO HOP NLAN'!A222</f>
        <v/>
      </c>
      <c r="B222" s="40" t="str">
        <f>'TO HOP NLAN'!L222</f>
        <v>STRENGTH</v>
      </c>
      <c r="C222" s="46">
        <f>IF(A222="",0,MAX(IF('TS-PILE'!$B$56="",-1E+99,'TO HOP NLAN'!D222/ncoc+IF(SUMSQ('TS-PILE'!$E$56:$E$75)=0,0,'TO HOP NLAN'!E222*'TS-PILE'!$E$56/SUMSQ('TS-PILE'!$E$56:$E$75))+IF(SUMSQ('TS-PILE'!$D$56:$D$75)=0,0,'TO HOP NLAN'!F222*'TS-PILE'!$D$56/SUMSQ('TS-PILE'!$D$56:$D$75))),IF('TS-PILE'!$B$57="",-1E+99,'TO HOP NLAN'!D222/ncoc+IF(SUMSQ('TS-PILE'!$E$56:$E$75)=0,0,'TO HOP NLAN'!E222*'TS-PILE'!$E$57/SUMSQ('TS-PILE'!$E$56:$E$75))+IF(SUMSQ('TS-PILE'!$D$56:$D$75)=0,0,'TO HOP NLAN'!F222*'TS-PILE'!$D$57/SUMSQ('TS-PILE'!$D$56:$D$75))),IF('TS-PILE'!$B$58="",-1E+99,'TO HOP NLAN'!D222/ncoc+IF(SUMSQ('TS-PILE'!$E$56:$E$75)=0,0,'TO HOP NLAN'!E222*'TS-PILE'!$E$58/SUMSQ('TS-PILE'!$E$56:$E$75))+IF(SUMSQ('TS-PILE'!$D$56:$D$75)=0,0,'TO HOP NLAN'!F222*'TS-PILE'!$D$58/SUMSQ('TS-PILE'!$D$56:$D$75))),IF('TS-PILE'!$B$59="",-1E+99,'TO HOP NLAN'!D222/ncoc+IF(SUMSQ('TS-PILE'!$E$56:$E$75)=0,0,'TO HOP NLAN'!E222*'TS-PILE'!$E$59/SUMSQ('TS-PILE'!$E$56:$E$75))+IF(SUMSQ('TS-PILE'!$D$56:$D$75)=0,0,'TO HOP NLAN'!F222*'TS-PILE'!$D$59/SUMSQ('TS-PILE'!$D$56:$D$75))),IF('TS-PILE'!$B$60="",-1E+99,'TO HOP NLAN'!D222/ncoc+IF(SUMSQ('TS-PILE'!$E$56:$E$75)=0,0,'TO HOP NLAN'!E222*'TS-PILE'!$E$60/SUMSQ('TS-PILE'!$E$56:$E$75))+IF(SUMSQ('TS-PILE'!$D$56:$D$75)=0,0,'TO HOP NLAN'!F222*'TS-PILE'!$D$60/SUMSQ('TS-PILE'!$D$56:$D$75))),IF('TS-PILE'!$B$61="",-1E+99,'TO HOP NLAN'!D222/ncoc+IF(SUMSQ('TS-PILE'!$E$56:$E$75)=0,0,'TO HOP NLAN'!E222*'TS-PILE'!$E$61/SUMSQ('TS-PILE'!$E$56:$E$75))+IF(SUMSQ('TS-PILE'!$D$56:$D$75)=0,0,'TO HOP NLAN'!F222*'TS-PILE'!$D$61/SUMSQ('TS-PILE'!$D$56:$D$75))),IF('TS-PILE'!$B$62="",-1E+99,'TO HOP NLAN'!D222/ncoc+IF(SUMSQ('TS-PILE'!$E$56:$E$75)=0,0,'TO HOP NLAN'!E222*'TS-PILE'!$E$62/SUMSQ('TS-PILE'!$E$56:$E$75))+IF(SUMSQ('TS-PILE'!$D$56:$D$75)=0,0,'TO HOP NLAN'!F222*'TS-PILE'!$D$62/SUMSQ('TS-PILE'!$D$56:$D$75))),IF('TS-PILE'!$B$63="",-1E+99,'TO HOP NLAN'!D222/ncoc+IF(SUMSQ('TS-PILE'!$E$56:$E$75)=0,0,'TO HOP NLAN'!E222*'TS-PILE'!$E$63/SUMSQ('TS-PILE'!$E$56:$E$75))+IF(SUMSQ('TS-PILE'!$D$56:$D$75)=0,0,'TO HOP NLAN'!F222*'TS-PILE'!$D$63/SUMSQ('TS-PILE'!$D$56:$D$75))),IF('TS-PILE'!$B$64="",-1E+99,'TO HOP NLAN'!D222/ncoc+IF(SUMSQ('TS-PILE'!$E$56:$E$75)=0,0,'TO HOP NLAN'!E222*'TS-PILE'!$E$64/SUMSQ('TS-PILE'!$E$56:$E$75))+IF(SUMSQ('TS-PILE'!$D$56:$D$75)=0,0,'TO HOP NLAN'!F222*'TS-PILE'!$D$64/SUMSQ('TS-PILE'!$D$56:$D$75))),IF('TS-PILE'!$B$65="",-1E+99,'TO HOP NLAN'!D222/ncoc+IF(SUMSQ('TS-PILE'!$E$56:$E$75)=0,0,'TO HOP NLAN'!E222*'TS-PILE'!$E$65/SUMSQ('TS-PILE'!$E$56:$E$75))+IF(SUMSQ('TS-PILE'!$D$56:$D$75)=0,0,'TO HOP NLAN'!F222*'TS-PILE'!$D$65/SUMSQ('TS-PILE'!$D$56:$D$75))),IF('TS-PILE'!$B$66="",-1E+99,'TO HOP NLAN'!D222/ncoc+IF(SUMSQ('TS-PILE'!$E$56:$E$75)=0,0,'TO HOP NLAN'!E222*'TS-PILE'!$E$66/SUMSQ('TS-PILE'!$E$56:$E$75))+IF(SUMSQ('TS-PILE'!$D$56:$D$75)=0,0,'TO HOP NLAN'!F222*'TS-PILE'!$D$66/SUMSQ('TS-PILE'!$D$56:$D$75))),IF('TS-PILE'!$B$67="",-1E+99,'TO HOP NLAN'!D222/ncoc+IF(SUMSQ('TS-PILE'!$E$56:$E$75)=0,0,'TO HOP NLAN'!E222*'TS-PILE'!$E$67/SUMSQ('TS-PILE'!$E$56:$E$75))+IF(SUMSQ('TS-PILE'!$D$56:$D$75)=0,0,'TO HOP NLAN'!F222*'TS-PILE'!$D$67/SUMSQ('TS-PILE'!$D$56:$D$75))),IF('TS-PILE'!$B$68="",-1E+99,'TO HOP NLAN'!D222/ncoc+IF(SUMSQ('TS-PILE'!$E$56:$E$75)=0,0,'TO HOP NLAN'!E222*'TS-PILE'!$E$68/SUMSQ('TS-PILE'!$E$56:$E$75))+IF(SUMSQ('TS-PILE'!$D$56:$D$75)=0,0,'TO HOP NLAN'!F222*'TS-PILE'!$D$68/SUMSQ('TS-PILE'!$D$56:$D$75))),IF('TS-PILE'!$B$69="",-1E+99,'TO HOP NLAN'!D222/ncoc+IF(SUMSQ('TS-PILE'!$E$56:$E$75)=0,0,'TO HOP NLAN'!E222*'TS-PILE'!$E$69/SUMSQ('TS-PILE'!$E$56:$E$75))+IF(SUMSQ('TS-PILE'!$D$56:$D$75)=0,0,'TO HOP NLAN'!F222*'TS-PILE'!$D$69/SUMSQ('TS-PILE'!$D$56:$D$75))),IF('TS-PILE'!$B$70="",-1E+99,'TO HOP NLAN'!D222/ncoc+IF(SUMSQ('TS-PILE'!$E$56:$E$75)=0,0,'TO HOP NLAN'!E222*'TS-PILE'!$E$70/SUMSQ('TS-PILE'!$E$56:$E$75))+IF(SUMSQ('TS-PILE'!$D$56:$D$75)=0,0,'TO HOP NLAN'!F222*'TS-PILE'!$D$70/SUMSQ('TS-PILE'!$D$56:$D$75))),IF('TS-PILE'!$B$71="",-1E+99,'TO HOP NLAN'!D222/ncoc+IF(SUMSQ('TS-PILE'!$E$56:$E$75)=0,0,'TO HOP NLAN'!E222*'TS-PILE'!$E$71/SUMSQ('TS-PILE'!$E$56:$E$75))+IF(SUMSQ('TS-PILE'!$D$56:$D$75)=0,0,'TO HOP NLAN'!F222*'TS-PILE'!$D$71/SUMSQ('TS-PILE'!$D$56:$D$75))),IF('TS-PILE'!$B$72="",-1E+99,'TO HOP NLAN'!D222/ncoc+IF(SUMSQ('TS-PILE'!$E$56:$E$75)=0,0,'TO HOP NLAN'!E222*'TS-PILE'!$E$72/SUMSQ('TS-PILE'!$E$56:$E$75))+IF(SUMSQ('TS-PILE'!$D$56:$D$75)=0,0,'TO HOP NLAN'!F222*'TS-PILE'!$D$72/SUMSQ('TS-PILE'!$D$56:$D$75))),IF('TS-PILE'!$B$73="",-1E+99,'TO HOP NLAN'!D222/ncoc+IF(SUMSQ('TS-PILE'!$E$56:$E$75)=0,0,'TO HOP NLAN'!E222*'TS-PILE'!$E$73/SUMSQ('TS-PILE'!$E$56:$E$75))+IF(SUMSQ('TS-PILE'!$D$56:$D$75)=0,0,'TO HOP NLAN'!F222*'TS-PILE'!$D$73/SUMSQ('TS-PILE'!$D$56:$D$75))),IF('TS-PILE'!$B$74="",-1E+99,'TO HOP NLAN'!D222/ncoc+IF(SUMSQ('TS-PILE'!$E$56:$E$75)=0,0,'TO HOP NLAN'!E222*'TS-PILE'!$E$74/SUMSQ('TS-PILE'!$E$56:$E$75))+IF(SUMSQ('TS-PILE'!$D$56:$D$75)=0,0,'TO HOP NLAN'!F222*'TS-PILE'!$D$74/SUMSQ('TS-PILE'!$D$56:$D$75))),IF('TS-PILE'!$B$75="",-1E+99,'TO HOP NLAN'!D222/ncoc+IF(SUMSQ('TS-PILE'!$E$56:$E$75)=0,0,'TO HOP NLAN'!E222*'TS-PILE'!$E$75/SUMSQ('TS-PILE'!$E$56:$E$75))+IF(SUMSQ('TS-PILE'!$D$56:$D$75)=0,0,'TO HOP NLAN'!F222*'TS-PILE'!$D$75/SUMSQ('TS-PILE'!$D$56:$D$75)))))</f>
        <v>0</v>
      </c>
      <c r="D222" s="46">
        <f>IF(A222="",0,MIN(IF('TS-PILE'!$B$56="",1E+99,'TO HOP NLAN'!D222/ncoc+IF(SUMSQ('TS-PILE'!$E$56:$E$75)=0,0,'TO HOP NLAN'!E222*'TS-PILE'!$E$56/SUMSQ('TS-PILE'!$E$56:$E$75))+IF(SUMSQ('TS-PILE'!$D$56:$D$75)=0,0,'TO HOP NLAN'!F222*'TS-PILE'!$D$56/SUMSQ('TS-PILE'!$D$56:$D$75))),IF('TS-PILE'!$B$57="",1E+99,'TO HOP NLAN'!D222/ncoc+IF(SUMSQ('TS-PILE'!$E$56:$E$75)=0,0,'TO HOP NLAN'!E222*'TS-PILE'!$E$57/SUMSQ('TS-PILE'!$E$56:$E$75))+IF(SUMSQ('TS-PILE'!$D$56:$D$75)=0,0,'TO HOP NLAN'!F222*'TS-PILE'!$D$57/SUMSQ('TS-PILE'!$D$56:$D$75))),IF('TS-PILE'!$B$58="",1E+99,'TO HOP NLAN'!D222/ncoc+IF(SUMSQ('TS-PILE'!$E$56:$E$75)=0,0,'TO HOP NLAN'!E222*'TS-PILE'!$E$58/SUMSQ('TS-PILE'!$E$56:$E$75))+IF(SUMSQ('TS-PILE'!$D$56:$D$75)=0,0,'TO HOP NLAN'!F222*'TS-PILE'!$D$58/SUMSQ('TS-PILE'!$D$56:$D$75))),IF('TS-PILE'!$B$59="",1E+99,'TO HOP NLAN'!D222/ncoc+IF(SUMSQ('TS-PILE'!$E$56:$E$75)=0,0,'TO HOP NLAN'!E222*'TS-PILE'!$E$59/SUMSQ('TS-PILE'!$E$56:$E$75))+IF(SUMSQ('TS-PILE'!$D$56:$D$75)=0,0,'TO HOP NLAN'!F222*'TS-PILE'!$D$59/SUMSQ('TS-PILE'!$D$56:$D$75))),IF('TS-PILE'!$B$60="",1E+99,'TO HOP NLAN'!D222/ncoc+IF(SUMSQ('TS-PILE'!$E$56:$E$75)=0,0,'TO HOP NLAN'!E222*'TS-PILE'!$E$60/SUMSQ('TS-PILE'!$E$56:$E$75))+IF(SUMSQ('TS-PILE'!$D$56:$D$75)=0,0,'TO HOP NLAN'!F222*'TS-PILE'!$D$60/SUMSQ('TS-PILE'!$D$56:$D$75))),IF('TS-PILE'!$B$61="",1E+99,'TO HOP NLAN'!D222/ncoc+IF(SUMSQ('TS-PILE'!$E$56:$E$75)=0,0,'TO HOP NLAN'!E222*'TS-PILE'!$E$61/SUMSQ('TS-PILE'!$E$56:$E$75))+IF(SUMSQ('TS-PILE'!$D$56:$D$75)=0,0,'TO HOP NLAN'!F222*'TS-PILE'!$D$61/SUMSQ('TS-PILE'!$D$56:$D$75))),IF('TS-PILE'!$B$62="",1E+99,'TO HOP NLAN'!D222/ncoc+IF(SUMSQ('TS-PILE'!$E$56:$E$75)=0,0,'TO HOP NLAN'!E222*'TS-PILE'!$E$62/SUMSQ('TS-PILE'!$E$56:$E$75))+IF(SUMSQ('TS-PILE'!$D$56:$D$75)=0,0,'TO HOP NLAN'!F222*'TS-PILE'!$D$62/SUMSQ('TS-PILE'!$D$56:$D$75))),IF('TS-PILE'!$B$63="",1E+99,'TO HOP NLAN'!D222/ncoc+IF(SUMSQ('TS-PILE'!$E$56:$E$75)=0,0,'TO HOP NLAN'!E222*'TS-PILE'!$E$63/SUMSQ('TS-PILE'!$E$56:$E$75))+IF(SUMSQ('TS-PILE'!$D$56:$D$75)=0,0,'TO HOP NLAN'!F222*'TS-PILE'!$D$63/SUMSQ('TS-PILE'!$D$56:$D$75))),IF('TS-PILE'!$B$64="",1E+99,'TO HOP NLAN'!D222/ncoc+IF(SUMSQ('TS-PILE'!$E$56:$E$75)=0,0,'TO HOP NLAN'!E222*'TS-PILE'!$E$64/SUMSQ('TS-PILE'!$E$56:$E$75))+IF(SUMSQ('TS-PILE'!$D$56:$D$75)=0,0,'TO HOP NLAN'!F222*'TS-PILE'!$D$64/SUMSQ('TS-PILE'!$D$56:$D$75))),IF('TS-PILE'!$B$65="",1E+99,'TO HOP NLAN'!D222/ncoc+IF(SUMSQ('TS-PILE'!$E$56:$E$75)=0,0,'TO HOP NLAN'!E222*'TS-PILE'!$E$65/SUMSQ('TS-PILE'!$E$56:$E$75))+IF(SUMSQ('TS-PILE'!$D$56:$D$75)=0,0,'TO HOP NLAN'!F222*'TS-PILE'!$D$65/SUMSQ('TS-PILE'!$D$56:$D$75))),IF('TS-PILE'!$B$66="",1E+99,'TO HOP NLAN'!D222/ncoc+IF(SUMSQ('TS-PILE'!$E$56:$E$75)=0,0,'TO HOP NLAN'!E222*'TS-PILE'!$E$66/SUMSQ('TS-PILE'!$E$56:$E$75))+IF(SUMSQ('TS-PILE'!$D$56:$D$75)=0,0,'TO HOP NLAN'!F222*'TS-PILE'!$D$66/SUMSQ('TS-PILE'!$D$56:$D$75))),IF('TS-PILE'!$B$67="",1E+99,'TO HOP NLAN'!D222/ncoc+IF(SUMSQ('TS-PILE'!$E$56:$E$75)=0,0,'TO HOP NLAN'!E222*'TS-PILE'!$E$67/SUMSQ('TS-PILE'!$E$56:$E$75))+IF(SUMSQ('TS-PILE'!$D$56:$D$75)=0,0,'TO HOP NLAN'!F222*'TS-PILE'!$D$67/SUMSQ('TS-PILE'!$D$56:$D$75))),IF('TS-PILE'!$B$68="",1E+99,'TO HOP NLAN'!D222/ncoc+IF(SUMSQ('TS-PILE'!$E$56:$E$75)=0,0,'TO HOP NLAN'!E222*'TS-PILE'!$E$68/SUMSQ('TS-PILE'!$E$56:$E$75))+IF(SUMSQ('TS-PILE'!$D$56:$D$75)=0,0,'TO HOP NLAN'!F222*'TS-PILE'!$D$68/SUMSQ('TS-PILE'!$D$56:$D$75))),IF('TS-PILE'!$B$69="",1E+99,'TO HOP NLAN'!D222/ncoc+IF(SUMSQ('TS-PILE'!$E$56:$E$75)=0,0,'TO HOP NLAN'!E222*'TS-PILE'!$E$69/SUMSQ('TS-PILE'!$E$56:$E$75))+IF(SUMSQ('TS-PILE'!$D$56:$D$75)=0,0,'TO HOP NLAN'!F222*'TS-PILE'!$D$69/SUMSQ('TS-PILE'!$D$56:$D$75))),IF('TS-PILE'!$B$70="",1E+99,'TO HOP NLAN'!D222/ncoc+IF(SUMSQ('TS-PILE'!$E$56:$E$75)=0,0,'TO HOP NLAN'!E222*'TS-PILE'!$E$70/SUMSQ('TS-PILE'!$E$56:$E$75))+IF(SUMSQ('TS-PILE'!$D$56:$D$75)=0,0,'TO HOP NLAN'!F222*'TS-PILE'!$D$70/SUMSQ('TS-PILE'!$D$56:$D$75))),IF('TS-PILE'!$B$71="",1E+99,'TO HOP NLAN'!D222/ncoc+IF(SUMSQ('TS-PILE'!$E$56:$E$75)=0,0,'TO HOP NLAN'!E222*'TS-PILE'!$E$71/SUMSQ('TS-PILE'!$E$56:$E$75))+IF(SUMSQ('TS-PILE'!$D$56:$D$75)=0,0,'TO HOP NLAN'!F222*'TS-PILE'!$D$71/SUMSQ('TS-PILE'!$D$56:$D$75))),IF('TS-PILE'!$B$72="",1E+99,'TO HOP NLAN'!D222/ncoc+IF(SUMSQ('TS-PILE'!$E$56:$E$75)=0,0,'TO HOP NLAN'!E222*'TS-PILE'!$E$72/SUMSQ('TS-PILE'!$E$56:$E$75))+IF(SUMSQ('TS-PILE'!$D$56:$D$75)=0,0,'TO HOP NLAN'!F222*'TS-PILE'!$D$72/SUMSQ('TS-PILE'!$D$56:$D$75))),IF('TS-PILE'!$B$73="",1E+99,'TO HOP NLAN'!D222/ncoc+IF(SUMSQ('TS-PILE'!$E$56:$E$75)=0,0,'TO HOP NLAN'!E222*'TS-PILE'!$E$73/SUMSQ('TS-PILE'!$E$56:$E$75))+IF(SUMSQ('TS-PILE'!$D$56:$D$75)=0,0,'TO HOP NLAN'!F222*'TS-PILE'!$D$73/SUMSQ('TS-PILE'!$D$56:$D$75))),IF('TS-PILE'!$B$74="",1E+99,'TO HOP NLAN'!D222/ncoc+IF(SUMSQ('TS-PILE'!$E$56:$E$75)=0,0,'TO HOP NLAN'!E222*'TS-PILE'!$E$74/SUMSQ('TS-PILE'!$E$56:$E$75))+IF(SUMSQ('TS-PILE'!$D$56:$D$75)=0,0,'TO HOP NLAN'!F222*'TS-PILE'!$D$74/SUMSQ('TS-PILE'!$D$56:$D$75))),IF('TS-PILE'!$B$75="",1E+99,'TO HOP NLAN'!D222/ncoc+IF(SUMSQ('TS-PILE'!$E$56:$E$75)=0,0,'TO HOP NLAN'!E222*'TS-PILE'!$E$75/SUMSQ('TS-PILE'!$E$56:$E$75))+IF(SUMSQ('TS-PILE'!$D$56:$D$75)=0,0,'TO HOP NLAN'!F222*'TS-PILE'!$D$75/SUMSQ('TS-PILE'!$D$56:$D$75)))))</f>
        <v>0</v>
      </c>
      <c r="E222" s="46">
        <f t="shared" si="12"/>
        <v>-9.9999999999999997E+98</v>
      </c>
      <c r="F222" s="46">
        <f t="shared" si="13"/>
        <v>9.9999999999999997E+98</v>
      </c>
      <c r="G222" s="46">
        <f t="shared" si="14"/>
        <v>-9.9999999999999997E+98</v>
      </c>
      <c r="H222" s="46">
        <f t="shared" si="15"/>
        <v>9.9999999999999997E+98</v>
      </c>
    </row>
    <row r="223" spans="1:8" x14ac:dyDescent="0.3">
      <c r="A223" s="40" t="str">
        <f>'TO HOP NLAN'!A223</f>
        <v/>
      </c>
      <c r="B223" s="40" t="str">
        <f>'TO HOP NLAN'!L223</f>
        <v>STRENGTH</v>
      </c>
      <c r="C223" s="46">
        <f>IF(A223="",0,MAX(IF('TS-PILE'!$B$56="",-1E+99,'TO HOP NLAN'!D223/ncoc+IF(SUMSQ('TS-PILE'!$E$56:$E$75)=0,0,'TO HOP NLAN'!E223*'TS-PILE'!$E$56/SUMSQ('TS-PILE'!$E$56:$E$75))+IF(SUMSQ('TS-PILE'!$D$56:$D$75)=0,0,'TO HOP NLAN'!F223*'TS-PILE'!$D$56/SUMSQ('TS-PILE'!$D$56:$D$75))),IF('TS-PILE'!$B$57="",-1E+99,'TO HOP NLAN'!D223/ncoc+IF(SUMSQ('TS-PILE'!$E$56:$E$75)=0,0,'TO HOP NLAN'!E223*'TS-PILE'!$E$57/SUMSQ('TS-PILE'!$E$56:$E$75))+IF(SUMSQ('TS-PILE'!$D$56:$D$75)=0,0,'TO HOP NLAN'!F223*'TS-PILE'!$D$57/SUMSQ('TS-PILE'!$D$56:$D$75))),IF('TS-PILE'!$B$58="",-1E+99,'TO HOP NLAN'!D223/ncoc+IF(SUMSQ('TS-PILE'!$E$56:$E$75)=0,0,'TO HOP NLAN'!E223*'TS-PILE'!$E$58/SUMSQ('TS-PILE'!$E$56:$E$75))+IF(SUMSQ('TS-PILE'!$D$56:$D$75)=0,0,'TO HOP NLAN'!F223*'TS-PILE'!$D$58/SUMSQ('TS-PILE'!$D$56:$D$75))),IF('TS-PILE'!$B$59="",-1E+99,'TO HOP NLAN'!D223/ncoc+IF(SUMSQ('TS-PILE'!$E$56:$E$75)=0,0,'TO HOP NLAN'!E223*'TS-PILE'!$E$59/SUMSQ('TS-PILE'!$E$56:$E$75))+IF(SUMSQ('TS-PILE'!$D$56:$D$75)=0,0,'TO HOP NLAN'!F223*'TS-PILE'!$D$59/SUMSQ('TS-PILE'!$D$56:$D$75))),IF('TS-PILE'!$B$60="",-1E+99,'TO HOP NLAN'!D223/ncoc+IF(SUMSQ('TS-PILE'!$E$56:$E$75)=0,0,'TO HOP NLAN'!E223*'TS-PILE'!$E$60/SUMSQ('TS-PILE'!$E$56:$E$75))+IF(SUMSQ('TS-PILE'!$D$56:$D$75)=0,0,'TO HOP NLAN'!F223*'TS-PILE'!$D$60/SUMSQ('TS-PILE'!$D$56:$D$75))),IF('TS-PILE'!$B$61="",-1E+99,'TO HOP NLAN'!D223/ncoc+IF(SUMSQ('TS-PILE'!$E$56:$E$75)=0,0,'TO HOP NLAN'!E223*'TS-PILE'!$E$61/SUMSQ('TS-PILE'!$E$56:$E$75))+IF(SUMSQ('TS-PILE'!$D$56:$D$75)=0,0,'TO HOP NLAN'!F223*'TS-PILE'!$D$61/SUMSQ('TS-PILE'!$D$56:$D$75))),IF('TS-PILE'!$B$62="",-1E+99,'TO HOP NLAN'!D223/ncoc+IF(SUMSQ('TS-PILE'!$E$56:$E$75)=0,0,'TO HOP NLAN'!E223*'TS-PILE'!$E$62/SUMSQ('TS-PILE'!$E$56:$E$75))+IF(SUMSQ('TS-PILE'!$D$56:$D$75)=0,0,'TO HOP NLAN'!F223*'TS-PILE'!$D$62/SUMSQ('TS-PILE'!$D$56:$D$75))),IF('TS-PILE'!$B$63="",-1E+99,'TO HOP NLAN'!D223/ncoc+IF(SUMSQ('TS-PILE'!$E$56:$E$75)=0,0,'TO HOP NLAN'!E223*'TS-PILE'!$E$63/SUMSQ('TS-PILE'!$E$56:$E$75))+IF(SUMSQ('TS-PILE'!$D$56:$D$75)=0,0,'TO HOP NLAN'!F223*'TS-PILE'!$D$63/SUMSQ('TS-PILE'!$D$56:$D$75))),IF('TS-PILE'!$B$64="",-1E+99,'TO HOP NLAN'!D223/ncoc+IF(SUMSQ('TS-PILE'!$E$56:$E$75)=0,0,'TO HOP NLAN'!E223*'TS-PILE'!$E$64/SUMSQ('TS-PILE'!$E$56:$E$75))+IF(SUMSQ('TS-PILE'!$D$56:$D$75)=0,0,'TO HOP NLAN'!F223*'TS-PILE'!$D$64/SUMSQ('TS-PILE'!$D$56:$D$75))),IF('TS-PILE'!$B$65="",-1E+99,'TO HOP NLAN'!D223/ncoc+IF(SUMSQ('TS-PILE'!$E$56:$E$75)=0,0,'TO HOP NLAN'!E223*'TS-PILE'!$E$65/SUMSQ('TS-PILE'!$E$56:$E$75))+IF(SUMSQ('TS-PILE'!$D$56:$D$75)=0,0,'TO HOP NLAN'!F223*'TS-PILE'!$D$65/SUMSQ('TS-PILE'!$D$56:$D$75))),IF('TS-PILE'!$B$66="",-1E+99,'TO HOP NLAN'!D223/ncoc+IF(SUMSQ('TS-PILE'!$E$56:$E$75)=0,0,'TO HOP NLAN'!E223*'TS-PILE'!$E$66/SUMSQ('TS-PILE'!$E$56:$E$75))+IF(SUMSQ('TS-PILE'!$D$56:$D$75)=0,0,'TO HOP NLAN'!F223*'TS-PILE'!$D$66/SUMSQ('TS-PILE'!$D$56:$D$75))),IF('TS-PILE'!$B$67="",-1E+99,'TO HOP NLAN'!D223/ncoc+IF(SUMSQ('TS-PILE'!$E$56:$E$75)=0,0,'TO HOP NLAN'!E223*'TS-PILE'!$E$67/SUMSQ('TS-PILE'!$E$56:$E$75))+IF(SUMSQ('TS-PILE'!$D$56:$D$75)=0,0,'TO HOP NLAN'!F223*'TS-PILE'!$D$67/SUMSQ('TS-PILE'!$D$56:$D$75))),IF('TS-PILE'!$B$68="",-1E+99,'TO HOP NLAN'!D223/ncoc+IF(SUMSQ('TS-PILE'!$E$56:$E$75)=0,0,'TO HOP NLAN'!E223*'TS-PILE'!$E$68/SUMSQ('TS-PILE'!$E$56:$E$75))+IF(SUMSQ('TS-PILE'!$D$56:$D$75)=0,0,'TO HOP NLAN'!F223*'TS-PILE'!$D$68/SUMSQ('TS-PILE'!$D$56:$D$75))),IF('TS-PILE'!$B$69="",-1E+99,'TO HOP NLAN'!D223/ncoc+IF(SUMSQ('TS-PILE'!$E$56:$E$75)=0,0,'TO HOP NLAN'!E223*'TS-PILE'!$E$69/SUMSQ('TS-PILE'!$E$56:$E$75))+IF(SUMSQ('TS-PILE'!$D$56:$D$75)=0,0,'TO HOP NLAN'!F223*'TS-PILE'!$D$69/SUMSQ('TS-PILE'!$D$56:$D$75))),IF('TS-PILE'!$B$70="",-1E+99,'TO HOP NLAN'!D223/ncoc+IF(SUMSQ('TS-PILE'!$E$56:$E$75)=0,0,'TO HOP NLAN'!E223*'TS-PILE'!$E$70/SUMSQ('TS-PILE'!$E$56:$E$75))+IF(SUMSQ('TS-PILE'!$D$56:$D$75)=0,0,'TO HOP NLAN'!F223*'TS-PILE'!$D$70/SUMSQ('TS-PILE'!$D$56:$D$75))),IF('TS-PILE'!$B$71="",-1E+99,'TO HOP NLAN'!D223/ncoc+IF(SUMSQ('TS-PILE'!$E$56:$E$75)=0,0,'TO HOP NLAN'!E223*'TS-PILE'!$E$71/SUMSQ('TS-PILE'!$E$56:$E$75))+IF(SUMSQ('TS-PILE'!$D$56:$D$75)=0,0,'TO HOP NLAN'!F223*'TS-PILE'!$D$71/SUMSQ('TS-PILE'!$D$56:$D$75))),IF('TS-PILE'!$B$72="",-1E+99,'TO HOP NLAN'!D223/ncoc+IF(SUMSQ('TS-PILE'!$E$56:$E$75)=0,0,'TO HOP NLAN'!E223*'TS-PILE'!$E$72/SUMSQ('TS-PILE'!$E$56:$E$75))+IF(SUMSQ('TS-PILE'!$D$56:$D$75)=0,0,'TO HOP NLAN'!F223*'TS-PILE'!$D$72/SUMSQ('TS-PILE'!$D$56:$D$75))),IF('TS-PILE'!$B$73="",-1E+99,'TO HOP NLAN'!D223/ncoc+IF(SUMSQ('TS-PILE'!$E$56:$E$75)=0,0,'TO HOP NLAN'!E223*'TS-PILE'!$E$73/SUMSQ('TS-PILE'!$E$56:$E$75))+IF(SUMSQ('TS-PILE'!$D$56:$D$75)=0,0,'TO HOP NLAN'!F223*'TS-PILE'!$D$73/SUMSQ('TS-PILE'!$D$56:$D$75))),IF('TS-PILE'!$B$74="",-1E+99,'TO HOP NLAN'!D223/ncoc+IF(SUMSQ('TS-PILE'!$E$56:$E$75)=0,0,'TO HOP NLAN'!E223*'TS-PILE'!$E$74/SUMSQ('TS-PILE'!$E$56:$E$75))+IF(SUMSQ('TS-PILE'!$D$56:$D$75)=0,0,'TO HOP NLAN'!F223*'TS-PILE'!$D$74/SUMSQ('TS-PILE'!$D$56:$D$75))),IF('TS-PILE'!$B$75="",-1E+99,'TO HOP NLAN'!D223/ncoc+IF(SUMSQ('TS-PILE'!$E$56:$E$75)=0,0,'TO HOP NLAN'!E223*'TS-PILE'!$E$75/SUMSQ('TS-PILE'!$E$56:$E$75))+IF(SUMSQ('TS-PILE'!$D$56:$D$75)=0,0,'TO HOP NLAN'!F223*'TS-PILE'!$D$75/SUMSQ('TS-PILE'!$D$56:$D$75)))))</f>
        <v>0</v>
      </c>
      <c r="D223" s="46">
        <f>IF(A223="",0,MIN(IF('TS-PILE'!$B$56="",1E+99,'TO HOP NLAN'!D223/ncoc+IF(SUMSQ('TS-PILE'!$E$56:$E$75)=0,0,'TO HOP NLAN'!E223*'TS-PILE'!$E$56/SUMSQ('TS-PILE'!$E$56:$E$75))+IF(SUMSQ('TS-PILE'!$D$56:$D$75)=0,0,'TO HOP NLAN'!F223*'TS-PILE'!$D$56/SUMSQ('TS-PILE'!$D$56:$D$75))),IF('TS-PILE'!$B$57="",1E+99,'TO HOP NLAN'!D223/ncoc+IF(SUMSQ('TS-PILE'!$E$56:$E$75)=0,0,'TO HOP NLAN'!E223*'TS-PILE'!$E$57/SUMSQ('TS-PILE'!$E$56:$E$75))+IF(SUMSQ('TS-PILE'!$D$56:$D$75)=0,0,'TO HOP NLAN'!F223*'TS-PILE'!$D$57/SUMSQ('TS-PILE'!$D$56:$D$75))),IF('TS-PILE'!$B$58="",1E+99,'TO HOP NLAN'!D223/ncoc+IF(SUMSQ('TS-PILE'!$E$56:$E$75)=0,0,'TO HOP NLAN'!E223*'TS-PILE'!$E$58/SUMSQ('TS-PILE'!$E$56:$E$75))+IF(SUMSQ('TS-PILE'!$D$56:$D$75)=0,0,'TO HOP NLAN'!F223*'TS-PILE'!$D$58/SUMSQ('TS-PILE'!$D$56:$D$75))),IF('TS-PILE'!$B$59="",1E+99,'TO HOP NLAN'!D223/ncoc+IF(SUMSQ('TS-PILE'!$E$56:$E$75)=0,0,'TO HOP NLAN'!E223*'TS-PILE'!$E$59/SUMSQ('TS-PILE'!$E$56:$E$75))+IF(SUMSQ('TS-PILE'!$D$56:$D$75)=0,0,'TO HOP NLAN'!F223*'TS-PILE'!$D$59/SUMSQ('TS-PILE'!$D$56:$D$75))),IF('TS-PILE'!$B$60="",1E+99,'TO HOP NLAN'!D223/ncoc+IF(SUMSQ('TS-PILE'!$E$56:$E$75)=0,0,'TO HOP NLAN'!E223*'TS-PILE'!$E$60/SUMSQ('TS-PILE'!$E$56:$E$75))+IF(SUMSQ('TS-PILE'!$D$56:$D$75)=0,0,'TO HOP NLAN'!F223*'TS-PILE'!$D$60/SUMSQ('TS-PILE'!$D$56:$D$75))),IF('TS-PILE'!$B$61="",1E+99,'TO HOP NLAN'!D223/ncoc+IF(SUMSQ('TS-PILE'!$E$56:$E$75)=0,0,'TO HOP NLAN'!E223*'TS-PILE'!$E$61/SUMSQ('TS-PILE'!$E$56:$E$75))+IF(SUMSQ('TS-PILE'!$D$56:$D$75)=0,0,'TO HOP NLAN'!F223*'TS-PILE'!$D$61/SUMSQ('TS-PILE'!$D$56:$D$75))),IF('TS-PILE'!$B$62="",1E+99,'TO HOP NLAN'!D223/ncoc+IF(SUMSQ('TS-PILE'!$E$56:$E$75)=0,0,'TO HOP NLAN'!E223*'TS-PILE'!$E$62/SUMSQ('TS-PILE'!$E$56:$E$75))+IF(SUMSQ('TS-PILE'!$D$56:$D$75)=0,0,'TO HOP NLAN'!F223*'TS-PILE'!$D$62/SUMSQ('TS-PILE'!$D$56:$D$75))),IF('TS-PILE'!$B$63="",1E+99,'TO HOP NLAN'!D223/ncoc+IF(SUMSQ('TS-PILE'!$E$56:$E$75)=0,0,'TO HOP NLAN'!E223*'TS-PILE'!$E$63/SUMSQ('TS-PILE'!$E$56:$E$75))+IF(SUMSQ('TS-PILE'!$D$56:$D$75)=0,0,'TO HOP NLAN'!F223*'TS-PILE'!$D$63/SUMSQ('TS-PILE'!$D$56:$D$75))),IF('TS-PILE'!$B$64="",1E+99,'TO HOP NLAN'!D223/ncoc+IF(SUMSQ('TS-PILE'!$E$56:$E$75)=0,0,'TO HOP NLAN'!E223*'TS-PILE'!$E$64/SUMSQ('TS-PILE'!$E$56:$E$75))+IF(SUMSQ('TS-PILE'!$D$56:$D$75)=0,0,'TO HOP NLAN'!F223*'TS-PILE'!$D$64/SUMSQ('TS-PILE'!$D$56:$D$75))),IF('TS-PILE'!$B$65="",1E+99,'TO HOP NLAN'!D223/ncoc+IF(SUMSQ('TS-PILE'!$E$56:$E$75)=0,0,'TO HOP NLAN'!E223*'TS-PILE'!$E$65/SUMSQ('TS-PILE'!$E$56:$E$75))+IF(SUMSQ('TS-PILE'!$D$56:$D$75)=0,0,'TO HOP NLAN'!F223*'TS-PILE'!$D$65/SUMSQ('TS-PILE'!$D$56:$D$75))),IF('TS-PILE'!$B$66="",1E+99,'TO HOP NLAN'!D223/ncoc+IF(SUMSQ('TS-PILE'!$E$56:$E$75)=0,0,'TO HOP NLAN'!E223*'TS-PILE'!$E$66/SUMSQ('TS-PILE'!$E$56:$E$75))+IF(SUMSQ('TS-PILE'!$D$56:$D$75)=0,0,'TO HOP NLAN'!F223*'TS-PILE'!$D$66/SUMSQ('TS-PILE'!$D$56:$D$75))),IF('TS-PILE'!$B$67="",1E+99,'TO HOP NLAN'!D223/ncoc+IF(SUMSQ('TS-PILE'!$E$56:$E$75)=0,0,'TO HOP NLAN'!E223*'TS-PILE'!$E$67/SUMSQ('TS-PILE'!$E$56:$E$75))+IF(SUMSQ('TS-PILE'!$D$56:$D$75)=0,0,'TO HOP NLAN'!F223*'TS-PILE'!$D$67/SUMSQ('TS-PILE'!$D$56:$D$75))),IF('TS-PILE'!$B$68="",1E+99,'TO HOP NLAN'!D223/ncoc+IF(SUMSQ('TS-PILE'!$E$56:$E$75)=0,0,'TO HOP NLAN'!E223*'TS-PILE'!$E$68/SUMSQ('TS-PILE'!$E$56:$E$75))+IF(SUMSQ('TS-PILE'!$D$56:$D$75)=0,0,'TO HOP NLAN'!F223*'TS-PILE'!$D$68/SUMSQ('TS-PILE'!$D$56:$D$75))),IF('TS-PILE'!$B$69="",1E+99,'TO HOP NLAN'!D223/ncoc+IF(SUMSQ('TS-PILE'!$E$56:$E$75)=0,0,'TO HOP NLAN'!E223*'TS-PILE'!$E$69/SUMSQ('TS-PILE'!$E$56:$E$75))+IF(SUMSQ('TS-PILE'!$D$56:$D$75)=0,0,'TO HOP NLAN'!F223*'TS-PILE'!$D$69/SUMSQ('TS-PILE'!$D$56:$D$75))),IF('TS-PILE'!$B$70="",1E+99,'TO HOP NLAN'!D223/ncoc+IF(SUMSQ('TS-PILE'!$E$56:$E$75)=0,0,'TO HOP NLAN'!E223*'TS-PILE'!$E$70/SUMSQ('TS-PILE'!$E$56:$E$75))+IF(SUMSQ('TS-PILE'!$D$56:$D$75)=0,0,'TO HOP NLAN'!F223*'TS-PILE'!$D$70/SUMSQ('TS-PILE'!$D$56:$D$75))),IF('TS-PILE'!$B$71="",1E+99,'TO HOP NLAN'!D223/ncoc+IF(SUMSQ('TS-PILE'!$E$56:$E$75)=0,0,'TO HOP NLAN'!E223*'TS-PILE'!$E$71/SUMSQ('TS-PILE'!$E$56:$E$75))+IF(SUMSQ('TS-PILE'!$D$56:$D$75)=0,0,'TO HOP NLAN'!F223*'TS-PILE'!$D$71/SUMSQ('TS-PILE'!$D$56:$D$75))),IF('TS-PILE'!$B$72="",1E+99,'TO HOP NLAN'!D223/ncoc+IF(SUMSQ('TS-PILE'!$E$56:$E$75)=0,0,'TO HOP NLAN'!E223*'TS-PILE'!$E$72/SUMSQ('TS-PILE'!$E$56:$E$75))+IF(SUMSQ('TS-PILE'!$D$56:$D$75)=0,0,'TO HOP NLAN'!F223*'TS-PILE'!$D$72/SUMSQ('TS-PILE'!$D$56:$D$75))),IF('TS-PILE'!$B$73="",1E+99,'TO HOP NLAN'!D223/ncoc+IF(SUMSQ('TS-PILE'!$E$56:$E$75)=0,0,'TO HOP NLAN'!E223*'TS-PILE'!$E$73/SUMSQ('TS-PILE'!$E$56:$E$75))+IF(SUMSQ('TS-PILE'!$D$56:$D$75)=0,0,'TO HOP NLAN'!F223*'TS-PILE'!$D$73/SUMSQ('TS-PILE'!$D$56:$D$75))),IF('TS-PILE'!$B$74="",1E+99,'TO HOP NLAN'!D223/ncoc+IF(SUMSQ('TS-PILE'!$E$56:$E$75)=0,0,'TO HOP NLAN'!E223*'TS-PILE'!$E$74/SUMSQ('TS-PILE'!$E$56:$E$75))+IF(SUMSQ('TS-PILE'!$D$56:$D$75)=0,0,'TO HOP NLAN'!F223*'TS-PILE'!$D$74/SUMSQ('TS-PILE'!$D$56:$D$75))),IF('TS-PILE'!$B$75="",1E+99,'TO HOP NLAN'!D223/ncoc+IF(SUMSQ('TS-PILE'!$E$56:$E$75)=0,0,'TO HOP NLAN'!E223*'TS-PILE'!$E$75/SUMSQ('TS-PILE'!$E$56:$E$75))+IF(SUMSQ('TS-PILE'!$D$56:$D$75)=0,0,'TO HOP NLAN'!F223*'TS-PILE'!$D$75/SUMSQ('TS-PILE'!$D$56:$D$75)))))</f>
        <v>0</v>
      </c>
      <c r="E223" s="46">
        <f t="shared" si="12"/>
        <v>-9.9999999999999997E+98</v>
      </c>
      <c r="F223" s="46">
        <f t="shared" si="13"/>
        <v>9.9999999999999997E+98</v>
      </c>
      <c r="G223" s="46">
        <f t="shared" si="14"/>
        <v>-9.9999999999999997E+98</v>
      </c>
      <c r="H223" s="46">
        <f t="shared" si="15"/>
        <v>9.9999999999999997E+98</v>
      </c>
    </row>
    <row r="224" spans="1:8" x14ac:dyDescent="0.3">
      <c r="A224" s="40" t="str">
        <f>'TO HOP NLAN'!A224</f>
        <v/>
      </c>
      <c r="B224" s="40" t="str">
        <f>'TO HOP NLAN'!L224</f>
        <v>STRENGTH</v>
      </c>
      <c r="C224" s="46">
        <f>IF(A224="",0,MAX(IF('TS-PILE'!$B$56="",-1E+99,'TO HOP NLAN'!D224/ncoc+IF(SUMSQ('TS-PILE'!$E$56:$E$75)=0,0,'TO HOP NLAN'!E224*'TS-PILE'!$E$56/SUMSQ('TS-PILE'!$E$56:$E$75))+IF(SUMSQ('TS-PILE'!$D$56:$D$75)=0,0,'TO HOP NLAN'!F224*'TS-PILE'!$D$56/SUMSQ('TS-PILE'!$D$56:$D$75))),IF('TS-PILE'!$B$57="",-1E+99,'TO HOP NLAN'!D224/ncoc+IF(SUMSQ('TS-PILE'!$E$56:$E$75)=0,0,'TO HOP NLAN'!E224*'TS-PILE'!$E$57/SUMSQ('TS-PILE'!$E$56:$E$75))+IF(SUMSQ('TS-PILE'!$D$56:$D$75)=0,0,'TO HOP NLAN'!F224*'TS-PILE'!$D$57/SUMSQ('TS-PILE'!$D$56:$D$75))),IF('TS-PILE'!$B$58="",-1E+99,'TO HOP NLAN'!D224/ncoc+IF(SUMSQ('TS-PILE'!$E$56:$E$75)=0,0,'TO HOP NLAN'!E224*'TS-PILE'!$E$58/SUMSQ('TS-PILE'!$E$56:$E$75))+IF(SUMSQ('TS-PILE'!$D$56:$D$75)=0,0,'TO HOP NLAN'!F224*'TS-PILE'!$D$58/SUMSQ('TS-PILE'!$D$56:$D$75))),IF('TS-PILE'!$B$59="",-1E+99,'TO HOP NLAN'!D224/ncoc+IF(SUMSQ('TS-PILE'!$E$56:$E$75)=0,0,'TO HOP NLAN'!E224*'TS-PILE'!$E$59/SUMSQ('TS-PILE'!$E$56:$E$75))+IF(SUMSQ('TS-PILE'!$D$56:$D$75)=0,0,'TO HOP NLAN'!F224*'TS-PILE'!$D$59/SUMSQ('TS-PILE'!$D$56:$D$75))),IF('TS-PILE'!$B$60="",-1E+99,'TO HOP NLAN'!D224/ncoc+IF(SUMSQ('TS-PILE'!$E$56:$E$75)=0,0,'TO HOP NLAN'!E224*'TS-PILE'!$E$60/SUMSQ('TS-PILE'!$E$56:$E$75))+IF(SUMSQ('TS-PILE'!$D$56:$D$75)=0,0,'TO HOP NLAN'!F224*'TS-PILE'!$D$60/SUMSQ('TS-PILE'!$D$56:$D$75))),IF('TS-PILE'!$B$61="",-1E+99,'TO HOP NLAN'!D224/ncoc+IF(SUMSQ('TS-PILE'!$E$56:$E$75)=0,0,'TO HOP NLAN'!E224*'TS-PILE'!$E$61/SUMSQ('TS-PILE'!$E$56:$E$75))+IF(SUMSQ('TS-PILE'!$D$56:$D$75)=0,0,'TO HOP NLAN'!F224*'TS-PILE'!$D$61/SUMSQ('TS-PILE'!$D$56:$D$75))),IF('TS-PILE'!$B$62="",-1E+99,'TO HOP NLAN'!D224/ncoc+IF(SUMSQ('TS-PILE'!$E$56:$E$75)=0,0,'TO HOP NLAN'!E224*'TS-PILE'!$E$62/SUMSQ('TS-PILE'!$E$56:$E$75))+IF(SUMSQ('TS-PILE'!$D$56:$D$75)=0,0,'TO HOP NLAN'!F224*'TS-PILE'!$D$62/SUMSQ('TS-PILE'!$D$56:$D$75))),IF('TS-PILE'!$B$63="",-1E+99,'TO HOP NLAN'!D224/ncoc+IF(SUMSQ('TS-PILE'!$E$56:$E$75)=0,0,'TO HOP NLAN'!E224*'TS-PILE'!$E$63/SUMSQ('TS-PILE'!$E$56:$E$75))+IF(SUMSQ('TS-PILE'!$D$56:$D$75)=0,0,'TO HOP NLAN'!F224*'TS-PILE'!$D$63/SUMSQ('TS-PILE'!$D$56:$D$75))),IF('TS-PILE'!$B$64="",-1E+99,'TO HOP NLAN'!D224/ncoc+IF(SUMSQ('TS-PILE'!$E$56:$E$75)=0,0,'TO HOP NLAN'!E224*'TS-PILE'!$E$64/SUMSQ('TS-PILE'!$E$56:$E$75))+IF(SUMSQ('TS-PILE'!$D$56:$D$75)=0,0,'TO HOP NLAN'!F224*'TS-PILE'!$D$64/SUMSQ('TS-PILE'!$D$56:$D$75))),IF('TS-PILE'!$B$65="",-1E+99,'TO HOP NLAN'!D224/ncoc+IF(SUMSQ('TS-PILE'!$E$56:$E$75)=0,0,'TO HOP NLAN'!E224*'TS-PILE'!$E$65/SUMSQ('TS-PILE'!$E$56:$E$75))+IF(SUMSQ('TS-PILE'!$D$56:$D$75)=0,0,'TO HOP NLAN'!F224*'TS-PILE'!$D$65/SUMSQ('TS-PILE'!$D$56:$D$75))),IF('TS-PILE'!$B$66="",-1E+99,'TO HOP NLAN'!D224/ncoc+IF(SUMSQ('TS-PILE'!$E$56:$E$75)=0,0,'TO HOP NLAN'!E224*'TS-PILE'!$E$66/SUMSQ('TS-PILE'!$E$56:$E$75))+IF(SUMSQ('TS-PILE'!$D$56:$D$75)=0,0,'TO HOP NLAN'!F224*'TS-PILE'!$D$66/SUMSQ('TS-PILE'!$D$56:$D$75))),IF('TS-PILE'!$B$67="",-1E+99,'TO HOP NLAN'!D224/ncoc+IF(SUMSQ('TS-PILE'!$E$56:$E$75)=0,0,'TO HOP NLAN'!E224*'TS-PILE'!$E$67/SUMSQ('TS-PILE'!$E$56:$E$75))+IF(SUMSQ('TS-PILE'!$D$56:$D$75)=0,0,'TO HOP NLAN'!F224*'TS-PILE'!$D$67/SUMSQ('TS-PILE'!$D$56:$D$75))),IF('TS-PILE'!$B$68="",-1E+99,'TO HOP NLAN'!D224/ncoc+IF(SUMSQ('TS-PILE'!$E$56:$E$75)=0,0,'TO HOP NLAN'!E224*'TS-PILE'!$E$68/SUMSQ('TS-PILE'!$E$56:$E$75))+IF(SUMSQ('TS-PILE'!$D$56:$D$75)=0,0,'TO HOP NLAN'!F224*'TS-PILE'!$D$68/SUMSQ('TS-PILE'!$D$56:$D$75))),IF('TS-PILE'!$B$69="",-1E+99,'TO HOP NLAN'!D224/ncoc+IF(SUMSQ('TS-PILE'!$E$56:$E$75)=0,0,'TO HOP NLAN'!E224*'TS-PILE'!$E$69/SUMSQ('TS-PILE'!$E$56:$E$75))+IF(SUMSQ('TS-PILE'!$D$56:$D$75)=0,0,'TO HOP NLAN'!F224*'TS-PILE'!$D$69/SUMSQ('TS-PILE'!$D$56:$D$75))),IF('TS-PILE'!$B$70="",-1E+99,'TO HOP NLAN'!D224/ncoc+IF(SUMSQ('TS-PILE'!$E$56:$E$75)=0,0,'TO HOP NLAN'!E224*'TS-PILE'!$E$70/SUMSQ('TS-PILE'!$E$56:$E$75))+IF(SUMSQ('TS-PILE'!$D$56:$D$75)=0,0,'TO HOP NLAN'!F224*'TS-PILE'!$D$70/SUMSQ('TS-PILE'!$D$56:$D$75))),IF('TS-PILE'!$B$71="",-1E+99,'TO HOP NLAN'!D224/ncoc+IF(SUMSQ('TS-PILE'!$E$56:$E$75)=0,0,'TO HOP NLAN'!E224*'TS-PILE'!$E$71/SUMSQ('TS-PILE'!$E$56:$E$75))+IF(SUMSQ('TS-PILE'!$D$56:$D$75)=0,0,'TO HOP NLAN'!F224*'TS-PILE'!$D$71/SUMSQ('TS-PILE'!$D$56:$D$75))),IF('TS-PILE'!$B$72="",-1E+99,'TO HOP NLAN'!D224/ncoc+IF(SUMSQ('TS-PILE'!$E$56:$E$75)=0,0,'TO HOP NLAN'!E224*'TS-PILE'!$E$72/SUMSQ('TS-PILE'!$E$56:$E$75))+IF(SUMSQ('TS-PILE'!$D$56:$D$75)=0,0,'TO HOP NLAN'!F224*'TS-PILE'!$D$72/SUMSQ('TS-PILE'!$D$56:$D$75))),IF('TS-PILE'!$B$73="",-1E+99,'TO HOP NLAN'!D224/ncoc+IF(SUMSQ('TS-PILE'!$E$56:$E$75)=0,0,'TO HOP NLAN'!E224*'TS-PILE'!$E$73/SUMSQ('TS-PILE'!$E$56:$E$75))+IF(SUMSQ('TS-PILE'!$D$56:$D$75)=0,0,'TO HOP NLAN'!F224*'TS-PILE'!$D$73/SUMSQ('TS-PILE'!$D$56:$D$75))),IF('TS-PILE'!$B$74="",-1E+99,'TO HOP NLAN'!D224/ncoc+IF(SUMSQ('TS-PILE'!$E$56:$E$75)=0,0,'TO HOP NLAN'!E224*'TS-PILE'!$E$74/SUMSQ('TS-PILE'!$E$56:$E$75))+IF(SUMSQ('TS-PILE'!$D$56:$D$75)=0,0,'TO HOP NLAN'!F224*'TS-PILE'!$D$74/SUMSQ('TS-PILE'!$D$56:$D$75))),IF('TS-PILE'!$B$75="",-1E+99,'TO HOP NLAN'!D224/ncoc+IF(SUMSQ('TS-PILE'!$E$56:$E$75)=0,0,'TO HOP NLAN'!E224*'TS-PILE'!$E$75/SUMSQ('TS-PILE'!$E$56:$E$75))+IF(SUMSQ('TS-PILE'!$D$56:$D$75)=0,0,'TO HOP NLAN'!F224*'TS-PILE'!$D$75/SUMSQ('TS-PILE'!$D$56:$D$75)))))</f>
        <v>0</v>
      </c>
      <c r="D224" s="46">
        <f>IF(A224="",0,MIN(IF('TS-PILE'!$B$56="",1E+99,'TO HOP NLAN'!D224/ncoc+IF(SUMSQ('TS-PILE'!$E$56:$E$75)=0,0,'TO HOP NLAN'!E224*'TS-PILE'!$E$56/SUMSQ('TS-PILE'!$E$56:$E$75))+IF(SUMSQ('TS-PILE'!$D$56:$D$75)=0,0,'TO HOP NLAN'!F224*'TS-PILE'!$D$56/SUMSQ('TS-PILE'!$D$56:$D$75))),IF('TS-PILE'!$B$57="",1E+99,'TO HOP NLAN'!D224/ncoc+IF(SUMSQ('TS-PILE'!$E$56:$E$75)=0,0,'TO HOP NLAN'!E224*'TS-PILE'!$E$57/SUMSQ('TS-PILE'!$E$56:$E$75))+IF(SUMSQ('TS-PILE'!$D$56:$D$75)=0,0,'TO HOP NLAN'!F224*'TS-PILE'!$D$57/SUMSQ('TS-PILE'!$D$56:$D$75))),IF('TS-PILE'!$B$58="",1E+99,'TO HOP NLAN'!D224/ncoc+IF(SUMSQ('TS-PILE'!$E$56:$E$75)=0,0,'TO HOP NLAN'!E224*'TS-PILE'!$E$58/SUMSQ('TS-PILE'!$E$56:$E$75))+IF(SUMSQ('TS-PILE'!$D$56:$D$75)=0,0,'TO HOP NLAN'!F224*'TS-PILE'!$D$58/SUMSQ('TS-PILE'!$D$56:$D$75))),IF('TS-PILE'!$B$59="",1E+99,'TO HOP NLAN'!D224/ncoc+IF(SUMSQ('TS-PILE'!$E$56:$E$75)=0,0,'TO HOP NLAN'!E224*'TS-PILE'!$E$59/SUMSQ('TS-PILE'!$E$56:$E$75))+IF(SUMSQ('TS-PILE'!$D$56:$D$75)=0,0,'TO HOP NLAN'!F224*'TS-PILE'!$D$59/SUMSQ('TS-PILE'!$D$56:$D$75))),IF('TS-PILE'!$B$60="",1E+99,'TO HOP NLAN'!D224/ncoc+IF(SUMSQ('TS-PILE'!$E$56:$E$75)=0,0,'TO HOP NLAN'!E224*'TS-PILE'!$E$60/SUMSQ('TS-PILE'!$E$56:$E$75))+IF(SUMSQ('TS-PILE'!$D$56:$D$75)=0,0,'TO HOP NLAN'!F224*'TS-PILE'!$D$60/SUMSQ('TS-PILE'!$D$56:$D$75))),IF('TS-PILE'!$B$61="",1E+99,'TO HOP NLAN'!D224/ncoc+IF(SUMSQ('TS-PILE'!$E$56:$E$75)=0,0,'TO HOP NLAN'!E224*'TS-PILE'!$E$61/SUMSQ('TS-PILE'!$E$56:$E$75))+IF(SUMSQ('TS-PILE'!$D$56:$D$75)=0,0,'TO HOP NLAN'!F224*'TS-PILE'!$D$61/SUMSQ('TS-PILE'!$D$56:$D$75))),IF('TS-PILE'!$B$62="",1E+99,'TO HOP NLAN'!D224/ncoc+IF(SUMSQ('TS-PILE'!$E$56:$E$75)=0,0,'TO HOP NLAN'!E224*'TS-PILE'!$E$62/SUMSQ('TS-PILE'!$E$56:$E$75))+IF(SUMSQ('TS-PILE'!$D$56:$D$75)=0,0,'TO HOP NLAN'!F224*'TS-PILE'!$D$62/SUMSQ('TS-PILE'!$D$56:$D$75))),IF('TS-PILE'!$B$63="",1E+99,'TO HOP NLAN'!D224/ncoc+IF(SUMSQ('TS-PILE'!$E$56:$E$75)=0,0,'TO HOP NLAN'!E224*'TS-PILE'!$E$63/SUMSQ('TS-PILE'!$E$56:$E$75))+IF(SUMSQ('TS-PILE'!$D$56:$D$75)=0,0,'TO HOP NLAN'!F224*'TS-PILE'!$D$63/SUMSQ('TS-PILE'!$D$56:$D$75))),IF('TS-PILE'!$B$64="",1E+99,'TO HOP NLAN'!D224/ncoc+IF(SUMSQ('TS-PILE'!$E$56:$E$75)=0,0,'TO HOP NLAN'!E224*'TS-PILE'!$E$64/SUMSQ('TS-PILE'!$E$56:$E$75))+IF(SUMSQ('TS-PILE'!$D$56:$D$75)=0,0,'TO HOP NLAN'!F224*'TS-PILE'!$D$64/SUMSQ('TS-PILE'!$D$56:$D$75))),IF('TS-PILE'!$B$65="",1E+99,'TO HOP NLAN'!D224/ncoc+IF(SUMSQ('TS-PILE'!$E$56:$E$75)=0,0,'TO HOP NLAN'!E224*'TS-PILE'!$E$65/SUMSQ('TS-PILE'!$E$56:$E$75))+IF(SUMSQ('TS-PILE'!$D$56:$D$75)=0,0,'TO HOP NLAN'!F224*'TS-PILE'!$D$65/SUMSQ('TS-PILE'!$D$56:$D$75))),IF('TS-PILE'!$B$66="",1E+99,'TO HOP NLAN'!D224/ncoc+IF(SUMSQ('TS-PILE'!$E$56:$E$75)=0,0,'TO HOP NLAN'!E224*'TS-PILE'!$E$66/SUMSQ('TS-PILE'!$E$56:$E$75))+IF(SUMSQ('TS-PILE'!$D$56:$D$75)=0,0,'TO HOP NLAN'!F224*'TS-PILE'!$D$66/SUMSQ('TS-PILE'!$D$56:$D$75))),IF('TS-PILE'!$B$67="",1E+99,'TO HOP NLAN'!D224/ncoc+IF(SUMSQ('TS-PILE'!$E$56:$E$75)=0,0,'TO HOP NLAN'!E224*'TS-PILE'!$E$67/SUMSQ('TS-PILE'!$E$56:$E$75))+IF(SUMSQ('TS-PILE'!$D$56:$D$75)=0,0,'TO HOP NLAN'!F224*'TS-PILE'!$D$67/SUMSQ('TS-PILE'!$D$56:$D$75))),IF('TS-PILE'!$B$68="",1E+99,'TO HOP NLAN'!D224/ncoc+IF(SUMSQ('TS-PILE'!$E$56:$E$75)=0,0,'TO HOP NLAN'!E224*'TS-PILE'!$E$68/SUMSQ('TS-PILE'!$E$56:$E$75))+IF(SUMSQ('TS-PILE'!$D$56:$D$75)=0,0,'TO HOP NLAN'!F224*'TS-PILE'!$D$68/SUMSQ('TS-PILE'!$D$56:$D$75))),IF('TS-PILE'!$B$69="",1E+99,'TO HOP NLAN'!D224/ncoc+IF(SUMSQ('TS-PILE'!$E$56:$E$75)=0,0,'TO HOP NLAN'!E224*'TS-PILE'!$E$69/SUMSQ('TS-PILE'!$E$56:$E$75))+IF(SUMSQ('TS-PILE'!$D$56:$D$75)=0,0,'TO HOP NLAN'!F224*'TS-PILE'!$D$69/SUMSQ('TS-PILE'!$D$56:$D$75))),IF('TS-PILE'!$B$70="",1E+99,'TO HOP NLAN'!D224/ncoc+IF(SUMSQ('TS-PILE'!$E$56:$E$75)=0,0,'TO HOP NLAN'!E224*'TS-PILE'!$E$70/SUMSQ('TS-PILE'!$E$56:$E$75))+IF(SUMSQ('TS-PILE'!$D$56:$D$75)=0,0,'TO HOP NLAN'!F224*'TS-PILE'!$D$70/SUMSQ('TS-PILE'!$D$56:$D$75))),IF('TS-PILE'!$B$71="",1E+99,'TO HOP NLAN'!D224/ncoc+IF(SUMSQ('TS-PILE'!$E$56:$E$75)=0,0,'TO HOP NLAN'!E224*'TS-PILE'!$E$71/SUMSQ('TS-PILE'!$E$56:$E$75))+IF(SUMSQ('TS-PILE'!$D$56:$D$75)=0,0,'TO HOP NLAN'!F224*'TS-PILE'!$D$71/SUMSQ('TS-PILE'!$D$56:$D$75))),IF('TS-PILE'!$B$72="",1E+99,'TO HOP NLAN'!D224/ncoc+IF(SUMSQ('TS-PILE'!$E$56:$E$75)=0,0,'TO HOP NLAN'!E224*'TS-PILE'!$E$72/SUMSQ('TS-PILE'!$E$56:$E$75))+IF(SUMSQ('TS-PILE'!$D$56:$D$75)=0,0,'TO HOP NLAN'!F224*'TS-PILE'!$D$72/SUMSQ('TS-PILE'!$D$56:$D$75))),IF('TS-PILE'!$B$73="",1E+99,'TO HOP NLAN'!D224/ncoc+IF(SUMSQ('TS-PILE'!$E$56:$E$75)=0,0,'TO HOP NLAN'!E224*'TS-PILE'!$E$73/SUMSQ('TS-PILE'!$E$56:$E$75))+IF(SUMSQ('TS-PILE'!$D$56:$D$75)=0,0,'TO HOP NLAN'!F224*'TS-PILE'!$D$73/SUMSQ('TS-PILE'!$D$56:$D$75))),IF('TS-PILE'!$B$74="",1E+99,'TO HOP NLAN'!D224/ncoc+IF(SUMSQ('TS-PILE'!$E$56:$E$75)=0,0,'TO HOP NLAN'!E224*'TS-PILE'!$E$74/SUMSQ('TS-PILE'!$E$56:$E$75))+IF(SUMSQ('TS-PILE'!$D$56:$D$75)=0,0,'TO HOP NLAN'!F224*'TS-PILE'!$D$74/SUMSQ('TS-PILE'!$D$56:$D$75))),IF('TS-PILE'!$B$75="",1E+99,'TO HOP NLAN'!D224/ncoc+IF(SUMSQ('TS-PILE'!$E$56:$E$75)=0,0,'TO HOP NLAN'!E224*'TS-PILE'!$E$75/SUMSQ('TS-PILE'!$E$56:$E$75))+IF(SUMSQ('TS-PILE'!$D$56:$D$75)=0,0,'TO HOP NLAN'!F224*'TS-PILE'!$D$75/SUMSQ('TS-PILE'!$D$56:$D$75)))))</f>
        <v>0</v>
      </c>
      <c r="E224" s="46">
        <f t="shared" si="12"/>
        <v>-9.9999999999999997E+98</v>
      </c>
      <c r="F224" s="46">
        <f t="shared" si="13"/>
        <v>9.9999999999999997E+98</v>
      </c>
      <c r="G224" s="46">
        <f t="shared" si="14"/>
        <v>-9.9999999999999997E+98</v>
      </c>
      <c r="H224" s="46">
        <f t="shared" si="15"/>
        <v>9.9999999999999997E+98</v>
      </c>
    </row>
    <row r="225" spans="1:8" x14ac:dyDescent="0.3">
      <c r="A225" s="40" t="str">
        <f>'TO HOP NLAN'!A225</f>
        <v/>
      </c>
      <c r="B225" s="40" t="str">
        <f>'TO HOP NLAN'!L225</f>
        <v>STRENGTH</v>
      </c>
      <c r="C225" s="46">
        <f>IF(A225="",0,MAX(IF('TS-PILE'!$B$56="",-1E+99,'TO HOP NLAN'!D225/ncoc+IF(SUMSQ('TS-PILE'!$E$56:$E$75)=0,0,'TO HOP NLAN'!E225*'TS-PILE'!$E$56/SUMSQ('TS-PILE'!$E$56:$E$75))+IF(SUMSQ('TS-PILE'!$D$56:$D$75)=0,0,'TO HOP NLAN'!F225*'TS-PILE'!$D$56/SUMSQ('TS-PILE'!$D$56:$D$75))),IF('TS-PILE'!$B$57="",-1E+99,'TO HOP NLAN'!D225/ncoc+IF(SUMSQ('TS-PILE'!$E$56:$E$75)=0,0,'TO HOP NLAN'!E225*'TS-PILE'!$E$57/SUMSQ('TS-PILE'!$E$56:$E$75))+IF(SUMSQ('TS-PILE'!$D$56:$D$75)=0,0,'TO HOP NLAN'!F225*'TS-PILE'!$D$57/SUMSQ('TS-PILE'!$D$56:$D$75))),IF('TS-PILE'!$B$58="",-1E+99,'TO HOP NLAN'!D225/ncoc+IF(SUMSQ('TS-PILE'!$E$56:$E$75)=0,0,'TO HOP NLAN'!E225*'TS-PILE'!$E$58/SUMSQ('TS-PILE'!$E$56:$E$75))+IF(SUMSQ('TS-PILE'!$D$56:$D$75)=0,0,'TO HOP NLAN'!F225*'TS-PILE'!$D$58/SUMSQ('TS-PILE'!$D$56:$D$75))),IF('TS-PILE'!$B$59="",-1E+99,'TO HOP NLAN'!D225/ncoc+IF(SUMSQ('TS-PILE'!$E$56:$E$75)=0,0,'TO HOP NLAN'!E225*'TS-PILE'!$E$59/SUMSQ('TS-PILE'!$E$56:$E$75))+IF(SUMSQ('TS-PILE'!$D$56:$D$75)=0,0,'TO HOP NLAN'!F225*'TS-PILE'!$D$59/SUMSQ('TS-PILE'!$D$56:$D$75))),IF('TS-PILE'!$B$60="",-1E+99,'TO HOP NLAN'!D225/ncoc+IF(SUMSQ('TS-PILE'!$E$56:$E$75)=0,0,'TO HOP NLAN'!E225*'TS-PILE'!$E$60/SUMSQ('TS-PILE'!$E$56:$E$75))+IF(SUMSQ('TS-PILE'!$D$56:$D$75)=0,0,'TO HOP NLAN'!F225*'TS-PILE'!$D$60/SUMSQ('TS-PILE'!$D$56:$D$75))),IF('TS-PILE'!$B$61="",-1E+99,'TO HOP NLAN'!D225/ncoc+IF(SUMSQ('TS-PILE'!$E$56:$E$75)=0,0,'TO HOP NLAN'!E225*'TS-PILE'!$E$61/SUMSQ('TS-PILE'!$E$56:$E$75))+IF(SUMSQ('TS-PILE'!$D$56:$D$75)=0,0,'TO HOP NLAN'!F225*'TS-PILE'!$D$61/SUMSQ('TS-PILE'!$D$56:$D$75))),IF('TS-PILE'!$B$62="",-1E+99,'TO HOP NLAN'!D225/ncoc+IF(SUMSQ('TS-PILE'!$E$56:$E$75)=0,0,'TO HOP NLAN'!E225*'TS-PILE'!$E$62/SUMSQ('TS-PILE'!$E$56:$E$75))+IF(SUMSQ('TS-PILE'!$D$56:$D$75)=0,0,'TO HOP NLAN'!F225*'TS-PILE'!$D$62/SUMSQ('TS-PILE'!$D$56:$D$75))),IF('TS-PILE'!$B$63="",-1E+99,'TO HOP NLAN'!D225/ncoc+IF(SUMSQ('TS-PILE'!$E$56:$E$75)=0,0,'TO HOP NLAN'!E225*'TS-PILE'!$E$63/SUMSQ('TS-PILE'!$E$56:$E$75))+IF(SUMSQ('TS-PILE'!$D$56:$D$75)=0,0,'TO HOP NLAN'!F225*'TS-PILE'!$D$63/SUMSQ('TS-PILE'!$D$56:$D$75))),IF('TS-PILE'!$B$64="",-1E+99,'TO HOP NLAN'!D225/ncoc+IF(SUMSQ('TS-PILE'!$E$56:$E$75)=0,0,'TO HOP NLAN'!E225*'TS-PILE'!$E$64/SUMSQ('TS-PILE'!$E$56:$E$75))+IF(SUMSQ('TS-PILE'!$D$56:$D$75)=0,0,'TO HOP NLAN'!F225*'TS-PILE'!$D$64/SUMSQ('TS-PILE'!$D$56:$D$75))),IF('TS-PILE'!$B$65="",-1E+99,'TO HOP NLAN'!D225/ncoc+IF(SUMSQ('TS-PILE'!$E$56:$E$75)=0,0,'TO HOP NLAN'!E225*'TS-PILE'!$E$65/SUMSQ('TS-PILE'!$E$56:$E$75))+IF(SUMSQ('TS-PILE'!$D$56:$D$75)=0,0,'TO HOP NLAN'!F225*'TS-PILE'!$D$65/SUMSQ('TS-PILE'!$D$56:$D$75))),IF('TS-PILE'!$B$66="",-1E+99,'TO HOP NLAN'!D225/ncoc+IF(SUMSQ('TS-PILE'!$E$56:$E$75)=0,0,'TO HOP NLAN'!E225*'TS-PILE'!$E$66/SUMSQ('TS-PILE'!$E$56:$E$75))+IF(SUMSQ('TS-PILE'!$D$56:$D$75)=0,0,'TO HOP NLAN'!F225*'TS-PILE'!$D$66/SUMSQ('TS-PILE'!$D$56:$D$75))),IF('TS-PILE'!$B$67="",-1E+99,'TO HOP NLAN'!D225/ncoc+IF(SUMSQ('TS-PILE'!$E$56:$E$75)=0,0,'TO HOP NLAN'!E225*'TS-PILE'!$E$67/SUMSQ('TS-PILE'!$E$56:$E$75))+IF(SUMSQ('TS-PILE'!$D$56:$D$75)=0,0,'TO HOP NLAN'!F225*'TS-PILE'!$D$67/SUMSQ('TS-PILE'!$D$56:$D$75))),IF('TS-PILE'!$B$68="",-1E+99,'TO HOP NLAN'!D225/ncoc+IF(SUMSQ('TS-PILE'!$E$56:$E$75)=0,0,'TO HOP NLAN'!E225*'TS-PILE'!$E$68/SUMSQ('TS-PILE'!$E$56:$E$75))+IF(SUMSQ('TS-PILE'!$D$56:$D$75)=0,0,'TO HOP NLAN'!F225*'TS-PILE'!$D$68/SUMSQ('TS-PILE'!$D$56:$D$75))),IF('TS-PILE'!$B$69="",-1E+99,'TO HOP NLAN'!D225/ncoc+IF(SUMSQ('TS-PILE'!$E$56:$E$75)=0,0,'TO HOP NLAN'!E225*'TS-PILE'!$E$69/SUMSQ('TS-PILE'!$E$56:$E$75))+IF(SUMSQ('TS-PILE'!$D$56:$D$75)=0,0,'TO HOP NLAN'!F225*'TS-PILE'!$D$69/SUMSQ('TS-PILE'!$D$56:$D$75))),IF('TS-PILE'!$B$70="",-1E+99,'TO HOP NLAN'!D225/ncoc+IF(SUMSQ('TS-PILE'!$E$56:$E$75)=0,0,'TO HOP NLAN'!E225*'TS-PILE'!$E$70/SUMSQ('TS-PILE'!$E$56:$E$75))+IF(SUMSQ('TS-PILE'!$D$56:$D$75)=0,0,'TO HOP NLAN'!F225*'TS-PILE'!$D$70/SUMSQ('TS-PILE'!$D$56:$D$75))),IF('TS-PILE'!$B$71="",-1E+99,'TO HOP NLAN'!D225/ncoc+IF(SUMSQ('TS-PILE'!$E$56:$E$75)=0,0,'TO HOP NLAN'!E225*'TS-PILE'!$E$71/SUMSQ('TS-PILE'!$E$56:$E$75))+IF(SUMSQ('TS-PILE'!$D$56:$D$75)=0,0,'TO HOP NLAN'!F225*'TS-PILE'!$D$71/SUMSQ('TS-PILE'!$D$56:$D$75))),IF('TS-PILE'!$B$72="",-1E+99,'TO HOP NLAN'!D225/ncoc+IF(SUMSQ('TS-PILE'!$E$56:$E$75)=0,0,'TO HOP NLAN'!E225*'TS-PILE'!$E$72/SUMSQ('TS-PILE'!$E$56:$E$75))+IF(SUMSQ('TS-PILE'!$D$56:$D$75)=0,0,'TO HOP NLAN'!F225*'TS-PILE'!$D$72/SUMSQ('TS-PILE'!$D$56:$D$75))),IF('TS-PILE'!$B$73="",-1E+99,'TO HOP NLAN'!D225/ncoc+IF(SUMSQ('TS-PILE'!$E$56:$E$75)=0,0,'TO HOP NLAN'!E225*'TS-PILE'!$E$73/SUMSQ('TS-PILE'!$E$56:$E$75))+IF(SUMSQ('TS-PILE'!$D$56:$D$75)=0,0,'TO HOP NLAN'!F225*'TS-PILE'!$D$73/SUMSQ('TS-PILE'!$D$56:$D$75))),IF('TS-PILE'!$B$74="",-1E+99,'TO HOP NLAN'!D225/ncoc+IF(SUMSQ('TS-PILE'!$E$56:$E$75)=0,0,'TO HOP NLAN'!E225*'TS-PILE'!$E$74/SUMSQ('TS-PILE'!$E$56:$E$75))+IF(SUMSQ('TS-PILE'!$D$56:$D$75)=0,0,'TO HOP NLAN'!F225*'TS-PILE'!$D$74/SUMSQ('TS-PILE'!$D$56:$D$75))),IF('TS-PILE'!$B$75="",-1E+99,'TO HOP NLAN'!D225/ncoc+IF(SUMSQ('TS-PILE'!$E$56:$E$75)=0,0,'TO HOP NLAN'!E225*'TS-PILE'!$E$75/SUMSQ('TS-PILE'!$E$56:$E$75))+IF(SUMSQ('TS-PILE'!$D$56:$D$75)=0,0,'TO HOP NLAN'!F225*'TS-PILE'!$D$75/SUMSQ('TS-PILE'!$D$56:$D$75)))))</f>
        <v>0</v>
      </c>
      <c r="D225" s="46">
        <f>IF(A225="",0,MIN(IF('TS-PILE'!$B$56="",1E+99,'TO HOP NLAN'!D225/ncoc+IF(SUMSQ('TS-PILE'!$E$56:$E$75)=0,0,'TO HOP NLAN'!E225*'TS-PILE'!$E$56/SUMSQ('TS-PILE'!$E$56:$E$75))+IF(SUMSQ('TS-PILE'!$D$56:$D$75)=0,0,'TO HOP NLAN'!F225*'TS-PILE'!$D$56/SUMSQ('TS-PILE'!$D$56:$D$75))),IF('TS-PILE'!$B$57="",1E+99,'TO HOP NLAN'!D225/ncoc+IF(SUMSQ('TS-PILE'!$E$56:$E$75)=0,0,'TO HOP NLAN'!E225*'TS-PILE'!$E$57/SUMSQ('TS-PILE'!$E$56:$E$75))+IF(SUMSQ('TS-PILE'!$D$56:$D$75)=0,0,'TO HOP NLAN'!F225*'TS-PILE'!$D$57/SUMSQ('TS-PILE'!$D$56:$D$75))),IF('TS-PILE'!$B$58="",1E+99,'TO HOP NLAN'!D225/ncoc+IF(SUMSQ('TS-PILE'!$E$56:$E$75)=0,0,'TO HOP NLAN'!E225*'TS-PILE'!$E$58/SUMSQ('TS-PILE'!$E$56:$E$75))+IF(SUMSQ('TS-PILE'!$D$56:$D$75)=0,0,'TO HOP NLAN'!F225*'TS-PILE'!$D$58/SUMSQ('TS-PILE'!$D$56:$D$75))),IF('TS-PILE'!$B$59="",1E+99,'TO HOP NLAN'!D225/ncoc+IF(SUMSQ('TS-PILE'!$E$56:$E$75)=0,0,'TO HOP NLAN'!E225*'TS-PILE'!$E$59/SUMSQ('TS-PILE'!$E$56:$E$75))+IF(SUMSQ('TS-PILE'!$D$56:$D$75)=0,0,'TO HOP NLAN'!F225*'TS-PILE'!$D$59/SUMSQ('TS-PILE'!$D$56:$D$75))),IF('TS-PILE'!$B$60="",1E+99,'TO HOP NLAN'!D225/ncoc+IF(SUMSQ('TS-PILE'!$E$56:$E$75)=0,0,'TO HOP NLAN'!E225*'TS-PILE'!$E$60/SUMSQ('TS-PILE'!$E$56:$E$75))+IF(SUMSQ('TS-PILE'!$D$56:$D$75)=0,0,'TO HOP NLAN'!F225*'TS-PILE'!$D$60/SUMSQ('TS-PILE'!$D$56:$D$75))),IF('TS-PILE'!$B$61="",1E+99,'TO HOP NLAN'!D225/ncoc+IF(SUMSQ('TS-PILE'!$E$56:$E$75)=0,0,'TO HOP NLAN'!E225*'TS-PILE'!$E$61/SUMSQ('TS-PILE'!$E$56:$E$75))+IF(SUMSQ('TS-PILE'!$D$56:$D$75)=0,0,'TO HOP NLAN'!F225*'TS-PILE'!$D$61/SUMSQ('TS-PILE'!$D$56:$D$75))),IF('TS-PILE'!$B$62="",1E+99,'TO HOP NLAN'!D225/ncoc+IF(SUMSQ('TS-PILE'!$E$56:$E$75)=0,0,'TO HOP NLAN'!E225*'TS-PILE'!$E$62/SUMSQ('TS-PILE'!$E$56:$E$75))+IF(SUMSQ('TS-PILE'!$D$56:$D$75)=0,0,'TO HOP NLAN'!F225*'TS-PILE'!$D$62/SUMSQ('TS-PILE'!$D$56:$D$75))),IF('TS-PILE'!$B$63="",1E+99,'TO HOP NLAN'!D225/ncoc+IF(SUMSQ('TS-PILE'!$E$56:$E$75)=0,0,'TO HOP NLAN'!E225*'TS-PILE'!$E$63/SUMSQ('TS-PILE'!$E$56:$E$75))+IF(SUMSQ('TS-PILE'!$D$56:$D$75)=0,0,'TO HOP NLAN'!F225*'TS-PILE'!$D$63/SUMSQ('TS-PILE'!$D$56:$D$75))),IF('TS-PILE'!$B$64="",1E+99,'TO HOP NLAN'!D225/ncoc+IF(SUMSQ('TS-PILE'!$E$56:$E$75)=0,0,'TO HOP NLAN'!E225*'TS-PILE'!$E$64/SUMSQ('TS-PILE'!$E$56:$E$75))+IF(SUMSQ('TS-PILE'!$D$56:$D$75)=0,0,'TO HOP NLAN'!F225*'TS-PILE'!$D$64/SUMSQ('TS-PILE'!$D$56:$D$75))),IF('TS-PILE'!$B$65="",1E+99,'TO HOP NLAN'!D225/ncoc+IF(SUMSQ('TS-PILE'!$E$56:$E$75)=0,0,'TO HOP NLAN'!E225*'TS-PILE'!$E$65/SUMSQ('TS-PILE'!$E$56:$E$75))+IF(SUMSQ('TS-PILE'!$D$56:$D$75)=0,0,'TO HOP NLAN'!F225*'TS-PILE'!$D$65/SUMSQ('TS-PILE'!$D$56:$D$75))),IF('TS-PILE'!$B$66="",1E+99,'TO HOP NLAN'!D225/ncoc+IF(SUMSQ('TS-PILE'!$E$56:$E$75)=0,0,'TO HOP NLAN'!E225*'TS-PILE'!$E$66/SUMSQ('TS-PILE'!$E$56:$E$75))+IF(SUMSQ('TS-PILE'!$D$56:$D$75)=0,0,'TO HOP NLAN'!F225*'TS-PILE'!$D$66/SUMSQ('TS-PILE'!$D$56:$D$75))),IF('TS-PILE'!$B$67="",1E+99,'TO HOP NLAN'!D225/ncoc+IF(SUMSQ('TS-PILE'!$E$56:$E$75)=0,0,'TO HOP NLAN'!E225*'TS-PILE'!$E$67/SUMSQ('TS-PILE'!$E$56:$E$75))+IF(SUMSQ('TS-PILE'!$D$56:$D$75)=0,0,'TO HOP NLAN'!F225*'TS-PILE'!$D$67/SUMSQ('TS-PILE'!$D$56:$D$75))),IF('TS-PILE'!$B$68="",1E+99,'TO HOP NLAN'!D225/ncoc+IF(SUMSQ('TS-PILE'!$E$56:$E$75)=0,0,'TO HOP NLAN'!E225*'TS-PILE'!$E$68/SUMSQ('TS-PILE'!$E$56:$E$75))+IF(SUMSQ('TS-PILE'!$D$56:$D$75)=0,0,'TO HOP NLAN'!F225*'TS-PILE'!$D$68/SUMSQ('TS-PILE'!$D$56:$D$75))),IF('TS-PILE'!$B$69="",1E+99,'TO HOP NLAN'!D225/ncoc+IF(SUMSQ('TS-PILE'!$E$56:$E$75)=0,0,'TO HOP NLAN'!E225*'TS-PILE'!$E$69/SUMSQ('TS-PILE'!$E$56:$E$75))+IF(SUMSQ('TS-PILE'!$D$56:$D$75)=0,0,'TO HOP NLAN'!F225*'TS-PILE'!$D$69/SUMSQ('TS-PILE'!$D$56:$D$75))),IF('TS-PILE'!$B$70="",1E+99,'TO HOP NLAN'!D225/ncoc+IF(SUMSQ('TS-PILE'!$E$56:$E$75)=0,0,'TO HOP NLAN'!E225*'TS-PILE'!$E$70/SUMSQ('TS-PILE'!$E$56:$E$75))+IF(SUMSQ('TS-PILE'!$D$56:$D$75)=0,0,'TO HOP NLAN'!F225*'TS-PILE'!$D$70/SUMSQ('TS-PILE'!$D$56:$D$75))),IF('TS-PILE'!$B$71="",1E+99,'TO HOP NLAN'!D225/ncoc+IF(SUMSQ('TS-PILE'!$E$56:$E$75)=0,0,'TO HOP NLAN'!E225*'TS-PILE'!$E$71/SUMSQ('TS-PILE'!$E$56:$E$75))+IF(SUMSQ('TS-PILE'!$D$56:$D$75)=0,0,'TO HOP NLAN'!F225*'TS-PILE'!$D$71/SUMSQ('TS-PILE'!$D$56:$D$75))),IF('TS-PILE'!$B$72="",1E+99,'TO HOP NLAN'!D225/ncoc+IF(SUMSQ('TS-PILE'!$E$56:$E$75)=0,0,'TO HOP NLAN'!E225*'TS-PILE'!$E$72/SUMSQ('TS-PILE'!$E$56:$E$75))+IF(SUMSQ('TS-PILE'!$D$56:$D$75)=0,0,'TO HOP NLAN'!F225*'TS-PILE'!$D$72/SUMSQ('TS-PILE'!$D$56:$D$75))),IF('TS-PILE'!$B$73="",1E+99,'TO HOP NLAN'!D225/ncoc+IF(SUMSQ('TS-PILE'!$E$56:$E$75)=0,0,'TO HOP NLAN'!E225*'TS-PILE'!$E$73/SUMSQ('TS-PILE'!$E$56:$E$75))+IF(SUMSQ('TS-PILE'!$D$56:$D$75)=0,0,'TO HOP NLAN'!F225*'TS-PILE'!$D$73/SUMSQ('TS-PILE'!$D$56:$D$75))),IF('TS-PILE'!$B$74="",1E+99,'TO HOP NLAN'!D225/ncoc+IF(SUMSQ('TS-PILE'!$E$56:$E$75)=0,0,'TO HOP NLAN'!E225*'TS-PILE'!$E$74/SUMSQ('TS-PILE'!$E$56:$E$75))+IF(SUMSQ('TS-PILE'!$D$56:$D$75)=0,0,'TO HOP NLAN'!F225*'TS-PILE'!$D$74/SUMSQ('TS-PILE'!$D$56:$D$75))),IF('TS-PILE'!$B$75="",1E+99,'TO HOP NLAN'!D225/ncoc+IF(SUMSQ('TS-PILE'!$E$56:$E$75)=0,0,'TO HOP NLAN'!E225*'TS-PILE'!$E$75/SUMSQ('TS-PILE'!$E$56:$E$75))+IF(SUMSQ('TS-PILE'!$D$56:$D$75)=0,0,'TO HOP NLAN'!F225*'TS-PILE'!$D$75/SUMSQ('TS-PILE'!$D$56:$D$75)))))</f>
        <v>0</v>
      </c>
      <c r="E225" s="46">
        <f t="shared" si="12"/>
        <v>-9.9999999999999997E+98</v>
      </c>
      <c r="F225" s="46">
        <f t="shared" si="13"/>
        <v>9.9999999999999997E+98</v>
      </c>
      <c r="G225" s="46">
        <f t="shared" si="14"/>
        <v>-9.9999999999999997E+98</v>
      </c>
      <c r="H225" s="46">
        <f t="shared" si="15"/>
        <v>9.9999999999999997E+98</v>
      </c>
    </row>
    <row r="226" spans="1:8" x14ac:dyDescent="0.3">
      <c r="A226" s="40" t="str">
        <f>'TO HOP NLAN'!A226</f>
        <v/>
      </c>
      <c r="B226" s="40" t="str">
        <f>'TO HOP NLAN'!L226</f>
        <v>STRENGTH</v>
      </c>
      <c r="C226" s="46">
        <f>IF(A226="",0,MAX(IF('TS-PILE'!$B$56="",-1E+99,'TO HOP NLAN'!D226/ncoc+IF(SUMSQ('TS-PILE'!$E$56:$E$75)=0,0,'TO HOP NLAN'!E226*'TS-PILE'!$E$56/SUMSQ('TS-PILE'!$E$56:$E$75))+IF(SUMSQ('TS-PILE'!$D$56:$D$75)=0,0,'TO HOP NLAN'!F226*'TS-PILE'!$D$56/SUMSQ('TS-PILE'!$D$56:$D$75))),IF('TS-PILE'!$B$57="",-1E+99,'TO HOP NLAN'!D226/ncoc+IF(SUMSQ('TS-PILE'!$E$56:$E$75)=0,0,'TO HOP NLAN'!E226*'TS-PILE'!$E$57/SUMSQ('TS-PILE'!$E$56:$E$75))+IF(SUMSQ('TS-PILE'!$D$56:$D$75)=0,0,'TO HOP NLAN'!F226*'TS-PILE'!$D$57/SUMSQ('TS-PILE'!$D$56:$D$75))),IF('TS-PILE'!$B$58="",-1E+99,'TO HOP NLAN'!D226/ncoc+IF(SUMSQ('TS-PILE'!$E$56:$E$75)=0,0,'TO HOP NLAN'!E226*'TS-PILE'!$E$58/SUMSQ('TS-PILE'!$E$56:$E$75))+IF(SUMSQ('TS-PILE'!$D$56:$D$75)=0,0,'TO HOP NLAN'!F226*'TS-PILE'!$D$58/SUMSQ('TS-PILE'!$D$56:$D$75))),IF('TS-PILE'!$B$59="",-1E+99,'TO HOP NLAN'!D226/ncoc+IF(SUMSQ('TS-PILE'!$E$56:$E$75)=0,0,'TO HOP NLAN'!E226*'TS-PILE'!$E$59/SUMSQ('TS-PILE'!$E$56:$E$75))+IF(SUMSQ('TS-PILE'!$D$56:$D$75)=0,0,'TO HOP NLAN'!F226*'TS-PILE'!$D$59/SUMSQ('TS-PILE'!$D$56:$D$75))),IF('TS-PILE'!$B$60="",-1E+99,'TO HOP NLAN'!D226/ncoc+IF(SUMSQ('TS-PILE'!$E$56:$E$75)=0,0,'TO HOP NLAN'!E226*'TS-PILE'!$E$60/SUMSQ('TS-PILE'!$E$56:$E$75))+IF(SUMSQ('TS-PILE'!$D$56:$D$75)=0,0,'TO HOP NLAN'!F226*'TS-PILE'!$D$60/SUMSQ('TS-PILE'!$D$56:$D$75))),IF('TS-PILE'!$B$61="",-1E+99,'TO HOP NLAN'!D226/ncoc+IF(SUMSQ('TS-PILE'!$E$56:$E$75)=0,0,'TO HOP NLAN'!E226*'TS-PILE'!$E$61/SUMSQ('TS-PILE'!$E$56:$E$75))+IF(SUMSQ('TS-PILE'!$D$56:$D$75)=0,0,'TO HOP NLAN'!F226*'TS-PILE'!$D$61/SUMSQ('TS-PILE'!$D$56:$D$75))),IF('TS-PILE'!$B$62="",-1E+99,'TO HOP NLAN'!D226/ncoc+IF(SUMSQ('TS-PILE'!$E$56:$E$75)=0,0,'TO HOP NLAN'!E226*'TS-PILE'!$E$62/SUMSQ('TS-PILE'!$E$56:$E$75))+IF(SUMSQ('TS-PILE'!$D$56:$D$75)=0,0,'TO HOP NLAN'!F226*'TS-PILE'!$D$62/SUMSQ('TS-PILE'!$D$56:$D$75))),IF('TS-PILE'!$B$63="",-1E+99,'TO HOP NLAN'!D226/ncoc+IF(SUMSQ('TS-PILE'!$E$56:$E$75)=0,0,'TO HOP NLAN'!E226*'TS-PILE'!$E$63/SUMSQ('TS-PILE'!$E$56:$E$75))+IF(SUMSQ('TS-PILE'!$D$56:$D$75)=0,0,'TO HOP NLAN'!F226*'TS-PILE'!$D$63/SUMSQ('TS-PILE'!$D$56:$D$75))),IF('TS-PILE'!$B$64="",-1E+99,'TO HOP NLAN'!D226/ncoc+IF(SUMSQ('TS-PILE'!$E$56:$E$75)=0,0,'TO HOP NLAN'!E226*'TS-PILE'!$E$64/SUMSQ('TS-PILE'!$E$56:$E$75))+IF(SUMSQ('TS-PILE'!$D$56:$D$75)=0,0,'TO HOP NLAN'!F226*'TS-PILE'!$D$64/SUMSQ('TS-PILE'!$D$56:$D$75))),IF('TS-PILE'!$B$65="",-1E+99,'TO HOP NLAN'!D226/ncoc+IF(SUMSQ('TS-PILE'!$E$56:$E$75)=0,0,'TO HOP NLAN'!E226*'TS-PILE'!$E$65/SUMSQ('TS-PILE'!$E$56:$E$75))+IF(SUMSQ('TS-PILE'!$D$56:$D$75)=0,0,'TO HOP NLAN'!F226*'TS-PILE'!$D$65/SUMSQ('TS-PILE'!$D$56:$D$75))),IF('TS-PILE'!$B$66="",-1E+99,'TO HOP NLAN'!D226/ncoc+IF(SUMSQ('TS-PILE'!$E$56:$E$75)=0,0,'TO HOP NLAN'!E226*'TS-PILE'!$E$66/SUMSQ('TS-PILE'!$E$56:$E$75))+IF(SUMSQ('TS-PILE'!$D$56:$D$75)=0,0,'TO HOP NLAN'!F226*'TS-PILE'!$D$66/SUMSQ('TS-PILE'!$D$56:$D$75))),IF('TS-PILE'!$B$67="",-1E+99,'TO HOP NLAN'!D226/ncoc+IF(SUMSQ('TS-PILE'!$E$56:$E$75)=0,0,'TO HOP NLAN'!E226*'TS-PILE'!$E$67/SUMSQ('TS-PILE'!$E$56:$E$75))+IF(SUMSQ('TS-PILE'!$D$56:$D$75)=0,0,'TO HOP NLAN'!F226*'TS-PILE'!$D$67/SUMSQ('TS-PILE'!$D$56:$D$75))),IF('TS-PILE'!$B$68="",-1E+99,'TO HOP NLAN'!D226/ncoc+IF(SUMSQ('TS-PILE'!$E$56:$E$75)=0,0,'TO HOP NLAN'!E226*'TS-PILE'!$E$68/SUMSQ('TS-PILE'!$E$56:$E$75))+IF(SUMSQ('TS-PILE'!$D$56:$D$75)=0,0,'TO HOP NLAN'!F226*'TS-PILE'!$D$68/SUMSQ('TS-PILE'!$D$56:$D$75))),IF('TS-PILE'!$B$69="",-1E+99,'TO HOP NLAN'!D226/ncoc+IF(SUMSQ('TS-PILE'!$E$56:$E$75)=0,0,'TO HOP NLAN'!E226*'TS-PILE'!$E$69/SUMSQ('TS-PILE'!$E$56:$E$75))+IF(SUMSQ('TS-PILE'!$D$56:$D$75)=0,0,'TO HOP NLAN'!F226*'TS-PILE'!$D$69/SUMSQ('TS-PILE'!$D$56:$D$75))),IF('TS-PILE'!$B$70="",-1E+99,'TO HOP NLAN'!D226/ncoc+IF(SUMSQ('TS-PILE'!$E$56:$E$75)=0,0,'TO HOP NLAN'!E226*'TS-PILE'!$E$70/SUMSQ('TS-PILE'!$E$56:$E$75))+IF(SUMSQ('TS-PILE'!$D$56:$D$75)=0,0,'TO HOP NLAN'!F226*'TS-PILE'!$D$70/SUMSQ('TS-PILE'!$D$56:$D$75))),IF('TS-PILE'!$B$71="",-1E+99,'TO HOP NLAN'!D226/ncoc+IF(SUMSQ('TS-PILE'!$E$56:$E$75)=0,0,'TO HOP NLAN'!E226*'TS-PILE'!$E$71/SUMSQ('TS-PILE'!$E$56:$E$75))+IF(SUMSQ('TS-PILE'!$D$56:$D$75)=0,0,'TO HOP NLAN'!F226*'TS-PILE'!$D$71/SUMSQ('TS-PILE'!$D$56:$D$75))),IF('TS-PILE'!$B$72="",-1E+99,'TO HOP NLAN'!D226/ncoc+IF(SUMSQ('TS-PILE'!$E$56:$E$75)=0,0,'TO HOP NLAN'!E226*'TS-PILE'!$E$72/SUMSQ('TS-PILE'!$E$56:$E$75))+IF(SUMSQ('TS-PILE'!$D$56:$D$75)=0,0,'TO HOP NLAN'!F226*'TS-PILE'!$D$72/SUMSQ('TS-PILE'!$D$56:$D$75))),IF('TS-PILE'!$B$73="",-1E+99,'TO HOP NLAN'!D226/ncoc+IF(SUMSQ('TS-PILE'!$E$56:$E$75)=0,0,'TO HOP NLAN'!E226*'TS-PILE'!$E$73/SUMSQ('TS-PILE'!$E$56:$E$75))+IF(SUMSQ('TS-PILE'!$D$56:$D$75)=0,0,'TO HOP NLAN'!F226*'TS-PILE'!$D$73/SUMSQ('TS-PILE'!$D$56:$D$75))),IF('TS-PILE'!$B$74="",-1E+99,'TO HOP NLAN'!D226/ncoc+IF(SUMSQ('TS-PILE'!$E$56:$E$75)=0,0,'TO HOP NLAN'!E226*'TS-PILE'!$E$74/SUMSQ('TS-PILE'!$E$56:$E$75))+IF(SUMSQ('TS-PILE'!$D$56:$D$75)=0,0,'TO HOP NLAN'!F226*'TS-PILE'!$D$74/SUMSQ('TS-PILE'!$D$56:$D$75))),IF('TS-PILE'!$B$75="",-1E+99,'TO HOP NLAN'!D226/ncoc+IF(SUMSQ('TS-PILE'!$E$56:$E$75)=0,0,'TO HOP NLAN'!E226*'TS-PILE'!$E$75/SUMSQ('TS-PILE'!$E$56:$E$75))+IF(SUMSQ('TS-PILE'!$D$56:$D$75)=0,0,'TO HOP NLAN'!F226*'TS-PILE'!$D$75/SUMSQ('TS-PILE'!$D$56:$D$75)))))</f>
        <v>0</v>
      </c>
      <c r="D226" s="46">
        <f>IF(A226="",0,MIN(IF('TS-PILE'!$B$56="",1E+99,'TO HOP NLAN'!D226/ncoc+IF(SUMSQ('TS-PILE'!$E$56:$E$75)=0,0,'TO HOP NLAN'!E226*'TS-PILE'!$E$56/SUMSQ('TS-PILE'!$E$56:$E$75))+IF(SUMSQ('TS-PILE'!$D$56:$D$75)=0,0,'TO HOP NLAN'!F226*'TS-PILE'!$D$56/SUMSQ('TS-PILE'!$D$56:$D$75))),IF('TS-PILE'!$B$57="",1E+99,'TO HOP NLAN'!D226/ncoc+IF(SUMSQ('TS-PILE'!$E$56:$E$75)=0,0,'TO HOP NLAN'!E226*'TS-PILE'!$E$57/SUMSQ('TS-PILE'!$E$56:$E$75))+IF(SUMSQ('TS-PILE'!$D$56:$D$75)=0,0,'TO HOP NLAN'!F226*'TS-PILE'!$D$57/SUMSQ('TS-PILE'!$D$56:$D$75))),IF('TS-PILE'!$B$58="",1E+99,'TO HOP NLAN'!D226/ncoc+IF(SUMSQ('TS-PILE'!$E$56:$E$75)=0,0,'TO HOP NLAN'!E226*'TS-PILE'!$E$58/SUMSQ('TS-PILE'!$E$56:$E$75))+IF(SUMSQ('TS-PILE'!$D$56:$D$75)=0,0,'TO HOP NLAN'!F226*'TS-PILE'!$D$58/SUMSQ('TS-PILE'!$D$56:$D$75))),IF('TS-PILE'!$B$59="",1E+99,'TO HOP NLAN'!D226/ncoc+IF(SUMSQ('TS-PILE'!$E$56:$E$75)=0,0,'TO HOP NLAN'!E226*'TS-PILE'!$E$59/SUMSQ('TS-PILE'!$E$56:$E$75))+IF(SUMSQ('TS-PILE'!$D$56:$D$75)=0,0,'TO HOP NLAN'!F226*'TS-PILE'!$D$59/SUMSQ('TS-PILE'!$D$56:$D$75))),IF('TS-PILE'!$B$60="",1E+99,'TO HOP NLAN'!D226/ncoc+IF(SUMSQ('TS-PILE'!$E$56:$E$75)=0,0,'TO HOP NLAN'!E226*'TS-PILE'!$E$60/SUMSQ('TS-PILE'!$E$56:$E$75))+IF(SUMSQ('TS-PILE'!$D$56:$D$75)=0,0,'TO HOP NLAN'!F226*'TS-PILE'!$D$60/SUMSQ('TS-PILE'!$D$56:$D$75))),IF('TS-PILE'!$B$61="",1E+99,'TO HOP NLAN'!D226/ncoc+IF(SUMSQ('TS-PILE'!$E$56:$E$75)=0,0,'TO HOP NLAN'!E226*'TS-PILE'!$E$61/SUMSQ('TS-PILE'!$E$56:$E$75))+IF(SUMSQ('TS-PILE'!$D$56:$D$75)=0,0,'TO HOP NLAN'!F226*'TS-PILE'!$D$61/SUMSQ('TS-PILE'!$D$56:$D$75))),IF('TS-PILE'!$B$62="",1E+99,'TO HOP NLAN'!D226/ncoc+IF(SUMSQ('TS-PILE'!$E$56:$E$75)=0,0,'TO HOP NLAN'!E226*'TS-PILE'!$E$62/SUMSQ('TS-PILE'!$E$56:$E$75))+IF(SUMSQ('TS-PILE'!$D$56:$D$75)=0,0,'TO HOP NLAN'!F226*'TS-PILE'!$D$62/SUMSQ('TS-PILE'!$D$56:$D$75))),IF('TS-PILE'!$B$63="",1E+99,'TO HOP NLAN'!D226/ncoc+IF(SUMSQ('TS-PILE'!$E$56:$E$75)=0,0,'TO HOP NLAN'!E226*'TS-PILE'!$E$63/SUMSQ('TS-PILE'!$E$56:$E$75))+IF(SUMSQ('TS-PILE'!$D$56:$D$75)=0,0,'TO HOP NLAN'!F226*'TS-PILE'!$D$63/SUMSQ('TS-PILE'!$D$56:$D$75))),IF('TS-PILE'!$B$64="",1E+99,'TO HOP NLAN'!D226/ncoc+IF(SUMSQ('TS-PILE'!$E$56:$E$75)=0,0,'TO HOP NLAN'!E226*'TS-PILE'!$E$64/SUMSQ('TS-PILE'!$E$56:$E$75))+IF(SUMSQ('TS-PILE'!$D$56:$D$75)=0,0,'TO HOP NLAN'!F226*'TS-PILE'!$D$64/SUMSQ('TS-PILE'!$D$56:$D$75))),IF('TS-PILE'!$B$65="",1E+99,'TO HOP NLAN'!D226/ncoc+IF(SUMSQ('TS-PILE'!$E$56:$E$75)=0,0,'TO HOP NLAN'!E226*'TS-PILE'!$E$65/SUMSQ('TS-PILE'!$E$56:$E$75))+IF(SUMSQ('TS-PILE'!$D$56:$D$75)=0,0,'TO HOP NLAN'!F226*'TS-PILE'!$D$65/SUMSQ('TS-PILE'!$D$56:$D$75))),IF('TS-PILE'!$B$66="",1E+99,'TO HOP NLAN'!D226/ncoc+IF(SUMSQ('TS-PILE'!$E$56:$E$75)=0,0,'TO HOP NLAN'!E226*'TS-PILE'!$E$66/SUMSQ('TS-PILE'!$E$56:$E$75))+IF(SUMSQ('TS-PILE'!$D$56:$D$75)=0,0,'TO HOP NLAN'!F226*'TS-PILE'!$D$66/SUMSQ('TS-PILE'!$D$56:$D$75))),IF('TS-PILE'!$B$67="",1E+99,'TO HOP NLAN'!D226/ncoc+IF(SUMSQ('TS-PILE'!$E$56:$E$75)=0,0,'TO HOP NLAN'!E226*'TS-PILE'!$E$67/SUMSQ('TS-PILE'!$E$56:$E$75))+IF(SUMSQ('TS-PILE'!$D$56:$D$75)=0,0,'TO HOP NLAN'!F226*'TS-PILE'!$D$67/SUMSQ('TS-PILE'!$D$56:$D$75))),IF('TS-PILE'!$B$68="",1E+99,'TO HOP NLAN'!D226/ncoc+IF(SUMSQ('TS-PILE'!$E$56:$E$75)=0,0,'TO HOP NLAN'!E226*'TS-PILE'!$E$68/SUMSQ('TS-PILE'!$E$56:$E$75))+IF(SUMSQ('TS-PILE'!$D$56:$D$75)=0,0,'TO HOP NLAN'!F226*'TS-PILE'!$D$68/SUMSQ('TS-PILE'!$D$56:$D$75))),IF('TS-PILE'!$B$69="",1E+99,'TO HOP NLAN'!D226/ncoc+IF(SUMSQ('TS-PILE'!$E$56:$E$75)=0,0,'TO HOP NLAN'!E226*'TS-PILE'!$E$69/SUMSQ('TS-PILE'!$E$56:$E$75))+IF(SUMSQ('TS-PILE'!$D$56:$D$75)=0,0,'TO HOP NLAN'!F226*'TS-PILE'!$D$69/SUMSQ('TS-PILE'!$D$56:$D$75))),IF('TS-PILE'!$B$70="",1E+99,'TO HOP NLAN'!D226/ncoc+IF(SUMSQ('TS-PILE'!$E$56:$E$75)=0,0,'TO HOP NLAN'!E226*'TS-PILE'!$E$70/SUMSQ('TS-PILE'!$E$56:$E$75))+IF(SUMSQ('TS-PILE'!$D$56:$D$75)=0,0,'TO HOP NLAN'!F226*'TS-PILE'!$D$70/SUMSQ('TS-PILE'!$D$56:$D$75))),IF('TS-PILE'!$B$71="",1E+99,'TO HOP NLAN'!D226/ncoc+IF(SUMSQ('TS-PILE'!$E$56:$E$75)=0,0,'TO HOP NLAN'!E226*'TS-PILE'!$E$71/SUMSQ('TS-PILE'!$E$56:$E$75))+IF(SUMSQ('TS-PILE'!$D$56:$D$75)=0,0,'TO HOP NLAN'!F226*'TS-PILE'!$D$71/SUMSQ('TS-PILE'!$D$56:$D$75))),IF('TS-PILE'!$B$72="",1E+99,'TO HOP NLAN'!D226/ncoc+IF(SUMSQ('TS-PILE'!$E$56:$E$75)=0,0,'TO HOP NLAN'!E226*'TS-PILE'!$E$72/SUMSQ('TS-PILE'!$E$56:$E$75))+IF(SUMSQ('TS-PILE'!$D$56:$D$75)=0,0,'TO HOP NLAN'!F226*'TS-PILE'!$D$72/SUMSQ('TS-PILE'!$D$56:$D$75))),IF('TS-PILE'!$B$73="",1E+99,'TO HOP NLAN'!D226/ncoc+IF(SUMSQ('TS-PILE'!$E$56:$E$75)=0,0,'TO HOP NLAN'!E226*'TS-PILE'!$E$73/SUMSQ('TS-PILE'!$E$56:$E$75))+IF(SUMSQ('TS-PILE'!$D$56:$D$75)=0,0,'TO HOP NLAN'!F226*'TS-PILE'!$D$73/SUMSQ('TS-PILE'!$D$56:$D$75))),IF('TS-PILE'!$B$74="",1E+99,'TO HOP NLAN'!D226/ncoc+IF(SUMSQ('TS-PILE'!$E$56:$E$75)=0,0,'TO HOP NLAN'!E226*'TS-PILE'!$E$74/SUMSQ('TS-PILE'!$E$56:$E$75))+IF(SUMSQ('TS-PILE'!$D$56:$D$75)=0,0,'TO HOP NLAN'!F226*'TS-PILE'!$D$74/SUMSQ('TS-PILE'!$D$56:$D$75))),IF('TS-PILE'!$B$75="",1E+99,'TO HOP NLAN'!D226/ncoc+IF(SUMSQ('TS-PILE'!$E$56:$E$75)=0,0,'TO HOP NLAN'!E226*'TS-PILE'!$E$75/SUMSQ('TS-PILE'!$E$56:$E$75))+IF(SUMSQ('TS-PILE'!$D$56:$D$75)=0,0,'TO HOP NLAN'!F226*'TS-PILE'!$D$75/SUMSQ('TS-PILE'!$D$56:$D$75)))))</f>
        <v>0</v>
      </c>
      <c r="E226" s="46">
        <f t="shared" si="12"/>
        <v>-9.9999999999999997E+98</v>
      </c>
      <c r="F226" s="46">
        <f t="shared" si="13"/>
        <v>9.9999999999999997E+98</v>
      </c>
      <c r="G226" s="46">
        <f t="shared" si="14"/>
        <v>-9.9999999999999997E+98</v>
      </c>
      <c r="H226" s="46">
        <f t="shared" si="15"/>
        <v>9.9999999999999997E+98</v>
      </c>
    </row>
    <row r="227" spans="1:8" x14ac:dyDescent="0.3">
      <c r="A227" s="40" t="str">
        <f>'TO HOP NLAN'!A227</f>
        <v/>
      </c>
      <c r="B227" s="40" t="str">
        <f>'TO HOP NLAN'!L227</f>
        <v>STRENGTH</v>
      </c>
      <c r="C227" s="46">
        <f>IF(A227="",0,MAX(IF('TS-PILE'!$B$56="",-1E+99,'TO HOP NLAN'!D227/ncoc+IF(SUMSQ('TS-PILE'!$E$56:$E$75)=0,0,'TO HOP NLAN'!E227*'TS-PILE'!$E$56/SUMSQ('TS-PILE'!$E$56:$E$75))+IF(SUMSQ('TS-PILE'!$D$56:$D$75)=0,0,'TO HOP NLAN'!F227*'TS-PILE'!$D$56/SUMSQ('TS-PILE'!$D$56:$D$75))),IF('TS-PILE'!$B$57="",-1E+99,'TO HOP NLAN'!D227/ncoc+IF(SUMSQ('TS-PILE'!$E$56:$E$75)=0,0,'TO HOP NLAN'!E227*'TS-PILE'!$E$57/SUMSQ('TS-PILE'!$E$56:$E$75))+IF(SUMSQ('TS-PILE'!$D$56:$D$75)=0,0,'TO HOP NLAN'!F227*'TS-PILE'!$D$57/SUMSQ('TS-PILE'!$D$56:$D$75))),IF('TS-PILE'!$B$58="",-1E+99,'TO HOP NLAN'!D227/ncoc+IF(SUMSQ('TS-PILE'!$E$56:$E$75)=0,0,'TO HOP NLAN'!E227*'TS-PILE'!$E$58/SUMSQ('TS-PILE'!$E$56:$E$75))+IF(SUMSQ('TS-PILE'!$D$56:$D$75)=0,0,'TO HOP NLAN'!F227*'TS-PILE'!$D$58/SUMSQ('TS-PILE'!$D$56:$D$75))),IF('TS-PILE'!$B$59="",-1E+99,'TO HOP NLAN'!D227/ncoc+IF(SUMSQ('TS-PILE'!$E$56:$E$75)=0,0,'TO HOP NLAN'!E227*'TS-PILE'!$E$59/SUMSQ('TS-PILE'!$E$56:$E$75))+IF(SUMSQ('TS-PILE'!$D$56:$D$75)=0,0,'TO HOP NLAN'!F227*'TS-PILE'!$D$59/SUMSQ('TS-PILE'!$D$56:$D$75))),IF('TS-PILE'!$B$60="",-1E+99,'TO HOP NLAN'!D227/ncoc+IF(SUMSQ('TS-PILE'!$E$56:$E$75)=0,0,'TO HOP NLAN'!E227*'TS-PILE'!$E$60/SUMSQ('TS-PILE'!$E$56:$E$75))+IF(SUMSQ('TS-PILE'!$D$56:$D$75)=0,0,'TO HOP NLAN'!F227*'TS-PILE'!$D$60/SUMSQ('TS-PILE'!$D$56:$D$75))),IF('TS-PILE'!$B$61="",-1E+99,'TO HOP NLAN'!D227/ncoc+IF(SUMSQ('TS-PILE'!$E$56:$E$75)=0,0,'TO HOP NLAN'!E227*'TS-PILE'!$E$61/SUMSQ('TS-PILE'!$E$56:$E$75))+IF(SUMSQ('TS-PILE'!$D$56:$D$75)=0,0,'TO HOP NLAN'!F227*'TS-PILE'!$D$61/SUMSQ('TS-PILE'!$D$56:$D$75))),IF('TS-PILE'!$B$62="",-1E+99,'TO HOP NLAN'!D227/ncoc+IF(SUMSQ('TS-PILE'!$E$56:$E$75)=0,0,'TO HOP NLAN'!E227*'TS-PILE'!$E$62/SUMSQ('TS-PILE'!$E$56:$E$75))+IF(SUMSQ('TS-PILE'!$D$56:$D$75)=0,0,'TO HOP NLAN'!F227*'TS-PILE'!$D$62/SUMSQ('TS-PILE'!$D$56:$D$75))),IF('TS-PILE'!$B$63="",-1E+99,'TO HOP NLAN'!D227/ncoc+IF(SUMSQ('TS-PILE'!$E$56:$E$75)=0,0,'TO HOP NLAN'!E227*'TS-PILE'!$E$63/SUMSQ('TS-PILE'!$E$56:$E$75))+IF(SUMSQ('TS-PILE'!$D$56:$D$75)=0,0,'TO HOP NLAN'!F227*'TS-PILE'!$D$63/SUMSQ('TS-PILE'!$D$56:$D$75))),IF('TS-PILE'!$B$64="",-1E+99,'TO HOP NLAN'!D227/ncoc+IF(SUMSQ('TS-PILE'!$E$56:$E$75)=0,0,'TO HOP NLAN'!E227*'TS-PILE'!$E$64/SUMSQ('TS-PILE'!$E$56:$E$75))+IF(SUMSQ('TS-PILE'!$D$56:$D$75)=0,0,'TO HOP NLAN'!F227*'TS-PILE'!$D$64/SUMSQ('TS-PILE'!$D$56:$D$75))),IF('TS-PILE'!$B$65="",-1E+99,'TO HOP NLAN'!D227/ncoc+IF(SUMSQ('TS-PILE'!$E$56:$E$75)=0,0,'TO HOP NLAN'!E227*'TS-PILE'!$E$65/SUMSQ('TS-PILE'!$E$56:$E$75))+IF(SUMSQ('TS-PILE'!$D$56:$D$75)=0,0,'TO HOP NLAN'!F227*'TS-PILE'!$D$65/SUMSQ('TS-PILE'!$D$56:$D$75))),IF('TS-PILE'!$B$66="",-1E+99,'TO HOP NLAN'!D227/ncoc+IF(SUMSQ('TS-PILE'!$E$56:$E$75)=0,0,'TO HOP NLAN'!E227*'TS-PILE'!$E$66/SUMSQ('TS-PILE'!$E$56:$E$75))+IF(SUMSQ('TS-PILE'!$D$56:$D$75)=0,0,'TO HOP NLAN'!F227*'TS-PILE'!$D$66/SUMSQ('TS-PILE'!$D$56:$D$75))),IF('TS-PILE'!$B$67="",-1E+99,'TO HOP NLAN'!D227/ncoc+IF(SUMSQ('TS-PILE'!$E$56:$E$75)=0,0,'TO HOP NLAN'!E227*'TS-PILE'!$E$67/SUMSQ('TS-PILE'!$E$56:$E$75))+IF(SUMSQ('TS-PILE'!$D$56:$D$75)=0,0,'TO HOP NLAN'!F227*'TS-PILE'!$D$67/SUMSQ('TS-PILE'!$D$56:$D$75))),IF('TS-PILE'!$B$68="",-1E+99,'TO HOP NLAN'!D227/ncoc+IF(SUMSQ('TS-PILE'!$E$56:$E$75)=0,0,'TO HOP NLAN'!E227*'TS-PILE'!$E$68/SUMSQ('TS-PILE'!$E$56:$E$75))+IF(SUMSQ('TS-PILE'!$D$56:$D$75)=0,0,'TO HOP NLAN'!F227*'TS-PILE'!$D$68/SUMSQ('TS-PILE'!$D$56:$D$75))),IF('TS-PILE'!$B$69="",-1E+99,'TO HOP NLAN'!D227/ncoc+IF(SUMSQ('TS-PILE'!$E$56:$E$75)=0,0,'TO HOP NLAN'!E227*'TS-PILE'!$E$69/SUMSQ('TS-PILE'!$E$56:$E$75))+IF(SUMSQ('TS-PILE'!$D$56:$D$75)=0,0,'TO HOP NLAN'!F227*'TS-PILE'!$D$69/SUMSQ('TS-PILE'!$D$56:$D$75))),IF('TS-PILE'!$B$70="",-1E+99,'TO HOP NLAN'!D227/ncoc+IF(SUMSQ('TS-PILE'!$E$56:$E$75)=0,0,'TO HOP NLAN'!E227*'TS-PILE'!$E$70/SUMSQ('TS-PILE'!$E$56:$E$75))+IF(SUMSQ('TS-PILE'!$D$56:$D$75)=0,0,'TO HOP NLAN'!F227*'TS-PILE'!$D$70/SUMSQ('TS-PILE'!$D$56:$D$75))),IF('TS-PILE'!$B$71="",-1E+99,'TO HOP NLAN'!D227/ncoc+IF(SUMSQ('TS-PILE'!$E$56:$E$75)=0,0,'TO HOP NLAN'!E227*'TS-PILE'!$E$71/SUMSQ('TS-PILE'!$E$56:$E$75))+IF(SUMSQ('TS-PILE'!$D$56:$D$75)=0,0,'TO HOP NLAN'!F227*'TS-PILE'!$D$71/SUMSQ('TS-PILE'!$D$56:$D$75))),IF('TS-PILE'!$B$72="",-1E+99,'TO HOP NLAN'!D227/ncoc+IF(SUMSQ('TS-PILE'!$E$56:$E$75)=0,0,'TO HOP NLAN'!E227*'TS-PILE'!$E$72/SUMSQ('TS-PILE'!$E$56:$E$75))+IF(SUMSQ('TS-PILE'!$D$56:$D$75)=0,0,'TO HOP NLAN'!F227*'TS-PILE'!$D$72/SUMSQ('TS-PILE'!$D$56:$D$75))),IF('TS-PILE'!$B$73="",-1E+99,'TO HOP NLAN'!D227/ncoc+IF(SUMSQ('TS-PILE'!$E$56:$E$75)=0,0,'TO HOP NLAN'!E227*'TS-PILE'!$E$73/SUMSQ('TS-PILE'!$E$56:$E$75))+IF(SUMSQ('TS-PILE'!$D$56:$D$75)=0,0,'TO HOP NLAN'!F227*'TS-PILE'!$D$73/SUMSQ('TS-PILE'!$D$56:$D$75))),IF('TS-PILE'!$B$74="",-1E+99,'TO HOP NLAN'!D227/ncoc+IF(SUMSQ('TS-PILE'!$E$56:$E$75)=0,0,'TO HOP NLAN'!E227*'TS-PILE'!$E$74/SUMSQ('TS-PILE'!$E$56:$E$75))+IF(SUMSQ('TS-PILE'!$D$56:$D$75)=0,0,'TO HOP NLAN'!F227*'TS-PILE'!$D$74/SUMSQ('TS-PILE'!$D$56:$D$75))),IF('TS-PILE'!$B$75="",-1E+99,'TO HOP NLAN'!D227/ncoc+IF(SUMSQ('TS-PILE'!$E$56:$E$75)=0,0,'TO HOP NLAN'!E227*'TS-PILE'!$E$75/SUMSQ('TS-PILE'!$E$56:$E$75))+IF(SUMSQ('TS-PILE'!$D$56:$D$75)=0,0,'TO HOP NLAN'!F227*'TS-PILE'!$D$75/SUMSQ('TS-PILE'!$D$56:$D$75)))))</f>
        <v>0</v>
      </c>
      <c r="D227" s="46">
        <f>IF(A227="",0,MIN(IF('TS-PILE'!$B$56="",1E+99,'TO HOP NLAN'!D227/ncoc+IF(SUMSQ('TS-PILE'!$E$56:$E$75)=0,0,'TO HOP NLAN'!E227*'TS-PILE'!$E$56/SUMSQ('TS-PILE'!$E$56:$E$75))+IF(SUMSQ('TS-PILE'!$D$56:$D$75)=0,0,'TO HOP NLAN'!F227*'TS-PILE'!$D$56/SUMSQ('TS-PILE'!$D$56:$D$75))),IF('TS-PILE'!$B$57="",1E+99,'TO HOP NLAN'!D227/ncoc+IF(SUMSQ('TS-PILE'!$E$56:$E$75)=0,0,'TO HOP NLAN'!E227*'TS-PILE'!$E$57/SUMSQ('TS-PILE'!$E$56:$E$75))+IF(SUMSQ('TS-PILE'!$D$56:$D$75)=0,0,'TO HOP NLAN'!F227*'TS-PILE'!$D$57/SUMSQ('TS-PILE'!$D$56:$D$75))),IF('TS-PILE'!$B$58="",1E+99,'TO HOP NLAN'!D227/ncoc+IF(SUMSQ('TS-PILE'!$E$56:$E$75)=0,0,'TO HOP NLAN'!E227*'TS-PILE'!$E$58/SUMSQ('TS-PILE'!$E$56:$E$75))+IF(SUMSQ('TS-PILE'!$D$56:$D$75)=0,0,'TO HOP NLAN'!F227*'TS-PILE'!$D$58/SUMSQ('TS-PILE'!$D$56:$D$75))),IF('TS-PILE'!$B$59="",1E+99,'TO HOP NLAN'!D227/ncoc+IF(SUMSQ('TS-PILE'!$E$56:$E$75)=0,0,'TO HOP NLAN'!E227*'TS-PILE'!$E$59/SUMSQ('TS-PILE'!$E$56:$E$75))+IF(SUMSQ('TS-PILE'!$D$56:$D$75)=0,0,'TO HOP NLAN'!F227*'TS-PILE'!$D$59/SUMSQ('TS-PILE'!$D$56:$D$75))),IF('TS-PILE'!$B$60="",1E+99,'TO HOP NLAN'!D227/ncoc+IF(SUMSQ('TS-PILE'!$E$56:$E$75)=0,0,'TO HOP NLAN'!E227*'TS-PILE'!$E$60/SUMSQ('TS-PILE'!$E$56:$E$75))+IF(SUMSQ('TS-PILE'!$D$56:$D$75)=0,0,'TO HOP NLAN'!F227*'TS-PILE'!$D$60/SUMSQ('TS-PILE'!$D$56:$D$75))),IF('TS-PILE'!$B$61="",1E+99,'TO HOP NLAN'!D227/ncoc+IF(SUMSQ('TS-PILE'!$E$56:$E$75)=0,0,'TO HOP NLAN'!E227*'TS-PILE'!$E$61/SUMSQ('TS-PILE'!$E$56:$E$75))+IF(SUMSQ('TS-PILE'!$D$56:$D$75)=0,0,'TO HOP NLAN'!F227*'TS-PILE'!$D$61/SUMSQ('TS-PILE'!$D$56:$D$75))),IF('TS-PILE'!$B$62="",1E+99,'TO HOP NLAN'!D227/ncoc+IF(SUMSQ('TS-PILE'!$E$56:$E$75)=0,0,'TO HOP NLAN'!E227*'TS-PILE'!$E$62/SUMSQ('TS-PILE'!$E$56:$E$75))+IF(SUMSQ('TS-PILE'!$D$56:$D$75)=0,0,'TO HOP NLAN'!F227*'TS-PILE'!$D$62/SUMSQ('TS-PILE'!$D$56:$D$75))),IF('TS-PILE'!$B$63="",1E+99,'TO HOP NLAN'!D227/ncoc+IF(SUMSQ('TS-PILE'!$E$56:$E$75)=0,0,'TO HOP NLAN'!E227*'TS-PILE'!$E$63/SUMSQ('TS-PILE'!$E$56:$E$75))+IF(SUMSQ('TS-PILE'!$D$56:$D$75)=0,0,'TO HOP NLAN'!F227*'TS-PILE'!$D$63/SUMSQ('TS-PILE'!$D$56:$D$75))),IF('TS-PILE'!$B$64="",1E+99,'TO HOP NLAN'!D227/ncoc+IF(SUMSQ('TS-PILE'!$E$56:$E$75)=0,0,'TO HOP NLAN'!E227*'TS-PILE'!$E$64/SUMSQ('TS-PILE'!$E$56:$E$75))+IF(SUMSQ('TS-PILE'!$D$56:$D$75)=0,0,'TO HOP NLAN'!F227*'TS-PILE'!$D$64/SUMSQ('TS-PILE'!$D$56:$D$75))),IF('TS-PILE'!$B$65="",1E+99,'TO HOP NLAN'!D227/ncoc+IF(SUMSQ('TS-PILE'!$E$56:$E$75)=0,0,'TO HOP NLAN'!E227*'TS-PILE'!$E$65/SUMSQ('TS-PILE'!$E$56:$E$75))+IF(SUMSQ('TS-PILE'!$D$56:$D$75)=0,0,'TO HOP NLAN'!F227*'TS-PILE'!$D$65/SUMSQ('TS-PILE'!$D$56:$D$75))),IF('TS-PILE'!$B$66="",1E+99,'TO HOP NLAN'!D227/ncoc+IF(SUMSQ('TS-PILE'!$E$56:$E$75)=0,0,'TO HOP NLAN'!E227*'TS-PILE'!$E$66/SUMSQ('TS-PILE'!$E$56:$E$75))+IF(SUMSQ('TS-PILE'!$D$56:$D$75)=0,0,'TO HOP NLAN'!F227*'TS-PILE'!$D$66/SUMSQ('TS-PILE'!$D$56:$D$75))),IF('TS-PILE'!$B$67="",1E+99,'TO HOP NLAN'!D227/ncoc+IF(SUMSQ('TS-PILE'!$E$56:$E$75)=0,0,'TO HOP NLAN'!E227*'TS-PILE'!$E$67/SUMSQ('TS-PILE'!$E$56:$E$75))+IF(SUMSQ('TS-PILE'!$D$56:$D$75)=0,0,'TO HOP NLAN'!F227*'TS-PILE'!$D$67/SUMSQ('TS-PILE'!$D$56:$D$75))),IF('TS-PILE'!$B$68="",1E+99,'TO HOP NLAN'!D227/ncoc+IF(SUMSQ('TS-PILE'!$E$56:$E$75)=0,0,'TO HOP NLAN'!E227*'TS-PILE'!$E$68/SUMSQ('TS-PILE'!$E$56:$E$75))+IF(SUMSQ('TS-PILE'!$D$56:$D$75)=0,0,'TO HOP NLAN'!F227*'TS-PILE'!$D$68/SUMSQ('TS-PILE'!$D$56:$D$75))),IF('TS-PILE'!$B$69="",1E+99,'TO HOP NLAN'!D227/ncoc+IF(SUMSQ('TS-PILE'!$E$56:$E$75)=0,0,'TO HOP NLAN'!E227*'TS-PILE'!$E$69/SUMSQ('TS-PILE'!$E$56:$E$75))+IF(SUMSQ('TS-PILE'!$D$56:$D$75)=0,0,'TO HOP NLAN'!F227*'TS-PILE'!$D$69/SUMSQ('TS-PILE'!$D$56:$D$75))),IF('TS-PILE'!$B$70="",1E+99,'TO HOP NLAN'!D227/ncoc+IF(SUMSQ('TS-PILE'!$E$56:$E$75)=0,0,'TO HOP NLAN'!E227*'TS-PILE'!$E$70/SUMSQ('TS-PILE'!$E$56:$E$75))+IF(SUMSQ('TS-PILE'!$D$56:$D$75)=0,0,'TO HOP NLAN'!F227*'TS-PILE'!$D$70/SUMSQ('TS-PILE'!$D$56:$D$75))),IF('TS-PILE'!$B$71="",1E+99,'TO HOP NLAN'!D227/ncoc+IF(SUMSQ('TS-PILE'!$E$56:$E$75)=0,0,'TO HOP NLAN'!E227*'TS-PILE'!$E$71/SUMSQ('TS-PILE'!$E$56:$E$75))+IF(SUMSQ('TS-PILE'!$D$56:$D$75)=0,0,'TO HOP NLAN'!F227*'TS-PILE'!$D$71/SUMSQ('TS-PILE'!$D$56:$D$75))),IF('TS-PILE'!$B$72="",1E+99,'TO HOP NLAN'!D227/ncoc+IF(SUMSQ('TS-PILE'!$E$56:$E$75)=0,0,'TO HOP NLAN'!E227*'TS-PILE'!$E$72/SUMSQ('TS-PILE'!$E$56:$E$75))+IF(SUMSQ('TS-PILE'!$D$56:$D$75)=0,0,'TO HOP NLAN'!F227*'TS-PILE'!$D$72/SUMSQ('TS-PILE'!$D$56:$D$75))),IF('TS-PILE'!$B$73="",1E+99,'TO HOP NLAN'!D227/ncoc+IF(SUMSQ('TS-PILE'!$E$56:$E$75)=0,0,'TO HOP NLAN'!E227*'TS-PILE'!$E$73/SUMSQ('TS-PILE'!$E$56:$E$75))+IF(SUMSQ('TS-PILE'!$D$56:$D$75)=0,0,'TO HOP NLAN'!F227*'TS-PILE'!$D$73/SUMSQ('TS-PILE'!$D$56:$D$75))),IF('TS-PILE'!$B$74="",1E+99,'TO HOP NLAN'!D227/ncoc+IF(SUMSQ('TS-PILE'!$E$56:$E$75)=0,0,'TO HOP NLAN'!E227*'TS-PILE'!$E$74/SUMSQ('TS-PILE'!$E$56:$E$75))+IF(SUMSQ('TS-PILE'!$D$56:$D$75)=0,0,'TO HOP NLAN'!F227*'TS-PILE'!$D$74/SUMSQ('TS-PILE'!$D$56:$D$75))),IF('TS-PILE'!$B$75="",1E+99,'TO HOP NLAN'!D227/ncoc+IF(SUMSQ('TS-PILE'!$E$56:$E$75)=0,0,'TO HOP NLAN'!E227*'TS-PILE'!$E$75/SUMSQ('TS-PILE'!$E$56:$E$75))+IF(SUMSQ('TS-PILE'!$D$56:$D$75)=0,0,'TO HOP NLAN'!F227*'TS-PILE'!$D$75/SUMSQ('TS-PILE'!$D$56:$D$75)))))</f>
        <v>0</v>
      </c>
      <c r="E227" s="46">
        <f t="shared" si="12"/>
        <v>-9.9999999999999997E+98</v>
      </c>
      <c r="F227" s="46">
        <f t="shared" si="13"/>
        <v>9.9999999999999997E+98</v>
      </c>
      <c r="G227" s="46">
        <f t="shared" si="14"/>
        <v>-9.9999999999999997E+98</v>
      </c>
      <c r="H227" s="46">
        <f t="shared" si="15"/>
        <v>9.9999999999999997E+98</v>
      </c>
    </row>
    <row r="228" spans="1:8" x14ac:dyDescent="0.3">
      <c r="A228" s="40" t="str">
        <f>'TO HOP NLAN'!A228</f>
        <v/>
      </c>
      <c r="B228" s="40" t="str">
        <f>'TO HOP NLAN'!L228</f>
        <v>STRENGTH</v>
      </c>
      <c r="C228" s="46">
        <f>IF(A228="",0,MAX(IF('TS-PILE'!$B$56="",-1E+99,'TO HOP NLAN'!D228/ncoc+IF(SUMSQ('TS-PILE'!$E$56:$E$75)=0,0,'TO HOP NLAN'!E228*'TS-PILE'!$E$56/SUMSQ('TS-PILE'!$E$56:$E$75))+IF(SUMSQ('TS-PILE'!$D$56:$D$75)=0,0,'TO HOP NLAN'!F228*'TS-PILE'!$D$56/SUMSQ('TS-PILE'!$D$56:$D$75))),IF('TS-PILE'!$B$57="",-1E+99,'TO HOP NLAN'!D228/ncoc+IF(SUMSQ('TS-PILE'!$E$56:$E$75)=0,0,'TO HOP NLAN'!E228*'TS-PILE'!$E$57/SUMSQ('TS-PILE'!$E$56:$E$75))+IF(SUMSQ('TS-PILE'!$D$56:$D$75)=0,0,'TO HOP NLAN'!F228*'TS-PILE'!$D$57/SUMSQ('TS-PILE'!$D$56:$D$75))),IF('TS-PILE'!$B$58="",-1E+99,'TO HOP NLAN'!D228/ncoc+IF(SUMSQ('TS-PILE'!$E$56:$E$75)=0,0,'TO HOP NLAN'!E228*'TS-PILE'!$E$58/SUMSQ('TS-PILE'!$E$56:$E$75))+IF(SUMSQ('TS-PILE'!$D$56:$D$75)=0,0,'TO HOP NLAN'!F228*'TS-PILE'!$D$58/SUMSQ('TS-PILE'!$D$56:$D$75))),IF('TS-PILE'!$B$59="",-1E+99,'TO HOP NLAN'!D228/ncoc+IF(SUMSQ('TS-PILE'!$E$56:$E$75)=0,0,'TO HOP NLAN'!E228*'TS-PILE'!$E$59/SUMSQ('TS-PILE'!$E$56:$E$75))+IF(SUMSQ('TS-PILE'!$D$56:$D$75)=0,0,'TO HOP NLAN'!F228*'TS-PILE'!$D$59/SUMSQ('TS-PILE'!$D$56:$D$75))),IF('TS-PILE'!$B$60="",-1E+99,'TO HOP NLAN'!D228/ncoc+IF(SUMSQ('TS-PILE'!$E$56:$E$75)=0,0,'TO HOP NLAN'!E228*'TS-PILE'!$E$60/SUMSQ('TS-PILE'!$E$56:$E$75))+IF(SUMSQ('TS-PILE'!$D$56:$D$75)=0,0,'TO HOP NLAN'!F228*'TS-PILE'!$D$60/SUMSQ('TS-PILE'!$D$56:$D$75))),IF('TS-PILE'!$B$61="",-1E+99,'TO HOP NLAN'!D228/ncoc+IF(SUMSQ('TS-PILE'!$E$56:$E$75)=0,0,'TO HOP NLAN'!E228*'TS-PILE'!$E$61/SUMSQ('TS-PILE'!$E$56:$E$75))+IF(SUMSQ('TS-PILE'!$D$56:$D$75)=0,0,'TO HOP NLAN'!F228*'TS-PILE'!$D$61/SUMSQ('TS-PILE'!$D$56:$D$75))),IF('TS-PILE'!$B$62="",-1E+99,'TO HOP NLAN'!D228/ncoc+IF(SUMSQ('TS-PILE'!$E$56:$E$75)=0,0,'TO HOP NLAN'!E228*'TS-PILE'!$E$62/SUMSQ('TS-PILE'!$E$56:$E$75))+IF(SUMSQ('TS-PILE'!$D$56:$D$75)=0,0,'TO HOP NLAN'!F228*'TS-PILE'!$D$62/SUMSQ('TS-PILE'!$D$56:$D$75))),IF('TS-PILE'!$B$63="",-1E+99,'TO HOP NLAN'!D228/ncoc+IF(SUMSQ('TS-PILE'!$E$56:$E$75)=0,0,'TO HOP NLAN'!E228*'TS-PILE'!$E$63/SUMSQ('TS-PILE'!$E$56:$E$75))+IF(SUMSQ('TS-PILE'!$D$56:$D$75)=0,0,'TO HOP NLAN'!F228*'TS-PILE'!$D$63/SUMSQ('TS-PILE'!$D$56:$D$75))),IF('TS-PILE'!$B$64="",-1E+99,'TO HOP NLAN'!D228/ncoc+IF(SUMSQ('TS-PILE'!$E$56:$E$75)=0,0,'TO HOP NLAN'!E228*'TS-PILE'!$E$64/SUMSQ('TS-PILE'!$E$56:$E$75))+IF(SUMSQ('TS-PILE'!$D$56:$D$75)=0,0,'TO HOP NLAN'!F228*'TS-PILE'!$D$64/SUMSQ('TS-PILE'!$D$56:$D$75))),IF('TS-PILE'!$B$65="",-1E+99,'TO HOP NLAN'!D228/ncoc+IF(SUMSQ('TS-PILE'!$E$56:$E$75)=0,0,'TO HOP NLAN'!E228*'TS-PILE'!$E$65/SUMSQ('TS-PILE'!$E$56:$E$75))+IF(SUMSQ('TS-PILE'!$D$56:$D$75)=0,0,'TO HOP NLAN'!F228*'TS-PILE'!$D$65/SUMSQ('TS-PILE'!$D$56:$D$75))),IF('TS-PILE'!$B$66="",-1E+99,'TO HOP NLAN'!D228/ncoc+IF(SUMSQ('TS-PILE'!$E$56:$E$75)=0,0,'TO HOP NLAN'!E228*'TS-PILE'!$E$66/SUMSQ('TS-PILE'!$E$56:$E$75))+IF(SUMSQ('TS-PILE'!$D$56:$D$75)=0,0,'TO HOP NLAN'!F228*'TS-PILE'!$D$66/SUMSQ('TS-PILE'!$D$56:$D$75))),IF('TS-PILE'!$B$67="",-1E+99,'TO HOP NLAN'!D228/ncoc+IF(SUMSQ('TS-PILE'!$E$56:$E$75)=0,0,'TO HOP NLAN'!E228*'TS-PILE'!$E$67/SUMSQ('TS-PILE'!$E$56:$E$75))+IF(SUMSQ('TS-PILE'!$D$56:$D$75)=0,0,'TO HOP NLAN'!F228*'TS-PILE'!$D$67/SUMSQ('TS-PILE'!$D$56:$D$75))),IF('TS-PILE'!$B$68="",-1E+99,'TO HOP NLAN'!D228/ncoc+IF(SUMSQ('TS-PILE'!$E$56:$E$75)=0,0,'TO HOP NLAN'!E228*'TS-PILE'!$E$68/SUMSQ('TS-PILE'!$E$56:$E$75))+IF(SUMSQ('TS-PILE'!$D$56:$D$75)=0,0,'TO HOP NLAN'!F228*'TS-PILE'!$D$68/SUMSQ('TS-PILE'!$D$56:$D$75))),IF('TS-PILE'!$B$69="",-1E+99,'TO HOP NLAN'!D228/ncoc+IF(SUMSQ('TS-PILE'!$E$56:$E$75)=0,0,'TO HOP NLAN'!E228*'TS-PILE'!$E$69/SUMSQ('TS-PILE'!$E$56:$E$75))+IF(SUMSQ('TS-PILE'!$D$56:$D$75)=0,0,'TO HOP NLAN'!F228*'TS-PILE'!$D$69/SUMSQ('TS-PILE'!$D$56:$D$75))),IF('TS-PILE'!$B$70="",-1E+99,'TO HOP NLAN'!D228/ncoc+IF(SUMSQ('TS-PILE'!$E$56:$E$75)=0,0,'TO HOP NLAN'!E228*'TS-PILE'!$E$70/SUMSQ('TS-PILE'!$E$56:$E$75))+IF(SUMSQ('TS-PILE'!$D$56:$D$75)=0,0,'TO HOP NLAN'!F228*'TS-PILE'!$D$70/SUMSQ('TS-PILE'!$D$56:$D$75))),IF('TS-PILE'!$B$71="",-1E+99,'TO HOP NLAN'!D228/ncoc+IF(SUMSQ('TS-PILE'!$E$56:$E$75)=0,0,'TO HOP NLAN'!E228*'TS-PILE'!$E$71/SUMSQ('TS-PILE'!$E$56:$E$75))+IF(SUMSQ('TS-PILE'!$D$56:$D$75)=0,0,'TO HOP NLAN'!F228*'TS-PILE'!$D$71/SUMSQ('TS-PILE'!$D$56:$D$75))),IF('TS-PILE'!$B$72="",-1E+99,'TO HOP NLAN'!D228/ncoc+IF(SUMSQ('TS-PILE'!$E$56:$E$75)=0,0,'TO HOP NLAN'!E228*'TS-PILE'!$E$72/SUMSQ('TS-PILE'!$E$56:$E$75))+IF(SUMSQ('TS-PILE'!$D$56:$D$75)=0,0,'TO HOP NLAN'!F228*'TS-PILE'!$D$72/SUMSQ('TS-PILE'!$D$56:$D$75))),IF('TS-PILE'!$B$73="",-1E+99,'TO HOP NLAN'!D228/ncoc+IF(SUMSQ('TS-PILE'!$E$56:$E$75)=0,0,'TO HOP NLAN'!E228*'TS-PILE'!$E$73/SUMSQ('TS-PILE'!$E$56:$E$75))+IF(SUMSQ('TS-PILE'!$D$56:$D$75)=0,0,'TO HOP NLAN'!F228*'TS-PILE'!$D$73/SUMSQ('TS-PILE'!$D$56:$D$75))),IF('TS-PILE'!$B$74="",-1E+99,'TO HOP NLAN'!D228/ncoc+IF(SUMSQ('TS-PILE'!$E$56:$E$75)=0,0,'TO HOP NLAN'!E228*'TS-PILE'!$E$74/SUMSQ('TS-PILE'!$E$56:$E$75))+IF(SUMSQ('TS-PILE'!$D$56:$D$75)=0,0,'TO HOP NLAN'!F228*'TS-PILE'!$D$74/SUMSQ('TS-PILE'!$D$56:$D$75))),IF('TS-PILE'!$B$75="",-1E+99,'TO HOP NLAN'!D228/ncoc+IF(SUMSQ('TS-PILE'!$E$56:$E$75)=0,0,'TO HOP NLAN'!E228*'TS-PILE'!$E$75/SUMSQ('TS-PILE'!$E$56:$E$75))+IF(SUMSQ('TS-PILE'!$D$56:$D$75)=0,0,'TO HOP NLAN'!F228*'TS-PILE'!$D$75/SUMSQ('TS-PILE'!$D$56:$D$75)))))</f>
        <v>0</v>
      </c>
      <c r="D228" s="46">
        <f>IF(A228="",0,MIN(IF('TS-PILE'!$B$56="",1E+99,'TO HOP NLAN'!D228/ncoc+IF(SUMSQ('TS-PILE'!$E$56:$E$75)=0,0,'TO HOP NLAN'!E228*'TS-PILE'!$E$56/SUMSQ('TS-PILE'!$E$56:$E$75))+IF(SUMSQ('TS-PILE'!$D$56:$D$75)=0,0,'TO HOP NLAN'!F228*'TS-PILE'!$D$56/SUMSQ('TS-PILE'!$D$56:$D$75))),IF('TS-PILE'!$B$57="",1E+99,'TO HOP NLAN'!D228/ncoc+IF(SUMSQ('TS-PILE'!$E$56:$E$75)=0,0,'TO HOP NLAN'!E228*'TS-PILE'!$E$57/SUMSQ('TS-PILE'!$E$56:$E$75))+IF(SUMSQ('TS-PILE'!$D$56:$D$75)=0,0,'TO HOP NLAN'!F228*'TS-PILE'!$D$57/SUMSQ('TS-PILE'!$D$56:$D$75))),IF('TS-PILE'!$B$58="",1E+99,'TO HOP NLAN'!D228/ncoc+IF(SUMSQ('TS-PILE'!$E$56:$E$75)=0,0,'TO HOP NLAN'!E228*'TS-PILE'!$E$58/SUMSQ('TS-PILE'!$E$56:$E$75))+IF(SUMSQ('TS-PILE'!$D$56:$D$75)=0,0,'TO HOP NLAN'!F228*'TS-PILE'!$D$58/SUMSQ('TS-PILE'!$D$56:$D$75))),IF('TS-PILE'!$B$59="",1E+99,'TO HOP NLAN'!D228/ncoc+IF(SUMSQ('TS-PILE'!$E$56:$E$75)=0,0,'TO HOP NLAN'!E228*'TS-PILE'!$E$59/SUMSQ('TS-PILE'!$E$56:$E$75))+IF(SUMSQ('TS-PILE'!$D$56:$D$75)=0,0,'TO HOP NLAN'!F228*'TS-PILE'!$D$59/SUMSQ('TS-PILE'!$D$56:$D$75))),IF('TS-PILE'!$B$60="",1E+99,'TO HOP NLAN'!D228/ncoc+IF(SUMSQ('TS-PILE'!$E$56:$E$75)=0,0,'TO HOP NLAN'!E228*'TS-PILE'!$E$60/SUMSQ('TS-PILE'!$E$56:$E$75))+IF(SUMSQ('TS-PILE'!$D$56:$D$75)=0,0,'TO HOP NLAN'!F228*'TS-PILE'!$D$60/SUMSQ('TS-PILE'!$D$56:$D$75))),IF('TS-PILE'!$B$61="",1E+99,'TO HOP NLAN'!D228/ncoc+IF(SUMSQ('TS-PILE'!$E$56:$E$75)=0,0,'TO HOP NLAN'!E228*'TS-PILE'!$E$61/SUMSQ('TS-PILE'!$E$56:$E$75))+IF(SUMSQ('TS-PILE'!$D$56:$D$75)=0,0,'TO HOP NLAN'!F228*'TS-PILE'!$D$61/SUMSQ('TS-PILE'!$D$56:$D$75))),IF('TS-PILE'!$B$62="",1E+99,'TO HOP NLAN'!D228/ncoc+IF(SUMSQ('TS-PILE'!$E$56:$E$75)=0,0,'TO HOP NLAN'!E228*'TS-PILE'!$E$62/SUMSQ('TS-PILE'!$E$56:$E$75))+IF(SUMSQ('TS-PILE'!$D$56:$D$75)=0,0,'TO HOP NLAN'!F228*'TS-PILE'!$D$62/SUMSQ('TS-PILE'!$D$56:$D$75))),IF('TS-PILE'!$B$63="",1E+99,'TO HOP NLAN'!D228/ncoc+IF(SUMSQ('TS-PILE'!$E$56:$E$75)=0,0,'TO HOP NLAN'!E228*'TS-PILE'!$E$63/SUMSQ('TS-PILE'!$E$56:$E$75))+IF(SUMSQ('TS-PILE'!$D$56:$D$75)=0,0,'TO HOP NLAN'!F228*'TS-PILE'!$D$63/SUMSQ('TS-PILE'!$D$56:$D$75))),IF('TS-PILE'!$B$64="",1E+99,'TO HOP NLAN'!D228/ncoc+IF(SUMSQ('TS-PILE'!$E$56:$E$75)=0,0,'TO HOP NLAN'!E228*'TS-PILE'!$E$64/SUMSQ('TS-PILE'!$E$56:$E$75))+IF(SUMSQ('TS-PILE'!$D$56:$D$75)=0,0,'TO HOP NLAN'!F228*'TS-PILE'!$D$64/SUMSQ('TS-PILE'!$D$56:$D$75))),IF('TS-PILE'!$B$65="",1E+99,'TO HOP NLAN'!D228/ncoc+IF(SUMSQ('TS-PILE'!$E$56:$E$75)=0,0,'TO HOP NLAN'!E228*'TS-PILE'!$E$65/SUMSQ('TS-PILE'!$E$56:$E$75))+IF(SUMSQ('TS-PILE'!$D$56:$D$75)=0,0,'TO HOP NLAN'!F228*'TS-PILE'!$D$65/SUMSQ('TS-PILE'!$D$56:$D$75))),IF('TS-PILE'!$B$66="",1E+99,'TO HOP NLAN'!D228/ncoc+IF(SUMSQ('TS-PILE'!$E$56:$E$75)=0,0,'TO HOP NLAN'!E228*'TS-PILE'!$E$66/SUMSQ('TS-PILE'!$E$56:$E$75))+IF(SUMSQ('TS-PILE'!$D$56:$D$75)=0,0,'TO HOP NLAN'!F228*'TS-PILE'!$D$66/SUMSQ('TS-PILE'!$D$56:$D$75))),IF('TS-PILE'!$B$67="",1E+99,'TO HOP NLAN'!D228/ncoc+IF(SUMSQ('TS-PILE'!$E$56:$E$75)=0,0,'TO HOP NLAN'!E228*'TS-PILE'!$E$67/SUMSQ('TS-PILE'!$E$56:$E$75))+IF(SUMSQ('TS-PILE'!$D$56:$D$75)=0,0,'TO HOP NLAN'!F228*'TS-PILE'!$D$67/SUMSQ('TS-PILE'!$D$56:$D$75))),IF('TS-PILE'!$B$68="",1E+99,'TO HOP NLAN'!D228/ncoc+IF(SUMSQ('TS-PILE'!$E$56:$E$75)=0,0,'TO HOP NLAN'!E228*'TS-PILE'!$E$68/SUMSQ('TS-PILE'!$E$56:$E$75))+IF(SUMSQ('TS-PILE'!$D$56:$D$75)=0,0,'TO HOP NLAN'!F228*'TS-PILE'!$D$68/SUMSQ('TS-PILE'!$D$56:$D$75))),IF('TS-PILE'!$B$69="",1E+99,'TO HOP NLAN'!D228/ncoc+IF(SUMSQ('TS-PILE'!$E$56:$E$75)=0,0,'TO HOP NLAN'!E228*'TS-PILE'!$E$69/SUMSQ('TS-PILE'!$E$56:$E$75))+IF(SUMSQ('TS-PILE'!$D$56:$D$75)=0,0,'TO HOP NLAN'!F228*'TS-PILE'!$D$69/SUMSQ('TS-PILE'!$D$56:$D$75))),IF('TS-PILE'!$B$70="",1E+99,'TO HOP NLAN'!D228/ncoc+IF(SUMSQ('TS-PILE'!$E$56:$E$75)=0,0,'TO HOP NLAN'!E228*'TS-PILE'!$E$70/SUMSQ('TS-PILE'!$E$56:$E$75))+IF(SUMSQ('TS-PILE'!$D$56:$D$75)=0,0,'TO HOP NLAN'!F228*'TS-PILE'!$D$70/SUMSQ('TS-PILE'!$D$56:$D$75))),IF('TS-PILE'!$B$71="",1E+99,'TO HOP NLAN'!D228/ncoc+IF(SUMSQ('TS-PILE'!$E$56:$E$75)=0,0,'TO HOP NLAN'!E228*'TS-PILE'!$E$71/SUMSQ('TS-PILE'!$E$56:$E$75))+IF(SUMSQ('TS-PILE'!$D$56:$D$75)=0,0,'TO HOP NLAN'!F228*'TS-PILE'!$D$71/SUMSQ('TS-PILE'!$D$56:$D$75))),IF('TS-PILE'!$B$72="",1E+99,'TO HOP NLAN'!D228/ncoc+IF(SUMSQ('TS-PILE'!$E$56:$E$75)=0,0,'TO HOP NLAN'!E228*'TS-PILE'!$E$72/SUMSQ('TS-PILE'!$E$56:$E$75))+IF(SUMSQ('TS-PILE'!$D$56:$D$75)=0,0,'TO HOP NLAN'!F228*'TS-PILE'!$D$72/SUMSQ('TS-PILE'!$D$56:$D$75))),IF('TS-PILE'!$B$73="",1E+99,'TO HOP NLAN'!D228/ncoc+IF(SUMSQ('TS-PILE'!$E$56:$E$75)=0,0,'TO HOP NLAN'!E228*'TS-PILE'!$E$73/SUMSQ('TS-PILE'!$E$56:$E$75))+IF(SUMSQ('TS-PILE'!$D$56:$D$75)=0,0,'TO HOP NLAN'!F228*'TS-PILE'!$D$73/SUMSQ('TS-PILE'!$D$56:$D$75))),IF('TS-PILE'!$B$74="",1E+99,'TO HOP NLAN'!D228/ncoc+IF(SUMSQ('TS-PILE'!$E$56:$E$75)=0,0,'TO HOP NLAN'!E228*'TS-PILE'!$E$74/SUMSQ('TS-PILE'!$E$56:$E$75))+IF(SUMSQ('TS-PILE'!$D$56:$D$75)=0,0,'TO HOP NLAN'!F228*'TS-PILE'!$D$74/SUMSQ('TS-PILE'!$D$56:$D$75))),IF('TS-PILE'!$B$75="",1E+99,'TO HOP NLAN'!D228/ncoc+IF(SUMSQ('TS-PILE'!$E$56:$E$75)=0,0,'TO HOP NLAN'!E228*'TS-PILE'!$E$75/SUMSQ('TS-PILE'!$E$56:$E$75))+IF(SUMSQ('TS-PILE'!$D$56:$D$75)=0,0,'TO HOP NLAN'!F228*'TS-PILE'!$D$75/SUMSQ('TS-PILE'!$D$56:$D$75)))))</f>
        <v>0</v>
      </c>
      <c r="E228" s="46">
        <f t="shared" si="12"/>
        <v>-9.9999999999999997E+98</v>
      </c>
      <c r="F228" s="46">
        <f t="shared" si="13"/>
        <v>9.9999999999999997E+98</v>
      </c>
      <c r="G228" s="46">
        <f t="shared" si="14"/>
        <v>-9.9999999999999997E+98</v>
      </c>
      <c r="H228" s="46">
        <f t="shared" si="15"/>
        <v>9.9999999999999997E+98</v>
      </c>
    </row>
    <row r="229" spans="1:8" x14ac:dyDescent="0.3">
      <c r="A229" s="40" t="str">
        <f>'TO HOP NLAN'!A229</f>
        <v/>
      </c>
      <c r="B229" s="40" t="str">
        <f>'TO HOP NLAN'!L229</f>
        <v>STRENGTH</v>
      </c>
      <c r="C229" s="46">
        <f>IF(A229="",0,MAX(IF('TS-PILE'!$B$56="",-1E+99,'TO HOP NLAN'!D229/ncoc+IF(SUMSQ('TS-PILE'!$E$56:$E$75)=0,0,'TO HOP NLAN'!E229*'TS-PILE'!$E$56/SUMSQ('TS-PILE'!$E$56:$E$75))+IF(SUMSQ('TS-PILE'!$D$56:$D$75)=0,0,'TO HOP NLAN'!F229*'TS-PILE'!$D$56/SUMSQ('TS-PILE'!$D$56:$D$75))),IF('TS-PILE'!$B$57="",-1E+99,'TO HOP NLAN'!D229/ncoc+IF(SUMSQ('TS-PILE'!$E$56:$E$75)=0,0,'TO HOP NLAN'!E229*'TS-PILE'!$E$57/SUMSQ('TS-PILE'!$E$56:$E$75))+IF(SUMSQ('TS-PILE'!$D$56:$D$75)=0,0,'TO HOP NLAN'!F229*'TS-PILE'!$D$57/SUMSQ('TS-PILE'!$D$56:$D$75))),IF('TS-PILE'!$B$58="",-1E+99,'TO HOP NLAN'!D229/ncoc+IF(SUMSQ('TS-PILE'!$E$56:$E$75)=0,0,'TO HOP NLAN'!E229*'TS-PILE'!$E$58/SUMSQ('TS-PILE'!$E$56:$E$75))+IF(SUMSQ('TS-PILE'!$D$56:$D$75)=0,0,'TO HOP NLAN'!F229*'TS-PILE'!$D$58/SUMSQ('TS-PILE'!$D$56:$D$75))),IF('TS-PILE'!$B$59="",-1E+99,'TO HOP NLAN'!D229/ncoc+IF(SUMSQ('TS-PILE'!$E$56:$E$75)=0,0,'TO HOP NLAN'!E229*'TS-PILE'!$E$59/SUMSQ('TS-PILE'!$E$56:$E$75))+IF(SUMSQ('TS-PILE'!$D$56:$D$75)=0,0,'TO HOP NLAN'!F229*'TS-PILE'!$D$59/SUMSQ('TS-PILE'!$D$56:$D$75))),IF('TS-PILE'!$B$60="",-1E+99,'TO HOP NLAN'!D229/ncoc+IF(SUMSQ('TS-PILE'!$E$56:$E$75)=0,0,'TO HOP NLAN'!E229*'TS-PILE'!$E$60/SUMSQ('TS-PILE'!$E$56:$E$75))+IF(SUMSQ('TS-PILE'!$D$56:$D$75)=0,0,'TO HOP NLAN'!F229*'TS-PILE'!$D$60/SUMSQ('TS-PILE'!$D$56:$D$75))),IF('TS-PILE'!$B$61="",-1E+99,'TO HOP NLAN'!D229/ncoc+IF(SUMSQ('TS-PILE'!$E$56:$E$75)=0,0,'TO HOP NLAN'!E229*'TS-PILE'!$E$61/SUMSQ('TS-PILE'!$E$56:$E$75))+IF(SUMSQ('TS-PILE'!$D$56:$D$75)=0,0,'TO HOP NLAN'!F229*'TS-PILE'!$D$61/SUMSQ('TS-PILE'!$D$56:$D$75))),IF('TS-PILE'!$B$62="",-1E+99,'TO HOP NLAN'!D229/ncoc+IF(SUMSQ('TS-PILE'!$E$56:$E$75)=0,0,'TO HOP NLAN'!E229*'TS-PILE'!$E$62/SUMSQ('TS-PILE'!$E$56:$E$75))+IF(SUMSQ('TS-PILE'!$D$56:$D$75)=0,0,'TO HOP NLAN'!F229*'TS-PILE'!$D$62/SUMSQ('TS-PILE'!$D$56:$D$75))),IF('TS-PILE'!$B$63="",-1E+99,'TO HOP NLAN'!D229/ncoc+IF(SUMSQ('TS-PILE'!$E$56:$E$75)=0,0,'TO HOP NLAN'!E229*'TS-PILE'!$E$63/SUMSQ('TS-PILE'!$E$56:$E$75))+IF(SUMSQ('TS-PILE'!$D$56:$D$75)=0,0,'TO HOP NLAN'!F229*'TS-PILE'!$D$63/SUMSQ('TS-PILE'!$D$56:$D$75))),IF('TS-PILE'!$B$64="",-1E+99,'TO HOP NLAN'!D229/ncoc+IF(SUMSQ('TS-PILE'!$E$56:$E$75)=0,0,'TO HOP NLAN'!E229*'TS-PILE'!$E$64/SUMSQ('TS-PILE'!$E$56:$E$75))+IF(SUMSQ('TS-PILE'!$D$56:$D$75)=0,0,'TO HOP NLAN'!F229*'TS-PILE'!$D$64/SUMSQ('TS-PILE'!$D$56:$D$75))),IF('TS-PILE'!$B$65="",-1E+99,'TO HOP NLAN'!D229/ncoc+IF(SUMSQ('TS-PILE'!$E$56:$E$75)=0,0,'TO HOP NLAN'!E229*'TS-PILE'!$E$65/SUMSQ('TS-PILE'!$E$56:$E$75))+IF(SUMSQ('TS-PILE'!$D$56:$D$75)=0,0,'TO HOP NLAN'!F229*'TS-PILE'!$D$65/SUMSQ('TS-PILE'!$D$56:$D$75))),IF('TS-PILE'!$B$66="",-1E+99,'TO HOP NLAN'!D229/ncoc+IF(SUMSQ('TS-PILE'!$E$56:$E$75)=0,0,'TO HOP NLAN'!E229*'TS-PILE'!$E$66/SUMSQ('TS-PILE'!$E$56:$E$75))+IF(SUMSQ('TS-PILE'!$D$56:$D$75)=0,0,'TO HOP NLAN'!F229*'TS-PILE'!$D$66/SUMSQ('TS-PILE'!$D$56:$D$75))),IF('TS-PILE'!$B$67="",-1E+99,'TO HOP NLAN'!D229/ncoc+IF(SUMSQ('TS-PILE'!$E$56:$E$75)=0,0,'TO HOP NLAN'!E229*'TS-PILE'!$E$67/SUMSQ('TS-PILE'!$E$56:$E$75))+IF(SUMSQ('TS-PILE'!$D$56:$D$75)=0,0,'TO HOP NLAN'!F229*'TS-PILE'!$D$67/SUMSQ('TS-PILE'!$D$56:$D$75))),IF('TS-PILE'!$B$68="",-1E+99,'TO HOP NLAN'!D229/ncoc+IF(SUMSQ('TS-PILE'!$E$56:$E$75)=0,0,'TO HOP NLAN'!E229*'TS-PILE'!$E$68/SUMSQ('TS-PILE'!$E$56:$E$75))+IF(SUMSQ('TS-PILE'!$D$56:$D$75)=0,0,'TO HOP NLAN'!F229*'TS-PILE'!$D$68/SUMSQ('TS-PILE'!$D$56:$D$75))),IF('TS-PILE'!$B$69="",-1E+99,'TO HOP NLAN'!D229/ncoc+IF(SUMSQ('TS-PILE'!$E$56:$E$75)=0,0,'TO HOP NLAN'!E229*'TS-PILE'!$E$69/SUMSQ('TS-PILE'!$E$56:$E$75))+IF(SUMSQ('TS-PILE'!$D$56:$D$75)=0,0,'TO HOP NLAN'!F229*'TS-PILE'!$D$69/SUMSQ('TS-PILE'!$D$56:$D$75))),IF('TS-PILE'!$B$70="",-1E+99,'TO HOP NLAN'!D229/ncoc+IF(SUMSQ('TS-PILE'!$E$56:$E$75)=0,0,'TO HOP NLAN'!E229*'TS-PILE'!$E$70/SUMSQ('TS-PILE'!$E$56:$E$75))+IF(SUMSQ('TS-PILE'!$D$56:$D$75)=0,0,'TO HOP NLAN'!F229*'TS-PILE'!$D$70/SUMSQ('TS-PILE'!$D$56:$D$75))),IF('TS-PILE'!$B$71="",-1E+99,'TO HOP NLAN'!D229/ncoc+IF(SUMSQ('TS-PILE'!$E$56:$E$75)=0,0,'TO HOP NLAN'!E229*'TS-PILE'!$E$71/SUMSQ('TS-PILE'!$E$56:$E$75))+IF(SUMSQ('TS-PILE'!$D$56:$D$75)=0,0,'TO HOP NLAN'!F229*'TS-PILE'!$D$71/SUMSQ('TS-PILE'!$D$56:$D$75))),IF('TS-PILE'!$B$72="",-1E+99,'TO HOP NLAN'!D229/ncoc+IF(SUMSQ('TS-PILE'!$E$56:$E$75)=0,0,'TO HOP NLAN'!E229*'TS-PILE'!$E$72/SUMSQ('TS-PILE'!$E$56:$E$75))+IF(SUMSQ('TS-PILE'!$D$56:$D$75)=0,0,'TO HOP NLAN'!F229*'TS-PILE'!$D$72/SUMSQ('TS-PILE'!$D$56:$D$75))),IF('TS-PILE'!$B$73="",-1E+99,'TO HOP NLAN'!D229/ncoc+IF(SUMSQ('TS-PILE'!$E$56:$E$75)=0,0,'TO HOP NLAN'!E229*'TS-PILE'!$E$73/SUMSQ('TS-PILE'!$E$56:$E$75))+IF(SUMSQ('TS-PILE'!$D$56:$D$75)=0,0,'TO HOP NLAN'!F229*'TS-PILE'!$D$73/SUMSQ('TS-PILE'!$D$56:$D$75))),IF('TS-PILE'!$B$74="",-1E+99,'TO HOP NLAN'!D229/ncoc+IF(SUMSQ('TS-PILE'!$E$56:$E$75)=0,0,'TO HOP NLAN'!E229*'TS-PILE'!$E$74/SUMSQ('TS-PILE'!$E$56:$E$75))+IF(SUMSQ('TS-PILE'!$D$56:$D$75)=0,0,'TO HOP NLAN'!F229*'TS-PILE'!$D$74/SUMSQ('TS-PILE'!$D$56:$D$75))),IF('TS-PILE'!$B$75="",-1E+99,'TO HOP NLAN'!D229/ncoc+IF(SUMSQ('TS-PILE'!$E$56:$E$75)=0,0,'TO HOP NLAN'!E229*'TS-PILE'!$E$75/SUMSQ('TS-PILE'!$E$56:$E$75))+IF(SUMSQ('TS-PILE'!$D$56:$D$75)=0,0,'TO HOP NLAN'!F229*'TS-PILE'!$D$75/SUMSQ('TS-PILE'!$D$56:$D$75)))))</f>
        <v>0</v>
      </c>
      <c r="D229" s="46">
        <f>IF(A229="",0,MIN(IF('TS-PILE'!$B$56="",1E+99,'TO HOP NLAN'!D229/ncoc+IF(SUMSQ('TS-PILE'!$E$56:$E$75)=0,0,'TO HOP NLAN'!E229*'TS-PILE'!$E$56/SUMSQ('TS-PILE'!$E$56:$E$75))+IF(SUMSQ('TS-PILE'!$D$56:$D$75)=0,0,'TO HOP NLAN'!F229*'TS-PILE'!$D$56/SUMSQ('TS-PILE'!$D$56:$D$75))),IF('TS-PILE'!$B$57="",1E+99,'TO HOP NLAN'!D229/ncoc+IF(SUMSQ('TS-PILE'!$E$56:$E$75)=0,0,'TO HOP NLAN'!E229*'TS-PILE'!$E$57/SUMSQ('TS-PILE'!$E$56:$E$75))+IF(SUMSQ('TS-PILE'!$D$56:$D$75)=0,0,'TO HOP NLAN'!F229*'TS-PILE'!$D$57/SUMSQ('TS-PILE'!$D$56:$D$75))),IF('TS-PILE'!$B$58="",1E+99,'TO HOP NLAN'!D229/ncoc+IF(SUMSQ('TS-PILE'!$E$56:$E$75)=0,0,'TO HOP NLAN'!E229*'TS-PILE'!$E$58/SUMSQ('TS-PILE'!$E$56:$E$75))+IF(SUMSQ('TS-PILE'!$D$56:$D$75)=0,0,'TO HOP NLAN'!F229*'TS-PILE'!$D$58/SUMSQ('TS-PILE'!$D$56:$D$75))),IF('TS-PILE'!$B$59="",1E+99,'TO HOP NLAN'!D229/ncoc+IF(SUMSQ('TS-PILE'!$E$56:$E$75)=0,0,'TO HOP NLAN'!E229*'TS-PILE'!$E$59/SUMSQ('TS-PILE'!$E$56:$E$75))+IF(SUMSQ('TS-PILE'!$D$56:$D$75)=0,0,'TO HOP NLAN'!F229*'TS-PILE'!$D$59/SUMSQ('TS-PILE'!$D$56:$D$75))),IF('TS-PILE'!$B$60="",1E+99,'TO HOP NLAN'!D229/ncoc+IF(SUMSQ('TS-PILE'!$E$56:$E$75)=0,0,'TO HOP NLAN'!E229*'TS-PILE'!$E$60/SUMSQ('TS-PILE'!$E$56:$E$75))+IF(SUMSQ('TS-PILE'!$D$56:$D$75)=0,0,'TO HOP NLAN'!F229*'TS-PILE'!$D$60/SUMSQ('TS-PILE'!$D$56:$D$75))),IF('TS-PILE'!$B$61="",1E+99,'TO HOP NLAN'!D229/ncoc+IF(SUMSQ('TS-PILE'!$E$56:$E$75)=0,0,'TO HOP NLAN'!E229*'TS-PILE'!$E$61/SUMSQ('TS-PILE'!$E$56:$E$75))+IF(SUMSQ('TS-PILE'!$D$56:$D$75)=0,0,'TO HOP NLAN'!F229*'TS-PILE'!$D$61/SUMSQ('TS-PILE'!$D$56:$D$75))),IF('TS-PILE'!$B$62="",1E+99,'TO HOP NLAN'!D229/ncoc+IF(SUMSQ('TS-PILE'!$E$56:$E$75)=0,0,'TO HOP NLAN'!E229*'TS-PILE'!$E$62/SUMSQ('TS-PILE'!$E$56:$E$75))+IF(SUMSQ('TS-PILE'!$D$56:$D$75)=0,0,'TO HOP NLAN'!F229*'TS-PILE'!$D$62/SUMSQ('TS-PILE'!$D$56:$D$75))),IF('TS-PILE'!$B$63="",1E+99,'TO HOP NLAN'!D229/ncoc+IF(SUMSQ('TS-PILE'!$E$56:$E$75)=0,0,'TO HOP NLAN'!E229*'TS-PILE'!$E$63/SUMSQ('TS-PILE'!$E$56:$E$75))+IF(SUMSQ('TS-PILE'!$D$56:$D$75)=0,0,'TO HOP NLAN'!F229*'TS-PILE'!$D$63/SUMSQ('TS-PILE'!$D$56:$D$75))),IF('TS-PILE'!$B$64="",1E+99,'TO HOP NLAN'!D229/ncoc+IF(SUMSQ('TS-PILE'!$E$56:$E$75)=0,0,'TO HOP NLAN'!E229*'TS-PILE'!$E$64/SUMSQ('TS-PILE'!$E$56:$E$75))+IF(SUMSQ('TS-PILE'!$D$56:$D$75)=0,0,'TO HOP NLAN'!F229*'TS-PILE'!$D$64/SUMSQ('TS-PILE'!$D$56:$D$75))),IF('TS-PILE'!$B$65="",1E+99,'TO HOP NLAN'!D229/ncoc+IF(SUMSQ('TS-PILE'!$E$56:$E$75)=0,0,'TO HOP NLAN'!E229*'TS-PILE'!$E$65/SUMSQ('TS-PILE'!$E$56:$E$75))+IF(SUMSQ('TS-PILE'!$D$56:$D$75)=0,0,'TO HOP NLAN'!F229*'TS-PILE'!$D$65/SUMSQ('TS-PILE'!$D$56:$D$75))),IF('TS-PILE'!$B$66="",1E+99,'TO HOP NLAN'!D229/ncoc+IF(SUMSQ('TS-PILE'!$E$56:$E$75)=0,0,'TO HOP NLAN'!E229*'TS-PILE'!$E$66/SUMSQ('TS-PILE'!$E$56:$E$75))+IF(SUMSQ('TS-PILE'!$D$56:$D$75)=0,0,'TO HOP NLAN'!F229*'TS-PILE'!$D$66/SUMSQ('TS-PILE'!$D$56:$D$75))),IF('TS-PILE'!$B$67="",1E+99,'TO HOP NLAN'!D229/ncoc+IF(SUMSQ('TS-PILE'!$E$56:$E$75)=0,0,'TO HOP NLAN'!E229*'TS-PILE'!$E$67/SUMSQ('TS-PILE'!$E$56:$E$75))+IF(SUMSQ('TS-PILE'!$D$56:$D$75)=0,0,'TO HOP NLAN'!F229*'TS-PILE'!$D$67/SUMSQ('TS-PILE'!$D$56:$D$75))),IF('TS-PILE'!$B$68="",1E+99,'TO HOP NLAN'!D229/ncoc+IF(SUMSQ('TS-PILE'!$E$56:$E$75)=0,0,'TO HOP NLAN'!E229*'TS-PILE'!$E$68/SUMSQ('TS-PILE'!$E$56:$E$75))+IF(SUMSQ('TS-PILE'!$D$56:$D$75)=0,0,'TO HOP NLAN'!F229*'TS-PILE'!$D$68/SUMSQ('TS-PILE'!$D$56:$D$75))),IF('TS-PILE'!$B$69="",1E+99,'TO HOP NLAN'!D229/ncoc+IF(SUMSQ('TS-PILE'!$E$56:$E$75)=0,0,'TO HOP NLAN'!E229*'TS-PILE'!$E$69/SUMSQ('TS-PILE'!$E$56:$E$75))+IF(SUMSQ('TS-PILE'!$D$56:$D$75)=0,0,'TO HOP NLAN'!F229*'TS-PILE'!$D$69/SUMSQ('TS-PILE'!$D$56:$D$75))),IF('TS-PILE'!$B$70="",1E+99,'TO HOP NLAN'!D229/ncoc+IF(SUMSQ('TS-PILE'!$E$56:$E$75)=0,0,'TO HOP NLAN'!E229*'TS-PILE'!$E$70/SUMSQ('TS-PILE'!$E$56:$E$75))+IF(SUMSQ('TS-PILE'!$D$56:$D$75)=0,0,'TO HOP NLAN'!F229*'TS-PILE'!$D$70/SUMSQ('TS-PILE'!$D$56:$D$75))),IF('TS-PILE'!$B$71="",1E+99,'TO HOP NLAN'!D229/ncoc+IF(SUMSQ('TS-PILE'!$E$56:$E$75)=0,0,'TO HOP NLAN'!E229*'TS-PILE'!$E$71/SUMSQ('TS-PILE'!$E$56:$E$75))+IF(SUMSQ('TS-PILE'!$D$56:$D$75)=0,0,'TO HOP NLAN'!F229*'TS-PILE'!$D$71/SUMSQ('TS-PILE'!$D$56:$D$75))),IF('TS-PILE'!$B$72="",1E+99,'TO HOP NLAN'!D229/ncoc+IF(SUMSQ('TS-PILE'!$E$56:$E$75)=0,0,'TO HOP NLAN'!E229*'TS-PILE'!$E$72/SUMSQ('TS-PILE'!$E$56:$E$75))+IF(SUMSQ('TS-PILE'!$D$56:$D$75)=0,0,'TO HOP NLAN'!F229*'TS-PILE'!$D$72/SUMSQ('TS-PILE'!$D$56:$D$75))),IF('TS-PILE'!$B$73="",1E+99,'TO HOP NLAN'!D229/ncoc+IF(SUMSQ('TS-PILE'!$E$56:$E$75)=0,0,'TO HOP NLAN'!E229*'TS-PILE'!$E$73/SUMSQ('TS-PILE'!$E$56:$E$75))+IF(SUMSQ('TS-PILE'!$D$56:$D$75)=0,0,'TO HOP NLAN'!F229*'TS-PILE'!$D$73/SUMSQ('TS-PILE'!$D$56:$D$75))),IF('TS-PILE'!$B$74="",1E+99,'TO HOP NLAN'!D229/ncoc+IF(SUMSQ('TS-PILE'!$E$56:$E$75)=0,0,'TO HOP NLAN'!E229*'TS-PILE'!$E$74/SUMSQ('TS-PILE'!$E$56:$E$75))+IF(SUMSQ('TS-PILE'!$D$56:$D$75)=0,0,'TO HOP NLAN'!F229*'TS-PILE'!$D$74/SUMSQ('TS-PILE'!$D$56:$D$75))),IF('TS-PILE'!$B$75="",1E+99,'TO HOP NLAN'!D229/ncoc+IF(SUMSQ('TS-PILE'!$E$56:$E$75)=0,0,'TO HOP NLAN'!E229*'TS-PILE'!$E$75/SUMSQ('TS-PILE'!$E$56:$E$75))+IF(SUMSQ('TS-PILE'!$D$56:$D$75)=0,0,'TO HOP NLAN'!F229*'TS-PILE'!$D$75/SUMSQ('TS-PILE'!$D$56:$D$75)))))</f>
        <v>0</v>
      </c>
      <c r="E229" s="46">
        <f t="shared" si="12"/>
        <v>-9.9999999999999997E+98</v>
      </c>
      <c r="F229" s="46">
        <f t="shared" si="13"/>
        <v>9.9999999999999997E+98</v>
      </c>
      <c r="G229" s="46">
        <f t="shared" si="14"/>
        <v>-9.9999999999999997E+98</v>
      </c>
      <c r="H229" s="46">
        <f t="shared" si="15"/>
        <v>9.9999999999999997E+98</v>
      </c>
    </row>
    <row r="230" spans="1:8" x14ac:dyDescent="0.3">
      <c r="A230" s="40" t="str">
        <f>'TO HOP NLAN'!A230</f>
        <v/>
      </c>
      <c r="B230" s="40" t="str">
        <f>'TO HOP NLAN'!L230</f>
        <v>STRENGTH</v>
      </c>
      <c r="C230" s="46">
        <f>IF(A230="",0,MAX(IF('TS-PILE'!$B$56="",-1E+99,'TO HOP NLAN'!D230/ncoc+IF(SUMSQ('TS-PILE'!$E$56:$E$75)=0,0,'TO HOP NLAN'!E230*'TS-PILE'!$E$56/SUMSQ('TS-PILE'!$E$56:$E$75))+IF(SUMSQ('TS-PILE'!$D$56:$D$75)=0,0,'TO HOP NLAN'!F230*'TS-PILE'!$D$56/SUMSQ('TS-PILE'!$D$56:$D$75))),IF('TS-PILE'!$B$57="",-1E+99,'TO HOP NLAN'!D230/ncoc+IF(SUMSQ('TS-PILE'!$E$56:$E$75)=0,0,'TO HOP NLAN'!E230*'TS-PILE'!$E$57/SUMSQ('TS-PILE'!$E$56:$E$75))+IF(SUMSQ('TS-PILE'!$D$56:$D$75)=0,0,'TO HOP NLAN'!F230*'TS-PILE'!$D$57/SUMSQ('TS-PILE'!$D$56:$D$75))),IF('TS-PILE'!$B$58="",-1E+99,'TO HOP NLAN'!D230/ncoc+IF(SUMSQ('TS-PILE'!$E$56:$E$75)=0,0,'TO HOP NLAN'!E230*'TS-PILE'!$E$58/SUMSQ('TS-PILE'!$E$56:$E$75))+IF(SUMSQ('TS-PILE'!$D$56:$D$75)=0,0,'TO HOP NLAN'!F230*'TS-PILE'!$D$58/SUMSQ('TS-PILE'!$D$56:$D$75))),IF('TS-PILE'!$B$59="",-1E+99,'TO HOP NLAN'!D230/ncoc+IF(SUMSQ('TS-PILE'!$E$56:$E$75)=0,0,'TO HOP NLAN'!E230*'TS-PILE'!$E$59/SUMSQ('TS-PILE'!$E$56:$E$75))+IF(SUMSQ('TS-PILE'!$D$56:$D$75)=0,0,'TO HOP NLAN'!F230*'TS-PILE'!$D$59/SUMSQ('TS-PILE'!$D$56:$D$75))),IF('TS-PILE'!$B$60="",-1E+99,'TO HOP NLAN'!D230/ncoc+IF(SUMSQ('TS-PILE'!$E$56:$E$75)=0,0,'TO HOP NLAN'!E230*'TS-PILE'!$E$60/SUMSQ('TS-PILE'!$E$56:$E$75))+IF(SUMSQ('TS-PILE'!$D$56:$D$75)=0,0,'TO HOP NLAN'!F230*'TS-PILE'!$D$60/SUMSQ('TS-PILE'!$D$56:$D$75))),IF('TS-PILE'!$B$61="",-1E+99,'TO HOP NLAN'!D230/ncoc+IF(SUMSQ('TS-PILE'!$E$56:$E$75)=0,0,'TO HOP NLAN'!E230*'TS-PILE'!$E$61/SUMSQ('TS-PILE'!$E$56:$E$75))+IF(SUMSQ('TS-PILE'!$D$56:$D$75)=0,0,'TO HOP NLAN'!F230*'TS-PILE'!$D$61/SUMSQ('TS-PILE'!$D$56:$D$75))),IF('TS-PILE'!$B$62="",-1E+99,'TO HOP NLAN'!D230/ncoc+IF(SUMSQ('TS-PILE'!$E$56:$E$75)=0,0,'TO HOP NLAN'!E230*'TS-PILE'!$E$62/SUMSQ('TS-PILE'!$E$56:$E$75))+IF(SUMSQ('TS-PILE'!$D$56:$D$75)=0,0,'TO HOP NLAN'!F230*'TS-PILE'!$D$62/SUMSQ('TS-PILE'!$D$56:$D$75))),IF('TS-PILE'!$B$63="",-1E+99,'TO HOP NLAN'!D230/ncoc+IF(SUMSQ('TS-PILE'!$E$56:$E$75)=0,0,'TO HOP NLAN'!E230*'TS-PILE'!$E$63/SUMSQ('TS-PILE'!$E$56:$E$75))+IF(SUMSQ('TS-PILE'!$D$56:$D$75)=0,0,'TO HOP NLAN'!F230*'TS-PILE'!$D$63/SUMSQ('TS-PILE'!$D$56:$D$75))),IF('TS-PILE'!$B$64="",-1E+99,'TO HOP NLAN'!D230/ncoc+IF(SUMSQ('TS-PILE'!$E$56:$E$75)=0,0,'TO HOP NLAN'!E230*'TS-PILE'!$E$64/SUMSQ('TS-PILE'!$E$56:$E$75))+IF(SUMSQ('TS-PILE'!$D$56:$D$75)=0,0,'TO HOP NLAN'!F230*'TS-PILE'!$D$64/SUMSQ('TS-PILE'!$D$56:$D$75))),IF('TS-PILE'!$B$65="",-1E+99,'TO HOP NLAN'!D230/ncoc+IF(SUMSQ('TS-PILE'!$E$56:$E$75)=0,0,'TO HOP NLAN'!E230*'TS-PILE'!$E$65/SUMSQ('TS-PILE'!$E$56:$E$75))+IF(SUMSQ('TS-PILE'!$D$56:$D$75)=0,0,'TO HOP NLAN'!F230*'TS-PILE'!$D$65/SUMSQ('TS-PILE'!$D$56:$D$75))),IF('TS-PILE'!$B$66="",-1E+99,'TO HOP NLAN'!D230/ncoc+IF(SUMSQ('TS-PILE'!$E$56:$E$75)=0,0,'TO HOP NLAN'!E230*'TS-PILE'!$E$66/SUMSQ('TS-PILE'!$E$56:$E$75))+IF(SUMSQ('TS-PILE'!$D$56:$D$75)=0,0,'TO HOP NLAN'!F230*'TS-PILE'!$D$66/SUMSQ('TS-PILE'!$D$56:$D$75))),IF('TS-PILE'!$B$67="",-1E+99,'TO HOP NLAN'!D230/ncoc+IF(SUMSQ('TS-PILE'!$E$56:$E$75)=0,0,'TO HOP NLAN'!E230*'TS-PILE'!$E$67/SUMSQ('TS-PILE'!$E$56:$E$75))+IF(SUMSQ('TS-PILE'!$D$56:$D$75)=0,0,'TO HOP NLAN'!F230*'TS-PILE'!$D$67/SUMSQ('TS-PILE'!$D$56:$D$75))),IF('TS-PILE'!$B$68="",-1E+99,'TO HOP NLAN'!D230/ncoc+IF(SUMSQ('TS-PILE'!$E$56:$E$75)=0,0,'TO HOP NLAN'!E230*'TS-PILE'!$E$68/SUMSQ('TS-PILE'!$E$56:$E$75))+IF(SUMSQ('TS-PILE'!$D$56:$D$75)=0,0,'TO HOP NLAN'!F230*'TS-PILE'!$D$68/SUMSQ('TS-PILE'!$D$56:$D$75))),IF('TS-PILE'!$B$69="",-1E+99,'TO HOP NLAN'!D230/ncoc+IF(SUMSQ('TS-PILE'!$E$56:$E$75)=0,0,'TO HOP NLAN'!E230*'TS-PILE'!$E$69/SUMSQ('TS-PILE'!$E$56:$E$75))+IF(SUMSQ('TS-PILE'!$D$56:$D$75)=0,0,'TO HOP NLAN'!F230*'TS-PILE'!$D$69/SUMSQ('TS-PILE'!$D$56:$D$75))),IF('TS-PILE'!$B$70="",-1E+99,'TO HOP NLAN'!D230/ncoc+IF(SUMSQ('TS-PILE'!$E$56:$E$75)=0,0,'TO HOP NLAN'!E230*'TS-PILE'!$E$70/SUMSQ('TS-PILE'!$E$56:$E$75))+IF(SUMSQ('TS-PILE'!$D$56:$D$75)=0,0,'TO HOP NLAN'!F230*'TS-PILE'!$D$70/SUMSQ('TS-PILE'!$D$56:$D$75))),IF('TS-PILE'!$B$71="",-1E+99,'TO HOP NLAN'!D230/ncoc+IF(SUMSQ('TS-PILE'!$E$56:$E$75)=0,0,'TO HOP NLAN'!E230*'TS-PILE'!$E$71/SUMSQ('TS-PILE'!$E$56:$E$75))+IF(SUMSQ('TS-PILE'!$D$56:$D$75)=0,0,'TO HOP NLAN'!F230*'TS-PILE'!$D$71/SUMSQ('TS-PILE'!$D$56:$D$75))),IF('TS-PILE'!$B$72="",-1E+99,'TO HOP NLAN'!D230/ncoc+IF(SUMSQ('TS-PILE'!$E$56:$E$75)=0,0,'TO HOP NLAN'!E230*'TS-PILE'!$E$72/SUMSQ('TS-PILE'!$E$56:$E$75))+IF(SUMSQ('TS-PILE'!$D$56:$D$75)=0,0,'TO HOP NLAN'!F230*'TS-PILE'!$D$72/SUMSQ('TS-PILE'!$D$56:$D$75))),IF('TS-PILE'!$B$73="",-1E+99,'TO HOP NLAN'!D230/ncoc+IF(SUMSQ('TS-PILE'!$E$56:$E$75)=0,0,'TO HOP NLAN'!E230*'TS-PILE'!$E$73/SUMSQ('TS-PILE'!$E$56:$E$75))+IF(SUMSQ('TS-PILE'!$D$56:$D$75)=0,0,'TO HOP NLAN'!F230*'TS-PILE'!$D$73/SUMSQ('TS-PILE'!$D$56:$D$75))),IF('TS-PILE'!$B$74="",-1E+99,'TO HOP NLAN'!D230/ncoc+IF(SUMSQ('TS-PILE'!$E$56:$E$75)=0,0,'TO HOP NLAN'!E230*'TS-PILE'!$E$74/SUMSQ('TS-PILE'!$E$56:$E$75))+IF(SUMSQ('TS-PILE'!$D$56:$D$75)=0,0,'TO HOP NLAN'!F230*'TS-PILE'!$D$74/SUMSQ('TS-PILE'!$D$56:$D$75))),IF('TS-PILE'!$B$75="",-1E+99,'TO HOP NLAN'!D230/ncoc+IF(SUMSQ('TS-PILE'!$E$56:$E$75)=0,0,'TO HOP NLAN'!E230*'TS-PILE'!$E$75/SUMSQ('TS-PILE'!$E$56:$E$75))+IF(SUMSQ('TS-PILE'!$D$56:$D$75)=0,0,'TO HOP NLAN'!F230*'TS-PILE'!$D$75/SUMSQ('TS-PILE'!$D$56:$D$75)))))</f>
        <v>0</v>
      </c>
      <c r="D230" s="46">
        <f>IF(A230="",0,MIN(IF('TS-PILE'!$B$56="",1E+99,'TO HOP NLAN'!D230/ncoc+IF(SUMSQ('TS-PILE'!$E$56:$E$75)=0,0,'TO HOP NLAN'!E230*'TS-PILE'!$E$56/SUMSQ('TS-PILE'!$E$56:$E$75))+IF(SUMSQ('TS-PILE'!$D$56:$D$75)=0,0,'TO HOP NLAN'!F230*'TS-PILE'!$D$56/SUMSQ('TS-PILE'!$D$56:$D$75))),IF('TS-PILE'!$B$57="",1E+99,'TO HOP NLAN'!D230/ncoc+IF(SUMSQ('TS-PILE'!$E$56:$E$75)=0,0,'TO HOP NLAN'!E230*'TS-PILE'!$E$57/SUMSQ('TS-PILE'!$E$56:$E$75))+IF(SUMSQ('TS-PILE'!$D$56:$D$75)=0,0,'TO HOP NLAN'!F230*'TS-PILE'!$D$57/SUMSQ('TS-PILE'!$D$56:$D$75))),IF('TS-PILE'!$B$58="",1E+99,'TO HOP NLAN'!D230/ncoc+IF(SUMSQ('TS-PILE'!$E$56:$E$75)=0,0,'TO HOP NLAN'!E230*'TS-PILE'!$E$58/SUMSQ('TS-PILE'!$E$56:$E$75))+IF(SUMSQ('TS-PILE'!$D$56:$D$75)=0,0,'TO HOP NLAN'!F230*'TS-PILE'!$D$58/SUMSQ('TS-PILE'!$D$56:$D$75))),IF('TS-PILE'!$B$59="",1E+99,'TO HOP NLAN'!D230/ncoc+IF(SUMSQ('TS-PILE'!$E$56:$E$75)=0,0,'TO HOP NLAN'!E230*'TS-PILE'!$E$59/SUMSQ('TS-PILE'!$E$56:$E$75))+IF(SUMSQ('TS-PILE'!$D$56:$D$75)=0,0,'TO HOP NLAN'!F230*'TS-PILE'!$D$59/SUMSQ('TS-PILE'!$D$56:$D$75))),IF('TS-PILE'!$B$60="",1E+99,'TO HOP NLAN'!D230/ncoc+IF(SUMSQ('TS-PILE'!$E$56:$E$75)=0,0,'TO HOP NLAN'!E230*'TS-PILE'!$E$60/SUMSQ('TS-PILE'!$E$56:$E$75))+IF(SUMSQ('TS-PILE'!$D$56:$D$75)=0,0,'TO HOP NLAN'!F230*'TS-PILE'!$D$60/SUMSQ('TS-PILE'!$D$56:$D$75))),IF('TS-PILE'!$B$61="",1E+99,'TO HOP NLAN'!D230/ncoc+IF(SUMSQ('TS-PILE'!$E$56:$E$75)=0,0,'TO HOP NLAN'!E230*'TS-PILE'!$E$61/SUMSQ('TS-PILE'!$E$56:$E$75))+IF(SUMSQ('TS-PILE'!$D$56:$D$75)=0,0,'TO HOP NLAN'!F230*'TS-PILE'!$D$61/SUMSQ('TS-PILE'!$D$56:$D$75))),IF('TS-PILE'!$B$62="",1E+99,'TO HOP NLAN'!D230/ncoc+IF(SUMSQ('TS-PILE'!$E$56:$E$75)=0,0,'TO HOP NLAN'!E230*'TS-PILE'!$E$62/SUMSQ('TS-PILE'!$E$56:$E$75))+IF(SUMSQ('TS-PILE'!$D$56:$D$75)=0,0,'TO HOP NLAN'!F230*'TS-PILE'!$D$62/SUMSQ('TS-PILE'!$D$56:$D$75))),IF('TS-PILE'!$B$63="",1E+99,'TO HOP NLAN'!D230/ncoc+IF(SUMSQ('TS-PILE'!$E$56:$E$75)=0,0,'TO HOP NLAN'!E230*'TS-PILE'!$E$63/SUMSQ('TS-PILE'!$E$56:$E$75))+IF(SUMSQ('TS-PILE'!$D$56:$D$75)=0,0,'TO HOP NLAN'!F230*'TS-PILE'!$D$63/SUMSQ('TS-PILE'!$D$56:$D$75))),IF('TS-PILE'!$B$64="",1E+99,'TO HOP NLAN'!D230/ncoc+IF(SUMSQ('TS-PILE'!$E$56:$E$75)=0,0,'TO HOP NLAN'!E230*'TS-PILE'!$E$64/SUMSQ('TS-PILE'!$E$56:$E$75))+IF(SUMSQ('TS-PILE'!$D$56:$D$75)=0,0,'TO HOP NLAN'!F230*'TS-PILE'!$D$64/SUMSQ('TS-PILE'!$D$56:$D$75))),IF('TS-PILE'!$B$65="",1E+99,'TO HOP NLAN'!D230/ncoc+IF(SUMSQ('TS-PILE'!$E$56:$E$75)=0,0,'TO HOP NLAN'!E230*'TS-PILE'!$E$65/SUMSQ('TS-PILE'!$E$56:$E$75))+IF(SUMSQ('TS-PILE'!$D$56:$D$75)=0,0,'TO HOP NLAN'!F230*'TS-PILE'!$D$65/SUMSQ('TS-PILE'!$D$56:$D$75))),IF('TS-PILE'!$B$66="",1E+99,'TO HOP NLAN'!D230/ncoc+IF(SUMSQ('TS-PILE'!$E$56:$E$75)=0,0,'TO HOP NLAN'!E230*'TS-PILE'!$E$66/SUMSQ('TS-PILE'!$E$56:$E$75))+IF(SUMSQ('TS-PILE'!$D$56:$D$75)=0,0,'TO HOP NLAN'!F230*'TS-PILE'!$D$66/SUMSQ('TS-PILE'!$D$56:$D$75))),IF('TS-PILE'!$B$67="",1E+99,'TO HOP NLAN'!D230/ncoc+IF(SUMSQ('TS-PILE'!$E$56:$E$75)=0,0,'TO HOP NLAN'!E230*'TS-PILE'!$E$67/SUMSQ('TS-PILE'!$E$56:$E$75))+IF(SUMSQ('TS-PILE'!$D$56:$D$75)=0,0,'TO HOP NLAN'!F230*'TS-PILE'!$D$67/SUMSQ('TS-PILE'!$D$56:$D$75))),IF('TS-PILE'!$B$68="",1E+99,'TO HOP NLAN'!D230/ncoc+IF(SUMSQ('TS-PILE'!$E$56:$E$75)=0,0,'TO HOP NLAN'!E230*'TS-PILE'!$E$68/SUMSQ('TS-PILE'!$E$56:$E$75))+IF(SUMSQ('TS-PILE'!$D$56:$D$75)=0,0,'TO HOP NLAN'!F230*'TS-PILE'!$D$68/SUMSQ('TS-PILE'!$D$56:$D$75))),IF('TS-PILE'!$B$69="",1E+99,'TO HOP NLAN'!D230/ncoc+IF(SUMSQ('TS-PILE'!$E$56:$E$75)=0,0,'TO HOP NLAN'!E230*'TS-PILE'!$E$69/SUMSQ('TS-PILE'!$E$56:$E$75))+IF(SUMSQ('TS-PILE'!$D$56:$D$75)=0,0,'TO HOP NLAN'!F230*'TS-PILE'!$D$69/SUMSQ('TS-PILE'!$D$56:$D$75))),IF('TS-PILE'!$B$70="",1E+99,'TO HOP NLAN'!D230/ncoc+IF(SUMSQ('TS-PILE'!$E$56:$E$75)=0,0,'TO HOP NLAN'!E230*'TS-PILE'!$E$70/SUMSQ('TS-PILE'!$E$56:$E$75))+IF(SUMSQ('TS-PILE'!$D$56:$D$75)=0,0,'TO HOP NLAN'!F230*'TS-PILE'!$D$70/SUMSQ('TS-PILE'!$D$56:$D$75))),IF('TS-PILE'!$B$71="",1E+99,'TO HOP NLAN'!D230/ncoc+IF(SUMSQ('TS-PILE'!$E$56:$E$75)=0,0,'TO HOP NLAN'!E230*'TS-PILE'!$E$71/SUMSQ('TS-PILE'!$E$56:$E$75))+IF(SUMSQ('TS-PILE'!$D$56:$D$75)=0,0,'TO HOP NLAN'!F230*'TS-PILE'!$D$71/SUMSQ('TS-PILE'!$D$56:$D$75))),IF('TS-PILE'!$B$72="",1E+99,'TO HOP NLAN'!D230/ncoc+IF(SUMSQ('TS-PILE'!$E$56:$E$75)=0,0,'TO HOP NLAN'!E230*'TS-PILE'!$E$72/SUMSQ('TS-PILE'!$E$56:$E$75))+IF(SUMSQ('TS-PILE'!$D$56:$D$75)=0,0,'TO HOP NLAN'!F230*'TS-PILE'!$D$72/SUMSQ('TS-PILE'!$D$56:$D$75))),IF('TS-PILE'!$B$73="",1E+99,'TO HOP NLAN'!D230/ncoc+IF(SUMSQ('TS-PILE'!$E$56:$E$75)=0,0,'TO HOP NLAN'!E230*'TS-PILE'!$E$73/SUMSQ('TS-PILE'!$E$56:$E$75))+IF(SUMSQ('TS-PILE'!$D$56:$D$75)=0,0,'TO HOP NLAN'!F230*'TS-PILE'!$D$73/SUMSQ('TS-PILE'!$D$56:$D$75))),IF('TS-PILE'!$B$74="",1E+99,'TO HOP NLAN'!D230/ncoc+IF(SUMSQ('TS-PILE'!$E$56:$E$75)=0,0,'TO HOP NLAN'!E230*'TS-PILE'!$E$74/SUMSQ('TS-PILE'!$E$56:$E$75))+IF(SUMSQ('TS-PILE'!$D$56:$D$75)=0,0,'TO HOP NLAN'!F230*'TS-PILE'!$D$74/SUMSQ('TS-PILE'!$D$56:$D$75))),IF('TS-PILE'!$B$75="",1E+99,'TO HOP NLAN'!D230/ncoc+IF(SUMSQ('TS-PILE'!$E$56:$E$75)=0,0,'TO HOP NLAN'!E230*'TS-PILE'!$E$75/SUMSQ('TS-PILE'!$E$56:$E$75))+IF(SUMSQ('TS-PILE'!$D$56:$D$75)=0,0,'TO HOP NLAN'!F230*'TS-PILE'!$D$75/SUMSQ('TS-PILE'!$D$56:$D$75)))))</f>
        <v>0</v>
      </c>
      <c r="E230" s="46">
        <f t="shared" si="12"/>
        <v>-9.9999999999999997E+98</v>
      </c>
      <c r="F230" s="46">
        <f t="shared" si="13"/>
        <v>9.9999999999999997E+98</v>
      </c>
      <c r="G230" s="46">
        <f t="shared" si="14"/>
        <v>-9.9999999999999997E+98</v>
      </c>
      <c r="H230" s="46">
        <f t="shared" si="15"/>
        <v>9.9999999999999997E+98</v>
      </c>
    </row>
    <row r="231" spans="1:8" x14ac:dyDescent="0.3">
      <c r="A231" s="40" t="str">
        <f>'TO HOP NLAN'!A231</f>
        <v/>
      </c>
      <c r="B231" s="40" t="str">
        <f>'TO HOP NLAN'!L231</f>
        <v>STRENGTH</v>
      </c>
      <c r="C231" s="46">
        <f>IF(A231="",0,MAX(IF('TS-PILE'!$B$56="",-1E+99,'TO HOP NLAN'!D231/ncoc+IF(SUMSQ('TS-PILE'!$E$56:$E$75)=0,0,'TO HOP NLAN'!E231*'TS-PILE'!$E$56/SUMSQ('TS-PILE'!$E$56:$E$75))+IF(SUMSQ('TS-PILE'!$D$56:$D$75)=0,0,'TO HOP NLAN'!F231*'TS-PILE'!$D$56/SUMSQ('TS-PILE'!$D$56:$D$75))),IF('TS-PILE'!$B$57="",-1E+99,'TO HOP NLAN'!D231/ncoc+IF(SUMSQ('TS-PILE'!$E$56:$E$75)=0,0,'TO HOP NLAN'!E231*'TS-PILE'!$E$57/SUMSQ('TS-PILE'!$E$56:$E$75))+IF(SUMSQ('TS-PILE'!$D$56:$D$75)=0,0,'TO HOP NLAN'!F231*'TS-PILE'!$D$57/SUMSQ('TS-PILE'!$D$56:$D$75))),IF('TS-PILE'!$B$58="",-1E+99,'TO HOP NLAN'!D231/ncoc+IF(SUMSQ('TS-PILE'!$E$56:$E$75)=0,0,'TO HOP NLAN'!E231*'TS-PILE'!$E$58/SUMSQ('TS-PILE'!$E$56:$E$75))+IF(SUMSQ('TS-PILE'!$D$56:$D$75)=0,0,'TO HOP NLAN'!F231*'TS-PILE'!$D$58/SUMSQ('TS-PILE'!$D$56:$D$75))),IF('TS-PILE'!$B$59="",-1E+99,'TO HOP NLAN'!D231/ncoc+IF(SUMSQ('TS-PILE'!$E$56:$E$75)=0,0,'TO HOP NLAN'!E231*'TS-PILE'!$E$59/SUMSQ('TS-PILE'!$E$56:$E$75))+IF(SUMSQ('TS-PILE'!$D$56:$D$75)=0,0,'TO HOP NLAN'!F231*'TS-PILE'!$D$59/SUMSQ('TS-PILE'!$D$56:$D$75))),IF('TS-PILE'!$B$60="",-1E+99,'TO HOP NLAN'!D231/ncoc+IF(SUMSQ('TS-PILE'!$E$56:$E$75)=0,0,'TO HOP NLAN'!E231*'TS-PILE'!$E$60/SUMSQ('TS-PILE'!$E$56:$E$75))+IF(SUMSQ('TS-PILE'!$D$56:$D$75)=0,0,'TO HOP NLAN'!F231*'TS-PILE'!$D$60/SUMSQ('TS-PILE'!$D$56:$D$75))),IF('TS-PILE'!$B$61="",-1E+99,'TO HOP NLAN'!D231/ncoc+IF(SUMSQ('TS-PILE'!$E$56:$E$75)=0,0,'TO HOP NLAN'!E231*'TS-PILE'!$E$61/SUMSQ('TS-PILE'!$E$56:$E$75))+IF(SUMSQ('TS-PILE'!$D$56:$D$75)=0,0,'TO HOP NLAN'!F231*'TS-PILE'!$D$61/SUMSQ('TS-PILE'!$D$56:$D$75))),IF('TS-PILE'!$B$62="",-1E+99,'TO HOP NLAN'!D231/ncoc+IF(SUMSQ('TS-PILE'!$E$56:$E$75)=0,0,'TO HOP NLAN'!E231*'TS-PILE'!$E$62/SUMSQ('TS-PILE'!$E$56:$E$75))+IF(SUMSQ('TS-PILE'!$D$56:$D$75)=0,0,'TO HOP NLAN'!F231*'TS-PILE'!$D$62/SUMSQ('TS-PILE'!$D$56:$D$75))),IF('TS-PILE'!$B$63="",-1E+99,'TO HOP NLAN'!D231/ncoc+IF(SUMSQ('TS-PILE'!$E$56:$E$75)=0,0,'TO HOP NLAN'!E231*'TS-PILE'!$E$63/SUMSQ('TS-PILE'!$E$56:$E$75))+IF(SUMSQ('TS-PILE'!$D$56:$D$75)=0,0,'TO HOP NLAN'!F231*'TS-PILE'!$D$63/SUMSQ('TS-PILE'!$D$56:$D$75))),IF('TS-PILE'!$B$64="",-1E+99,'TO HOP NLAN'!D231/ncoc+IF(SUMSQ('TS-PILE'!$E$56:$E$75)=0,0,'TO HOP NLAN'!E231*'TS-PILE'!$E$64/SUMSQ('TS-PILE'!$E$56:$E$75))+IF(SUMSQ('TS-PILE'!$D$56:$D$75)=0,0,'TO HOP NLAN'!F231*'TS-PILE'!$D$64/SUMSQ('TS-PILE'!$D$56:$D$75))),IF('TS-PILE'!$B$65="",-1E+99,'TO HOP NLAN'!D231/ncoc+IF(SUMSQ('TS-PILE'!$E$56:$E$75)=0,0,'TO HOP NLAN'!E231*'TS-PILE'!$E$65/SUMSQ('TS-PILE'!$E$56:$E$75))+IF(SUMSQ('TS-PILE'!$D$56:$D$75)=0,0,'TO HOP NLAN'!F231*'TS-PILE'!$D$65/SUMSQ('TS-PILE'!$D$56:$D$75))),IF('TS-PILE'!$B$66="",-1E+99,'TO HOP NLAN'!D231/ncoc+IF(SUMSQ('TS-PILE'!$E$56:$E$75)=0,0,'TO HOP NLAN'!E231*'TS-PILE'!$E$66/SUMSQ('TS-PILE'!$E$56:$E$75))+IF(SUMSQ('TS-PILE'!$D$56:$D$75)=0,0,'TO HOP NLAN'!F231*'TS-PILE'!$D$66/SUMSQ('TS-PILE'!$D$56:$D$75))),IF('TS-PILE'!$B$67="",-1E+99,'TO HOP NLAN'!D231/ncoc+IF(SUMSQ('TS-PILE'!$E$56:$E$75)=0,0,'TO HOP NLAN'!E231*'TS-PILE'!$E$67/SUMSQ('TS-PILE'!$E$56:$E$75))+IF(SUMSQ('TS-PILE'!$D$56:$D$75)=0,0,'TO HOP NLAN'!F231*'TS-PILE'!$D$67/SUMSQ('TS-PILE'!$D$56:$D$75))),IF('TS-PILE'!$B$68="",-1E+99,'TO HOP NLAN'!D231/ncoc+IF(SUMSQ('TS-PILE'!$E$56:$E$75)=0,0,'TO HOP NLAN'!E231*'TS-PILE'!$E$68/SUMSQ('TS-PILE'!$E$56:$E$75))+IF(SUMSQ('TS-PILE'!$D$56:$D$75)=0,0,'TO HOP NLAN'!F231*'TS-PILE'!$D$68/SUMSQ('TS-PILE'!$D$56:$D$75))),IF('TS-PILE'!$B$69="",-1E+99,'TO HOP NLAN'!D231/ncoc+IF(SUMSQ('TS-PILE'!$E$56:$E$75)=0,0,'TO HOP NLAN'!E231*'TS-PILE'!$E$69/SUMSQ('TS-PILE'!$E$56:$E$75))+IF(SUMSQ('TS-PILE'!$D$56:$D$75)=0,0,'TO HOP NLAN'!F231*'TS-PILE'!$D$69/SUMSQ('TS-PILE'!$D$56:$D$75))),IF('TS-PILE'!$B$70="",-1E+99,'TO HOP NLAN'!D231/ncoc+IF(SUMSQ('TS-PILE'!$E$56:$E$75)=0,0,'TO HOP NLAN'!E231*'TS-PILE'!$E$70/SUMSQ('TS-PILE'!$E$56:$E$75))+IF(SUMSQ('TS-PILE'!$D$56:$D$75)=0,0,'TO HOP NLAN'!F231*'TS-PILE'!$D$70/SUMSQ('TS-PILE'!$D$56:$D$75))),IF('TS-PILE'!$B$71="",-1E+99,'TO HOP NLAN'!D231/ncoc+IF(SUMSQ('TS-PILE'!$E$56:$E$75)=0,0,'TO HOP NLAN'!E231*'TS-PILE'!$E$71/SUMSQ('TS-PILE'!$E$56:$E$75))+IF(SUMSQ('TS-PILE'!$D$56:$D$75)=0,0,'TO HOP NLAN'!F231*'TS-PILE'!$D$71/SUMSQ('TS-PILE'!$D$56:$D$75))),IF('TS-PILE'!$B$72="",-1E+99,'TO HOP NLAN'!D231/ncoc+IF(SUMSQ('TS-PILE'!$E$56:$E$75)=0,0,'TO HOP NLAN'!E231*'TS-PILE'!$E$72/SUMSQ('TS-PILE'!$E$56:$E$75))+IF(SUMSQ('TS-PILE'!$D$56:$D$75)=0,0,'TO HOP NLAN'!F231*'TS-PILE'!$D$72/SUMSQ('TS-PILE'!$D$56:$D$75))),IF('TS-PILE'!$B$73="",-1E+99,'TO HOP NLAN'!D231/ncoc+IF(SUMSQ('TS-PILE'!$E$56:$E$75)=0,0,'TO HOP NLAN'!E231*'TS-PILE'!$E$73/SUMSQ('TS-PILE'!$E$56:$E$75))+IF(SUMSQ('TS-PILE'!$D$56:$D$75)=0,0,'TO HOP NLAN'!F231*'TS-PILE'!$D$73/SUMSQ('TS-PILE'!$D$56:$D$75))),IF('TS-PILE'!$B$74="",-1E+99,'TO HOP NLAN'!D231/ncoc+IF(SUMSQ('TS-PILE'!$E$56:$E$75)=0,0,'TO HOP NLAN'!E231*'TS-PILE'!$E$74/SUMSQ('TS-PILE'!$E$56:$E$75))+IF(SUMSQ('TS-PILE'!$D$56:$D$75)=0,0,'TO HOP NLAN'!F231*'TS-PILE'!$D$74/SUMSQ('TS-PILE'!$D$56:$D$75))),IF('TS-PILE'!$B$75="",-1E+99,'TO HOP NLAN'!D231/ncoc+IF(SUMSQ('TS-PILE'!$E$56:$E$75)=0,0,'TO HOP NLAN'!E231*'TS-PILE'!$E$75/SUMSQ('TS-PILE'!$E$56:$E$75))+IF(SUMSQ('TS-PILE'!$D$56:$D$75)=0,0,'TO HOP NLAN'!F231*'TS-PILE'!$D$75/SUMSQ('TS-PILE'!$D$56:$D$75)))))</f>
        <v>0</v>
      </c>
      <c r="D231" s="46">
        <f>IF(A231="",0,MIN(IF('TS-PILE'!$B$56="",1E+99,'TO HOP NLAN'!D231/ncoc+IF(SUMSQ('TS-PILE'!$E$56:$E$75)=0,0,'TO HOP NLAN'!E231*'TS-PILE'!$E$56/SUMSQ('TS-PILE'!$E$56:$E$75))+IF(SUMSQ('TS-PILE'!$D$56:$D$75)=0,0,'TO HOP NLAN'!F231*'TS-PILE'!$D$56/SUMSQ('TS-PILE'!$D$56:$D$75))),IF('TS-PILE'!$B$57="",1E+99,'TO HOP NLAN'!D231/ncoc+IF(SUMSQ('TS-PILE'!$E$56:$E$75)=0,0,'TO HOP NLAN'!E231*'TS-PILE'!$E$57/SUMSQ('TS-PILE'!$E$56:$E$75))+IF(SUMSQ('TS-PILE'!$D$56:$D$75)=0,0,'TO HOP NLAN'!F231*'TS-PILE'!$D$57/SUMSQ('TS-PILE'!$D$56:$D$75))),IF('TS-PILE'!$B$58="",1E+99,'TO HOP NLAN'!D231/ncoc+IF(SUMSQ('TS-PILE'!$E$56:$E$75)=0,0,'TO HOP NLAN'!E231*'TS-PILE'!$E$58/SUMSQ('TS-PILE'!$E$56:$E$75))+IF(SUMSQ('TS-PILE'!$D$56:$D$75)=0,0,'TO HOP NLAN'!F231*'TS-PILE'!$D$58/SUMSQ('TS-PILE'!$D$56:$D$75))),IF('TS-PILE'!$B$59="",1E+99,'TO HOP NLAN'!D231/ncoc+IF(SUMSQ('TS-PILE'!$E$56:$E$75)=0,0,'TO HOP NLAN'!E231*'TS-PILE'!$E$59/SUMSQ('TS-PILE'!$E$56:$E$75))+IF(SUMSQ('TS-PILE'!$D$56:$D$75)=0,0,'TO HOP NLAN'!F231*'TS-PILE'!$D$59/SUMSQ('TS-PILE'!$D$56:$D$75))),IF('TS-PILE'!$B$60="",1E+99,'TO HOP NLAN'!D231/ncoc+IF(SUMSQ('TS-PILE'!$E$56:$E$75)=0,0,'TO HOP NLAN'!E231*'TS-PILE'!$E$60/SUMSQ('TS-PILE'!$E$56:$E$75))+IF(SUMSQ('TS-PILE'!$D$56:$D$75)=0,0,'TO HOP NLAN'!F231*'TS-PILE'!$D$60/SUMSQ('TS-PILE'!$D$56:$D$75))),IF('TS-PILE'!$B$61="",1E+99,'TO HOP NLAN'!D231/ncoc+IF(SUMSQ('TS-PILE'!$E$56:$E$75)=0,0,'TO HOP NLAN'!E231*'TS-PILE'!$E$61/SUMSQ('TS-PILE'!$E$56:$E$75))+IF(SUMSQ('TS-PILE'!$D$56:$D$75)=0,0,'TO HOP NLAN'!F231*'TS-PILE'!$D$61/SUMSQ('TS-PILE'!$D$56:$D$75))),IF('TS-PILE'!$B$62="",1E+99,'TO HOP NLAN'!D231/ncoc+IF(SUMSQ('TS-PILE'!$E$56:$E$75)=0,0,'TO HOP NLAN'!E231*'TS-PILE'!$E$62/SUMSQ('TS-PILE'!$E$56:$E$75))+IF(SUMSQ('TS-PILE'!$D$56:$D$75)=0,0,'TO HOP NLAN'!F231*'TS-PILE'!$D$62/SUMSQ('TS-PILE'!$D$56:$D$75))),IF('TS-PILE'!$B$63="",1E+99,'TO HOP NLAN'!D231/ncoc+IF(SUMSQ('TS-PILE'!$E$56:$E$75)=0,0,'TO HOP NLAN'!E231*'TS-PILE'!$E$63/SUMSQ('TS-PILE'!$E$56:$E$75))+IF(SUMSQ('TS-PILE'!$D$56:$D$75)=0,0,'TO HOP NLAN'!F231*'TS-PILE'!$D$63/SUMSQ('TS-PILE'!$D$56:$D$75))),IF('TS-PILE'!$B$64="",1E+99,'TO HOP NLAN'!D231/ncoc+IF(SUMSQ('TS-PILE'!$E$56:$E$75)=0,0,'TO HOP NLAN'!E231*'TS-PILE'!$E$64/SUMSQ('TS-PILE'!$E$56:$E$75))+IF(SUMSQ('TS-PILE'!$D$56:$D$75)=0,0,'TO HOP NLAN'!F231*'TS-PILE'!$D$64/SUMSQ('TS-PILE'!$D$56:$D$75))),IF('TS-PILE'!$B$65="",1E+99,'TO HOP NLAN'!D231/ncoc+IF(SUMSQ('TS-PILE'!$E$56:$E$75)=0,0,'TO HOP NLAN'!E231*'TS-PILE'!$E$65/SUMSQ('TS-PILE'!$E$56:$E$75))+IF(SUMSQ('TS-PILE'!$D$56:$D$75)=0,0,'TO HOP NLAN'!F231*'TS-PILE'!$D$65/SUMSQ('TS-PILE'!$D$56:$D$75))),IF('TS-PILE'!$B$66="",1E+99,'TO HOP NLAN'!D231/ncoc+IF(SUMSQ('TS-PILE'!$E$56:$E$75)=0,0,'TO HOP NLAN'!E231*'TS-PILE'!$E$66/SUMSQ('TS-PILE'!$E$56:$E$75))+IF(SUMSQ('TS-PILE'!$D$56:$D$75)=0,0,'TO HOP NLAN'!F231*'TS-PILE'!$D$66/SUMSQ('TS-PILE'!$D$56:$D$75))),IF('TS-PILE'!$B$67="",1E+99,'TO HOP NLAN'!D231/ncoc+IF(SUMSQ('TS-PILE'!$E$56:$E$75)=0,0,'TO HOP NLAN'!E231*'TS-PILE'!$E$67/SUMSQ('TS-PILE'!$E$56:$E$75))+IF(SUMSQ('TS-PILE'!$D$56:$D$75)=0,0,'TO HOP NLAN'!F231*'TS-PILE'!$D$67/SUMSQ('TS-PILE'!$D$56:$D$75))),IF('TS-PILE'!$B$68="",1E+99,'TO HOP NLAN'!D231/ncoc+IF(SUMSQ('TS-PILE'!$E$56:$E$75)=0,0,'TO HOP NLAN'!E231*'TS-PILE'!$E$68/SUMSQ('TS-PILE'!$E$56:$E$75))+IF(SUMSQ('TS-PILE'!$D$56:$D$75)=0,0,'TO HOP NLAN'!F231*'TS-PILE'!$D$68/SUMSQ('TS-PILE'!$D$56:$D$75))),IF('TS-PILE'!$B$69="",1E+99,'TO HOP NLAN'!D231/ncoc+IF(SUMSQ('TS-PILE'!$E$56:$E$75)=0,0,'TO HOP NLAN'!E231*'TS-PILE'!$E$69/SUMSQ('TS-PILE'!$E$56:$E$75))+IF(SUMSQ('TS-PILE'!$D$56:$D$75)=0,0,'TO HOP NLAN'!F231*'TS-PILE'!$D$69/SUMSQ('TS-PILE'!$D$56:$D$75))),IF('TS-PILE'!$B$70="",1E+99,'TO HOP NLAN'!D231/ncoc+IF(SUMSQ('TS-PILE'!$E$56:$E$75)=0,0,'TO HOP NLAN'!E231*'TS-PILE'!$E$70/SUMSQ('TS-PILE'!$E$56:$E$75))+IF(SUMSQ('TS-PILE'!$D$56:$D$75)=0,0,'TO HOP NLAN'!F231*'TS-PILE'!$D$70/SUMSQ('TS-PILE'!$D$56:$D$75))),IF('TS-PILE'!$B$71="",1E+99,'TO HOP NLAN'!D231/ncoc+IF(SUMSQ('TS-PILE'!$E$56:$E$75)=0,0,'TO HOP NLAN'!E231*'TS-PILE'!$E$71/SUMSQ('TS-PILE'!$E$56:$E$75))+IF(SUMSQ('TS-PILE'!$D$56:$D$75)=0,0,'TO HOP NLAN'!F231*'TS-PILE'!$D$71/SUMSQ('TS-PILE'!$D$56:$D$75))),IF('TS-PILE'!$B$72="",1E+99,'TO HOP NLAN'!D231/ncoc+IF(SUMSQ('TS-PILE'!$E$56:$E$75)=0,0,'TO HOP NLAN'!E231*'TS-PILE'!$E$72/SUMSQ('TS-PILE'!$E$56:$E$75))+IF(SUMSQ('TS-PILE'!$D$56:$D$75)=0,0,'TO HOP NLAN'!F231*'TS-PILE'!$D$72/SUMSQ('TS-PILE'!$D$56:$D$75))),IF('TS-PILE'!$B$73="",1E+99,'TO HOP NLAN'!D231/ncoc+IF(SUMSQ('TS-PILE'!$E$56:$E$75)=0,0,'TO HOP NLAN'!E231*'TS-PILE'!$E$73/SUMSQ('TS-PILE'!$E$56:$E$75))+IF(SUMSQ('TS-PILE'!$D$56:$D$75)=0,0,'TO HOP NLAN'!F231*'TS-PILE'!$D$73/SUMSQ('TS-PILE'!$D$56:$D$75))),IF('TS-PILE'!$B$74="",1E+99,'TO HOP NLAN'!D231/ncoc+IF(SUMSQ('TS-PILE'!$E$56:$E$75)=0,0,'TO HOP NLAN'!E231*'TS-PILE'!$E$74/SUMSQ('TS-PILE'!$E$56:$E$75))+IF(SUMSQ('TS-PILE'!$D$56:$D$75)=0,0,'TO HOP NLAN'!F231*'TS-PILE'!$D$74/SUMSQ('TS-PILE'!$D$56:$D$75))),IF('TS-PILE'!$B$75="",1E+99,'TO HOP NLAN'!D231/ncoc+IF(SUMSQ('TS-PILE'!$E$56:$E$75)=0,0,'TO HOP NLAN'!E231*'TS-PILE'!$E$75/SUMSQ('TS-PILE'!$E$56:$E$75))+IF(SUMSQ('TS-PILE'!$D$56:$D$75)=0,0,'TO HOP NLAN'!F231*'TS-PILE'!$D$75/SUMSQ('TS-PILE'!$D$56:$D$75)))))</f>
        <v>0</v>
      </c>
      <c r="E231" s="46">
        <f t="shared" si="12"/>
        <v>-9.9999999999999997E+98</v>
      </c>
      <c r="F231" s="46">
        <f t="shared" si="13"/>
        <v>9.9999999999999997E+98</v>
      </c>
      <c r="G231" s="46">
        <f t="shared" si="14"/>
        <v>-9.9999999999999997E+98</v>
      </c>
      <c r="H231" s="46">
        <f t="shared" si="15"/>
        <v>9.9999999999999997E+98</v>
      </c>
    </row>
    <row r="232" spans="1:8" x14ac:dyDescent="0.3">
      <c r="A232" s="40" t="str">
        <f>'TO HOP NLAN'!A232</f>
        <v/>
      </c>
      <c r="B232" s="40" t="str">
        <f>'TO HOP NLAN'!L232</f>
        <v>STRENGTH</v>
      </c>
      <c r="C232" s="46">
        <f>IF(A232="",0,MAX(IF('TS-PILE'!$B$56="",-1E+99,'TO HOP NLAN'!D232/ncoc+IF(SUMSQ('TS-PILE'!$E$56:$E$75)=0,0,'TO HOP NLAN'!E232*'TS-PILE'!$E$56/SUMSQ('TS-PILE'!$E$56:$E$75))+IF(SUMSQ('TS-PILE'!$D$56:$D$75)=0,0,'TO HOP NLAN'!F232*'TS-PILE'!$D$56/SUMSQ('TS-PILE'!$D$56:$D$75))),IF('TS-PILE'!$B$57="",-1E+99,'TO HOP NLAN'!D232/ncoc+IF(SUMSQ('TS-PILE'!$E$56:$E$75)=0,0,'TO HOP NLAN'!E232*'TS-PILE'!$E$57/SUMSQ('TS-PILE'!$E$56:$E$75))+IF(SUMSQ('TS-PILE'!$D$56:$D$75)=0,0,'TO HOP NLAN'!F232*'TS-PILE'!$D$57/SUMSQ('TS-PILE'!$D$56:$D$75))),IF('TS-PILE'!$B$58="",-1E+99,'TO HOP NLAN'!D232/ncoc+IF(SUMSQ('TS-PILE'!$E$56:$E$75)=0,0,'TO HOP NLAN'!E232*'TS-PILE'!$E$58/SUMSQ('TS-PILE'!$E$56:$E$75))+IF(SUMSQ('TS-PILE'!$D$56:$D$75)=0,0,'TO HOP NLAN'!F232*'TS-PILE'!$D$58/SUMSQ('TS-PILE'!$D$56:$D$75))),IF('TS-PILE'!$B$59="",-1E+99,'TO HOP NLAN'!D232/ncoc+IF(SUMSQ('TS-PILE'!$E$56:$E$75)=0,0,'TO HOP NLAN'!E232*'TS-PILE'!$E$59/SUMSQ('TS-PILE'!$E$56:$E$75))+IF(SUMSQ('TS-PILE'!$D$56:$D$75)=0,0,'TO HOP NLAN'!F232*'TS-PILE'!$D$59/SUMSQ('TS-PILE'!$D$56:$D$75))),IF('TS-PILE'!$B$60="",-1E+99,'TO HOP NLAN'!D232/ncoc+IF(SUMSQ('TS-PILE'!$E$56:$E$75)=0,0,'TO HOP NLAN'!E232*'TS-PILE'!$E$60/SUMSQ('TS-PILE'!$E$56:$E$75))+IF(SUMSQ('TS-PILE'!$D$56:$D$75)=0,0,'TO HOP NLAN'!F232*'TS-PILE'!$D$60/SUMSQ('TS-PILE'!$D$56:$D$75))),IF('TS-PILE'!$B$61="",-1E+99,'TO HOP NLAN'!D232/ncoc+IF(SUMSQ('TS-PILE'!$E$56:$E$75)=0,0,'TO HOP NLAN'!E232*'TS-PILE'!$E$61/SUMSQ('TS-PILE'!$E$56:$E$75))+IF(SUMSQ('TS-PILE'!$D$56:$D$75)=0,0,'TO HOP NLAN'!F232*'TS-PILE'!$D$61/SUMSQ('TS-PILE'!$D$56:$D$75))),IF('TS-PILE'!$B$62="",-1E+99,'TO HOP NLAN'!D232/ncoc+IF(SUMSQ('TS-PILE'!$E$56:$E$75)=0,0,'TO HOP NLAN'!E232*'TS-PILE'!$E$62/SUMSQ('TS-PILE'!$E$56:$E$75))+IF(SUMSQ('TS-PILE'!$D$56:$D$75)=0,0,'TO HOP NLAN'!F232*'TS-PILE'!$D$62/SUMSQ('TS-PILE'!$D$56:$D$75))),IF('TS-PILE'!$B$63="",-1E+99,'TO HOP NLAN'!D232/ncoc+IF(SUMSQ('TS-PILE'!$E$56:$E$75)=0,0,'TO HOP NLAN'!E232*'TS-PILE'!$E$63/SUMSQ('TS-PILE'!$E$56:$E$75))+IF(SUMSQ('TS-PILE'!$D$56:$D$75)=0,0,'TO HOP NLAN'!F232*'TS-PILE'!$D$63/SUMSQ('TS-PILE'!$D$56:$D$75))),IF('TS-PILE'!$B$64="",-1E+99,'TO HOP NLAN'!D232/ncoc+IF(SUMSQ('TS-PILE'!$E$56:$E$75)=0,0,'TO HOP NLAN'!E232*'TS-PILE'!$E$64/SUMSQ('TS-PILE'!$E$56:$E$75))+IF(SUMSQ('TS-PILE'!$D$56:$D$75)=0,0,'TO HOP NLAN'!F232*'TS-PILE'!$D$64/SUMSQ('TS-PILE'!$D$56:$D$75))),IF('TS-PILE'!$B$65="",-1E+99,'TO HOP NLAN'!D232/ncoc+IF(SUMSQ('TS-PILE'!$E$56:$E$75)=0,0,'TO HOP NLAN'!E232*'TS-PILE'!$E$65/SUMSQ('TS-PILE'!$E$56:$E$75))+IF(SUMSQ('TS-PILE'!$D$56:$D$75)=0,0,'TO HOP NLAN'!F232*'TS-PILE'!$D$65/SUMSQ('TS-PILE'!$D$56:$D$75))),IF('TS-PILE'!$B$66="",-1E+99,'TO HOP NLAN'!D232/ncoc+IF(SUMSQ('TS-PILE'!$E$56:$E$75)=0,0,'TO HOP NLAN'!E232*'TS-PILE'!$E$66/SUMSQ('TS-PILE'!$E$56:$E$75))+IF(SUMSQ('TS-PILE'!$D$56:$D$75)=0,0,'TO HOP NLAN'!F232*'TS-PILE'!$D$66/SUMSQ('TS-PILE'!$D$56:$D$75))),IF('TS-PILE'!$B$67="",-1E+99,'TO HOP NLAN'!D232/ncoc+IF(SUMSQ('TS-PILE'!$E$56:$E$75)=0,0,'TO HOP NLAN'!E232*'TS-PILE'!$E$67/SUMSQ('TS-PILE'!$E$56:$E$75))+IF(SUMSQ('TS-PILE'!$D$56:$D$75)=0,0,'TO HOP NLAN'!F232*'TS-PILE'!$D$67/SUMSQ('TS-PILE'!$D$56:$D$75))),IF('TS-PILE'!$B$68="",-1E+99,'TO HOP NLAN'!D232/ncoc+IF(SUMSQ('TS-PILE'!$E$56:$E$75)=0,0,'TO HOP NLAN'!E232*'TS-PILE'!$E$68/SUMSQ('TS-PILE'!$E$56:$E$75))+IF(SUMSQ('TS-PILE'!$D$56:$D$75)=0,0,'TO HOP NLAN'!F232*'TS-PILE'!$D$68/SUMSQ('TS-PILE'!$D$56:$D$75))),IF('TS-PILE'!$B$69="",-1E+99,'TO HOP NLAN'!D232/ncoc+IF(SUMSQ('TS-PILE'!$E$56:$E$75)=0,0,'TO HOP NLAN'!E232*'TS-PILE'!$E$69/SUMSQ('TS-PILE'!$E$56:$E$75))+IF(SUMSQ('TS-PILE'!$D$56:$D$75)=0,0,'TO HOP NLAN'!F232*'TS-PILE'!$D$69/SUMSQ('TS-PILE'!$D$56:$D$75))),IF('TS-PILE'!$B$70="",-1E+99,'TO HOP NLAN'!D232/ncoc+IF(SUMSQ('TS-PILE'!$E$56:$E$75)=0,0,'TO HOP NLAN'!E232*'TS-PILE'!$E$70/SUMSQ('TS-PILE'!$E$56:$E$75))+IF(SUMSQ('TS-PILE'!$D$56:$D$75)=0,0,'TO HOP NLAN'!F232*'TS-PILE'!$D$70/SUMSQ('TS-PILE'!$D$56:$D$75))),IF('TS-PILE'!$B$71="",-1E+99,'TO HOP NLAN'!D232/ncoc+IF(SUMSQ('TS-PILE'!$E$56:$E$75)=0,0,'TO HOP NLAN'!E232*'TS-PILE'!$E$71/SUMSQ('TS-PILE'!$E$56:$E$75))+IF(SUMSQ('TS-PILE'!$D$56:$D$75)=0,0,'TO HOP NLAN'!F232*'TS-PILE'!$D$71/SUMSQ('TS-PILE'!$D$56:$D$75))),IF('TS-PILE'!$B$72="",-1E+99,'TO HOP NLAN'!D232/ncoc+IF(SUMSQ('TS-PILE'!$E$56:$E$75)=0,0,'TO HOP NLAN'!E232*'TS-PILE'!$E$72/SUMSQ('TS-PILE'!$E$56:$E$75))+IF(SUMSQ('TS-PILE'!$D$56:$D$75)=0,0,'TO HOP NLAN'!F232*'TS-PILE'!$D$72/SUMSQ('TS-PILE'!$D$56:$D$75))),IF('TS-PILE'!$B$73="",-1E+99,'TO HOP NLAN'!D232/ncoc+IF(SUMSQ('TS-PILE'!$E$56:$E$75)=0,0,'TO HOP NLAN'!E232*'TS-PILE'!$E$73/SUMSQ('TS-PILE'!$E$56:$E$75))+IF(SUMSQ('TS-PILE'!$D$56:$D$75)=0,0,'TO HOP NLAN'!F232*'TS-PILE'!$D$73/SUMSQ('TS-PILE'!$D$56:$D$75))),IF('TS-PILE'!$B$74="",-1E+99,'TO HOP NLAN'!D232/ncoc+IF(SUMSQ('TS-PILE'!$E$56:$E$75)=0,0,'TO HOP NLAN'!E232*'TS-PILE'!$E$74/SUMSQ('TS-PILE'!$E$56:$E$75))+IF(SUMSQ('TS-PILE'!$D$56:$D$75)=0,0,'TO HOP NLAN'!F232*'TS-PILE'!$D$74/SUMSQ('TS-PILE'!$D$56:$D$75))),IF('TS-PILE'!$B$75="",-1E+99,'TO HOP NLAN'!D232/ncoc+IF(SUMSQ('TS-PILE'!$E$56:$E$75)=0,0,'TO HOP NLAN'!E232*'TS-PILE'!$E$75/SUMSQ('TS-PILE'!$E$56:$E$75))+IF(SUMSQ('TS-PILE'!$D$56:$D$75)=0,0,'TO HOP NLAN'!F232*'TS-PILE'!$D$75/SUMSQ('TS-PILE'!$D$56:$D$75)))))</f>
        <v>0</v>
      </c>
      <c r="D232" s="46">
        <f>IF(A232="",0,MIN(IF('TS-PILE'!$B$56="",1E+99,'TO HOP NLAN'!D232/ncoc+IF(SUMSQ('TS-PILE'!$E$56:$E$75)=0,0,'TO HOP NLAN'!E232*'TS-PILE'!$E$56/SUMSQ('TS-PILE'!$E$56:$E$75))+IF(SUMSQ('TS-PILE'!$D$56:$D$75)=0,0,'TO HOP NLAN'!F232*'TS-PILE'!$D$56/SUMSQ('TS-PILE'!$D$56:$D$75))),IF('TS-PILE'!$B$57="",1E+99,'TO HOP NLAN'!D232/ncoc+IF(SUMSQ('TS-PILE'!$E$56:$E$75)=0,0,'TO HOP NLAN'!E232*'TS-PILE'!$E$57/SUMSQ('TS-PILE'!$E$56:$E$75))+IF(SUMSQ('TS-PILE'!$D$56:$D$75)=0,0,'TO HOP NLAN'!F232*'TS-PILE'!$D$57/SUMSQ('TS-PILE'!$D$56:$D$75))),IF('TS-PILE'!$B$58="",1E+99,'TO HOP NLAN'!D232/ncoc+IF(SUMSQ('TS-PILE'!$E$56:$E$75)=0,0,'TO HOP NLAN'!E232*'TS-PILE'!$E$58/SUMSQ('TS-PILE'!$E$56:$E$75))+IF(SUMSQ('TS-PILE'!$D$56:$D$75)=0,0,'TO HOP NLAN'!F232*'TS-PILE'!$D$58/SUMSQ('TS-PILE'!$D$56:$D$75))),IF('TS-PILE'!$B$59="",1E+99,'TO HOP NLAN'!D232/ncoc+IF(SUMSQ('TS-PILE'!$E$56:$E$75)=0,0,'TO HOP NLAN'!E232*'TS-PILE'!$E$59/SUMSQ('TS-PILE'!$E$56:$E$75))+IF(SUMSQ('TS-PILE'!$D$56:$D$75)=0,0,'TO HOP NLAN'!F232*'TS-PILE'!$D$59/SUMSQ('TS-PILE'!$D$56:$D$75))),IF('TS-PILE'!$B$60="",1E+99,'TO HOP NLAN'!D232/ncoc+IF(SUMSQ('TS-PILE'!$E$56:$E$75)=0,0,'TO HOP NLAN'!E232*'TS-PILE'!$E$60/SUMSQ('TS-PILE'!$E$56:$E$75))+IF(SUMSQ('TS-PILE'!$D$56:$D$75)=0,0,'TO HOP NLAN'!F232*'TS-PILE'!$D$60/SUMSQ('TS-PILE'!$D$56:$D$75))),IF('TS-PILE'!$B$61="",1E+99,'TO HOP NLAN'!D232/ncoc+IF(SUMSQ('TS-PILE'!$E$56:$E$75)=0,0,'TO HOP NLAN'!E232*'TS-PILE'!$E$61/SUMSQ('TS-PILE'!$E$56:$E$75))+IF(SUMSQ('TS-PILE'!$D$56:$D$75)=0,0,'TO HOP NLAN'!F232*'TS-PILE'!$D$61/SUMSQ('TS-PILE'!$D$56:$D$75))),IF('TS-PILE'!$B$62="",1E+99,'TO HOP NLAN'!D232/ncoc+IF(SUMSQ('TS-PILE'!$E$56:$E$75)=0,0,'TO HOP NLAN'!E232*'TS-PILE'!$E$62/SUMSQ('TS-PILE'!$E$56:$E$75))+IF(SUMSQ('TS-PILE'!$D$56:$D$75)=0,0,'TO HOP NLAN'!F232*'TS-PILE'!$D$62/SUMSQ('TS-PILE'!$D$56:$D$75))),IF('TS-PILE'!$B$63="",1E+99,'TO HOP NLAN'!D232/ncoc+IF(SUMSQ('TS-PILE'!$E$56:$E$75)=0,0,'TO HOP NLAN'!E232*'TS-PILE'!$E$63/SUMSQ('TS-PILE'!$E$56:$E$75))+IF(SUMSQ('TS-PILE'!$D$56:$D$75)=0,0,'TO HOP NLAN'!F232*'TS-PILE'!$D$63/SUMSQ('TS-PILE'!$D$56:$D$75))),IF('TS-PILE'!$B$64="",1E+99,'TO HOP NLAN'!D232/ncoc+IF(SUMSQ('TS-PILE'!$E$56:$E$75)=0,0,'TO HOP NLAN'!E232*'TS-PILE'!$E$64/SUMSQ('TS-PILE'!$E$56:$E$75))+IF(SUMSQ('TS-PILE'!$D$56:$D$75)=0,0,'TO HOP NLAN'!F232*'TS-PILE'!$D$64/SUMSQ('TS-PILE'!$D$56:$D$75))),IF('TS-PILE'!$B$65="",1E+99,'TO HOP NLAN'!D232/ncoc+IF(SUMSQ('TS-PILE'!$E$56:$E$75)=0,0,'TO HOP NLAN'!E232*'TS-PILE'!$E$65/SUMSQ('TS-PILE'!$E$56:$E$75))+IF(SUMSQ('TS-PILE'!$D$56:$D$75)=0,0,'TO HOP NLAN'!F232*'TS-PILE'!$D$65/SUMSQ('TS-PILE'!$D$56:$D$75))),IF('TS-PILE'!$B$66="",1E+99,'TO HOP NLAN'!D232/ncoc+IF(SUMSQ('TS-PILE'!$E$56:$E$75)=0,0,'TO HOP NLAN'!E232*'TS-PILE'!$E$66/SUMSQ('TS-PILE'!$E$56:$E$75))+IF(SUMSQ('TS-PILE'!$D$56:$D$75)=0,0,'TO HOP NLAN'!F232*'TS-PILE'!$D$66/SUMSQ('TS-PILE'!$D$56:$D$75))),IF('TS-PILE'!$B$67="",1E+99,'TO HOP NLAN'!D232/ncoc+IF(SUMSQ('TS-PILE'!$E$56:$E$75)=0,0,'TO HOP NLAN'!E232*'TS-PILE'!$E$67/SUMSQ('TS-PILE'!$E$56:$E$75))+IF(SUMSQ('TS-PILE'!$D$56:$D$75)=0,0,'TO HOP NLAN'!F232*'TS-PILE'!$D$67/SUMSQ('TS-PILE'!$D$56:$D$75))),IF('TS-PILE'!$B$68="",1E+99,'TO HOP NLAN'!D232/ncoc+IF(SUMSQ('TS-PILE'!$E$56:$E$75)=0,0,'TO HOP NLAN'!E232*'TS-PILE'!$E$68/SUMSQ('TS-PILE'!$E$56:$E$75))+IF(SUMSQ('TS-PILE'!$D$56:$D$75)=0,0,'TO HOP NLAN'!F232*'TS-PILE'!$D$68/SUMSQ('TS-PILE'!$D$56:$D$75))),IF('TS-PILE'!$B$69="",1E+99,'TO HOP NLAN'!D232/ncoc+IF(SUMSQ('TS-PILE'!$E$56:$E$75)=0,0,'TO HOP NLAN'!E232*'TS-PILE'!$E$69/SUMSQ('TS-PILE'!$E$56:$E$75))+IF(SUMSQ('TS-PILE'!$D$56:$D$75)=0,0,'TO HOP NLAN'!F232*'TS-PILE'!$D$69/SUMSQ('TS-PILE'!$D$56:$D$75))),IF('TS-PILE'!$B$70="",1E+99,'TO HOP NLAN'!D232/ncoc+IF(SUMSQ('TS-PILE'!$E$56:$E$75)=0,0,'TO HOP NLAN'!E232*'TS-PILE'!$E$70/SUMSQ('TS-PILE'!$E$56:$E$75))+IF(SUMSQ('TS-PILE'!$D$56:$D$75)=0,0,'TO HOP NLAN'!F232*'TS-PILE'!$D$70/SUMSQ('TS-PILE'!$D$56:$D$75))),IF('TS-PILE'!$B$71="",1E+99,'TO HOP NLAN'!D232/ncoc+IF(SUMSQ('TS-PILE'!$E$56:$E$75)=0,0,'TO HOP NLAN'!E232*'TS-PILE'!$E$71/SUMSQ('TS-PILE'!$E$56:$E$75))+IF(SUMSQ('TS-PILE'!$D$56:$D$75)=0,0,'TO HOP NLAN'!F232*'TS-PILE'!$D$71/SUMSQ('TS-PILE'!$D$56:$D$75))),IF('TS-PILE'!$B$72="",1E+99,'TO HOP NLAN'!D232/ncoc+IF(SUMSQ('TS-PILE'!$E$56:$E$75)=0,0,'TO HOP NLAN'!E232*'TS-PILE'!$E$72/SUMSQ('TS-PILE'!$E$56:$E$75))+IF(SUMSQ('TS-PILE'!$D$56:$D$75)=0,0,'TO HOP NLAN'!F232*'TS-PILE'!$D$72/SUMSQ('TS-PILE'!$D$56:$D$75))),IF('TS-PILE'!$B$73="",1E+99,'TO HOP NLAN'!D232/ncoc+IF(SUMSQ('TS-PILE'!$E$56:$E$75)=0,0,'TO HOP NLAN'!E232*'TS-PILE'!$E$73/SUMSQ('TS-PILE'!$E$56:$E$75))+IF(SUMSQ('TS-PILE'!$D$56:$D$75)=0,0,'TO HOP NLAN'!F232*'TS-PILE'!$D$73/SUMSQ('TS-PILE'!$D$56:$D$75))),IF('TS-PILE'!$B$74="",1E+99,'TO HOP NLAN'!D232/ncoc+IF(SUMSQ('TS-PILE'!$E$56:$E$75)=0,0,'TO HOP NLAN'!E232*'TS-PILE'!$E$74/SUMSQ('TS-PILE'!$E$56:$E$75))+IF(SUMSQ('TS-PILE'!$D$56:$D$75)=0,0,'TO HOP NLAN'!F232*'TS-PILE'!$D$74/SUMSQ('TS-PILE'!$D$56:$D$75))),IF('TS-PILE'!$B$75="",1E+99,'TO HOP NLAN'!D232/ncoc+IF(SUMSQ('TS-PILE'!$E$56:$E$75)=0,0,'TO HOP NLAN'!E232*'TS-PILE'!$E$75/SUMSQ('TS-PILE'!$E$56:$E$75))+IF(SUMSQ('TS-PILE'!$D$56:$D$75)=0,0,'TO HOP NLAN'!F232*'TS-PILE'!$D$75/SUMSQ('TS-PILE'!$D$56:$D$75)))))</f>
        <v>0</v>
      </c>
      <c r="E232" s="46">
        <f t="shared" si="12"/>
        <v>-9.9999999999999997E+98</v>
      </c>
      <c r="F232" s="46">
        <f t="shared" si="13"/>
        <v>9.9999999999999997E+98</v>
      </c>
      <c r="G232" s="46">
        <f t="shared" si="14"/>
        <v>-9.9999999999999997E+98</v>
      </c>
      <c r="H232" s="46">
        <f t="shared" si="15"/>
        <v>9.9999999999999997E+98</v>
      </c>
    </row>
    <row r="233" spans="1:8" x14ac:dyDescent="0.3">
      <c r="A233" s="40" t="str">
        <f>'TO HOP NLAN'!A233</f>
        <v/>
      </c>
      <c r="B233" s="40" t="str">
        <f>'TO HOP NLAN'!L233</f>
        <v>STRENGTH</v>
      </c>
      <c r="C233" s="46">
        <f>IF(A233="",0,MAX(IF('TS-PILE'!$B$56="",-1E+99,'TO HOP NLAN'!D233/ncoc+IF(SUMSQ('TS-PILE'!$E$56:$E$75)=0,0,'TO HOP NLAN'!E233*'TS-PILE'!$E$56/SUMSQ('TS-PILE'!$E$56:$E$75))+IF(SUMSQ('TS-PILE'!$D$56:$D$75)=0,0,'TO HOP NLAN'!F233*'TS-PILE'!$D$56/SUMSQ('TS-PILE'!$D$56:$D$75))),IF('TS-PILE'!$B$57="",-1E+99,'TO HOP NLAN'!D233/ncoc+IF(SUMSQ('TS-PILE'!$E$56:$E$75)=0,0,'TO HOP NLAN'!E233*'TS-PILE'!$E$57/SUMSQ('TS-PILE'!$E$56:$E$75))+IF(SUMSQ('TS-PILE'!$D$56:$D$75)=0,0,'TO HOP NLAN'!F233*'TS-PILE'!$D$57/SUMSQ('TS-PILE'!$D$56:$D$75))),IF('TS-PILE'!$B$58="",-1E+99,'TO HOP NLAN'!D233/ncoc+IF(SUMSQ('TS-PILE'!$E$56:$E$75)=0,0,'TO HOP NLAN'!E233*'TS-PILE'!$E$58/SUMSQ('TS-PILE'!$E$56:$E$75))+IF(SUMSQ('TS-PILE'!$D$56:$D$75)=0,0,'TO HOP NLAN'!F233*'TS-PILE'!$D$58/SUMSQ('TS-PILE'!$D$56:$D$75))),IF('TS-PILE'!$B$59="",-1E+99,'TO HOP NLAN'!D233/ncoc+IF(SUMSQ('TS-PILE'!$E$56:$E$75)=0,0,'TO HOP NLAN'!E233*'TS-PILE'!$E$59/SUMSQ('TS-PILE'!$E$56:$E$75))+IF(SUMSQ('TS-PILE'!$D$56:$D$75)=0,0,'TO HOP NLAN'!F233*'TS-PILE'!$D$59/SUMSQ('TS-PILE'!$D$56:$D$75))),IF('TS-PILE'!$B$60="",-1E+99,'TO HOP NLAN'!D233/ncoc+IF(SUMSQ('TS-PILE'!$E$56:$E$75)=0,0,'TO HOP NLAN'!E233*'TS-PILE'!$E$60/SUMSQ('TS-PILE'!$E$56:$E$75))+IF(SUMSQ('TS-PILE'!$D$56:$D$75)=0,0,'TO HOP NLAN'!F233*'TS-PILE'!$D$60/SUMSQ('TS-PILE'!$D$56:$D$75))),IF('TS-PILE'!$B$61="",-1E+99,'TO HOP NLAN'!D233/ncoc+IF(SUMSQ('TS-PILE'!$E$56:$E$75)=0,0,'TO HOP NLAN'!E233*'TS-PILE'!$E$61/SUMSQ('TS-PILE'!$E$56:$E$75))+IF(SUMSQ('TS-PILE'!$D$56:$D$75)=0,0,'TO HOP NLAN'!F233*'TS-PILE'!$D$61/SUMSQ('TS-PILE'!$D$56:$D$75))),IF('TS-PILE'!$B$62="",-1E+99,'TO HOP NLAN'!D233/ncoc+IF(SUMSQ('TS-PILE'!$E$56:$E$75)=0,0,'TO HOP NLAN'!E233*'TS-PILE'!$E$62/SUMSQ('TS-PILE'!$E$56:$E$75))+IF(SUMSQ('TS-PILE'!$D$56:$D$75)=0,0,'TO HOP NLAN'!F233*'TS-PILE'!$D$62/SUMSQ('TS-PILE'!$D$56:$D$75))),IF('TS-PILE'!$B$63="",-1E+99,'TO HOP NLAN'!D233/ncoc+IF(SUMSQ('TS-PILE'!$E$56:$E$75)=0,0,'TO HOP NLAN'!E233*'TS-PILE'!$E$63/SUMSQ('TS-PILE'!$E$56:$E$75))+IF(SUMSQ('TS-PILE'!$D$56:$D$75)=0,0,'TO HOP NLAN'!F233*'TS-PILE'!$D$63/SUMSQ('TS-PILE'!$D$56:$D$75))),IF('TS-PILE'!$B$64="",-1E+99,'TO HOP NLAN'!D233/ncoc+IF(SUMSQ('TS-PILE'!$E$56:$E$75)=0,0,'TO HOP NLAN'!E233*'TS-PILE'!$E$64/SUMSQ('TS-PILE'!$E$56:$E$75))+IF(SUMSQ('TS-PILE'!$D$56:$D$75)=0,0,'TO HOP NLAN'!F233*'TS-PILE'!$D$64/SUMSQ('TS-PILE'!$D$56:$D$75))),IF('TS-PILE'!$B$65="",-1E+99,'TO HOP NLAN'!D233/ncoc+IF(SUMSQ('TS-PILE'!$E$56:$E$75)=0,0,'TO HOP NLAN'!E233*'TS-PILE'!$E$65/SUMSQ('TS-PILE'!$E$56:$E$75))+IF(SUMSQ('TS-PILE'!$D$56:$D$75)=0,0,'TO HOP NLAN'!F233*'TS-PILE'!$D$65/SUMSQ('TS-PILE'!$D$56:$D$75))),IF('TS-PILE'!$B$66="",-1E+99,'TO HOP NLAN'!D233/ncoc+IF(SUMSQ('TS-PILE'!$E$56:$E$75)=0,0,'TO HOP NLAN'!E233*'TS-PILE'!$E$66/SUMSQ('TS-PILE'!$E$56:$E$75))+IF(SUMSQ('TS-PILE'!$D$56:$D$75)=0,0,'TO HOP NLAN'!F233*'TS-PILE'!$D$66/SUMSQ('TS-PILE'!$D$56:$D$75))),IF('TS-PILE'!$B$67="",-1E+99,'TO HOP NLAN'!D233/ncoc+IF(SUMSQ('TS-PILE'!$E$56:$E$75)=0,0,'TO HOP NLAN'!E233*'TS-PILE'!$E$67/SUMSQ('TS-PILE'!$E$56:$E$75))+IF(SUMSQ('TS-PILE'!$D$56:$D$75)=0,0,'TO HOP NLAN'!F233*'TS-PILE'!$D$67/SUMSQ('TS-PILE'!$D$56:$D$75))),IF('TS-PILE'!$B$68="",-1E+99,'TO HOP NLAN'!D233/ncoc+IF(SUMSQ('TS-PILE'!$E$56:$E$75)=0,0,'TO HOP NLAN'!E233*'TS-PILE'!$E$68/SUMSQ('TS-PILE'!$E$56:$E$75))+IF(SUMSQ('TS-PILE'!$D$56:$D$75)=0,0,'TO HOP NLAN'!F233*'TS-PILE'!$D$68/SUMSQ('TS-PILE'!$D$56:$D$75))),IF('TS-PILE'!$B$69="",-1E+99,'TO HOP NLAN'!D233/ncoc+IF(SUMSQ('TS-PILE'!$E$56:$E$75)=0,0,'TO HOP NLAN'!E233*'TS-PILE'!$E$69/SUMSQ('TS-PILE'!$E$56:$E$75))+IF(SUMSQ('TS-PILE'!$D$56:$D$75)=0,0,'TO HOP NLAN'!F233*'TS-PILE'!$D$69/SUMSQ('TS-PILE'!$D$56:$D$75))),IF('TS-PILE'!$B$70="",-1E+99,'TO HOP NLAN'!D233/ncoc+IF(SUMSQ('TS-PILE'!$E$56:$E$75)=0,0,'TO HOP NLAN'!E233*'TS-PILE'!$E$70/SUMSQ('TS-PILE'!$E$56:$E$75))+IF(SUMSQ('TS-PILE'!$D$56:$D$75)=0,0,'TO HOP NLAN'!F233*'TS-PILE'!$D$70/SUMSQ('TS-PILE'!$D$56:$D$75))),IF('TS-PILE'!$B$71="",-1E+99,'TO HOP NLAN'!D233/ncoc+IF(SUMSQ('TS-PILE'!$E$56:$E$75)=0,0,'TO HOP NLAN'!E233*'TS-PILE'!$E$71/SUMSQ('TS-PILE'!$E$56:$E$75))+IF(SUMSQ('TS-PILE'!$D$56:$D$75)=0,0,'TO HOP NLAN'!F233*'TS-PILE'!$D$71/SUMSQ('TS-PILE'!$D$56:$D$75))),IF('TS-PILE'!$B$72="",-1E+99,'TO HOP NLAN'!D233/ncoc+IF(SUMSQ('TS-PILE'!$E$56:$E$75)=0,0,'TO HOP NLAN'!E233*'TS-PILE'!$E$72/SUMSQ('TS-PILE'!$E$56:$E$75))+IF(SUMSQ('TS-PILE'!$D$56:$D$75)=0,0,'TO HOP NLAN'!F233*'TS-PILE'!$D$72/SUMSQ('TS-PILE'!$D$56:$D$75))),IF('TS-PILE'!$B$73="",-1E+99,'TO HOP NLAN'!D233/ncoc+IF(SUMSQ('TS-PILE'!$E$56:$E$75)=0,0,'TO HOP NLAN'!E233*'TS-PILE'!$E$73/SUMSQ('TS-PILE'!$E$56:$E$75))+IF(SUMSQ('TS-PILE'!$D$56:$D$75)=0,0,'TO HOP NLAN'!F233*'TS-PILE'!$D$73/SUMSQ('TS-PILE'!$D$56:$D$75))),IF('TS-PILE'!$B$74="",-1E+99,'TO HOP NLAN'!D233/ncoc+IF(SUMSQ('TS-PILE'!$E$56:$E$75)=0,0,'TO HOP NLAN'!E233*'TS-PILE'!$E$74/SUMSQ('TS-PILE'!$E$56:$E$75))+IF(SUMSQ('TS-PILE'!$D$56:$D$75)=0,0,'TO HOP NLAN'!F233*'TS-PILE'!$D$74/SUMSQ('TS-PILE'!$D$56:$D$75))),IF('TS-PILE'!$B$75="",-1E+99,'TO HOP NLAN'!D233/ncoc+IF(SUMSQ('TS-PILE'!$E$56:$E$75)=0,0,'TO HOP NLAN'!E233*'TS-PILE'!$E$75/SUMSQ('TS-PILE'!$E$56:$E$75))+IF(SUMSQ('TS-PILE'!$D$56:$D$75)=0,0,'TO HOP NLAN'!F233*'TS-PILE'!$D$75/SUMSQ('TS-PILE'!$D$56:$D$75)))))</f>
        <v>0</v>
      </c>
      <c r="D233" s="46">
        <f>IF(A233="",0,MIN(IF('TS-PILE'!$B$56="",1E+99,'TO HOP NLAN'!D233/ncoc+IF(SUMSQ('TS-PILE'!$E$56:$E$75)=0,0,'TO HOP NLAN'!E233*'TS-PILE'!$E$56/SUMSQ('TS-PILE'!$E$56:$E$75))+IF(SUMSQ('TS-PILE'!$D$56:$D$75)=0,0,'TO HOP NLAN'!F233*'TS-PILE'!$D$56/SUMSQ('TS-PILE'!$D$56:$D$75))),IF('TS-PILE'!$B$57="",1E+99,'TO HOP NLAN'!D233/ncoc+IF(SUMSQ('TS-PILE'!$E$56:$E$75)=0,0,'TO HOP NLAN'!E233*'TS-PILE'!$E$57/SUMSQ('TS-PILE'!$E$56:$E$75))+IF(SUMSQ('TS-PILE'!$D$56:$D$75)=0,0,'TO HOP NLAN'!F233*'TS-PILE'!$D$57/SUMSQ('TS-PILE'!$D$56:$D$75))),IF('TS-PILE'!$B$58="",1E+99,'TO HOP NLAN'!D233/ncoc+IF(SUMSQ('TS-PILE'!$E$56:$E$75)=0,0,'TO HOP NLAN'!E233*'TS-PILE'!$E$58/SUMSQ('TS-PILE'!$E$56:$E$75))+IF(SUMSQ('TS-PILE'!$D$56:$D$75)=0,0,'TO HOP NLAN'!F233*'TS-PILE'!$D$58/SUMSQ('TS-PILE'!$D$56:$D$75))),IF('TS-PILE'!$B$59="",1E+99,'TO HOP NLAN'!D233/ncoc+IF(SUMSQ('TS-PILE'!$E$56:$E$75)=0,0,'TO HOP NLAN'!E233*'TS-PILE'!$E$59/SUMSQ('TS-PILE'!$E$56:$E$75))+IF(SUMSQ('TS-PILE'!$D$56:$D$75)=0,0,'TO HOP NLAN'!F233*'TS-PILE'!$D$59/SUMSQ('TS-PILE'!$D$56:$D$75))),IF('TS-PILE'!$B$60="",1E+99,'TO HOP NLAN'!D233/ncoc+IF(SUMSQ('TS-PILE'!$E$56:$E$75)=0,0,'TO HOP NLAN'!E233*'TS-PILE'!$E$60/SUMSQ('TS-PILE'!$E$56:$E$75))+IF(SUMSQ('TS-PILE'!$D$56:$D$75)=0,0,'TO HOP NLAN'!F233*'TS-PILE'!$D$60/SUMSQ('TS-PILE'!$D$56:$D$75))),IF('TS-PILE'!$B$61="",1E+99,'TO HOP NLAN'!D233/ncoc+IF(SUMSQ('TS-PILE'!$E$56:$E$75)=0,0,'TO HOP NLAN'!E233*'TS-PILE'!$E$61/SUMSQ('TS-PILE'!$E$56:$E$75))+IF(SUMSQ('TS-PILE'!$D$56:$D$75)=0,0,'TO HOP NLAN'!F233*'TS-PILE'!$D$61/SUMSQ('TS-PILE'!$D$56:$D$75))),IF('TS-PILE'!$B$62="",1E+99,'TO HOP NLAN'!D233/ncoc+IF(SUMSQ('TS-PILE'!$E$56:$E$75)=0,0,'TO HOP NLAN'!E233*'TS-PILE'!$E$62/SUMSQ('TS-PILE'!$E$56:$E$75))+IF(SUMSQ('TS-PILE'!$D$56:$D$75)=0,0,'TO HOP NLAN'!F233*'TS-PILE'!$D$62/SUMSQ('TS-PILE'!$D$56:$D$75))),IF('TS-PILE'!$B$63="",1E+99,'TO HOP NLAN'!D233/ncoc+IF(SUMSQ('TS-PILE'!$E$56:$E$75)=0,0,'TO HOP NLAN'!E233*'TS-PILE'!$E$63/SUMSQ('TS-PILE'!$E$56:$E$75))+IF(SUMSQ('TS-PILE'!$D$56:$D$75)=0,0,'TO HOP NLAN'!F233*'TS-PILE'!$D$63/SUMSQ('TS-PILE'!$D$56:$D$75))),IF('TS-PILE'!$B$64="",1E+99,'TO HOP NLAN'!D233/ncoc+IF(SUMSQ('TS-PILE'!$E$56:$E$75)=0,0,'TO HOP NLAN'!E233*'TS-PILE'!$E$64/SUMSQ('TS-PILE'!$E$56:$E$75))+IF(SUMSQ('TS-PILE'!$D$56:$D$75)=0,0,'TO HOP NLAN'!F233*'TS-PILE'!$D$64/SUMSQ('TS-PILE'!$D$56:$D$75))),IF('TS-PILE'!$B$65="",1E+99,'TO HOP NLAN'!D233/ncoc+IF(SUMSQ('TS-PILE'!$E$56:$E$75)=0,0,'TO HOP NLAN'!E233*'TS-PILE'!$E$65/SUMSQ('TS-PILE'!$E$56:$E$75))+IF(SUMSQ('TS-PILE'!$D$56:$D$75)=0,0,'TO HOP NLAN'!F233*'TS-PILE'!$D$65/SUMSQ('TS-PILE'!$D$56:$D$75))),IF('TS-PILE'!$B$66="",1E+99,'TO HOP NLAN'!D233/ncoc+IF(SUMSQ('TS-PILE'!$E$56:$E$75)=0,0,'TO HOP NLAN'!E233*'TS-PILE'!$E$66/SUMSQ('TS-PILE'!$E$56:$E$75))+IF(SUMSQ('TS-PILE'!$D$56:$D$75)=0,0,'TO HOP NLAN'!F233*'TS-PILE'!$D$66/SUMSQ('TS-PILE'!$D$56:$D$75))),IF('TS-PILE'!$B$67="",1E+99,'TO HOP NLAN'!D233/ncoc+IF(SUMSQ('TS-PILE'!$E$56:$E$75)=0,0,'TO HOP NLAN'!E233*'TS-PILE'!$E$67/SUMSQ('TS-PILE'!$E$56:$E$75))+IF(SUMSQ('TS-PILE'!$D$56:$D$75)=0,0,'TO HOP NLAN'!F233*'TS-PILE'!$D$67/SUMSQ('TS-PILE'!$D$56:$D$75))),IF('TS-PILE'!$B$68="",1E+99,'TO HOP NLAN'!D233/ncoc+IF(SUMSQ('TS-PILE'!$E$56:$E$75)=0,0,'TO HOP NLAN'!E233*'TS-PILE'!$E$68/SUMSQ('TS-PILE'!$E$56:$E$75))+IF(SUMSQ('TS-PILE'!$D$56:$D$75)=0,0,'TO HOP NLAN'!F233*'TS-PILE'!$D$68/SUMSQ('TS-PILE'!$D$56:$D$75))),IF('TS-PILE'!$B$69="",1E+99,'TO HOP NLAN'!D233/ncoc+IF(SUMSQ('TS-PILE'!$E$56:$E$75)=0,0,'TO HOP NLAN'!E233*'TS-PILE'!$E$69/SUMSQ('TS-PILE'!$E$56:$E$75))+IF(SUMSQ('TS-PILE'!$D$56:$D$75)=0,0,'TO HOP NLAN'!F233*'TS-PILE'!$D$69/SUMSQ('TS-PILE'!$D$56:$D$75))),IF('TS-PILE'!$B$70="",1E+99,'TO HOP NLAN'!D233/ncoc+IF(SUMSQ('TS-PILE'!$E$56:$E$75)=0,0,'TO HOP NLAN'!E233*'TS-PILE'!$E$70/SUMSQ('TS-PILE'!$E$56:$E$75))+IF(SUMSQ('TS-PILE'!$D$56:$D$75)=0,0,'TO HOP NLAN'!F233*'TS-PILE'!$D$70/SUMSQ('TS-PILE'!$D$56:$D$75))),IF('TS-PILE'!$B$71="",1E+99,'TO HOP NLAN'!D233/ncoc+IF(SUMSQ('TS-PILE'!$E$56:$E$75)=0,0,'TO HOP NLAN'!E233*'TS-PILE'!$E$71/SUMSQ('TS-PILE'!$E$56:$E$75))+IF(SUMSQ('TS-PILE'!$D$56:$D$75)=0,0,'TO HOP NLAN'!F233*'TS-PILE'!$D$71/SUMSQ('TS-PILE'!$D$56:$D$75))),IF('TS-PILE'!$B$72="",1E+99,'TO HOP NLAN'!D233/ncoc+IF(SUMSQ('TS-PILE'!$E$56:$E$75)=0,0,'TO HOP NLAN'!E233*'TS-PILE'!$E$72/SUMSQ('TS-PILE'!$E$56:$E$75))+IF(SUMSQ('TS-PILE'!$D$56:$D$75)=0,0,'TO HOP NLAN'!F233*'TS-PILE'!$D$72/SUMSQ('TS-PILE'!$D$56:$D$75))),IF('TS-PILE'!$B$73="",1E+99,'TO HOP NLAN'!D233/ncoc+IF(SUMSQ('TS-PILE'!$E$56:$E$75)=0,0,'TO HOP NLAN'!E233*'TS-PILE'!$E$73/SUMSQ('TS-PILE'!$E$56:$E$75))+IF(SUMSQ('TS-PILE'!$D$56:$D$75)=0,0,'TO HOP NLAN'!F233*'TS-PILE'!$D$73/SUMSQ('TS-PILE'!$D$56:$D$75))),IF('TS-PILE'!$B$74="",1E+99,'TO HOP NLAN'!D233/ncoc+IF(SUMSQ('TS-PILE'!$E$56:$E$75)=0,0,'TO HOP NLAN'!E233*'TS-PILE'!$E$74/SUMSQ('TS-PILE'!$E$56:$E$75))+IF(SUMSQ('TS-PILE'!$D$56:$D$75)=0,0,'TO HOP NLAN'!F233*'TS-PILE'!$D$74/SUMSQ('TS-PILE'!$D$56:$D$75))),IF('TS-PILE'!$B$75="",1E+99,'TO HOP NLAN'!D233/ncoc+IF(SUMSQ('TS-PILE'!$E$56:$E$75)=0,0,'TO HOP NLAN'!E233*'TS-PILE'!$E$75/SUMSQ('TS-PILE'!$E$56:$E$75))+IF(SUMSQ('TS-PILE'!$D$56:$D$75)=0,0,'TO HOP NLAN'!F233*'TS-PILE'!$D$75/SUMSQ('TS-PILE'!$D$56:$D$75)))))</f>
        <v>0</v>
      </c>
      <c r="E233" s="46">
        <f t="shared" si="12"/>
        <v>-9.9999999999999997E+98</v>
      </c>
      <c r="F233" s="46">
        <f t="shared" si="13"/>
        <v>9.9999999999999997E+98</v>
      </c>
      <c r="G233" s="46">
        <f t="shared" si="14"/>
        <v>-9.9999999999999997E+98</v>
      </c>
      <c r="H233" s="46">
        <f t="shared" si="15"/>
        <v>9.9999999999999997E+98</v>
      </c>
    </row>
    <row r="234" spans="1:8" x14ac:dyDescent="0.3">
      <c r="A234" s="40" t="str">
        <f>'TO HOP NLAN'!A234</f>
        <v/>
      </c>
      <c r="B234" s="40" t="str">
        <f>'TO HOP NLAN'!L234</f>
        <v>STRENGTH</v>
      </c>
      <c r="C234" s="46">
        <f>IF(A234="",0,MAX(IF('TS-PILE'!$B$56="",-1E+99,'TO HOP NLAN'!D234/ncoc+IF(SUMSQ('TS-PILE'!$E$56:$E$75)=0,0,'TO HOP NLAN'!E234*'TS-PILE'!$E$56/SUMSQ('TS-PILE'!$E$56:$E$75))+IF(SUMSQ('TS-PILE'!$D$56:$D$75)=0,0,'TO HOP NLAN'!F234*'TS-PILE'!$D$56/SUMSQ('TS-PILE'!$D$56:$D$75))),IF('TS-PILE'!$B$57="",-1E+99,'TO HOP NLAN'!D234/ncoc+IF(SUMSQ('TS-PILE'!$E$56:$E$75)=0,0,'TO HOP NLAN'!E234*'TS-PILE'!$E$57/SUMSQ('TS-PILE'!$E$56:$E$75))+IF(SUMSQ('TS-PILE'!$D$56:$D$75)=0,0,'TO HOP NLAN'!F234*'TS-PILE'!$D$57/SUMSQ('TS-PILE'!$D$56:$D$75))),IF('TS-PILE'!$B$58="",-1E+99,'TO HOP NLAN'!D234/ncoc+IF(SUMSQ('TS-PILE'!$E$56:$E$75)=0,0,'TO HOP NLAN'!E234*'TS-PILE'!$E$58/SUMSQ('TS-PILE'!$E$56:$E$75))+IF(SUMSQ('TS-PILE'!$D$56:$D$75)=0,0,'TO HOP NLAN'!F234*'TS-PILE'!$D$58/SUMSQ('TS-PILE'!$D$56:$D$75))),IF('TS-PILE'!$B$59="",-1E+99,'TO HOP NLAN'!D234/ncoc+IF(SUMSQ('TS-PILE'!$E$56:$E$75)=0,0,'TO HOP NLAN'!E234*'TS-PILE'!$E$59/SUMSQ('TS-PILE'!$E$56:$E$75))+IF(SUMSQ('TS-PILE'!$D$56:$D$75)=0,0,'TO HOP NLAN'!F234*'TS-PILE'!$D$59/SUMSQ('TS-PILE'!$D$56:$D$75))),IF('TS-PILE'!$B$60="",-1E+99,'TO HOP NLAN'!D234/ncoc+IF(SUMSQ('TS-PILE'!$E$56:$E$75)=0,0,'TO HOP NLAN'!E234*'TS-PILE'!$E$60/SUMSQ('TS-PILE'!$E$56:$E$75))+IF(SUMSQ('TS-PILE'!$D$56:$D$75)=0,0,'TO HOP NLAN'!F234*'TS-PILE'!$D$60/SUMSQ('TS-PILE'!$D$56:$D$75))),IF('TS-PILE'!$B$61="",-1E+99,'TO HOP NLAN'!D234/ncoc+IF(SUMSQ('TS-PILE'!$E$56:$E$75)=0,0,'TO HOP NLAN'!E234*'TS-PILE'!$E$61/SUMSQ('TS-PILE'!$E$56:$E$75))+IF(SUMSQ('TS-PILE'!$D$56:$D$75)=0,0,'TO HOP NLAN'!F234*'TS-PILE'!$D$61/SUMSQ('TS-PILE'!$D$56:$D$75))),IF('TS-PILE'!$B$62="",-1E+99,'TO HOP NLAN'!D234/ncoc+IF(SUMSQ('TS-PILE'!$E$56:$E$75)=0,0,'TO HOP NLAN'!E234*'TS-PILE'!$E$62/SUMSQ('TS-PILE'!$E$56:$E$75))+IF(SUMSQ('TS-PILE'!$D$56:$D$75)=0,0,'TO HOP NLAN'!F234*'TS-PILE'!$D$62/SUMSQ('TS-PILE'!$D$56:$D$75))),IF('TS-PILE'!$B$63="",-1E+99,'TO HOP NLAN'!D234/ncoc+IF(SUMSQ('TS-PILE'!$E$56:$E$75)=0,0,'TO HOP NLAN'!E234*'TS-PILE'!$E$63/SUMSQ('TS-PILE'!$E$56:$E$75))+IF(SUMSQ('TS-PILE'!$D$56:$D$75)=0,0,'TO HOP NLAN'!F234*'TS-PILE'!$D$63/SUMSQ('TS-PILE'!$D$56:$D$75))),IF('TS-PILE'!$B$64="",-1E+99,'TO HOP NLAN'!D234/ncoc+IF(SUMSQ('TS-PILE'!$E$56:$E$75)=0,0,'TO HOP NLAN'!E234*'TS-PILE'!$E$64/SUMSQ('TS-PILE'!$E$56:$E$75))+IF(SUMSQ('TS-PILE'!$D$56:$D$75)=0,0,'TO HOP NLAN'!F234*'TS-PILE'!$D$64/SUMSQ('TS-PILE'!$D$56:$D$75))),IF('TS-PILE'!$B$65="",-1E+99,'TO HOP NLAN'!D234/ncoc+IF(SUMSQ('TS-PILE'!$E$56:$E$75)=0,0,'TO HOP NLAN'!E234*'TS-PILE'!$E$65/SUMSQ('TS-PILE'!$E$56:$E$75))+IF(SUMSQ('TS-PILE'!$D$56:$D$75)=0,0,'TO HOP NLAN'!F234*'TS-PILE'!$D$65/SUMSQ('TS-PILE'!$D$56:$D$75))),IF('TS-PILE'!$B$66="",-1E+99,'TO HOP NLAN'!D234/ncoc+IF(SUMSQ('TS-PILE'!$E$56:$E$75)=0,0,'TO HOP NLAN'!E234*'TS-PILE'!$E$66/SUMSQ('TS-PILE'!$E$56:$E$75))+IF(SUMSQ('TS-PILE'!$D$56:$D$75)=0,0,'TO HOP NLAN'!F234*'TS-PILE'!$D$66/SUMSQ('TS-PILE'!$D$56:$D$75))),IF('TS-PILE'!$B$67="",-1E+99,'TO HOP NLAN'!D234/ncoc+IF(SUMSQ('TS-PILE'!$E$56:$E$75)=0,0,'TO HOP NLAN'!E234*'TS-PILE'!$E$67/SUMSQ('TS-PILE'!$E$56:$E$75))+IF(SUMSQ('TS-PILE'!$D$56:$D$75)=0,0,'TO HOP NLAN'!F234*'TS-PILE'!$D$67/SUMSQ('TS-PILE'!$D$56:$D$75))),IF('TS-PILE'!$B$68="",-1E+99,'TO HOP NLAN'!D234/ncoc+IF(SUMSQ('TS-PILE'!$E$56:$E$75)=0,0,'TO HOP NLAN'!E234*'TS-PILE'!$E$68/SUMSQ('TS-PILE'!$E$56:$E$75))+IF(SUMSQ('TS-PILE'!$D$56:$D$75)=0,0,'TO HOP NLAN'!F234*'TS-PILE'!$D$68/SUMSQ('TS-PILE'!$D$56:$D$75))),IF('TS-PILE'!$B$69="",-1E+99,'TO HOP NLAN'!D234/ncoc+IF(SUMSQ('TS-PILE'!$E$56:$E$75)=0,0,'TO HOP NLAN'!E234*'TS-PILE'!$E$69/SUMSQ('TS-PILE'!$E$56:$E$75))+IF(SUMSQ('TS-PILE'!$D$56:$D$75)=0,0,'TO HOP NLAN'!F234*'TS-PILE'!$D$69/SUMSQ('TS-PILE'!$D$56:$D$75))),IF('TS-PILE'!$B$70="",-1E+99,'TO HOP NLAN'!D234/ncoc+IF(SUMSQ('TS-PILE'!$E$56:$E$75)=0,0,'TO HOP NLAN'!E234*'TS-PILE'!$E$70/SUMSQ('TS-PILE'!$E$56:$E$75))+IF(SUMSQ('TS-PILE'!$D$56:$D$75)=0,0,'TO HOP NLAN'!F234*'TS-PILE'!$D$70/SUMSQ('TS-PILE'!$D$56:$D$75))),IF('TS-PILE'!$B$71="",-1E+99,'TO HOP NLAN'!D234/ncoc+IF(SUMSQ('TS-PILE'!$E$56:$E$75)=0,0,'TO HOP NLAN'!E234*'TS-PILE'!$E$71/SUMSQ('TS-PILE'!$E$56:$E$75))+IF(SUMSQ('TS-PILE'!$D$56:$D$75)=0,0,'TO HOP NLAN'!F234*'TS-PILE'!$D$71/SUMSQ('TS-PILE'!$D$56:$D$75))),IF('TS-PILE'!$B$72="",-1E+99,'TO HOP NLAN'!D234/ncoc+IF(SUMSQ('TS-PILE'!$E$56:$E$75)=0,0,'TO HOP NLAN'!E234*'TS-PILE'!$E$72/SUMSQ('TS-PILE'!$E$56:$E$75))+IF(SUMSQ('TS-PILE'!$D$56:$D$75)=0,0,'TO HOP NLAN'!F234*'TS-PILE'!$D$72/SUMSQ('TS-PILE'!$D$56:$D$75))),IF('TS-PILE'!$B$73="",-1E+99,'TO HOP NLAN'!D234/ncoc+IF(SUMSQ('TS-PILE'!$E$56:$E$75)=0,0,'TO HOP NLAN'!E234*'TS-PILE'!$E$73/SUMSQ('TS-PILE'!$E$56:$E$75))+IF(SUMSQ('TS-PILE'!$D$56:$D$75)=0,0,'TO HOP NLAN'!F234*'TS-PILE'!$D$73/SUMSQ('TS-PILE'!$D$56:$D$75))),IF('TS-PILE'!$B$74="",-1E+99,'TO HOP NLAN'!D234/ncoc+IF(SUMSQ('TS-PILE'!$E$56:$E$75)=0,0,'TO HOP NLAN'!E234*'TS-PILE'!$E$74/SUMSQ('TS-PILE'!$E$56:$E$75))+IF(SUMSQ('TS-PILE'!$D$56:$D$75)=0,0,'TO HOP NLAN'!F234*'TS-PILE'!$D$74/SUMSQ('TS-PILE'!$D$56:$D$75))),IF('TS-PILE'!$B$75="",-1E+99,'TO HOP NLAN'!D234/ncoc+IF(SUMSQ('TS-PILE'!$E$56:$E$75)=0,0,'TO HOP NLAN'!E234*'TS-PILE'!$E$75/SUMSQ('TS-PILE'!$E$56:$E$75))+IF(SUMSQ('TS-PILE'!$D$56:$D$75)=0,0,'TO HOP NLAN'!F234*'TS-PILE'!$D$75/SUMSQ('TS-PILE'!$D$56:$D$75)))))</f>
        <v>0</v>
      </c>
      <c r="D234" s="46">
        <f>IF(A234="",0,MIN(IF('TS-PILE'!$B$56="",1E+99,'TO HOP NLAN'!D234/ncoc+IF(SUMSQ('TS-PILE'!$E$56:$E$75)=0,0,'TO HOP NLAN'!E234*'TS-PILE'!$E$56/SUMSQ('TS-PILE'!$E$56:$E$75))+IF(SUMSQ('TS-PILE'!$D$56:$D$75)=0,0,'TO HOP NLAN'!F234*'TS-PILE'!$D$56/SUMSQ('TS-PILE'!$D$56:$D$75))),IF('TS-PILE'!$B$57="",1E+99,'TO HOP NLAN'!D234/ncoc+IF(SUMSQ('TS-PILE'!$E$56:$E$75)=0,0,'TO HOP NLAN'!E234*'TS-PILE'!$E$57/SUMSQ('TS-PILE'!$E$56:$E$75))+IF(SUMSQ('TS-PILE'!$D$56:$D$75)=0,0,'TO HOP NLAN'!F234*'TS-PILE'!$D$57/SUMSQ('TS-PILE'!$D$56:$D$75))),IF('TS-PILE'!$B$58="",1E+99,'TO HOP NLAN'!D234/ncoc+IF(SUMSQ('TS-PILE'!$E$56:$E$75)=0,0,'TO HOP NLAN'!E234*'TS-PILE'!$E$58/SUMSQ('TS-PILE'!$E$56:$E$75))+IF(SUMSQ('TS-PILE'!$D$56:$D$75)=0,0,'TO HOP NLAN'!F234*'TS-PILE'!$D$58/SUMSQ('TS-PILE'!$D$56:$D$75))),IF('TS-PILE'!$B$59="",1E+99,'TO HOP NLAN'!D234/ncoc+IF(SUMSQ('TS-PILE'!$E$56:$E$75)=0,0,'TO HOP NLAN'!E234*'TS-PILE'!$E$59/SUMSQ('TS-PILE'!$E$56:$E$75))+IF(SUMSQ('TS-PILE'!$D$56:$D$75)=0,0,'TO HOP NLAN'!F234*'TS-PILE'!$D$59/SUMSQ('TS-PILE'!$D$56:$D$75))),IF('TS-PILE'!$B$60="",1E+99,'TO HOP NLAN'!D234/ncoc+IF(SUMSQ('TS-PILE'!$E$56:$E$75)=0,0,'TO HOP NLAN'!E234*'TS-PILE'!$E$60/SUMSQ('TS-PILE'!$E$56:$E$75))+IF(SUMSQ('TS-PILE'!$D$56:$D$75)=0,0,'TO HOP NLAN'!F234*'TS-PILE'!$D$60/SUMSQ('TS-PILE'!$D$56:$D$75))),IF('TS-PILE'!$B$61="",1E+99,'TO HOP NLAN'!D234/ncoc+IF(SUMSQ('TS-PILE'!$E$56:$E$75)=0,0,'TO HOP NLAN'!E234*'TS-PILE'!$E$61/SUMSQ('TS-PILE'!$E$56:$E$75))+IF(SUMSQ('TS-PILE'!$D$56:$D$75)=0,0,'TO HOP NLAN'!F234*'TS-PILE'!$D$61/SUMSQ('TS-PILE'!$D$56:$D$75))),IF('TS-PILE'!$B$62="",1E+99,'TO HOP NLAN'!D234/ncoc+IF(SUMSQ('TS-PILE'!$E$56:$E$75)=0,0,'TO HOP NLAN'!E234*'TS-PILE'!$E$62/SUMSQ('TS-PILE'!$E$56:$E$75))+IF(SUMSQ('TS-PILE'!$D$56:$D$75)=0,0,'TO HOP NLAN'!F234*'TS-PILE'!$D$62/SUMSQ('TS-PILE'!$D$56:$D$75))),IF('TS-PILE'!$B$63="",1E+99,'TO HOP NLAN'!D234/ncoc+IF(SUMSQ('TS-PILE'!$E$56:$E$75)=0,0,'TO HOP NLAN'!E234*'TS-PILE'!$E$63/SUMSQ('TS-PILE'!$E$56:$E$75))+IF(SUMSQ('TS-PILE'!$D$56:$D$75)=0,0,'TO HOP NLAN'!F234*'TS-PILE'!$D$63/SUMSQ('TS-PILE'!$D$56:$D$75))),IF('TS-PILE'!$B$64="",1E+99,'TO HOP NLAN'!D234/ncoc+IF(SUMSQ('TS-PILE'!$E$56:$E$75)=0,0,'TO HOP NLAN'!E234*'TS-PILE'!$E$64/SUMSQ('TS-PILE'!$E$56:$E$75))+IF(SUMSQ('TS-PILE'!$D$56:$D$75)=0,0,'TO HOP NLAN'!F234*'TS-PILE'!$D$64/SUMSQ('TS-PILE'!$D$56:$D$75))),IF('TS-PILE'!$B$65="",1E+99,'TO HOP NLAN'!D234/ncoc+IF(SUMSQ('TS-PILE'!$E$56:$E$75)=0,0,'TO HOP NLAN'!E234*'TS-PILE'!$E$65/SUMSQ('TS-PILE'!$E$56:$E$75))+IF(SUMSQ('TS-PILE'!$D$56:$D$75)=0,0,'TO HOP NLAN'!F234*'TS-PILE'!$D$65/SUMSQ('TS-PILE'!$D$56:$D$75))),IF('TS-PILE'!$B$66="",1E+99,'TO HOP NLAN'!D234/ncoc+IF(SUMSQ('TS-PILE'!$E$56:$E$75)=0,0,'TO HOP NLAN'!E234*'TS-PILE'!$E$66/SUMSQ('TS-PILE'!$E$56:$E$75))+IF(SUMSQ('TS-PILE'!$D$56:$D$75)=0,0,'TO HOP NLAN'!F234*'TS-PILE'!$D$66/SUMSQ('TS-PILE'!$D$56:$D$75))),IF('TS-PILE'!$B$67="",1E+99,'TO HOP NLAN'!D234/ncoc+IF(SUMSQ('TS-PILE'!$E$56:$E$75)=0,0,'TO HOP NLAN'!E234*'TS-PILE'!$E$67/SUMSQ('TS-PILE'!$E$56:$E$75))+IF(SUMSQ('TS-PILE'!$D$56:$D$75)=0,0,'TO HOP NLAN'!F234*'TS-PILE'!$D$67/SUMSQ('TS-PILE'!$D$56:$D$75))),IF('TS-PILE'!$B$68="",1E+99,'TO HOP NLAN'!D234/ncoc+IF(SUMSQ('TS-PILE'!$E$56:$E$75)=0,0,'TO HOP NLAN'!E234*'TS-PILE'!$E$68/SUMSQ('TS-PILE'!$E$56:$E$75))+IF(SUMSQ('TS-PILE'!$D$56:$D$75)=0,0,'TO HOP NLAN'!F234*'TS-PILE'!$D$68/SUMSQ('TS-PILE'!$D$56:$D$75))),IF('TS-PILE'!$B$69="",1E+99,'TO HOP NLAN'!D234/ncoc+IF(SUMSQ('TS-PILE'!$E$56:$E$75)=0,0,'TO HOP NLAN'!E234*'TS-PILE'!$E$69/SUMSQ('TS-PILE'!$E$56:$E$75))+IF(SUMSQ('TS-PILE'!$D$56:$D$75)=0,0,'TO HOP NLAN'!F234*'TS-PILE'!$D$69/SUMSQ('TS-PILE'!$D$56:$D$75))),IF('TS-PILE'!$B$70="",1E+99,'TO HOP NLAN'!D234/ncoc+IF(SUMSQ('TS-PILE'!$E$56:$E$75)=0,0,'TO HOP NLAN'!E234*'TS-PILE'!$E$70/SUMSQ('TS-PILE'!$E$56:$E$75))+IF(SUMSQ('TS-PILE'!$D$56:$D$75)=0,0,'TO HOP NLAN'!F234*'TS-PILE'!$D$70/SUMSQ('TS-PILE'!$D$56:$D$75))),IF('TS-PILE'!$B$71="",1E+99,'TO HOP NLAN'!D234/ncoc+IF(SUMSQ('TS-PILE'!$E$56:$E$75)=0,0,'TO HOP NLAN'!E234*'TS-PILE'!$E$71/SUMSQ('TS-PILE'!$E$56:$E$75))+IF(SUMSQ('TS-PILE'!$D$56:$D$75)=0,0,'TO HOP NLAN'!F234*'TS-PILE'!$D$71/SUMSQ('TS-PILE'!$D$56:$D$75))),IF('TS-PILE'!$B$72="",1E+99,'TO HOP NLAN'!D234/ncoc+IF(SUMSQ('TS-PILE'!$E$56:$E$75)=0,0,'TO HOP NLAN'!E234*'TS-PILE'!$E$72/SUMSQ('TS-PILE'!$E$56:$E$75))+IF(SUMSQ('TS-PILE'!$D$56:$D$75)=0,0,'TO HOP NLAN'!F234*'TS-PILE'!$D$72/SUMSQ('TS-PILE'!$D$56:$D$75))),IF('TS-PILE'!$B$73="",1E+99,'TO HOP NLAN'!D234/ncoc+IF(SUMSQ('TS-PILE'!$E$56:$E$75)=0,0,'TO HOP NLAN'!E234*'TS-PILE'!$E$73/SUMSQ('TS-PILE'!$E$56:$E$75))+IF(SUMSQ('TS-PILE'!$D$56:$D$75)=0,0,'TO HOP NLAN'!F234*'TS-PILE'!$D$73/SUMSQ('TS-PILE'!$D$56:$D$75))),IF('TS-PILE'!$B$74="",1E+99,'TO HOP NLAN'!D234/ncoc+IF(SUMSQ('TS-PILE'!$E$56:$E$75)=0,0,'TO HOP NLAN'!E234*'TS-PILE'!$E$74/SUMSQ('TS-PILE'!$E$56:$E$75))+IF(SUMSQ('TS-PILE'!$D$56:$D$75)=0,0,'TO HOP NLAN'!F234*'TS-PILE'!$D$74/SUMSQ('TS-PILE'!$D$56:$D$75))),IF('TS-PILE'!$B$75="",1E+99,'TO HOP NLAN'!D234/ncoc+IF(SUMSQ('TS-PILE'!$E$56:$E$75)=0,0,'TO HOP NLAN'!E234*'TS-PILE'!$E$75/SUMSQ('TS-PILE'!$E$56:$E$75))+IF(SUMSQ('TS-PILE'!$D$56:$D$75)=0,0,'TO HOP NLAN'!F234*'TS-PILE'!$D$75/SUMSQ('TS-PILE'!$D$56:$D$75)))))</f>
        <v>0</v>
      </c>
      <c r="E234" s="46">
        <f t="shared" si="12"/>
        <v>-9.9999999999999997E+98</v>
      </c>
      <c r="F234" s="46">
        <f t="shared" si="13"/>
        <v>9.9999999999999997E+98</v>
      </c>
      <c r="G234" s="46">
        <f t="shared" si="14"/>
        <v>-9.9999999999999997E+98</v>
      </c>
      <c r="H234" s="46">
        <f t="shared" si="15"/>
        <v>9.9999999999999997E+98</v>
      </c>
    </row>
    <row r="235" spans="1:8" x14ac:dyDescent="0.3">
      <c r="A235" s="40" t="str">
        <f>'TO HOP NLAN'!A235</f>
        <v/>
      </c>
      <c r="B235" s="40" t="str">
        <f>'TO HOP NLAN'!L235</f>
        <v>STRENGTH</v>
      </c>
      <c r="C235" s="46">
        <f>IF(A235="",0,MAX(IF('TS-PILE'!$B$56="",-1E+99,'TO HOP NLAN'!D235/ncoc+IF(SUMSQ('TS-PILE'!$E$56:$E$75)=0,0,'TO HOP NLAN'!E235*'TS-PILE'!$E$56/SUMSQ('TS-PILE'!$E$56:$E$75))+IF(SUMSQ('TS-PILE'!$D$56:$D$75)=0,0,'TO HOP NLAN'!F235*'TS-PILE'!$D$56/SUMSQ('TS-PILE'!$D$56:$D$75))),IF('TS-PILE'!$B$57="",-1E+99,'TO HOP NLAN'!D235/ncoc+IF(SUMSQ('TS-PILE'!$E$56:$E$75)=0,0,'TO HOP NLAN'!E235*'TS-PILE'!$E$57/SUMSQ('TS-PILE'!$E$56:$E$75))+IF(SUMSQ('TS-PILE'!$D$56:$D$75)=0,0,'TO HOP NLAN'!F235*'TS-PILE'!$D$57/SUMSQ('TS-PILE'!$D$56:$D$75))),IF('TS-PILE'!$B$58="",-1E+99,'TO HOP NLAN'!D235/ncoc+IF(SUMSQ('TS-PILE'!$E$56:$E$75)=0,0,'TO HOP NLAN'!E235*'TS-PILE'!$E$58/SUMSQ('TS-PILE'!$E$56:$E$75))+IF(SUMSQ('TS-PILE'!$D$56:$D$75)=0,0,'TO HOP NLAN'!F235*'TS-PILE'!$D$58/SUMSQ('TS-PILE'!$D$56:$D$75))),IF('TS-PILE'!$B$59="",-1E+99,'TO HOP NLAN'!D235/ncoc+IF(SUMSQ('TS-PILE'!$E$56:$E$75)=0,0,'TO HOP NLAN'!E235*'TS-PILE'!$E$59/SUMSQ('TS-PILE'!$E$56:$E$75))+IF(SUMSQ('TS-PILE'!$D$56:$D$75)=0,0,'TO HOP NLAN'!F235*'TS-PILE'!$D$59/SUMSQ('TS-PILE'!$D$56:$D$75))),IF('TS-PILE'!$B$60="",-1E+99,'TO HOP NLAN'!D235/ncoc+IF(SUMSQ('TS-PILE'!$E$56:$E$75)=0,0,'TO HOP NLAN'!E235*'TS-PILE'!$E$60/SUMSQ('TS-PILE'!$E$56:$E$75))+IF(SUMSQ('TS-PILE'!$D$56:$D$75)=0,0,'TO HOP NLAN'!F235*'TS-PILE'!$D$60/SUMSQ('TS-PILE'!$D$56:$D$75))),IF('TS-PILE'!$B$61="",-1E+99,'TO HOP NLAN'!D235/ncoc+IF(SUMSQ('TS-PILE'!$E$56:$E$75)=0,0,'TO HOP NLAN'!E235*'TS-PILE'!$E$61/SUMSQ('TS-PILE'!$E$56:$E$75))+IF(SUMSQ('TS-PILE'!$D$56:$D$75)=0,0,'TO HOP NLAN'!F235*'TS-PILE'!$D$61/SUMSQ('TS-PILE'!$D$56:$D$75))),IF('TS-PILE'!$B$62="",-1E+99,'TO HOP NLAN'!D235/ncoc+IF(SUMSQ('TS-PILE'!$E$56:$E$75)=0,0,'TO HOP NLAN'!E235*'TS-PILE'!$E$62/SUMSQ('TS-PILE'!$E$56:$E$75))+IF(SUMSQ('TS-PILE'!$D$56:$D$75)=0,0,'TO HOP NLAN'!F235*'TS-PILE'!$D$62/SUMSQ('TS-PILE'!$D$56:$D$75))),IF('TS-PILE'!$B$63="",-1E+99,'TO HOP NLAN'!D235/ncoc+IF(SUMSQ('TS-PILE'!$E$56:$E$75)=0,0,'TO HOP NLAN'!E235*'TS-PILE'!$E$63/SUMSQ('TS-PILE'!$E$56:$E$75))+IF(SUMSQ('TS-PILE'!$D$56:$D$75)=0,0,'TO HOP NLAN'!F235*'TS-PILE'!$D$63/SUMSQ('TS-PILE'!$D$56:$D$75))),IF('TS-PILE'!$B$64="",-1E+99,'TO HOP NLAN'!D235/ncoc+IF(SUMSQ('TS-PILE'!$E$56:$E$75)=0,0,'TO HOP NLAN'!E235*'TS-PILE'!$E$64/SUMSQ('TS-PILE'!$E$56:$E$75))+IF(SUMSQ('TS-PILE'!$D$56:$D$75)=0,0,'TO HOP NLAN'!F235*'TS-PILE'!$D$64/SUMSQ('TS-PILE'!$D$56:$D$75))),IF('TS-PILE'!$B$65="",-1E+99,'TO HOP NLAN'!D235/ncoc+IF(SUMSQ('TS-PILE'!$E$56:$E$75)=0,0,'TO HOP NLAN'!E235*'TS-PILE'!$E$65/SUMSQ('TS-PILE'!$E$56:$E$75))+IF(SUMSQ('TS-PILE'!$D$56:$D$75)=0,0,'TO HOP NLAN'!F235*'TS-PILE'!$D$65/SUMSQ('TS-PILE'!$D$56:$D$75))),IF('TS-PILE'!$B$66="",-1E+99,'TO HOP NLAN'!D235/ncoc+IF(SUMSQ('TS-PILE'!$E$56:$E$75)=0,0,'TO HOP NLAN'!E235*'TS-PILE'!$E$66/SUMSQ('TS-PILE'!$E$56:$E$75))+IF(SUMSQ('TS-PILE'!$D$56:$D$75)=0,0,'TO HOP NLAN'!F235*'TS-PILE'!$D$66/SUMSQ('TS-PILE'!$D$56:$D$75))),IF('TS-PILE'!$B$67="",-1E+99,'TO HOP NLAN'!D235/ncoc+IF(SUMSQ('TS-PILE'!$E$56:$E$75)=0,0,'TO HOP NLAN'!E235*'TS-PILE'!$E$67/SUMSQ('TS-PILE'!$E$56:$E$75))+IF(SUMSQ('TS-PILE'!$D$56:$D$75)=0,0,'TO HOP NLAN'!F235*'TS-PILE'!$D$67/SUMSQ('TS-PILE'!$D$56:$D$75))),IF('TS-PILE'!$B$68="",-1E+99,'TO HOP NLAN'!D235/ncoc+IF(SUMSQ('TS-PILE'!$E$56:$E$75)=0,0,'TO HOP NLAN'!E235*'TS-PILE'!$E$68/SUMSQ('TS-PILE'!$E$56:$E$75))+IF(SUMSQ('TS-PILE'!$D$56:$D$75)=0,0,'TO HOP NLAN'!F235*'TS-PILE'!$D$68/SUMSQ('TS-PILE'!$D$56:$D$75))),IF('TS-PILE'!$B$69="",-1E+99,'TO HOP NLAN'!D235/ncoc+IF(SUMSQ('TS-PILE'!$E$56:$E$75)=0,0,'TO HOP NLAN'!E235*'TS-PILE'!$E$69/SUMSQ('TS-PILE'!$E$56:$E$75))+IF(SUMSQ('TS-PILE'!$D$56:$D$75)=0,0,'TO HOP NLAN'!F235*'TS-PILE'!$D$69/SUMSQ('TS-PILE'!$D$56:$D$75))),IF('TS-PILE'!$B$70="",-1E+99,'TO HOP NLAN'!D235/ncoc+IF(SUMSQ('TS-PILE'!$E$56:$E$75)=0,0,'TO HOP NLAN'!E235*'TS-PILE'!$E$70/SUMSQ('TS-PILE'!$E$56:$E$75))+IF(SUMSQ('TS-PILE'!$D$56:$D$75)=0,0,'TO HOP NLAN'!F235*'TS-PILE'!$D$70/SUMSQ('TS-PILE'!$D$56:$D$75))),IF('TS-PILE'!$B$71="",-1E+99,'TO HOP NLAN'!D235/ncoc+IF(SUMSQ('TS-PILE'!$E$56:$E$75)=0,0,'TO HOP NLAN'!E235*'TS-PILE'!$E$71/SUMSQ('TS-PILE'!$E$56:$E$75))+IF(SUMSQ('TS-PILE'!$D$56:$D$75)=0,0,'TO HOP NLAN'!F235*'TS-PILE'!$D$71/SUMSQ('TS-PILE'!$D$56:$D$75))),IF('TS-PILE'!$B$72="",-1E+99,'TO HOP NLAN'!D235/ncoc+IF(SUMSQ('TS-PILE'!$E$56:$E$75)=0,0,'TO HOP NLAN'!E235*'TS-PILE'!$E$72/SUMSQ('TS-PILE'!$E$56:$E$75))+IF(SUMSQ('TS-PILE'!$D$56:$D$75)=0,0,'TO HOP NLAN'!F235*'TS-PILE'!$D$72/SUMSQ('TS-PILE'!$D$56:$D$75))),IF('TS-PILE'!$B$73="",-1E+99,'TO HOP NLAN'!D235/ncoc+IF(SUMSQ('TS-PILE'!$E$56:$E$75)=0,0,'TO HOP NLAN'!E235*'TS-PILE'!$E$73/SUMSQ('TS-PILE'!$E$56:$E$75))+IF(SUMSQ('TS-PILE'!$D$56:$D$75)=0,0,'TO HOP NLAN'!F235*'TS-PILE'!$D$73/SUMSQ('TS-PILE'!$D$56:$D$75))),IF('TS-PILE'!$B$74="",-1E+99,'TO HOP NLAN'!D235/ncoc+IF(SUMSQ('TS-PILE'!$E$56:$E$75)=0,0,'TO HOP NLAN'!E235*'TS-PILE'!$E$74/SUMSQ('TS-PILE'!$E$56:$E$75))+IF(SUMSQ('TS-PILE'!$D$56:$D$75)=0,0,'TO HOP NLAN'!F235*'TS-PILE'!$D$74/SUMSQ('TS-PILE'!$D$56:$D$75))),IF('TS-PILE'!$B$75="",-1E+99,'TO HOP NLAN'!D235/ncoc+IF(SUMSQ('TS-PILE'!$E$56:$E$75)=0,0,'TO HOP NLAN'!E235*'TS-PILE'!$E$75/SUMSQ('TS-PILE'!$E$56:$E$75))+IF(SUMSQ('TS-PILE'!$D$56:$D$75)=0,0,'TO HOP NLAN'!F235*'TS-PILE'!$D$75/SUMSQ('TS-PILE'!$D$56:$D$75)))))</f>
        <v>0</v>
      </c>
      <c r="D235" s="46">
        <f>IF(A235="",0,MIN(IF('TS-PILE'!$B$56="",1E+99,'TO HOP NLAN'!D235/ncoc+IF(SUMSQ('TS-PILE'!$E$56:$E$75)=0,0,'TO HOP NLAN'!E235*'TS-PILE'!$E$56/SUMSQ('TS-PILE'!$E$56:$E$75))+IF(SUMSQ('TS-PILE'!$D$56:$D$75)=0,0,'TO HOP NLAN'!F235*'TS-PILE'!$D$56/SUMSQ('TS-PILE'!$D$56:$D$75))),IF('TS-PILE'!$B$57="",1E+99,'TO HOP NLAN'!D235/ncoc+IF(SUMSQ('TS-PILE'!$E$56:$E$75)=0,0,'TO HOP NLAN'!E235*'TS-PILE'!$E$57/SUMSQ('TS-PILE'!$E$56:$E$75))+IF(SUMSQ('TS-PILE'!$D$56:$D$75)=0,0,'TO HOP NLAN'!F235*'TS-PILE'!$D$57/SUMSQ('TS-PILE'!$D$56:$D$75))),IF('TS-PILE'!$B$58="",1E+99,'TO HOP NLAN'!D235/ncoc+IF(SUMSQ('TS-PILE'!$E$56:$E$75)=0,0,'TO HOP NLAN'!E235*'TS-PILE'!$E$58/SUMSQ('TS-PILE'!$E$56:$E$75))+IF(SUMSQ('TS-PILE'!$D$56:$D$75)=0,0,'TO HOP NLAN'!F235*'TS-PILE'!$D$58/SUMSQ('TS-PILE'!$D$56:$D$75))),IF('TS-PILE'!$B$59="",1E+99,'TO HOP NLAN'!D235/ncoc+IF(SUMSQ('TS-PILE'!$E$56:$E$75)=0,0,'TO HOP NLAN'!E235*'TS-PILE'!$E$59/SUMSQ('TS-PILE'!$E$56:$E$75))+IF(SUMSQ('TS-PILE'!$D$56:$D$75)=0,0,'TO HOP NLAN'!F235*'TS-PILE'!$D$59/SUMSQ('TS-PILE'!$D$56:$D$75))),IF('TS-PILE'!$B$60="",1E+99,'TO HOP NLAN'!D235/ncoc+IF(SUMSQ('TS-PILE'!$E$56:$E$75)=0,0,'TO HOP NLAN'!E235*'TS-PILE'!$E$60/SUMSQ('TS-PILE'!$E$56:$E$75))+IF(SUMSQ('TS-PILE'!$D$56:$D$75)=0,0,'TO HOP NLAN'!F235*'TS-PILE'!$D$60/SUMSQ('TS-PILE'!$D$56:$D$75))),IF('TS-PILE'!$B$61="",1E+99,'TO HOP NLAN'!D235/ncoc+IF(SUMSQ('TS-PILE'!$E$56:$E$75)=0,0,'TO HOP NLAN'!E235*'TS-PILE'!$E$61/SUMSQ('TS-PILE'!$E$56:$E$75))+IF(SUMSQ('TS-PILE'!$D$56:$D$75)=0,0,'TO HOP NLAN'!F235*'TS-PILE'!$D$61/SUMSQ('TS-PILE'!$D$56:$D$75))),IF('TS-PILE'!$B$62="",1E+99,'TO HOP NLAN'!D235/ncoc+IF(SUMSQ('TS-PILE'!$E$56:$E$75)=0,0,'TO HOP NLAN'!E235*'TS-PILE'!$E$62/SUMSQ('TS-PILE'!$E$56:$E$75))+IF(SUMSQ('TS-PILE'!$D$56:$D$75)=0,0,'TO HOP NLAN'!F235*'TS-PILE'!$D$62/SUMSQ('TS-PILE'!$D$56:$D$75))),IF('TS-PILE'!$B$63="",1E+99,'TO HOP NLAN'!D235/ncoc+IF(SUMSQ('TS-PILE'!$E$56:$E$75)=0,0,'TO HOP NLAN'!E235*'TS-PILE'!$E$63/SUMSQ('TS-PILE'!$E$56:$E$75))+IF(SUMSQ('TS-PILE'!$D$56:$D$75)=0,0,'TO HOP NLAN'!F235*'TS-PILE'!$D$63/SUMSQ('TS-PILE'!$D$56:$D$75))),IF('TS-PILE'!$B$64="",1E+99,'TO HOP NLAN'!D235/ncoc+IF(SUMSQ('TS-PILE'!$E$56:$E$75)=0,0,'TO HOP NLAN'!E235*'TS-PILE'!$E$64/SUMSQ('TS-PILE'!$E$56:$E$75))+IF(SUMSQ('TS-PILE'!$D$56:$D$75)=0,0,'TO HOP NLAN'!F235*'TS-PILE'!$D$64/SUMSQ('TS-PILE'!$D$56:$D$75))),IF('TS-PILE'!$B$65="",1E+99,'TO HOP NLAN'!D235/ncoc+IF(SUMSQ('TS-PILE'!$E$56:$E$75)=0,0,'TO HOP NLAN'!E235*'TS-PILE'!$E$65/SUMSQ('TS-PILE'!$E$56:$E$75))+IF(SUMSQ('TS-PILE'!$D$56:$D$75)=0,0,'TO HOP NLAN'!F235*'TS-PILE'!$D$65/SUMSQ('TS-PILE'!$D$56:$D$75))),IF('TS-PILE'!$B$66="",1E+99,'TO HOP NLAN'!D235/ncoc+IF(SUMSQ('TS-PILE'!$E$56:$E$75)=0,0,'TO HOP NLAN'!E235*'TS-PILE'!$E$66/SUMSQ('TS-PILE'!$E$56:$E$75))+IF(SUMSQ('TS-PILE'!$D$56:$D$75)=0,0,'TO HOP NLAN'!F235*'TS-PILE'!$D$66/SUMSQ('TS-PILE'!$D$56:$D$75))),IF('TS-PILE'!$B$67="",1E+99,'TO HOP NLAN'!D235/ncoc+IF(SUMSQ('TS-PILE'!$E$56:$E$75)=0,0,'TO HOP NLAN'!E235*'TS-PILE'!$E$67/SUMSQ('TS-PILE'!$E$56:$E$75))+IF(SUMSQ('TS-PILE'!$D$56:$D$75)=0,0,'TO HOP NLAN'!F235*'TS-PILE'!$D$67/SUMSQ('TS-PILE'!$D$56:$D$75))),IF('TS-PILE'!$B$68="",1E+99,'TO HOP NLAN'!D235/ncoc+IF(SUMSQ('TS-PILE'!$E$56:$E$75)=0,0,'TO HOP NLAN'!E235*'TS-PILE'!$E$68/SUMSQ('TS-PILE'!$E$56:$E$75))+IF(SUMSQ('TS-PILE'!$D$56:$D$75)=0,0,'TO HOP NLAN'!F235*'TS-PILE'!$D$68/SUMSQ('TS-PILE'!$D$56:$D$75))),IF('TS-PILE'!$B$69="",1E+99,'TO HOP NLAN'!D235/ncoc+IF(SUMSQ('TS-PILE'!$E$56:$E$75)=0,0,'TO HOP NLAN'!E235*'TS-PILE'!$E$69/SUMSQ('TS-PILE'!$E$56:$E$75))+IF(SUMSQ('TS-PILE'!$D$56:$D$75)=0,0,'TO HOP NLAN'!F235*'TS-PILE'!$D$69/SUMSQ('TS-PILE'!$D$56:$D$75))),IF('TS-PILE'!$B$70="",1E+99,'TO HOP NLAN'!D235/ncoc+IF(SUMSQ('TS-PILE'!$E$56:$E$75)=0,0,'TO HOP NLAN'!E235*'TS-PILE'!$E$70/SUMSQ('TS-PILE'!$E$56:$E$75))+IF(SUMSQ('TS-PILE'!$D$56:$D$75)=0,0,'TO HOP NLAN'!F235*'TS-PILE'!$D$70/SUMSQ('TS-PILE'!$D$56:$D$75))),IF('TS-PILE'!$B$71="",1E+99,'TO HOP NLAN'!D235/ncoc+IF(SUMSQ('TS-PILE'!$E$56:$E$75)=0,0,'TO HOP NLAN'!E235*'TS-PILE'!$E$71/SUMSQ('TS-PILE'!$E$56:$E$75))+IF(SUMSQ('TS-PILE'!$D$56:$D$75)=0,0,'TO HOP NLAN'!F235*'TS-PILE'!$D$71/SUMSQ('TS-PILE'!$D$56:$D$75))),IF('TS-PILE'!$B$72="",1E+99,'TO HOP NLAN'!D235/ncoc+IF(SUMSQ('TS-PILE'!$E$56:$E$75)=0,0,'TO HOP NLAN'!E235*'TS-PILE'!$E$72/SUMSQ('TS-PILE'!$E$56:$E$75))+IF(SUMSQ('TS-PILE'!$D$56:$D$75)=0,0,'TO HOP NLAN'!F235*'TS-PILE'!$D$72/SUMSQ('TS-PILE'!$D$56:$D$75))),IF('TS-PILE'!$B$73="",1E+99,'TO HOP NLAN'!D235/ncoc+IF(SUMSQ('TS-PILE'!$E$56:$E$75)=0,0,'TO HOP NLAN'!E235*'TS-PILE'!$E$73/SUMSQ('TS-PILE'!$E$56:$E$75))+IF(SUMSQ('TS-PILE'!$D$56:$D$75)=0,0,'TO HOP NLAN'!F235*'TS-PILE'!$D$73/SUMSQ('TS-PILE'!$D$56:$D$75))),IF('TS-PILE'!$B$74="",1E+99,'TO HOP NLAN'!D235/ncoc+IF(SUMSQ('TS-PILE'!$E$56:$E$75)=0,0,'TO HOP NLAN'!E235*'TS-PILE'!$E$74/SUMSQ('TS-PILE'!$E$56:$E$75))+IF(SUMSQ('TS-PILE'!$D$56:$D$75)=0,0,'TO HOP NLAN'!F235*'TS-PILE'!$D$74/SUMSQ('TS-PILE'!$D$56:$D$75))),IF('TS-PILE'!$B$75="",1E+99,'TO HOP NLAN'!D235/ncoc+IF(SUMSQ('TS-PILE'!$E$56:$E$75)=0,0,'TO HOP NLAN'!E235*'TS-PILE'!$E$75/SUMSQ('TS-PILE'!$E$56:$E$75))+IF(SUMSQ('TS-PILE'!$D$56:$D$75)=0,0,'TO HOP NLAN'!F235*'TS-PILE'!$D$75/SUMSQ('TS-PILE'!$D$56:$D$75)))))</f>
        <v>0</v>
      </c>
      <c r="E235" s="46">
        <f t="shared" si="12"/>
        <v>-9.9999999999999997E+98</v>
      </c>
      <c r="F235" s="46">
        <f t="shared" si="13"/>
        <v>9.9999999999999997E+98</v>
      </c>
      <c r="G235" s="46">
        <f t="shared" si="14"/>
        <v>-9.9999999999999997E+98</v>
      </c>
      <c r="H235" s="46">
        <f t="shared" si="15"/>
        <v>9.9999999999999997E+98</v>
      </c>
    </row>
    <row r="236" spans="1:8" x14ac:dyDescent="0.3">
      <c r="A236" s="40" t="str">
        <f>'TO HOP NLAN'!A236</f>
        <v/>
      </c>
      <c r="B236" s="40" t="str">
        <f>'TO HOP NLAN'!L236</f>
        <v>STRENGTH</v>
      </c>
      <c r="C236" s="46">
        <f>IF(A236="",0,MAX(IF('TS-PILE'!$B$56="",-1E+99,'TO HOP NLAN'!D236/ncoc+IF(SUMSQ('TS-PILE'!$E$56:$E$75)=0,0,'TO HOP NLAN'!E236*'TS-PILE'!$E$56/SUMSQ('TS-PILE'!$E$56:$E$75))+IF(SUMSQ('TS-PILE'!$D$56:$D$75)=0,0,'TO HOP NLAN'!F236*'TS-PILE'!$D$56/SUMSQ('TS-PILE'!$D$56:$D$75))),IF('TS-PILE'!$B$57="",-1E+99,'TO HOP NLAN'!D236/ncoc+IF(SUMSQ('TS-PILE'!$E$56:$E$75)=0,0,'TO HOP NLAN'!E236*'TS-PILE'!$E$57/SUMSQ('TS-PILE'!$E$56:$E$75))+IF(SUMSQ('TS-PILE'!$D$56:$D$75)=0,0,'TO HOP NLAN'!F236*'TS-PILE'!$D$57/SUMSQ('TS-PILE'!$D$56:$D$75))),IF('TS-PILE'!$B$58="",-1E+99,'TO HOP NLAN'!D236/ncoc+IF(SUMSQ('TS-PILE'!$E$56:$E$75)=0,0,'TO HOP NLAN'!E236*'TS-PILE'!$E$58/SUMSQ('TS-PILE'!$E$56:$E$75))+IF(SUMSQ('TS-PILE'!$D$56:$D$75)=0,0,'TO HOP NLAN'!F236*'TS-PILE'!$D$58/SUMSQ('TS-PILE'!$D$56:$D$75))),IF('TS-PILE'!$B$59="",-1E+99,'TO HOP NLAN'!D236/ncoc+IF(SUMSQ('TS-PILE'!$E$56:$E$75)=0,0,'TO HOP NLAN'!E236*'TS-PILE'!$E$59/SUMSQ('TS-PILE'!$E$56:$E$75))+IF(SUMSQ('TS-PILE'!$D$56:$D$75)=0,0,'TO HOP NLAN'!F236*'TS-PILE'!$D$59/SUMSQ('TS-PILE'!$D$56:$D$75))),IF('TS-PILE'!$B$60="",-1E+99,'TO HOP NLAN'!D236/ncoc+IF(SUMSQ('TS-PILE'!$E$56:$E$75)=0,0,'TO HOP NLAN'!E236*'TS-PILE'!$E$60/SUMSQ('TS-PILE'!$E$56:$E$75))+IF(SUMSQ('TS-PILE'!$D$56:$D$75)=0,0,'TO HOP NLAN'!F236*'TS-PILE'!$D$60/SUMSQ('TS-PILE'!$D$56:$D$75))),IF('TS-PILE'!$B$61="",-1E+99,'TO HOP NLAN'!D236/ncoc+IF(SUMSQ('TS-PILE'!$E$56:$E$75)=0,0,'TO HOP NLAN'!E236*'TS-PILE'!$E$61/SUMSQ('TS-PILE'!$E$56:$E$75))+IF(SUMSQ('TS-PILE'!$D$56:$D$75)=0,0,'TO HOP NLAN'!F236*'TS-PILE'!$D$61/SUMSQ('TS-PILE'!$D$56:$D$75))),IF('TS-PILE'!$B$62="",-1E+99,'TO HOP NLAN'!D236/ncoc+IF(SUMSQ('TS-PILE'!$E$56:$E$75)=0,0,'TO HOP NLAN'!E236*'TS-PILE'!$E$62/SUMSQ('TS-PILE'!$E$56:$E$75))+IF(SUMSQ('TS-PILE'!$D$56:$D$75)=0,0,'TO HOP NLAN'!F236*'TS-PILE'!$D$62/SUMSQ('TS-PILE'!$D$56:$D$75))),IF('TS-PILE'!$B$63="",-1E+99,'TO HOP NLAN'!D236/ncoc+IF(SUMSQ('TS-PILE'!$E$56:$E$75)=0,0,'TO HOP NLAN'!E236*'TS-PILE'!$E$63/SUMSQ('TS-PILE'!$E$56:$E$75))+IF(SUMSQ('TS-PILE'!$D$56:$D$75)=0,0,'TO HOP NLAN'!F236*'TS-PILE'!$D$63/SUMSQ('TS-PILE'!$D$56:$D$75))),IF('TS-PILE'!$B$64="",-1E+99,'TO HOP NLAN'!D236/ncoc+IF(SUMSQ('TS-PILE'!$E$56:$E$75)=0,0,'TO HOP NLAN'!E236*'TS-PILE'!$E$64/SUMSQ('TS-PILE'!$E$56:$E$75))+IF(SUMSQ('TS-PILE'!$D$56:$D$75)=0,0,'TO HOP NLAN'!F236*'TS-PILE'!$D$64/SUMSQ('TS-PILE'!$D$56:$D$75))),IF('TS-PILE'!$B$65="",-1E+99,'TO HOP NLAN'!D236/ncoc+IF(SUMSQ('TS-PILE'!$E$56:$E$75)=0,0,'TO HOP NLAN'!E236*'TS-PILE'!$E$65/SUMSQ('TS-PILE'!$E$56:$E$75))+IF(SUMSQ('TS-PILE'!$D$56:$D$75)=0,0,'TO HOP NLAN'!F236*'TS-PILE'!$D$65/SUMSQ('TS-PILE'!$D$56:$D$75))),IF('TS-PILE'!$B$66="",-1E+99,'TO HOP NLAN'!D236/ncoc+IF(SUMSQ('TS-PILE'!$E$56:$E$75)=0,0,'TO HOP NLAN'!E236*'TS-PILE'!$E$66/SUMSQ('TS-PILE'!$E$56:$E$75))+IF(SUMSQ('TS-PILE'!$D$56:$D$75)=0,0,'TO HOP NLAN'!F236*'TS-PILE'!$D$66/SUMSQ('TS-PILE'!$D$56:$D$75))),IF('TS-PILE'!$B$67="",-1E+99,'TO HOP NLAN'!D236/ncoc+IF(SUMSQ('TS-PILE'!$E$56:$E$75)=0,0,'TO HOP NLAN'!E236*'TS-PILE'!$E$67/SUMSQ('TS-PILE'!$E$56:$E$75))+IF(SUMSQ('TS-PILE'!$D$56:$D$75)=0,0,'TO HOP NLAN'!F236*'TS-PILE'!$D$67/SUMSQ('TS-PILE'!$D$56:$D$75))),IF('TS-PILE'!$B$68="",-1E+99,'TO HOP NLAN'!D236/ncoc+IF(SUMSQ('TS-PILE'!$E$56:$E$75)=0,0,'TO HOP NLAN'!E236*'TS-PILE'!$E$68/SUMSQ('TS-PILE'!$E$56:$E$75))+IF(SUMSQ('TS-PILE'!$D$56:$D$75)=0,0,'TO HOP NLAN'!F236*'TS-PILE'!$D$68/SUMSQ('TS-PILE'!$D$56:$D$75))),IF('TS-PILE'!$B$69="",-1E+99,'TO HOP NLAN'!D236/ncoc+IF(SUMSQ('TS-PILE'!$E$56:$E$75)=0,0,'TO HOP NLAN'!E236*'TS-PILE'!$E$69/SUMSQ('TS-PILE'!$E$56:$E$75))+IF(SUMSQ('TS-PILE'!$D$56:$D$75)=0,0,'TO HOP NLAN'!F236*'TS-PILE'!$D$69/SUMSQ('TS-PILE'!$D$56:$D$75))),IF('TS-PILE'!$B$70="",-1E+99,'TO HOP NLAN'!D236/ncoc+IF(SUMSQ('TS-PILE'!$E$56:$E$75)=0,0,'TO HOP NLAN'!E236*'TS-PILE'!$E$70/SUMSQ('TS-PILE'!$E$56:$E$75))+IF(SUMSQ('TS-PILE'!$D$56:$D$75)=0,0,'TO HOP NLAN'!F236*'TS-PILE'!$D$70/SUMSQ('TS-PILE'!$D$56:$D$75))),IF('TS-PILE'!$B$71="",-1E+99,'TO HOP NLAN'!D236/ncoc+IF(SUMSQ('TS-PILE'!$E$56:$E$75)=0,0,'TO HOP NLAN'!E236*'TS-PILE'!$E$71/SUMSQ('TS-PILE'!$E$56:$E$75))+IF(SUMSQ('TS-PILE'!$D$56:$D$75)=0,0,'TO HOP NLAN'!F236*'TS-PILE'!$D$71/SUMSQ('TS-PILE'!$D$56:$D$75))),IF('TS-PILE'!$B$72="",-1E+99,'TO HOP NLAN'!D236/ncoc+IF(SUMSQ('TS-PILE'!$E$56:$E$75)=0,0,'TO HOP NLAN'!E236*'TS-PILE'!$E$72/SUMSQ('TS-PILE'!$E$56:$E$75))+IF(SUMSQ('TS-PILE'!$D$56:$D$75)=0,0,'TO HOP NLAN'!F236*'TS-PILE'!$D$72/SUMSQ('TS-PILE'!$D$56:$D$75))),IF('TS-PILE'!$B$73="",-1E+99,'TO HOP NLAN'!D236/ncoc+IF(SUMSQ('TS-PILE'!$E$56:$E$75)=0,0,'TO HOP NLAN'!E236*'TS-PILE'!$E$73/SUMSQ('TS-PILE'!$E$56:$E$75))+IF(SUMSQ('TS-PILE'!$D$56:$D$75)=0,0,'TO HOP NLAN'!F236*'TS-PILE'!$D$73/SUMSQ('TS-PILE'!$D$56:$D$75))),IF('TS-PILE'!$B$74="",-1E+99,'TO HOP NLAN'!D236/ncoc+IF(SUMSQ('TS-PILE'!$E$56:$E$75)=0,0,'TO HOP NLAN'!E236*'TS-PILE'!$E$74/SUMSQ('TS-PILE'!$E$56:$E$75))+IF(SUMSQ('TS-PILE'!$D$56:$D$75)=0,0,'TO HOP NLAN'!F236*'TS-PILE'!$D$74/SUMSQ('TS-PILE'!$D$56:$D$75))),IF('TS-PILE'!$B$75="",-1E+99,'TO HOP NLAN'!D236/ncoc+IF(SUMSQ('TS-PILE'!$E$56:$E$75)=0,0,'TO HOP NLAN'!E236*'TS-PILE'!$E$75/SUMSQ('TS-PILE'!$E$56:$E$75))+IF(SUMSQ('TS-PILE'!$D$56:$D$75)=0,0,'TO HOP NLAN'!F236*'TS-PILE'!$D$75/SUMSQ('TS-PILE'!$D$56:$D$75)))))</f>
        <v>0</v>
      </c>
      <c r="D236" s="46">
        <f>IF(A236="",0,MIN(IF('TS-PILE'!$B$56="",1E+99,'TO HOP NLAN'!D236/ncoc+IF(SUMSQ('TS-PILE'!$E$56:$E$75)=0,0,'TO HOP NLAN'!E236*'TS-PILE'!$E$56/SUMSQ('TS-PILE'!$E$56:$E$75))+IF(SUMSQ('TS-PILE'!$D$56:$D$75)=0,0,'TO HOP NLAN'!F236*'TS-PILE'!$D$56/SUMSQ('TS-PILE'!$D$56:$D$75))),IF('TS-PILE'!$B$57="",1E+99,'TO HOP NLAN'!D236/ncoc+IF(SUMSQ('TS-PILE'!$E$56:$E$75)=0,0,'TO HOP NLAN'!E236*'TS-PILE'!$E$57/SUMSQ('TS-PILE'!$E$56:$E$75))+IF(SUMSQ('TS-PILE'!$D$56:$D$75)=0,0,'TO HOP NLAN'!F236*'TS-PILE'!$D$57/SUMSQ('TS-PILE'!$D$56:$D$75))),IF('TS-PILE'!$B$58="",1E+99,'TO HOP NLAN'!D236/ncoc+IF(SUMSQ('TS-PILE'!$E$56:$E$75)=0,0,'TO HOP NLAN'!E236*'TS-PILE'!$E$58/SUMSQ('TS-PILE'!$E$56:$E$75))+IF(SUMSQ('TS-PILE'!$D$56:$D$75)=0,0,'TO HOP NLAN'!F236*'TS-PILE'!$D$58/SUMSQ('TS-PILE'!$D$56:$D$75))),IF('TS-PILE'!$B$59="",1E+99,'TO HOP NLAN'!D236/ncoc+IF(SUMSQ('TS-PILE'!$E$56:$E$75)=0,0,'TO HOP NLAN'!E236*'TS-PILE'!$E$59/SUMSQ('TS-PILE'!$E$56:$E$75))+IF(SUMSQ('TS-PILE'!$D$56:$D$75)=0,0,'TO HOP NLAN'!F236*'TS-PILE'!$D$59/SUMSQ('TS-PILE'!$D$56:$D$75))),IF('TS-PILE'!$B$60="",1E+99,'TO HOP NLAN'!D236/ncoc+IF(SUMSQ('TS-PILE'!$E$56:$E$75)=0,0,'TO HOP NLAN'!E236*'TS-PILE'!$E$60/SUMSQ('TS-PILE'!$E$56:$E$75))+IF(SUMSQ('TS-PILE'!$D$56:$D$75)=0,0,'TO HOP NLAN'!F236*'TS-PILE'!$D$60/SUMSQ('TS-PILE'!$D$56:$D$75))),IF('TS-PILE'!$B$61="",1E+99,'TO HOP NLAN'!D236/ncoc+IF(SUMSQ('TS-PILE'!$E$56:$E$75)=0,0,'TO HOP NLAN'!E236*'TS-PILE'!$E$61/SUMSQ('TS-PILE'!$E$56:$E$75))+IF(SUMSQ('TS-PILE'!$D$56:$D$75)=0,0,'TO HOP NLAN'!F236*'TS-PILE'!$D$61/SUMSQ('TS-PILE'!$D$56:$D$75))),IF('TS-PILE'!$B$62="",1E+99,'TO HOP NLAN'!D236/ncoc+IF(SUMSQ('TS-PILE'!$E$56:$E$75)=0,0,'TO HOP NLAN'!E236*'TS-PILE'!$E$62/SUMSQ('TS-PILE'!$E$56:$E$75))+IF(SUMSQ('TS-PILE'!$D$56:$D$75)=0,0,'TO HOP NLAN'!F236*'TS-PILE'!$D$62/SUMSQ('TS-PILE'!$D$56:$D$75))),IF('TS-PILE'!$B$63="",1E+99,'TO HOP NLAN'!D236/ncoc+IF(SUMSQ('TS-PILE'!$E$56:$E$75)=0,0,'TO HOP NLAN'!E236*'TS-PILE'!$E$63/SUMSQ('TS-PILE'!$E$56:$E$75))+IF(SUMSQ('TS-PILE'!$D$56:$D$75)=0,0,'TO HOP NLAN'!F236*'TS-PILE'!$D$63/SUMSQ('TS-PILE'!$D$56:$D$75))),IF('TS-PILE'!$B$64="",1E+99,'TO HOP NLAN'!D236/ncoc+IF(SUMSQ('TS-PILE'!$E$56:$E$75)=0,0,'TO HOP NLAN'!E236*'TS-PILE'!$E$64/SUMSQ('TS-PILE'!$E$56:$E$75))+IF(SUMSQ('TS-PILE'!$D$56:$D$75)=0,0,'TO HOP NLAN'!F236*'TS-PILE'!$D$64/SUMSQ('TS-PILE'!$D$56:$D$75))),IF('TS-PILE'!$B$65="",1E+99,'TO HOP NLAN'!D236/ncoc+IF(SUMSQ('TS-PILE'!$E$56:$E$75)=0,0,'TO HOP NLAN'!E236*'TS-PILE'!$E$65/SUMSQ('TS-PILE'!$E$56:$E$75))+IF(SUMSQ('TS-PILE'!$D$56:$D$75)=0,0,'TO HOP NLAN'!F236*'TS-PILE'!$D$65/SUMSQ('TS-PILE'!$D$56:$D$75))),IF('TS-PILE'!$B$66="",1E+99,'TO HOP NLAN'!D236/ncoc+IF(SUMSQ('TS-PILE'!$E$56:$E$75)=0,0,'TO HOP NLAN'!E236*'TS-PILE'!$E$66/SUMSQ('TS-PILE'!$E$56:$E$75))+IF(SUMSQ('TS-PILE'!$D$56:$D$75)=0,0,'TO HOP NLAN'!F236*'TS-PILE'!$D$66/SUMSQ('TS-PILE'!$D$56:$D$75))),IF('TS-PILE'!$B$67="",1E+99,'TO HOP NLAN'!D236/ncoc+IF(SUMSQ('TS-PILE'!$E$56:$E$75)=0,0,'TO HOP NLAN'!E236*'TS-PILE'!$E$67/SUMSQ('TS-PILE'!$E$56:$E$75))+IF(SUMSQ('TS-PILE'!$D$56:$D$75)=0,0,'TO HOP NLAN'!F236*'TS-PILE'!$D$67/SUMSQ('TS-PILE'!$D$56:$D$75))),IF('TS-PILE'!$B$68="",1E+99,'TO HOP NLAN'!D236/ncoc+IF(SUMSQ('TS-PILE'!$E$56:$E$75)=0,0,'TO HOP NLAN'!E236*'TS-PILE'!$E$68/SUMSQ('TS-PILE'!$E$56:$E$75))+IF(SUMSQ('TS-PILE'!$D$56:$D$75)=0,0,'TO HOP NLAN'!F236*'TS-PILE'!$D$68/SUMSQ('TS-PILE'!$D$56:$D$75))),IF('TS-PILE'!$B$69="",1E+99,'TO HOP NLAN'!D236/ncoc+IF(SUMSQ('TS-PILE'!$E$56:$E$75)=0,0,'TO HOP NLAN'!E236*'TS-PILE'!$E$69/SUMSQ('TS-PILE'!$E$56:$E$75))+IF(SUMSQ('TS-PILE'!$D$56:$D$75)=0,0,'TO HOP NLAN'!F236*'TS-PILE'!$D$69/SUMSQ('TS-PILE'!$D$56:$D$75))),IF('TS-PILE'!$B$70="",1E+99,'TO HOP NLAN'!D236/ncoc+IF(SUMSQ('TS-PILE'!$E$56:$E$75)=0,0,'TO HOP NLAN'!E236*'TS-PILE'!$E$70/SUMSQ('TS-PILE'!$E$56:$E$75))+IF(SUMSQ('TS-PILE'!$D$56:$D$75)=0,0,'TO HOP NLAN'!F236*'TS-PILE'!$D$70/SUMSQ('TS-PILE'!$D$56:$D$75))),IF('TS-PILE'!$B$71="",1E+99,'TO HOP NLAN'!D236/ncoc+IF(SUMSQ('TS-PILE'!$E$56:$E$75)=0,0,'TO HOP NLAN'!E236*'TS-PILE'!$E$71/SUMSQ('TS-PILE'!$E$56:$E$75))+IF(SUMSQ('TS-PILE'!$D$56:$D$75)=0,0,'TO HOP NLAN'!F236*'TS-PILE'!$D$71/SUMSQ('TS-PILE'!$D$56:$D$75))),IF('TS-PILE'!$B$72="",1E+99,'TO HOP NLAN'!D236/ncoc+IF(SUMSQ('TS-PILE'!$E$56:$E$75)=0,0,'TO HOP NLAN'!E236*'TS-PILE'!$E$72/SUMSQ('TS-PILE'!$E$56:$E$75))+IF(SUMSQ('TS-PILE'!$D$56:$D$75)=0,0,'TO HOP NLAN'!F236*'TS-PILE'!$D$72/SUMSQ('TS-PILE'!$D$56:$D$75))),IF('TS-PILE'!$B$73="",1E+99,'TO HOP NLAN'!D236/ncoc+IF(SUMSQ('TS-PILE'!$E$56:$E$75)=0,0,'TO HOP NLAN'!E236*'TS-PILE'!$E$73/SUMSQ('TS-PILE'!$E$56:$E$75))+IF(SUMSQ('TS-PILE'!$D$56:$D$75)=0,0,'TO HOP NLAN'!F236*'TS-PILE'!$D$73/SUMSQ('TS-PILE'!$D$56:$D$75))),IF('TS-PILE'!$B$74="",1E+99,'TO HOP NLAN'!D236/ncoc+IF(SUMSQ('TS-PILE'!$E$56:$E$75)=0,0,'TO HOP NLAN'!E236*'TS-PILE'!$E$74/SUMSQ('TS-PILE'!$E$56:$E$75))+IF(SUMSQ('TS-PILE'!$D$56:$D$75)=0,0,'TO HOP NLAN'!F236*'TS-PILE'!$D$74/SUMSQ('TS-PILE'!$D$56:$D$75))),IF('TS-PILE'!$B$75="",1E+99,'TO HOP NLAN'!D236/ncoc+IF(SUMSQ('TS-PILE'!$E$56:$E$75)=0,0,'TO HOP NLAN'!E236*'TS-PILE'!$E$75/SUMSQ('TS-PILE'!$E$56:$E$75))+IF(SUMSQ('TS-PILE'!$D$56:$D$75)=0,0,'TO HOP NLAN'!F236*'TS-PILE'!$D$75/SUMSQ('TS-PILE'!$D$56:$D$75)))))</f>
        <v>0</v>
      </c>
      <c r="E236" s="46">
        <f t="shared" si="12"/>
        <v>-9.9999999999999997E+98</v>
      </c>
      <c r="F236" s="46">
        <f t="shared" si="13"/>
        <v>9.9999999999999997E+98</v>
      </c>
      <c r="G236" s="46">
        <f t="shared" si="14"/>
        <v>-9.9999999999999997E+98</v>
      </c>
      <c r="H236" s="46">
        <f t="shared" si="15"/>
        <v>9.9999999999999997E+98</v>
      </c>
    </row>
    <row r="237" spans="1:8" x14ac:dyDescent="0.3">
      <c r="A237" s="40" t="str">
        <f>'TO HOP NLAN'!A237</f>
        <v/>
      </c>
      <c r="B237" s="40" t="str">
        <f>'TO HOP NLAN'!L237</f>
        <v>STRENGTH</v>
      </c>
      <c r="C237" s="46">
        <f>IF(A237="",0,MAX(IF('TS-PILE'!$B$56="",-1E+99,'TO HOP NLAN'!D237/ncoc+IF(SUMSQ('TS-PILE'!$E$56:$E$75)=0,0,'TO HOP NLAN'!E237*'TS-PILE'!$E$56/SUMSQ('TS-PILE'!$E$56:$E$75))+IF(SUMSQ('TS-PILE'!$D$56:$D$75)=0,0,'TO HOP NLAN'!F237*'TS-PILE'!$D$56/SUMSQ('TS-PILE'!$D$56:$D$75))),IF('TS-PILE'!$B$57="",-1E+99,'TO HOP NLAN'!D237/ncoc+IF(SUMSQ('TS-PILE'!$E$56:$E$75)=0,0,'TO HOP NLAN'!E237*'TS-PILE'!$E$57/SUMSQ('TS-PILE'!$E$56:$E$75))+IF(SUMSQ('TS-PILE'!$D$56:$D$75)=0,0,'TO HOP NLAN'!F237*'TS-PILE'!$D$57/SUMSQ('TS-PILE'!$D$56:$D$75))),IF('TS-PILE'!$B$58="",-1E+99,'TO HOP NLAN'!D237/ncoc+IF(SUMSQ('TS-PILE'!$E$56:$E$75)=0,0,'TO HOP NLAN'!E237*'TS-PILE'!$E$58/SUMSQ('TS-PILE'!$E$56:$E$75))+IF(SUMSQ('TS-PILE'!$D$56:$D$75)=0,0,'TO HOP NLAN'!F237*'TS-PILE'!$D$58/SUMSQ('TS-PILE'!$D$56:$D$75))),IF('TS-PILE'!$B$59="",-1E+99,'TO HOP NLAN'!D237/ncoc+IF(SUMSQ('TS-PILE'!$E$56:$E$75)=0,0,'TO HOP NLAN'!E237*'TS-PILE'!$E$59/SUMSQ('TS-PILE'!$E$56:$E$75))+IF(SUMSQ('TS-PILE'!$D$56:$D$75)=0,0,'TO HOP NLAN'!F237*'TS-PILE'!$D$59/SUMSQ('TS-PILE'!$D$56:$D$75))),IF('TS-PILE'!$B$60="",-1E+99,'TO HOP NLAN'!D237/ncoc+IF(SUMSQ('TS-PILE'!$E$56:$E$75)=0,0,'TO HOP NLAN'!E237*'TS-PILE'!$E$60/SUMSQ('TS-PILE'!$E$56:$E$75))+IF(SUMSQ('TS-PILE'!$D$56:$D$75)=0,0,'TO HOP NLAN'!F237*'TS-PILE'!$D$60/SUMSQ('TS-PILE'!$D$56:$D$75))),IF('TS-PILE'!$B$61="",-1E+99,'TO HOP NLAN'!D237/ncoc+IF(SUMSQ('TS-PILE'!$E$56:$E$75)=0,0,'TO HOP NLAN'!E237*'TS-PILE'!$E$61/SUMSQ('TS-PILE'!$E$56:$E$75))+IF(SUMSQ('TS-PILE'!$D$56:$D$75)=0,0,'TO HOP NLAN'!F237*'TS-PILE'!$D$61/SUMSQ('TS-PILE'!$D$56:$D$75))),IF('TS-PILE'!$B$62="",-1E+99,'TO HOP NLAN'!D237/ncoc+IF(SUMSQ('TS-PILE'!$E$56:$E$75)=0,0,'TO HOP NLAN'!E237*'TS-PILE'!$E$62/SUMSQ('TS-PILE'!$E$56:$E$75))+IF(SUMSQ('TS-PILE'!$D$56:$D$75)=0,0,'TO HOP NLAN'!F237*'TS-PILE'!$D$62/SUMSQ('TS-PILE'!$D$56:$D$75))),IF('TS-PILE'!$B$63="",-1E+99,'TO HOP NLAN'!D237/ncoc+IF(SUMSQ('TS-PILE'!$E$56:$E$75)=0,0,'TO HOP NLAN'!E237*'TS-PILE'!$E$63/SUMSQ('TS-PILE'!$E$56:$E$75))+IF(SUMSQ('TS-PILE'!$D$56:$D$75)=0,0,'TO HOP NLAN'!F237*'TS-PILE'!$D$63/SUMSQ('TS-PILE'!$D$56:$D$75))),IF('TS-PILE'!$B$64="",-1E+99,'TO HOP NLAN'!D237/ncoc+IF(SUMSQ('TS-PILE'!$E$56:$E$75)=0,0,'TO HOP NLAN'!E237*'TS-PILE'!$E$64/SUMSQ('TS-PILE'!$E$56:$E$75))+IF(SUMSQ('TS-PILE'!$D$56:$D$75)=0,0,'TO HOP NLAN'!F237*'TS-PILE'!$D$64/SUMSQ('TS-PILE'!$D$56:$D$75))),IF('TS-PILE'!$B$65="",-1E+99,'TO HOP NLAN'!D237/ncoc+IF(SUMSQ('TS-PILE'!$E$56:$E$75)=0,0,'TO HOP NLAN'!E237*'TS-PILE'!$E$65/SUMSQ('TS-PILE'!$E$56:$E$75))+IF(SUMSQ('TS-PILE'!$D$56:$D$75)=0,0,'TO HOP NLAN'!F237*'TS-PILE'!$D$65/SUMSQ('TS-PILE'!$D$56:$D$75))),IF('TS-PILE'!$B$66="",-1E+99,'TO HOP NLAN'!D237/ncoc+IF(SUMSQ('TS-PILE'!$E$56:$E$75)=0,0,'TO HOP NLAN'!E237*'TS-PILE'!$E$66/SUMSQ('TS-PILE'!$E$56:$E$75))+IF(SUMSQ('TS-PILE'!$D$56:$D$75)=0,0,'TO HOP NLAN'!F237*'TS-PILE'!$D$66/SUMSQ('TS-PILE'!$D$56:$D$75))),IF('TS-PILE'!$B$67="",-1E+99,'TO HOP NLAN'!D237/ncoc+IF(SUMSQ('TS-PILE'!$E$56:$E$75)=0,0,'TO HOP NLAN'!E237*'TS-PILE'!$E$67/SUMSQ('TS-PILE'!$E$56:$E$75))+IF(SUMSQ('TS-PILE'!$D$56:$D$75)=0,0,'TO HOP NLAN'!F237*'TS-PILE'!$D$67/SUMSQ('TS-PILE'!$D$56:$D$75))),IF('TS-PILE'!$B$68="",-1E+99,'TO HOP NLAN'!D237/ncoc+IF(SUMSQ('TS-PILE'!$E$56:$E$75)=0,0,'TO HOP NLAN'!E237*'TS-PILE'!$E$68/SUMSQ('TS-PILE'!$E$56:$E$75))+IF(SUMSQ('TS-PILE'!$D$56:$D$75)=0,0,'TO HOP NLAN'!F237*'TS-PILE'!$D$68/SUMSQ('TS-PILE'!$D$56:$D$75))),IF('TS-PILE'!$B$69="",-1E+99,'TO HOP NLAN'!D237/ncoc+IF(SUMSQ('TS-PILE'!$E$56:$E$75)=0,0,'TO HOP NLAN'!E237*'TS-PILE'!$E$69/SUMSQ('TS-PILE'!$E$56:$E$75))+IF(SUMSQ('TS-PILE'!$D$56:$D$75)=0,0,'TO HOP NLAN'!F237*'TS-PILE'!$D$69/SUMSQ('TS-PILE'!$D$56:$D$75))),IF('TS-PILE'!$B$70="",-1E+99,'TO HOP NLAN'!D237/ncoc+IF(SUMSQ('TS-PILE'!$E$56:$E$75)=0,0,'TO HOP NLAN'!E237*'TS-PILE'!$E$70/SUMSQ('TS-PILE'!$E$56:$E$75))+IF(SUMSQ('TS-PILE'!$D$56:$D$75)=0,0,'TO HOP NLAN'!F237*'TS-PILE'!$D$70/SUMSQ('TS-PILE'!$D$56:$D$75))),IF('TS-PILE'!$B$71="",-1E+99,'TO HOP NLAN'!D237/ncoc+IF(SUMSQ('TS-PILE'!$E$56:$E$75)=0,0,'TO HOP NLAN'!E237*'TS-PILE'!$E$71/SUMSQ('TS-PILE'!$E$56:$E$75))+IF(SUMSQ('TS-PILE'!$D$56:$D$75)=0,0,'TO HOP NLAN'!F237*'TS-PILE'!$D$71/SUMSQ('TS-PILE'!$D$56:$D$75))),IF('TS-PILE'!$B$72="",-1E+99,'TO HOP NLAN'!D237/ncoc+IF(SUMSQ('TS-PILE'!$E$56:$E$75)=0,0,'TO HOP NLAN'!E237*'TS-PILE'!$E$72/SUMSQ('TS-PILE'!$E$56:$E$75))+IF(SUMSQ('TS-PILE'!$D$56:$D$75)=0,0,'TO HOP NLAN'!F237*'TS-PILE'!$D$72/SUMSQ('TS-PILE'!$D$56:$D$75))),IF('TS-PILE'!$B$73="",-1E+99,'TO HOP NLAN'!D237/ncoc+IF(SUMSQ('TS-PILE'!$E$56:$E$75)=0,0,'TO HOP NLAN'!E237*'TS-PILE'!$E$73/SUMSQ('TS-PILE'!$E$56:$E$75))+IF(SUMSQ('TS-PILE'!$D$56:$D$75)=0,0,'TO HOP NLAN'!F237*'TS-PILE'!$D$73/SUMSQ('TS-PILE'!$D$56:$D$75))),IF('TS-PILE'!$B$74="",-1E+99,'TO HOP NLAN'!D237/ncoc+IF(SUMSQ('TS-PILE'!$E$56:$E$75)=0,0,'TO HOP NLAN'!E237*'TS-PILE'!$E$74/SUMSQ('TS-PILE'!$E$56:$E$75))+IF(SUMSQ('TS-PILE'!$D$56:$D$75)=0,0,'TO HOP NLAN'!F237*'TS-PILE'!$D$74/SUMSQ('TS-PILE'!$D$56:$D$75))),IF('TS-PILE'!$B$75="",-1E+99,'TO HOP NLAN'!D237/ncoc+IF(SUMSQ('TS-PILE'!$E$56:$E$75)=0,0,'TO HOP NLAN'!E237*'TS-PILE'!$E$75/SUMSQ('TS-PILE'!$E$56:$E$75))+IF(SUMSQ('TS-PILE'!$D$56:$D$75)=0,0,'TO HOP NLAN'!F237*'TS-PILE'!$D$75/SUMSQ('TS-PILE'!$D$56:$D$75)))))</f>
        <v>0</v>
      </c>
      <c r="D237" s="46">
        <f>IF(A237="",0,MIN(IF('TS-PILE'!$B$56="",1E+99,'TO HOP NLAN'!D237/ncoc+IF(SUMSQ('TS-PILE'!$E$56:$E$75)=0,0,'TO HOP NLAN'!E237*'TS-PILE'!$E$56/SUMSQ('TS-PILE'!$E$56:$E$75))+IF(SUMSQ('TS-PILE'!$D$56:$D$75)=0,0,'TO HOP NLAN'!F237*'TS-PILE'!$D$56/SUMSQ('TS-PILE'!$D$56:$D$75))),IF('TS-PILE'!$B$57="",1E+99,'TO HOP NLAN'!D237/ncoc+IF(SUMSQ('TS-PILE'!$E$56:$E$75)=0,0,'TO HOP NLAN'!E237*'TS-PILE'!$E$57/SUMSQ('TS-PILE'!$E$56:$E$75))+IF(SUMSQ('TS-PILE'!$D$56:$D$75)=0,0,'TO HOP NLAN'!F237*'TS-PILE'!$D$57/SUMSQ('TS-PILE'!$D$56:$D$75))),IF('TS-PILE'!$B$58="",1E+99,'TO HOP NLAN'!D237/ncoc+IF(SUMSQ('TS-PILE'!$E$56:$E$75)=0,0,'TO HOP NLAN'!E237*'TS-PILE'!$E$58/SUMSQ('TS-PILE'!$E$56:$E$75))+IF(SUMSQ('TS-PILE'!$D$56:$D$75)=0,0,'TO HOP NLAN'!F237*'TS-PILE'!$D$58/SUMSQ('TS-PILE'!$D$56:$D$75))),IF('TS-PILE'!$B$59="",1E+99,'TO HOP NLAN'!D237/ncoc+IF(SUMSQ('TS-PILE'!$E$56:$E$75)=0,0,'TO HOP NLAN'!E237*'TS-PILE'!$E$59/SUMSQ('TS-PILE'!$E$56:$E$75))+IF(SUMSQ('TS-PILE'!$D$56:$D$75)=0,0,'TO HOP NLAN'!F237*'TS-PILE'!$D$59/SUMSQ('TS-PILE'!$D$56:$D$75))),IF('TS-PILE'!$B$60="",1E+99,'TO HOP NLAN'!D237/ncoc+IF(SUMSQ('TS-PILE'!$E$56:$E$75)=0,0,'TO HOP NLAN'!E237*'TS-PILE'!$E$60/SUMSQ('TS-PILE'!$E$56:$E$75))+IF(SUMSQ('TS-PILE'!$D$56:$D$75)=0,0,'TO HOP NLAN'!F237*'TS-PILE'!$D$60/SUMSQ('TS-PILE'!$D$56:$D$75))),IF('TS-PILE'!$B$61="",1E+99,'TO HOP NLAN'!D237/ncoc+IF(SUMSQ('TS-PILE'!$E$56:$E$75)=0,0,'TO HOP NLAN'!E237*'TS-PILE'!$E$61/SUMSQ('TS-PILE'!$E$56:$E$75))+IF(SUMSQ('TS-PILE'!$D$56:$D$75)=0,0,'TO HOP NLAN'!F237*'TS-PILE'!$D$61/SUMSQ('TS-PILE'!$D$56:$D$75))),IF('TS-PILE'!$B$62="",1E+99,'TO HOP NLAN'!D237/ncoc+IF(SUMSQ('TS-PILE'!$E$56:$E$75)=0,0,'TO HOP NLAN'!E237*'TS-PILE'!$E$62/SUMSQ('TS-PILE'!$E$56:$E$75))+IF(SUMSQ('TS-PILE'!$D$56:$D$75)=0,0,'TO HOP NLAN'!F237*'TS-PILE'!$D$62/SUMSQ('TS-PILE'!$D$56:$D$75))),IF('TS-PILE'!$B$63="",1E+99,'TO HOP NLAN'!D237/ncoc+IF(SUMSQ('TS-PILE'!$E$56:$E$75)=0,0,'TO HOP NLAN'!E237*'TS-PILE'!$E$63/SUMSQ('TS-PILE'!$E$56:$E$75))+IF(SUMSQ('TS-PILE'!$D$56:$D$75)=0,0,'TO HOP NLAN'!F237*'TS-PILE'!$D$63/SUMSQ('TS-PILE'!$D$56:$D$75))),IF('TS-PILE'!$B$64="",1E+99,'TO HOP NLAN'!D237/ncoc+IF(SUMSQ('TS-PILE'!$E$56:$E$75)=0,0,'TO HOP NLAN'!E237*'TS-PILE'!$E$64/SUMSQ('TS-PILE'!$E$56:$E$75))+IF(SUMSQ('TS-PILE'!$D$56:$D$75)=0,0,'TO HOP NLAN'!F237*'TS-PILE'!$D$64/SUMSQ('TS-PILE'!$D$56:$D$75))),IF('TS-PILE'!$B$65="",1E+99,'TO HOP NLAN'!D237/ncoc+IF(SUMSQ('TS-PILE'!$E$56:$E$75)=0,0,'TO HOP NLAN'!E237*'TS-PILE'!$E$65/SUMSQ('TS-PILE'!$E$56:$E$75))+IF(SUMSQ('TS-PILE'!$D$56:$D$75)=0,0,'TO HOP NLAN'!F237*'TS-PILE'!$D$65/SUMSQ('TS-PILE'!$D$56:$D$75))),IF('TS-PILE'!$B$66="",1E+99,'TO HOP NLAN'!D237/ncoc+IF(SUMSQ('TS-PILE'!$E$56:$E$75)=0,0,'TO HOP NLAN'!E237*'TS-PILE'!$E$66/SUMSQ('TS-PILE'!$E$56:$E$75))+IF(SUMSQ('TS-PILE'!$D$56:$D$75)=0,0,'TO HOP NLAN'!F237*'TS-PILE'!$D$66/SUMSQ('TS-PILE'!$D$56:$D$75))),IF('TS-PILE'!$B$67="",1E+99,'TO HOP NLAN'!D237/ncoc+IF(SUMSQ('TS-PILE'!$E$56:$E$75)=0,0,'TO HOP NLAN'!E237*'TS-PILE'!$E$67/SUMSQ('TS-PILE'!$E$56:$E$75))+IF(SUMSQ('TS-PILE'!$D$56:$D$75)=0,0,'TO HOP NLAN'!F237*'TS-PILE'!$D$67/SUMSQ('TS-PILE'!$D$56:$D$75))),IF('TS-PILE'!$B$68="",1E+99,'TO HOP NLAN'!D237/ncoc+IF(SUMSQ('TS-PILE'!$E$56:$E$75)=0,0,'TO HOP NLAN'!E237*'TS-PILE'!$E$68/SUMSQ('TS-PILE'!$E$56:$E$75))+IF(SUMSQ('TS-PILE'!$D$56:$D$75)=0,0,'TO HOP NLAN'!F237*'TS-PILE'!$D$68/SUMSQ('TS-PILE'!$D$56:$D$75))),IF('TS-PILE'!$B$69="",1E+99,'TO HOP NLAN'!D237/ncoc+IF(SUMSQ('TS-PILE'!$E$56:$E$75)=0,0,'TO HOP NLAN'!E237*'TS-PILE'!$E$69/SUMSQ('TS-PILE'!$E$56:$E$75))+IF(SUMSQ('TS-PILE'!$D$56:$D$75)=0,0,'TO HOP NLAN'!F237*'TS-PILE'!$D$69/SUMSQ('TS-PILE'!$D$56:$D$75))),IF('TS-PILE'!$B$70="",1E+99,'TO HOP NLAN'!D237/ncoc+IF(SUMSQ('TS-PILE'!$E$56:$E$75)=0,0,'TO HOP NLAN'!E237*'TS-PILE'!$E$70/SUMSQ('TS-PILE'!$E$56:$E$75))+IF(SUMSQ('TS-PILE'!$D$56:$D$75)=0,0,'TO HOP NLAN'!F237*'TS-PILE'!$D$70/SUMSQ('TS-PILE'!$D$56:$D$75))),IF('TS-PILE'!$B$71="",1E+99,'TO HOP NLAN'!D237/ncoc+IF(SUMSQ('TS-PILE'!$E$56:$E$75)=0,0,'TO HOP NLAN'!E237*'TS-PILE'!$E$71/SUMSQ('TS-PILE'!$E$56:$E$75))+IF(SUMSQ('TS-PILE'!$D$56:$D$75)=0,0,'TO HOP NLAN'!F237*'TS-PILE'!$D$71/SUMSQ('TS-PILE'!$D$56:$D$75))),IF('TS-PILE'!$B$72="",1E+99,'TO HOP NLAN'!D237/ncoc+IF(SUMSQ('TS-PILE'!$E$56:$E$75)=0,0,'TO HOP NLAN'!E237*'TS-PILE'!$E$72/SUMSQ('TS-PILE'!$E$56:$E$75))+IF(SUMSQ('TS-PILE'!$D$56:$D$75)=0,0,'TO HOP NLAN'!F237*'TS-PILE'!$D$72/SUMSQ('TS-PILE'!$D$56:$D$75))),IF('TS-PILE'!$B$73="",1E+99,'TO HOP NLAN'!D237/ncoc+IF(SUMSQ('TS-PILE'!$E$56:$E$75)=0,0,'TO HOP NLAN'!E237*'TS-PILE'!$E$73/SUMSQ('TS-PILE'!$E$56:$E$75))+IF(SUMSQ('TS-PILE'!$D$56:$D$75)=0,0,'TO HOP NLAN'!F237*'TS-PILE'!$D$73/SUMSQ('TS-PILE'!$D$56:$D$75))),IF('TS-PILE'!$B$74="",1E+99,'TO HOP NLAN'!D237/ncoc+IF(SUMSQ('TS-PILE'!$E$56:$E$75)=0,0,'TO HOP NLAN'!E237*'TS-PILE'!$E$74/SUMSQ('TS-PILE'!$E$56:$E$75))+IF(SUMSQ('TS-PILE'!$D$56:$D$75)=0,0,'TO HOP NLAN'!F237*'TS-PILE'!$D$74/SUMSQ('TS-PILE'!$D$56:$D$75))),IF('TS-PILE'!$B$75="",1E+99,'TO HOP NLAN'!D237/ncoc+IF(SUMSQ('TS-PILE'!$E$56:$E$75)=0,0,'TO HOP NLAN'!E237*'TS-PILE'!$E$75/SUMSQ('TS-PILE'!$E$56:$E$75))+IF(SUMSQ('TS-PILE'!$D$56:$D$75)=0,0,'TO HOP NLAN'!F237*'TS-PILE'!$D$75/SUMSQ('TS-PILE'!$D$56:$D$75)))))</f>
        <v>0</v>
      </c>
      <c r="E237" s="46">
        <f t="shared" si="12"/>
        <v>-9.9999999999999997E+98</v>
      </c>
      <c r="F237" s="46">
        <f t="shared" si="13"/>
        <v>9.9999999999999997E+98</v>
      </c>
      <c r="G237" s="46">
        <f t="shared" si="14"/>
        <v>-9.9999999999999997E+98</v>
      </c>
      <c r="H237" s="46">
        <f t="shared" si="15"/>
        <v>9.9999999999999997E+98</v>
      </c>
    </row>
    <row r="238" spans="1:8" x14ac:dyDescent="0.3">
      <c r="A238" s="40" t="str">
        <f>'TO HOP NLAN'!A238</f>
        <v/>
      </c>
      <c r="B238" s="40" t="str">
        <f>'TO HOP NLAN'!L238</f>
        <v>STRENGTH</v>
      </c>
      <c r="C238" s="46">
        <f>IF(A238="",0,MAX(IF('TS-PILE'!$B$56="",-1E+99,'TO HOP NLAN'!D238/ncoc+IF(SUMSQ('TS-PILE'!$E$56:$E$75)=0,0,'TO HOP NLAN'!E238*'TS-PILE'!$E$56/SUMSQ('TS-PILE'!$E$56:$E$75))+IF(SUMSQ('TS-PILE'!$D$56:$D$75)=0,0,'TO HOP NLAN'!F238*'TS-PILE'!$D$56/SUMSQ('TS-PILE'!$D$56:$D$75))),IF('TS-PILE'!$B$57="",-1E+99,'TO HOP NLAN'!D238/ncoc+IF(SUMSQ('TS-PILE'!$E$56:$E$75)=0,0,'TO HOP NLAN'!E238*'TS-PILE'!$E$57/SUMSQ('TS-PILE'!$E$56:$E$75))+IF(SUMSQ('TS-PILE'!$D$56:$D$75)=0,0,'TO HOP NLAN'!F238*'TS-PILE'!$D$57/SUMSQ('TS-PILE'!$D$56:$D$75))),IF('TS-PILE'!$B$58="",-1E+99,'TO HOP NLAN'!D238/ncoc+IF(SUMSQ('TS-PILE'!$E$56:$E$75)=0,0,'TO HOP NLAN'!E238*'TS-PILE'!$E$58/SUMSQ('TS-PILE'!$E$56:$E$75))+IF(SUMSQ('TS-PILE'!$D$56:$D$75)=0,0,'TO HOP NLAN'!F238*'TS-PILE'!$D$58/SUMSQ('TS-PILE'!$D$56:$D$75))),IF('TS-PILE'!$B$59="",-1E+99,'TO HOP NLAN'!D238/ncoc+IF(SUMSQ('TS-PILE'!$E$56:$E$75)=0,0,'TO HOP NLAN'!E238*'TS-PILE'!$E$59/SUMSQ('TS-PILE'!$E$56:$E$75))+IF(SUMSQ('TS-PILE'!$D$56:$D$75)=0,0,'TO HOP NLAN'!F238*'TS-PILE'!$D$59/SUMSQ('TS-PILE'!$D$56:$D$75))),IF('TS-PILE'!$B$60="",-1E+99,'TO HOP NLAN'!D238/ncoc+IF(SUMSQ('TS-PILE'!$E$56:$E$75)=0,0,'TO HOP NLAN'!E238*'TS-PILE'!$E$60/SUMSQ('TS-PILE'!$E$56:$E$75))+IF(SUMSQ('TS-PILE'!$D$56:$D$75)=0,0,'TO HOP NLAN'!F238*'TS-PILE'!$D$60/SUMSQ('TS-PILE'!$D$56:$D$75))),IF('TS-PILE'!$B$61="",-1E+99,'TO HOP NLAN'!D238/ncoc+IF(SUMSQ('TS-PILE'!$E$56:$E$75)=0,0,'TO HOP NLAN'!E238*'TS-PILE'!$E$61/SUMSQ('TS-PILE'!$E$56:$E$75))+IF(SUMSQ('TS-PILE'!$D$56:$D$75)=0,0,'TO HOP NLAN'!F238*'TS-PILE'!$D$61/SUMSQ('TS-PILE'!$D$56:$D$75))),IF('TS-PILE'!$B$62="",-1E+99,'TO HOP NLAN'!D238/ncoc+IF(SUMSQ('TS-PILE'!$E$56:$E$75)=0,0,'TO HOP NLAN'!E238*'TS-PILE'!$E$62/SUMSQ('TS-PILE'!$E$56:$E$75))+IF(SUMSQ('TS-PILE'!$D$56:$D$75)=0,0,'TO HOP NLAN'!F238*'TS-PILE'!$D$62/SUMSQ('TS-PILE'!$D$56:$D$75))),IF('TS-PILE'!$B$63="",-1E+99,'TO HOP NLAN'!D238/ncoc+IF(SUMSQ('TS-PILE'!$E$56:$E$75)=0,0,'TO HOP NLAN'!E238*'TS-PILE'!$E$63/SUMSQ('TS-PILE'!$E$56:$E$75))+IF(SUMSQ('TS-PILE'!$D$56:$D$75)=0,0,'TO HOP NLAN'!F238*'TS-PILE'!$D$63/SUMSQ('TS-PILE'!$D$56:$D$75))),IF('TS-PILE'!$B$64="",-1E+99,'TO HOP NLAN'!D238/ncoc+IF(SUMSQ('TS-PILE'!$E$56:$E$75)=0,0,'TO HOP NLAN'!E238*'TS-PILE'!$E$64/SUMSQ('TS-PILE'!$E$56:$E$75))+IF(SUMSQ('TS-PILE'!$D$56:$D$75)=0,0,'TO HOP NLAN'!F238*'TS-PILE'!$D$64/SUMSQ('TS-PILE'!$D$56:$D$75))),IF('TS-PILE'!$B$65="",-1E+99,'TO HOP NLAN'!D238/ncoc+IF(SUMSQ('TS-PILE'!$E$56:$E$75)=0,0,'TO HOP NLAN'!E238*'TS-PILE'!$E$65/SUMSQ('TS-PILE'!$E$56:$E$75))+IF(SUMSQ('TS-PILE'!$D$56:$D$75)=0,0,'TO HOP NLAN'!F238*'TS-PILE'!$D$65/SUMSQ('TS-PILE'!$D$56:$D$75))),IF('TS-PILE'!$B$66="",-1E+99,'TO HOP NLAN'!D238/ncoc+IF(SUMSQ('TS-PILE'!$E$56:$E$75)=0,0,'TO HOP NLAN'!E238*'TS-PILE'!$E$66/SUMSQ('TS-PILE'!$E$56:$E$75))+IF(SUMSQ('TS-PILE'!$D$56:$D$75)=0,0,'TO HOP NLAN'!F238*'TS-PILE'!$D$66/SUMSQ('TS-PILE'!$D$56:$D$75))),IF('TS-PILE'!$B$67="",-1E+99,'TO HOP NLAN'!D238/ncoc+IF(SUMSQ('TS-PILE'!$E$56:$E$75)=0,0,'TO HOP NLAN'!E238*'TS-PILE'!$E$67/SUMSQ('TS-PILE'!$E$56:$E$75))+IF(SUMSQ('TS-PILE'!$D$56:$D$75)=0,0,'TO HOP NLAN'!F238*'TS-PILE'!$D$67/SUMSQ('TS-PILE'!$D$56:$D$75))),IF('TS-PILE'!$B$68="",-1E+99,'TO HOP NLAN'!D238/ncoc+IF(SUMSQ('TS-PILE'!$E$56:$E$75)=0,0,'TO HOP NLAN'!E238*'TS-PILE'!$E$68/SUMSQ('TS-PILE'!$E$56:$E$75))+IF(SUMSQ('TS-PILE'!$D$56:$D$75)=0,0,'TO HOP NLAN'!F238*'TS-PILE'!$D$68/SUMSQ('TS-PILE'!$D$56:$D$75))),IF('TS-PILE'!$B$69="",-1E+99,'TO HOP NLAN'!D238/ncoc+IF(SUMSQ('TS-PILE'!$E$56:$E$75)=0,0,'TO HOP NLAN'!E238*'TS-PILE'!$E$69/SUMSQ('TS-PILE'!$E$56:$E$75))+IF(SUMSQ('TS-PILE'!$D$56:$D$75)=0,0,'TO HOP NLAN'!F238*'TS-PILE'!$D$69/SUMSQ('TS-PILE'!$D$56:$D$75))),IF('TS-PILE'!$B$70="",-1E+99,'TO HOP NLAN'!D238/ncoc+IF(SUMSQ('TS-PILE'!$E$56:$E$75)=0,0,'TO HOP NLAN'!E238*'TS-PILE'!$E$70/SUMSQ('TS-PILE'!$E$56:$E$75))+IF(SUMSQ('TS-PILE'!$D$56:$D$75)=0,0,'TO HOP NLAN'!F238*'TS-PILE'!$D$70/SUMSQ('TS-PILE'!$D$56:$D$75))),IF('TS-PILE'!$B$71="",-1E+99,'TO HOP NLAN'!D238/ncoc+IF(SUMSQ('TS-PILE'!$E$56:$E$75)=0,0,'TO HOP NLAN'!E238*'TS-PILE'!$E$71/SUMSQ('TS-PILE'!$E$56:$E$75))+IF(SUMSQ('TS-PILE'!$D$56:$D$75)=0,0,'TO HOP NLAN'!F238*'TS-PILE'!$D$71/SUMSQ('TS-PILE'!$D$56:$D$75))),IF('TS-PILE'!$B$72="",-1E+99,'TO HOP NLAN'!D238/ncoc+IF(SUMSQ('TS-PILE'!$E$56:$E$75)=0,0,'TO HOP NLAN'!E238*'TS-PILE'!$E$72/SUMSQ('TS-PILE'!$E$56:$E$75))+IF(SUMSQ('TS-PILE'!$D$56:$D$75)=0,0,'TO HOP NLAN'!F238*'TS-PILE'!$D$72/SUMSQ('TS-PILE'!$D$56:$D$75))),IF('TS-PILE'!$B$73="",-1E+99,'TO HOP NLAN'!D238/ncoc+IF(SUMSQ('TS-PILE'!$E$56:$E$75)=0,0,'TO HOP NLAN'!E238*'TS-PILE'!$E$73/SUMSQ('TS-PILE'!$E$56:$E$75))+IF(SUMSQ('TS-PILE'!$D$56:$D$75)=0,0,'TO HOP NLAN'!F238*'TS-PILE'!$D$73/SUMSQ('TS-PILE'!$D$56:$D$75))),IF('TS-PILE'!$B$74="",-1E+99,'TO HOP NLAN'!D238/ncoc+IF(SUMSQ('TS-PILE'!$E$56:$E$75)=0,0,'TO HOP NLAN'!E238*'TS-PILE'!$E$74/SUMSQ('TS-PILE'!$E$56:$E$75))+IF(SUMSQ('TS-PILE'!$D$56:$D$75)=0,0,'TO HOP NLAN'!F238*'TS-PILE'!$D$74/SUMSQ('TS-PILE'!$D$56:$D$75))),IF('TS-PILE'!$B$75="",-1E+99,'TO HOP NLAN'!D238/ncoc+IF(SUMSQ('TS-PILE'!$E$56:$E$75)=0,0,'TO HOP NLAN'!E238*'TS-PILE'!$E$75/SUMSQ('TS-PILE'!$E$56:$E$75))+IF(SUMSQ('TS-PILE'!$D$56:$D$75)=0,0,'TO HOP NLAN'!F238*'TS-PILE'!$D$75/SUMSQ('TS-PILE'!$D$56:$D$75)))))</f>
        <v>0</v>
      </c>
      <c r="D238" s="46">
        <f>IF(A238="",0,MIN(IF('TS-PILE'!$B$56="",1E+99,'TO HOP NLAN'!D238/ncoc+IF(SUMSQ('TS-PILE'!$E$56:$E$75)=0,0,'TO HOP NLAN'!E238*'TS-PILE'!$E$56/SUMSQ('TS-PILE'!$E$56:$E$75))+IF(SUMSQ('TS-PILE'!$D$56:$D$75)=0,0,'TO HOP NLAN'!F238*'TS-PILE'!$D$56/SUMSQ('TS-PILE'!$D$56:$D$75))),IF('TS-PILE'!$B$57="",1E+99,'TO HOP NLAN'!D238/ncoc+IF(SUMSQ('TS-PILE'!$E$56:$E$75)=0,0,'TO HOP NLAN'!E238*'TS-PILE'!$E$57/SUMSQ('TS-PILE'!$E$56:$E$75))+IF(SUMSQ('TS-PILE'!$D$56:$D$75)=0,0,'TO HOP NLAN'!F238*'TS-PILE'!$D$57/SUMSQ('TS-PILE'!$D$56:$D$75))),IF('TS-PILE'!$B$58="",1E+99,'TO HOP NLAN'!D238/ncoc+IF(SUMSQ('TS-PILE'!$E$56:$E$75)=0,0,'TO HOP NLAN'!E238*'TS-PILE'!$E$58/SUMSQ('TS-PILE'!$E$56:$E$75))+IF(SUMSQ('TS-PILE'!$D$56:$D$75)=0,0,'TO HOP NLAN'!F238*'TS-PILE'!$D$58/SUMSQ('TS-PILE'!$D$56:$D$75))),IF('TS-PILE'!$B$59="",1E+99,'TO HOP NLAN'!D238/ncoc+IF(SUMSQ('TS-PILE'!$E$56:$E$75)=0,0,'TO HOP NLAN'!E238*'TS-PILE'!$E$59/SUMSQ('TS-PILE'!$E$56:$E$75))+IF(SUMSQ('TS-PILE'!$D$56:$D$75)=0,0,'TO HOP NLAN'!F238*'TS-PILE'!$D$59/SUMSQ('TS-PILE'!$D$56:$D$75))),IF('TS-PILE'!$B$60="",1E+99,'TO HOP NLAN'!D238/ncoc+IF(SUMSQ('TS-PILE'!$E$56:$E$75)=0,0,'TO HOP NLAN'!E238*'TS-PILE'!$E$60/SUMSQ('TS-PILE'!$E$56:$E$75))+IF(SUMSQ('TS-PILE'!$D$56:$D$75)=0,0,'TO HOP NLAN'!F238*'TS-PILE'!$D$60/SUMSQ('TS-PILE'!$D$56:$D$75))),IF('TS-PILE'!$B$61="",1E+99,'TO HOP NLAN'!D238/ncoc+IF(SUMSQ('TS-PILE'!$E$56:$E$75)=0,0,'TO HOP NLAN'!E238*'TS-PILE'!$E$61/SUMSQ('TS-PILE'!$E$56:$E$75))+IF(SUMSQ('TS-PILE'!$D$56:$D$75)=0,0,'TO HOP NLAN'!F238*'TS-PILE'!$D$61/SUMSQ('TS-PILE'!$D$56:$D$75))),IF('TS-PILE'!$B$62="",1E+99,'TO HOP NLAN'!D238/ncoc+IF(SUMSQ('TS-PILE'!$E$56:$E$75)=0,0,'TO HOP NLAN'!E238*'TS-PILE'!$E$62/SUMSQ('TS-PILE'!$E$56:$E$75))+IF(SUMSQ('TS-PILE'!$D$56:$D$75)=0,0,'TO HOP NLAN'!F238*'TS-PILE'!$D$62/SUMSQ('TS-PILE'!$D$56:$D$75))),IF('TS-PILE'!$B$63="",1E+99,'TO HOP NLAN'!D238/ncoc+IF(SUMSQ('TS-PILE'!$E$56:$E$75)=0,0,'TO HOP NLAN'!E238*'TS-PILE'!$E$63/SUMSQ('TS-PILE'!$E$56:$E$75))+IF(SUMSQ('TS-PILE'!$D$56:$D$75)=0,0,'TO HOP NLAN'!F238*'TS-PILE'!$D$63/SUMSQ('TS-PILE'!$D$56:$D$75))),IF('TS-PILE'!$B$64="",1E+99,'TO HOP NLAN'!D238/ncoc+IF(SUMSQ('TS-PILE'!$E$56:$E$75)=0,0,'TO HOP NLAN'!E238*'TS-PILE'!$E$64/SUMSQ('TS-PILE'!$E$56:$E$75))+IF(SUMSQ('TS-PILE'!$D$56:$D$75)=0,0,'TO HOP NLAN'!F238*'TS-PILE'!$D$64/SUMSQ('TS-PILE'!$D$56:$D$75))),IF('TS-PILE'!$B$65="",1E+99,'TO HOP NLAN'!D238/ncoc+IF(SUMSQ('TS-PILE'!$E$56:$E$75)=0,0,'TO HOP NLAN'!E238*'TS-PILE'!$E$65/SUMSQ('TS-PILE'!$E$56:$E$75))+IF(SUMSQ('TS-PILE'!$D$56:$D$75)=0,0,'TO HOP NLAN'!F238*'TS-PILE'!$D$65/SUMSQ('TS-PILE'!$D$56:$D$75))),IF('TS-PILE'!$B$66="",1E+99,'TO HOP NLAN'!D238/ncoc+IF(SUMSQ('TS-PILE'!$E$56:$E$75)=0,0,'TO HOP NLAN'!E238*'TS-PILE'!$E$66/SUMSQ('TS-PILE'!$E$56:$E$75))+IF(SUMSQ('TS-PILE'!$D$56:$D$75)=0,0,'TO HOP NLAN'!F238*'TS-PILE'!$D$66/SUMSQ('TS-PILE'!$D$56:$D$75))),IF('TS-PILE'!$B$67="",1E+99,'TO HOP NLAN'!D238/ncoc+IF(SUMSQ('TS-PILE'!$E$56:$E$75)=0,0,'TO HOP NLAN'!E238*'TS-PILE'!$E$67/SUMSQ('TS-PILE'!$E$56:$E$75))+IF(SUMSQ('TS-PILE'!$D$56:$D$75)=0,0,'TO HOP NLAN'!F238*'TS-PILE'!$D$67/SUMSQ('TS-PILE'!$D$56:$D$75))),IF('TS-PILE'!$B$68="",1E+99,'TO HOP NLAN'!D238/ncoc+IF(SUMSQ('TS-PILE'!$E$56:$E$75)=0,0,'TO HOP NLAN'!E238*'TS-PILE'!$E$68/SUMSQ('TS-PILE'!$E$56:$E$75))+IF(SUMSQ('TS-PILE'!$D$56:$D$75)=0,0,'TO HOP NLAN'!F238*'TS-PILE'!$D$68/SUMSQ('TS-PILE'!$D$56:$D$75))),IF('TS-PILE'!$B$69="",1E+99,'TO HOP NLAN'!D238/ncoc+IF(SUMSQ('TS-PILE'!$E$56:$E$75)=0,0,'TO HOP NLAN'!E238*'TS-PILE'!$E$69/SUMSQ('TS-PILE'!$E$56:$E$75))+IF(SUMSQ('TS-PILE'!$D$56:$D$75)=0,0,'TO HOP NLAN'!F238*'TS-PILE'!$D$69/SUMSQ('TS-PILE'!$D$56:$D$75))),IF('TS-PILE'!$B$70="",1E+99,'TO HOP NLAN'!D238/ncoc+IF(SUMSQ('TS-PILE'!$E$56:$E$75)=0,0,'TO HOP NLAN'!E238*'TS-PILE'!$E$70/SUMSQ('TS-PILE'!$E$56:$E$75))+IF(SUMSQ('TS-PILE'!$D$56:$D$75)=0,0,'TO HOP NLAN'!F238*'TS-PILE'!$D$70/SUMSQ('TS-PILE'!$D$56:$D$75))),IF('TS-PILE'!$B$71="",1E+99,'TO HOP NLAN'!D238/ncoc+IF(SUMSQ('TS-PILE'!$E$56:$E$75)=0,0,'TO HOP NLAN'!E238*'TS-PILE'!$E$71/SUMSQ('TS-PILE'!$E$56:$E$75))+IF(SUMSQ('TS-PILE'!$D$56:$D$75)=0,0,'TO HOP NLAN'!F238*'TS-PILE'!$D$71/SUMSQ('TS-PILE'!$D$56:$D$75))),IF('TS-PILE'!$B$72="",1E+99,'TO HOP NLAN'!D238/ncoc+IF(SUMSQ('TS-PILE'!$E$56:$E$75)=0,0,'TO HOP NLAN'!E238*'TS-PILE'!$E$72/SUMSQ('TS-PILE'!$E$56:$E$75))+IF(SUMSQ('TS-PILE'!$D$56:$D$75)=0,0,'TO HOP NLAN'!F238*'TS-PILE'!$D$72/SUMSQ('TS-PILE'!$D$56:$D$75))),IF('TS-PILE'!$B$73="",1E+99,'TO HOP NLAN'!D238/ncoc+IF(SUMSQ('TS-PILE'!$E$56:$E$75)=0,0,'TO HOP NLAN'!E238*'TS-PILE'!$E$73/SUMSQ('TS-PILE'!$E$56:$E$75))+IF(SUMSQ('TS-PILE'!$D$56:$D$75)=0,0,'TO HOP NLAN'!F238*'TS-PILE'!$D$73/SUMSQ('TS-PILE'!$D$56:$D$75))),IF('TS-PILE'!$B$74="",1E+99,'TO HOP NLAN'!D238/ncoc+IF(SUMSQ('TS-PILE'!$E$56:$E$75)=0,0,'TO HOP NLAN'!E238*'TS-PILE'!$E$74/SUMSQ('TS-PILE'!$E$56:$E$75))+IF(SUMSQ('TS-PILE'!$D$56:$D$75)=0,0,'TO HOP NLAN'!F238*'TS-PILE'!$D$74/SUMSQ('TS-PILE'!$D$56:$D$75))),IF('TS-PILE'!$B$75="",1E+99,'TO HOP NLAN'!D238/ncoc+IF(SUMSQ('TS-PILE'!$E$56:$E$75)=0,0,'TO HOP NLAN'!E238*'TS-PILE'!$E$75/SUMSQ('TS-PILE'!$E$56:$E$75))+IF(SUMSQ('TS-PILE'!$D$56:$D$75)=0,0,'TO HOP NLAN'!F238*'TS-PILE'!$D$75/SUMSQ('TS-PILE'!$D$56:$D$75)))))</f>
        <v>0</v>
      </c>
      <c r="E238" s="46">
        <f t="shared" si="12"/>
        <v>-9.9999999999999997E+98</v>
      </c>
      <c r="F238" s="46">
        <f t="shared" si="13"/>
        <v>9.9999999999999997E+98</v>
      </c>
      <c r="G238" s="46">
        <f t="shared" si="14"/>
        <v>-9.9999999999999997E+98</v>
      </c>
      <c r="H238" s="46">
        <f t="shared" si="15"/>
        <v>9.9999999999999997E+98</v>
      </c>
    </row>
    <row r="239" spans="1:8" x14ac:dyDescent="0.3">
      <c r="A239" s="40" t="str">
        <f>'TO HOP NLAN'!A239</f>
        <v/>
      </c>
      <c r="B239" s="40" t="str">
        <f>'TO HOP NLAN'!L239</f>
        <v>STRENGTH</v>
      </c>
      <c r="C239" s="46">
        <f>IF(A239="",0,MAX(IF('TS-PILE'!$B$56="",-1E+99,'TO HOP NLAN'!D239/ncoc+IF(SUMSQ('TS-PILE'!$E$56:$E$75)=0,0,'TO HOP NLAN'!E239*'TS-PILE'!$E$56/SUMSQ('TS-PILE'!$E$56:$E$75))+IF(SUMSQ('TS-PILE'!$D$56:$D$75)=0,0,'TO HOP NLAN'!F239*'TS-PILE'!$D$56/SUMSQ('TS-PILE'!$D$56:$D$75))),IF('TS-PILE'!$B$57="",-1E+99,'TO HOP NLAN'!D239/ncoc+IF(SUMSQ('TS-PILE'!$E$56:$E$75)=0,0,'TO HOP NLAN'!E239*'TS-PILE'!$E$57/SUMSQ('TS-PILE'!$E$56:$E$75))+IF(SUMSQ('TS-PILE'!$D$56:$D$75)=0,0,'TO HOP NLAN'!F239*'TS-PILE'!$D$57/SUMSQ('TS-PILE'!$D$56:$D$75))),IF('TS-PILE'!$B$58="",-1E+99,'TO HOP NLAN'!D239/ncoc+IF(SUMSQ('TS-PILE'!$E$56:$E$75)=0,0,'TO HOP NLAN'!E239*'TS-PILE'!$E$58/SUMSQ('TS-PILE'!$E$56:$E$75))+IF(SUMSQ('TS-PILE'!$D$56:$D$75)=0,0,'TO HOP NLAN'!F239*'TS-PILE'!$D$58/SUMSQ('TS-PILE'!$D$56:$D$75))),IF('TS-PILE'!$B$59="",-1E+99,'TO HOP NLAN'!D239/ncoc+IF(SUMSQ('TS-PILE'!$E$56:$E$75)=0,0,'TO HOP NLAN'!E239*'TS-PILE'!$E$59/SUMSQ('TS-PILE'!$E$56:$E$75))+IF(SUMSQ('TS-PILE'!$D$56:$D$75)=0,0,'TO HOP NLAN'!F239*'TS-PILE'!$D$59/SUMSQ('TS-PILE'!$D$56:$D$75))),IF('TS-PILE'!$B$60="",-1E+99,'TO HOP NLAN'!D239/ncoc+IF(SUMSQ('TS-PILE'!$E$56:$E$75)=0,0,'TO HOP NLAN'!E239*'TS-PILE'!$E$60/SUMSQ('TS-PILE'!$E$56:$E$75))+IF(SUMSQ('TS-PILE'!$D$56:$D$75)=0,0,'TO HOP NLAN'!F239*'TS-PILE'!$D$60/SUMSQ('TS-PILE'!$D$56:$D$75))),IF('TS-PILE'!$B$61="",-1E+99,'TO HOP NLAN'!D239/ncoc+IF(SUMSQ('TS-PILE'!$E$56:$E$75)=0,0,'TO HOP NLAN'!E239*'TS-PILE'!$E$61/SUMSQ('TS-PILE'!$E$56:$E$75))+IF(SUMSQ('TS-PILE'!$D$56:$D$75)=0,0,'TO HOP NLAN'!F239*'TS-PILE'!$D$61/SUMSQ('TS-PILE'!$D$56:$D$75))),IF('TS-PILE'!$B$62="",-1E+99,'TO HOP NLAN'!D239/ncoc+IF(SUMSQ('TS-PILE'!$E$56:$E$75)=0,0,'TO HOP NLAN'!E239*'TS-PILE'!$E$62/SUMSQ('TS-PILE'!$E$56:$E$75))+IF(SUMSQ('TS-PILE'!$D$56:$D$75)=0,0,'TO HOP NLAN'!F239*'TS-PILE'!$D$62/SUMSQ('TS-PILE'!$D$56:$D$75))),IF('TS-PILE'!$B$63="",-1E+99,'TO HOP NLAN'!D239/ncoc+IF(SUMSQ('TS-PILE'!$E$56:$E$75)=0,0,'TO HOP NLAN'!E239*'TS-PILE'!$E$63/SUMSQ('TS-PILE'!$E$56:$E$75))+IF(SUMSQ('TS-PILE'!$D$56:$D$75)=0,0,'TO HOP NLAN'!F239*'TS-PILE'!$D$63/SUMSQ('TS-PILE'!$D$56:$D$75))),IF('TS-PILE'!$B$64="",-1E+99,'TO HOP NLAN'!D239/ncoc+IF(SUMSQ('TS-PILE'!$E$56:$E$75)=0,0,'TO HOP NLAN'!E239*'TS-PILE'!$E$64/SUMSQ('TS-PILE'!$E$56:$E$75))+IF(SUMSQ('TS-PILE'!$D$56:$D$75)=0,0,'TO HOP NLAN'!F239*'TS-PILE'!$D$64/SUMSQ('TS-PILE'!$D$56:$D$75))),IF('TS-PILE'!$B$65="",-1E+99,'TO HOP NLAN'!D239/ncoc+IF(SUMSQ('TS-PILE'!$E$56:$E$75)=0,0,'TO HOP NLAN'!E239*'TS-PILE'!$E$65/SUMSQ('TS-PILE'!$E$56:$E$75))+IF(SUMSQ('TS-PILE'!$D$56:$D$75)=0,0,'TO HOP NLAN'!F239*'TS-PILE'!$D$65/SUMSQ('TS-PILE'!$D$56:$D$75))),IF('TS-PILE'!$B$66="",-1E+99,'TO HOP NLAN'!D239/ncoc+IF(SUMSQ('TS-PILE'!$E$56:$E$75)=0,0,'TO HOP NLAN'!E239*'TS-PILE'!$E$66/SUMSQ('TS-PILE'!$E$56:$E$75))+IF(SUMSQ('TS-PILE'!$D$56:$D$75)=0,0,'TO HOP NLAN'!F239*'TS-PILE'!$D$66/SUMSQ('TS-PILE'!$D$56:$D$75))),IF('TS-PILE'!$B$67="",-1E+99,'TO HOP NLAN'!D239/ncoc+IF(SUMSQ('TS-PILE'!$E$56:$E$75)=0,0,'TO HOP NLAN'!E239*'TS-PILE'!$E$67/SUMSQ('TS-PILE'!$E$56:$E$75))+IF(SUMSQ('TS-PILE'!$D$56:$D$75)=0,0,'TO HOP NLAN'!F239*'TS-PILE'!$D$67/SUMSQ('TS-PILE'!$D$56:$D$75))),IF('TS-PILE'!$B$68="",-1E+99,'TO HOP NLAN'!D239/ncoc+IF(SUMSQ('TS-PILE'!$E$56:$E$75)=0,0,'TO HOP NLAN'!E239*'TS-PILE'!$E$68/SUMSQ('TS-PILE'!$E$56:$E$75))+IF(SUMSQ('TS-PILE'!$D$56:$D$75)=0,0,'TO HOP NLAN'!F239*'TS-PILE'!$D$68/SUMSQ('TS-PILE'!$D$56:$D$75))),IF('TS-PILE'!$B$69="",-1E+99,'TO HOP NLAN'!D239/ncoc+IF(SUMSQ('TS-PILE'!$E$56:$E$75)=0,0,'TO HOP NLAN'!E239*'TS-PILE'!$E$69/SUMSQ('TS-PILE'!$E$56:$E$75))+IF(SUMSQ('TS-PILE'!$D$56:$D$75)=0,0,'TO HOP NLAN'!F239*'TS-PILE'!$D$69/SUMSQ('TS-PILE'!$D$56:$D$75))),IF('TS-PILE'!$B$70="",-1E+99,'TO HOP NLAN'!D239/ncoc+IF(SUMSQ('TS-PILE'!$E$56:$E$75)=0,0,'TO HOP NLAN'!E239*'TS-PILE'!$E$70/SUMSQ('TS-PILE'!$E$56:$E$75))+IF(SUMSQ('TS-PILE'!$D$56:$D$75)=0,0,'TO HOP NLAN'!F239*'TS-PILE'!$D$70/SUMSQ('TS-PILE'!$D$56:$D$75))),IF('TS-PILE'!$B$71="",-1E+99,'TO HOP NLAN'!D239/ncoc+IF(SUMSQ('TS-PILE'!$E$56:$E$75)=0,0,'TO HOP NLAN'!E239*'TS-PILE'!$E$71/SUMSQ('TS-PILE'!$E$56:$E$75))+IF(SUMSQ('TS-PILE'!$D$56:$D$75)=0,0,'TO HOP NLAN'!F239*'TS-PILE'!$D$71/SUMSQ('TS-PILE'!$D$56:$D$75))),IF('TS-PILE'!$B$72="",-1E+99,'TO HOP NLAN'!D239/ncoc+IF(SUMSQ('TS-PILE'!$E$56:$E$75)=0,0,'TO HOP NLAN'!E239*'TS-PILE'!$E$72/SUMSQ('TS-PILE'!$E$56:$E$75))+IF(SUMSQ('TS-PILE'!$D$56:$D$75)=0,0,'TO HOP NLAN'!F239*'TS-PILE'!$D$72/SUMSQ('TS-PILE'!$D$56:$D$75))),IF('TS-PILE'!$B$73="",-1E+99,'TO HOP NLAN'!D239/ncoc+IF(SUMSQ('TS-PILE'!$E$56:$E$75)=0,0,'TO HOP NLAN'!E239*'TS-PILE'!$E$73/SUMSQ('TS-PILE'!$E$56:$E$75))+IF(SUMSQ('TS-PILE'!$D$56:$D$75)=0,0,'TO HOP NLAN'!F239*'TS-PILE'!$D$73/SUMSQ('TS-PILE'!$D$56:$D$75))),IF('TS-PILE'!$B$74="",-1E+99,'TO HOP NLAN'!D239/ncoc+IF(SUMSQ('TS-PILE'!$E$56:$E$75)=0,0,'TO HOP NLAN'!E239*'TS-PILE'!$E$74/SUMSQ('TS-PILE'!$E$56:$E$75))+IF(SUMSQ('TS-PILE'!$D$56:$D$75)=0,0,'TO HOP NLAN'!F239*'TS-PILE'!$D$74/SUMSQ('TS-PILE'!$D$56:$D$75))),IF('TS-PILE'!$B$75="",-1E+99,'TO HOP NLAN'!D239/ncoc+IF(SUMSQ('TS-PILE'!$E$56:$E$75)=0,0,'TO HOP NLAN'!E239*'TS-PILE'!$E$75/SUMSQ('TS-PILE'!$E$56:$E$75))+IF(SUMSQ('TS-PILE'!$D$56:$D$75)=0,0,'TO HOP NLAN'!F239*'TS-PILE'!$D$75/SUMSQ('TS-PILE'!$D$56:$D$75)))))</f>
        <v>0</v>
      </c>
      <c r="D239" s="46">
        <f>IF(A239="",0,MIN(IF('TS-PILE'!$B$56="",1E+99,'TO HOP NLAN'!D239/ncoc+IF(SUMSQ('TS-PILE'!$E$56:$E$75)=0,0,'TO HOP NLAN'!E239*'TS-PILE'!$E$56/SUMSQ('TS-PILE'!$E$56:$E$75))+IF(SUMSQ('TS-PILE'!$D$56:$D$75)=0,0,'TO HOP NLAN'!F239*'TS-PILE'!$D$56/SUMSQ('TS-PILE'!$D$56:$D$75))),IF('TS-PILE'!$B$57="",1E+99,'TO HOP NLAN'!D239/ncoc+IF(SUMSQ('TS-PILE'!$E$56:$E$75)=0,0,'TO HOP NLAN'!E239*'TS-PILE'!$E$57/SUMSQ('TS-PILE'!$E$56:$E$75))+IF(SUMSQ('TS-PILE'!$D$56:$D$75)=0,0,'TO HOP NLAN'!F239*'TS-PILE'!$D$57/SUMSQ('TS-PILE'!$D$56:$D$75))),IF('TS-PILE'!$B$58="",1E+99,'TO HOP NLAN'!D239/ncoc+IF(SUMSQ('TS-PILE'!$E$56:$E$75)=0,0,'TO HOP NLAN'!E239*'TS-PILE'!$E$58/SUMSQ('TS-PILE'!$E$56:$E$75))+IF(SUMSQ('TS-PILE'!$D$56:$D$75)=0,0,'TO HOP NLAN'!F239*'TS-PILE'!$D$58/SUMSQ('TS-PILE'!$D$56:$D$75))),IF('TS-PILE'!$B$59="",1E+99,'TO HOP NLAN'!D239/ncoc+IF(SUMSQ('TS-PILE'!$E$56:$E$75)=0,0,'TO HOP NLAN'!E239*'TS-PILE'!$E$59/SUMSQ('TS-PILE'!$E$56:$E$75))+IF(SUMSQ('TS-PILE'!$D$56:$D$75)=0,0,'TO HOP NLAN'!F239*'TS-PILE'!$D$59/SUMSQ('TS-PILE'!$D$56:$D$75))),IF('TS-PILE'!$B$60="",1E+99,'TO HOP NLAN'!D239/ncoc+IF(SUMSQ('TS-PILE'!$E$56:$E$75)=0,0,'TO HOP NLAN'!E239*'TS-PILE'!$E$60/SUMSQ('TS-PILE'!$E$56:$E$75))+IF(SUMSQ('TS-PILE'!$D$56:$D$75)=0,0,'TO HOP NLAN'!F239*'TS-PILE'!$D$60/SUMSQ('TS-PILE'!$D$56:$D$75))),IF('TS-PILE'!$B$61="",1E+99,'TO HOP NLAN'!D239/ncoc+IF(SUMSQ('TS-PILE'!$E$56:$E$75)=0,0,'TO HOP NLAN'!E239*'TS-PILE'!$E$61/SUMSQ('TS-PILE'!$E$56:$E$75))+IF(SUMSQ('TS-PILE'!$D$56:$D$75)=0,0,'TO HOP NLAN'!F239*'TS-PILE'!$D$61/SUMSQ('TS-PILE'!$D$56:$D$75))),IF('TS-PILE'!$B$62="",1E+99,'TO HOP NLAN'!D239/ncoc+IF(SUMSQ('TS-PILE'!$E$56:$E$75)=0,0,'TO HOP NLAN'!E239*'TS-PILE'!$E$62/SUMSQ('TS-PILE'!$E$56:$E$75))+IF(SUMSQ('TS-PILE'!$D$56:$D$75)=0,0,'TO HOP NLAN'!F239*'TS-PILE'!$D$62/SUMSQ('TS-PILE'!$D$56:$D$75))),IF('TS-PILE'!$B$63="",1E+99,'TO HOP NLAN'!D239/ncoc+IF(SUMSQ('TS-PILE'!$E$56:$E$75)=0,0,'TO HOP NLAN'!E239*'TS-PILE'!$E$63/SUMSQ('TS-PILE'!$E$56:$E$75))+IF(SUMSQ('TS-PILE'!$D$56:$D$75)=0,0,'TO HOP NLAN'!F239*'TS-PILE'!$D$63/SUMSQ('TS-PILE'!$D$56:$D$75))),IF('TS-PILE'!$B$64="",1E+99,'TO HOP NLAN'!D239/ncoc+IF(SUMSQ('TS-PILE'!$E$56:$E$75)=0,0,'TO HOP NLAN'!E239*'TS-PILE'!$E$64/SUMSQ('TS-PILE'!$E$56:$E$75))+IF(SUMSQ('TS-PILE'!$D$56:$D$75)=0,0,'TO HOP NLAN'!F239*'TS-PILE'!$D$64/SUMSQ('TS-PILE'!$D$56:$D$75))),IF('TS-PILE'!$B$65="",1E+99,'TO HOP NLAN'!D239/ncoc+IF(SUMSQ('TS-PILE'!$E$56:$E$75)=0,0,'TO HOP NLAN'!E239*'TS-PILE'!$E$65/SUMSQ('TS-PILE'!$E$56:$E$75))+IF(SUMSQ('TS-PILE'!$D$56:$D$75)=0,0,'TO HOP NLAN'!F239*'TS-PILE'!$D$65/SUMSQ('TS-PILE'!$D$56:$D$75))),IF('TS-PILE'!$B$66="",1E+99,'TO HOP NLAN'!D239/ncoc+IF(SUMSQ('TS-PILE'!$E$56:$E$75)=0,0,'TO HOP NLAN'!E239*'TS-PILE'!$E$66/SUMSQ('TS-PILE'!$E$56:$E$75))+IF(SUMSQ('TS-PILE'!$D$56:$D$75)=0,0,'TO HOP NLAN'!F239*'TS-PILE'!$D$66/SUMSQ('TS-PILE'!$D$56:$D$75))),IF('TS-PILE'!$B$67="",1E+99,'TO HOP NLAN'!D239/ncoc+IF(SUMSQ('TS-PILE'!$E$56:$E$75)=0,0,'TO HOP NLAN'!E239*'TS-PILE'!$E$67/SUMSQ('TS-PILE'!$E$56:$E$75))+IF(SUMSQ('TS-PILE'!$D$56:$D$75)=0,0,'TO HOP NLAN'!F239*'TS-PILE'!$D$67/SUMSQ('TS-PILE'!$D$56:$D$75))),IF('TS-PILE'!$B$68="",1E+99,'TO HOP NLAN'!D239/ncoc+IF(SUMSQ('TS-PILE'!$E$56:$E$75)=0,0,'TO HOP NLAN'!E239*'TS-PILE'!$E$68/SUMSQ('TS-PILE'!$E$56:$E$75))+IF(SUMSQ('TS-PILE'!$D$56:$D$75)=0,0,'TO HOP NLAN'!F239*'TS-PILE'!$D$68/SUMSQ('TS-PILE'!$D$56:$D$75))),IF('TS-PILE'!$B$69="",1E+99,'TO HOP NLAN'!D239/ncoc+IF(SUMSQ('TS-PILE'!$E$56:$E$75)=0,0,'TO HOP NLAN'!E239*'TS-PILE'!$E$69/SUMSQ('TS-PILE'!$E$56:$E$75))+IF(SUMSQ('TS-PILE'!$D$56:$D$75)=0,0,'TO HOP NLAN'!F239*'TS-PILE'!$D$69/SUMSQ('TS-PILE'!$D$56:$D$75))),IF('TS-PILE'!$B$70="",1E+99,'TO HOP NLAN'!D239/ncoc+IF(SUMSQ('TS-PILE'!$E$56:$E$75)=0,0,'TO HOP NLAN'!E239*'TS-PILE'!$E$70/SUMSQ('TS-PILE'!$E$56:$E$75))+IF(SUMSQ('TS-PILE'!$D$56:$D$75)=0,0,'TO HOP NLAN'!F239*'TS-PILE'!$D$70/SUMSQ('TS-PILE'!$D$56:$D$75))),IF('TS-PILE'!$B$71="",1E+99,'TO HOP NLAN'!D239/ncoc+IF(SUMSQ('TS-PILE'!$E$56:$E$75)=0,0,'TO HOP NLAN'!E239*'TS-PILE'!$E$71/SUMSQ('TS-PILE'!$E$56:$E$75))+IF(SUMSQ('TS-PILE'!$D$56:$D$75)=0,0,'TO HOP NLAN'!F239*'TS-PILE'!$D$71/SUMSQ('TS-PILE'!$D$56:$D$75))),IF('TS-PILE'!$B$72="",1E+99,'TO HOP NLAN'!D239/ncoc+IF(SUMSQ('TS-PILE'!$E$56:$E$75)=0,0,'TO HOP NLAN'!E239*'TS-PILE'!$E$72/SUMSQ('TS-PILE'!$E$56:$E$75))+IF(SUMSQ('TS-PILE'!$D$56:$D$75)=0,0,'TO HOP NLAN'!F239*'TS-PILE'!$D$72/SUMSQ('TS-PILE'!$D$56:$D$75))),IF('TS-PILE'!$B$73="",1E+99,'TO HOP NLAN'!D239/ncoc+IF(SUMSQ('TS-PILE'!$E$56:$E$75)=0,0,'TO HOP NLAN'!E239*'TS-PILE'!$E$73/SUMSQ('TS-PILE'!$E$56:$E$75))+IF(SUMSQ('TS-PILE'!$D$56:$D$75)=0,0,'TO HOP NLAN'!F239*'TS-PILE'!$D$73/SUMSQ('TS-PILE'!$D$56:$D$75))),IF('TS-PILE'!$B$74="",1E+99,'TO HOP NLAN'!D239/ncoc+IF(SUMSQ('TS-PILE'!$E$56:$E$75)=0,0,'TO HOP NLAN'!E239*'TS-PILE'!$E$74/SUMSQ('TS-PILE'!$E$56:$E$75))+IF(SUMSQ('TS-PILE'!$D$56:$D$75)=0,0,'TO HOP NLAN'!F239*'TS-PILE'!$D$74/SUMSQ('TS-PILE'!$D$56:$D$75))),IF('TS-PILE'!$B$75="",1E+99,'TO HOP NLAN'!D239/ncoc+IF(SUMSQ('TS-PILE'!$E$56:$E$75)=0,0,'TO HOP NLAN'!E239*'TS-PILE'!$E$75/SUMSQ('TS-PILE'!$E$56:$E$75))+IF(SUMSQ('TS-PILE'!$D$56:$D$75)=0,0,'TO HOP NLAN'!F239*'TS-PILE'!$D$75/SUMSQ('TS-PILE'!$D$56:$D$75)))))</f>
        <v>0</v>
      </c>
      <c r="E239" s="46">
        <f t="shared" si="12"/>
        <v>-9.9999999999999997E+98</v>
      </c>
      <c r="F239" s="46">
        <f t="shared" si="13"/>
        <v>9.9999999999999997E+98</v>
      </c>
      <c r="G239" s="46">
        <f t="shared" si="14"/>
        <v>-9.9999999999999997E+98</v>
      </c>
      <c r="H239" s="46">
        <f t="shared" si="15"/>
        <v>9.9999999999999997E+98</v>
      </c>
    </row>
    <row r="240" spans="1:8" x14ac:dyDescent="0.3">
      <c r="A240" s="40" t="str">
        <f>'TO HOP NLAN'!A240</f>
        <v/>
      </c>
      <c r="B240" s="40" t="str">
        <f>'TO HOP NLAN'!L240</f>
        <v>STRENGTH</v>
      </c>
      <c r="C240" s="46">
        <f>IF(A240="",0,MAX(IF('TS-PILE'!$B$56="",-1E+99,'TO HOP NLAN'!D240/ncoc+IF(SUMSQ('TS-PILE'!$E$56:$E$75)=0,0,'TO HOP NLAN'!E240*'TS-PILE'!$E$56/SUMSQ('TS-PILE'!$E$56:$E$75))+IF(SUMSQ('TS-PILE'!$D$56:$D$75)=0,0,'TO HOP NLAN'!F240*'TS-PILE'!$D$56/SUMSQ('TS-PILE'!$D$56:$D$75))),IF('TS-PILE'!$B$57="",-1E+99,'TO HOP NLAN'!D240/ncoc+IF(SUMSQ('TS-PILE'!$E$56:$E$75)=0,0,'TO HOP NLAN'!E240*'TS-PILE'!$E$57/SUMSQ('TS-PILE'!$E$56:$E$75))+IF(SUMSQ('TS-PILE'!$D$56:$D$75)=0,0,'TO HOP NLAN'!F240*'TS-PILE'!$D$57/SUMSQ('TS-PILE'!$D$56:$D$75))),IF('TS-PILE'!$B$58="",-1E+99,'TO HOP NLAN'!D240/ncoc+IF(SUMSQ('TS-PILE'!$E$56:$E$75)=0,0,'TO HOP NLAN'!E240*'TS-PILE'!$E$58/SUMSQ('TS-PILE'!$E$56:$E$75))+IF(SUMSQ('TS-PILE'!$D$56:$D$75)=0,0,'TO HOP NLAN'!F240*'TS-PILE'!$D$58/SUMSQ('TS-PILE'!$D$56:$D$75))),IF('TS-PILE'!$B$59="",-1E+99,'TO HOP NLAN'!D240/ncoc+IF(SUMSQ('TS-PILE'!$E$56:$E$75)=0,0,'TO HOP NLAN'!E240*'TS-PILE'!$E$59/SUMSQ('TS-PILE'!$E$56:$E$75))+IF(SUMSQ('TS-PILE'!$D$56:$D$75)=0,0,'TO HOP NLAN'!F240*'TS-PILE'!$D$59/SUMSQ('TS-PILE'!$D$56:$D$75))),IF('TS-PILE'!$B$60="",-1E+99,'TO HOP NLAN'!D240/ncoc+IF(SUMSQ('TS-PILE'!$E$56:$E$75)=0,0,'TO HOP NLAN'!E240*'TS-PILE'!$E$60/SUMSQ('TS-PILE'!$E$56:$E$75))+IF(SUMSQ('TS-PILE'!$D$56:$D$75)=0,0,'TO HOP NLAN'!F240*'TS-PILE'!$D$60/SUMSQ('TS-PILE'!$D$56:$D$75))),IF('TS-PILE'!$B$61="",-1E+99,'TO HOP NLAN'!D240/ncoc+IF(SUMSQ('TS-PILE'!$E$56:$E$75)=0,0,'TO HOP NLAN'!E240*'TS-PILE'!$E$61/SUMSQ('TS-PILE'!$E$56:$E$75))+IF(SUMSQ('TS-PILE'!$D$56:$D$75)=0,0,'TO HOP NLAN'!F240*'TS-PILE'!$D$61/SUMSQ('TS-PILE'!$D$56:$D$75))),IF('TS-PILE'!$B$62="",-1E+99,'TO HOP NLAN'!D240/ncoc+IF(SUMSQ('TS-PILE'!$E$56:$E$75)=0,0,'TO HOP NLAN'!E240*'TS-PILE'!$E$62/SUMSQ('TS-PILE'!$E$56:$E$75))+IF(SUMSQ('TS-PILE'!$D$56:$D$75)=0,0,'TO HOP NLAN'!F240*'TS-PILE'!$D$62/SUMSQ('TS-PILE'!$D$56:$D$75))),IF('TS-PILE'!$B$63="",-1E+99,'TO HOP NLAN'!D240/ncoc+IF(SUMSQ('TS-PILE'!$E$56:$E$75)=0,0,'TO HOP NLAN'!E240*'TS-PILE'!$E$63/SUMSQ('TS-PILE'!$E$56:$E$75))+IF(SUMSQ('TS-PILE'!$D$56:$D$75)=0,0,'TO HOP NLAN'!F240*'TS-PILE'!$D$63/SUMSQ('TS-PILE'!$D$56:$D$75))),IF('TS-PILE'!$B$64="",-1E+99,'TO HOP NLAN'!D240/ncoc+IF(SUMSQ('TS-PILE'!$E$56:$E$75)=0,0,'TO HOP NLAN'!E240*'TS-PILE'!$E$64/SUMSQ('TS-PILE'!$E$56:$E$75))+IF(SUMSQ('TS-PILE'!$D$56:$D$75)=0,0,'TO HOP NLAN'!F240*'TS-PILE'!$D$64/SUMSQ('TS-PILE'!$D$56:$D$75))),IF('TS-PILE'!$B$65="",-1E+99,'TO HOP NLAN'!D240/ncoc+IF(SUMSQ('TS-PILE'!$E$56:$E$75)=0,0,'TO HOP NLAN'!E240*'TS-PILE'!$E$65/SUMSQ('TS-PILE'!$E$56:$E$75))+IF(SUMSQ('TS-PILE'!$D$56:$D$75)=0,0,'TO HOP NLAN'!F240*'TS-PILE'!$D$65/SUMSQ('TS-PILE'!$D$56:$D$75))),IF('TS-PILE'!$B$66="",-1E+99,'TO HOP NLAN'!D240/ncoc+IF(SUMSQ('TS-PILE'!$E$56:$E$75)=0,0,'TO HOP NLAN'!E240*'TS-PILE'!$E$66/SUMSQ('TS-PILE'!$E$56:$E$75))+IF(SUMSQ('TS-PILE'!$D$56:$D$75)=0,0,'TO HOP NLAN'!F240*'TS-PILE'!$D$66/SUMSQ('TS-PILE'!$D$56:$D$75))),IF('TS-PILE'!$B$67="",-1E+99,'TO HOP NLAN'!D240/ncoc+IF(SUMSQ('TS-PILE'!$E$56:$E$75)=0,0,'TO HOP NLAN'!E240*'TS-PILE'!$E$67/SUMSQ('TS-PILE'!$E$56:$E$75))+IF(SUMSQ('TS-PILE'!$D$56:$D$75)=0,0,'TO HOP NLAN'!F240*'TS-PILE'!$D$67/SUMSQ('TS-PILE'!$D$56:$D$75))),IF('TS-PILE'!$B$68="",-1E+99,'TO HOP NLAN'!D240/ncoc+IF(SUMSQ('TS-PILE'!$E$56:$E$75)=0,0,'TO HOP NLAN'!E240*'TS-PILE'!$E$68/SUMSQ('TS-PILE'!$E$56:$E$75))+IF(SUMSQ('TS-PILE'!$D$56:$D$75)=0,0,'TO HOP NLAN'!F240*'TS-PILE'!$D$68/SUMSQ('TS-PILE'!$D$56:$D$75))),IF('TS-PILE'!$B$69="",-1E+99,'TO HOP NLAN'!D240/ncoc+IF(SUMSQ('TS-PILE'!$E$56:$E$75)=0,0,'TO HOP NLAN'!E240*'TS-PILE'!$E$69/SUMSQ('TS-PILE'!$E$56:$E$75))+IF(SUMSQ('TS-PILE'!$D$56:$D$75)=0,0,'TO HOP NLAN'!F240*'TS-PILE'!$D$69/SUMSQ('TS-PILE'!$D$56:$D$75))),IF('TS-PILE'!$B$70="",-1E+99,'TO HOP NLAN'!D240/ncoc+IF(SUMSQ('TS-PILE'!$E$56:$E$75)=0,0,'TO HOP NLAN'!E240*'TS-PILE'!$E$70/SUMSQ('TS-PILE'!$E$56:$E$75))+IF(SUMSQ('TS-PILE'!$D$56:$D$75)=0,0,'TO HOP NLAN'!F240*'TS-PILE'!$D$70/SUMSQ('TS-PILE'!$D$56:$D$75))),IF('TS-PILE'!$B$71="",-1E+99,'TO HOP NLAN'!D240/ncoc+IF(SUMSQ('TS-PILE'!$E$56:$E$75)=0,0,'TO HOP NLAN'!E240*'TS-PILE'!$E$71/SUMSQ('TS-PILE'!$E$56:$E$75))+IF(SUMSQ('TS-PILE'!$D$56:$D$75)=0,0,'TO HOP NLAN'!F240*'TS-PILE'!$D$71/SUMSQ('TS-PILE'!$D$56:$D$75))),IF('TS-PILE'!$B$72="",-1E+99,'TO HOP NLAN'!D240/ncoc+IF(SUMSQ('TS-PILE'!$E$56:$E$75)=0,0,'TO HOP NLAN'!E240*'TS-PILE'!$E$72/SUMSQ('TS-PILE'!$E$56:$E$75))+IF(SUMSQ('TS-PILE'!$D$56:$D$75)=0,0,'TO HOP NLAN'!F240*'TS-PILE'!$D$72/SUMSQ('TS-PILE'!$D$56:$D$75))),IF('TS-PILE'!$B$73="",-1E+99,'TO HOP NLAN'!D240/ncoc+IF(SUMSQ('TS-PILE'!$E$56:$E$75)=0,0,'TO HOP NLAN'!E240*'TS-PILE'!$E$73/SUMSQ('TS-PILE'!$E$56:$E$75))+IF(SUMSQ('TS-PILE'!$D$56:$D$75)=0,0,'TO HOP NLAN'!F240*'TS-PILE'!$D$73/SUMSQ('TS-PILE'!$D$56:$D$75))),IF('TS-PILE'!$B$74="",-1E+99,'TO HOP NLAN'!D240/ncoc+IF(SUMSQ('TS-PILE'!$E$56:$E$75)=0,0,'TO HOP NLAN'!E240*'TS-PILE'!$E$74/SUMSQ('TS-PILE'!$E$56:$E$75))+IF(SUMSQ('TS-PILE'!$D$56:$D$75)=0,0,'TO HOP NLAN'!F240*'TS-PILE'!$D$74/SUMSQ('TS-PILE'!$D$56:$D$75))),IF('TS-PILE'!$B$75="",-1E+99,'TO HOP NLAN'!D240/ncoc+IF(SUMSQ('TS-PILE'!$E$56:$E$75)=0,0,'TO HOP NLAN'!E240*'TS-PILE'!$E$75/SUMSQ('TS-PILE'!$E$56:$E$75))+IF(SUMSQ('TS-PILE'!$D$56:$D$75)=0,0,'TO HOP NLAN'!F240*'TS-PILE'!$D$75/SUMSQ('TS-PILE'!$D$56:$D$75)))))</f>
        <v>0</v>
      </c>
      <c r="D240" s="46">
        <f>IF(A240="",0,MIN(IF('TS-PILE'!$B$56="",1E+99,'TO HOP NLAN'!D240/ncoc+IF(SUMSQ('TS-PILE'!$E$56:$E$75)=0,0,'TO HOP NLAN'!E240*'TS-PILE'!$E$56/SUMSQ('TS-PILE'!$E$56:$E$75))+IF(SUMSQ('TS-PILE'!$D$56:$D$75)=0,0,'TO HOP NLAN'!F240*'TS-PILE'!$D$56/SUMSQ('TS-PILE'!$D$56:$D$75))),IF('TS-PILE'!$B$57="",1E+99,'TO HOP NLAN'!D240/ncoc+IF(SUMSQ('TS-PILE'!$E$56:$E$75)=0,0,'TO HOP NLAN'!E240*'TS-PILE'!$E$57/SUMSQ('TS-PILE'!$E$56:$E$75))+IF(SUMSQ('TS-PILE'!$D$56:$D$75)=0,0,'TO HOP NLAN'!F240*'TS-PILE'!$D$57/SUMSQ('TS-PILE'!$D$56:$D$75))),IF('TS-PILE'!$B$58="",1E+99,'TO HOP NLAN'!D240/ncoc+IF(SUMSQ('TS-PILE'!$E$56:$E$75)=0,0,'TO HOP NLAN'!E240*'TS-PILE'!$E$58/SUMSQ('TS-PILE'!$E$56:$E$75))+IF(SUMSQ('TS-PILE'!$D$56:$D$75)=0,0,'TO HOP NLAN'!F240*'TS-PILE'!$D$58/SUMSQ('TS-PILE'!$D$56:$D$75))),IF('TS-PILE'!$B$59="",1E+99,'TO HOP NLAN'!D240/ncoc+IF(SUMSQ('TS-PILE'!$E$56:$E$75)=0,0,'TO HOP NLAN'!E240*'TS-PILE'!$E$59/SUMSQ('TS-PILE'!$E$56:$E$75))+IF(SUMSQ('TS-PILE'!$D$56:$D$75)=0,0,'TO HOP NLAN'!F240*'TS-PILE'!$D$59/SUMSQ('TS-PILE'!$D$56:$D$75))),IF('TS-PILE'!$B$60="",1E+99,'TO HOP NLAN'!D240/ncoc+IF(SUMSQ('TS-PILE'!$E$56:$E$75)=0,0,'TO HOP NLAN'!E240*'TS-PILE'!$E$60/SUMSQ('TS-PILE'!$E$56:$E$75))+IF(SUMSQ('TS-PILE'!$D$56:$D$75)=0,0,'TO HOP NLAN'!F240*'TS-PILE'!$D$60/SUMSQ('TS-PILE'!$D$56:$D$75))),IF('TS-PILE'!$B$61="",1E+99,'TO HOP NLAN'!D240/ncoc+IF(SUMSQ('TS-PILE'!$E$56:$E$75)=0,0,'TO HOP NLAN'!E240*'TS-PILE'!$E$61/SUMSQ('TS-PILE'!$E$56:$E$75))+IF(SUMSQ('TS-PILE'!$D$56:$D$75)=0,0,'TO HOP NLAN'!F240*'TS-PILE'!$D$61/SUMSQ('TS-PILE'!$D$56:$D$75))),IF('TS-PILE'!$B$62="",1E+99,'TO HOP NLAN'!D240/ncoc+IF(SUMSQ('TS-PILE'!$E$56:$E$75)=0,0,'TO HOP NLAN'!E240*'TS-PILE'!$E$62/SUMSQ('TS-PILE'!$E$56:$E$75))+IF(SUMSQ('TS-PILE'!$D$56:$D$75)=0,0,'TO HOP NLAN'!F240*'TS-PILE'!$D$62/SUMSQ('TS-PILE'!$D$56:$D$75))),IF('TS-PILE'!$B$63="",1E+99,'TO HOP NLAN'!D240/ncoc+IF(SUMSQ('TS-PILE'!$E$56:$E$75)=0,0,'TO HOP NLAN'!E240*'TS-PILE'!$E$63/SUMSQ('TS-PILE'!$E$56:$E$75))+IF(SUMSQ('TS-PILE'!$D$56:$D$75)=0,0,'TO HOP NLAN'!F240*'TS-PILE'!$D$63/SUMSQ('TS-PILE'!$D$56:$D$75))),IF('TS-PILE'!$B$64="",1E+99,'TO HOP NLAN'!D240/ncoc+IF(SUMSQ('TS-PILE'!$E$56:$E$75)=0,0,'TO HOP NLAN'!E240*'TS-PILE'!$E$64/SUMSQ('TS-PILE'!$E$56:$E$75))+IF(SUMSQ('TS-PILE'!$D$56:$D$75)=0,0,'TO HOP NLAN'!F240*'TS-PILE'!$D$64/SUMSQ('TS-PILE'!$D$56:$D$75))),IF('TS-PILE'!$B$65="",1E+99,'TO HOP NLAN'!D240/ncoc+IF(SUMSQ('TS-PILE'!$E$56:$E$75)=0,0,'TO HOP NLAN'!E240*'TS-PILE'!$E$65/SUMSQ('TS-PILE'!$E$56:$E$75))+IF(SUMSQ('TS-PILE'!$D$56:$D$75)=0,0,'TO HOP NLAN'!F240*'TS-PILE'!$D$65/SUMSQ('TS-PILE'!$D$56:$D$75))),IF('TS-PILE'!$B$66="",1E+99,'TO HOP NLAN'!D240/ncoc+IF(SUMSQ('TS-PILE'!$E$56:$E$75)=0,0,'TO HOP NLAN'!E240*'TS-PILE'!$E$66/SUMSQ('TS-PILE'!$E$56:$E$75))+IF(SUMSQ('TS-PILE'!$D$56:$D$75)=0,0,'TO HOP NLAN'!F240*'TS-PILE'!$D$66/SUMSQ('TS-PILE'!$D$56:$D$75))),IF('TS-PILE'!$B$67="",1E+99,'TO HOP NLAN'!D240/ncoc+IF(SUMSQ('TS-PILE'!$E$56:$E$75)=0,0,'TO HOP NLAN'!E240*'TS-PILE'!$E$67/SUMSQ('TS-PILE'!$E$56:$E$75))+IF(SUMSQ('TS-PILE'!$D$56:$D$75)=0,0,'TO HOP NLAN'!F240*'TS-PILE'!$D$67/SUMSQ('TS-PILE'!$D$56:$D$75))),IF('TS-PILE'!$B$68="",1E+99,'TO HOP NLAN'!D240/ncoc+IF(SUMSQ('TS-PILE'!$E$56:$E$75)=0,0,'TO HOP NLAN'!E240*'TS-PILE'!$E$68/SUMSQ('TS-PILE'!$E$56:$E$75))+IF(SUMSQ('TS-PILE'!$D$56:$D$75)=0,0,'TO HOP NLAN'!F240*'TS-PILE'!$D$68/SUMSQ('TS-PILE'!$D$56:$D$75))),IF('TS-PILE'!$B$69="",1E+99,'TO HOP NLAN'!D240/ncoc+IF(SUMSQ('TS-PILE'!$E$56:$E$75)=0,0,'TO HOP NLAN'!E240*'TS-PILE'!$E$69/SUMSQ('TS-PILE'!$E$56:$E$75))+IF(SUMSQ('TS-PILE'!$D$56:$D$75)=0,0,'TO HOP NLAN'!F240*'TS-PILE'!$D$69/SUMSQ('TS-PILE'!$D$56:$D$75))),IF('TS-PILE'!$B$70="",1E+99,'TO HOP NLAN'!D240/ncoc+IF(SUMSQ('TS-PILE'!$E$56:$E$75)=0,0,'TO HOP NLAN'!E240*'TS-PILE'!$E$70/SUMSQ('TS-PILE'!$E$56:$E$75))+IF(SUMSQ('TS-PILE'!$D$56:$D$75)=0,0,'TO HOP NLAN'!F240*'TS-PILE'!$D$70/SUMSQ('TS-PILE'!$D$56:$D$75))),IF('TS-PILE'!$B$71="",1E+99,'TO HOP NLAN'!D240/ncoc+IF(SUMSQ('TS-PILE'!$E$56:$E$75)=0,0,'TO HOP NLAN'!E240*'TS-PILE'!$E$71/SUMSQ('TS-PILE'!$E$56:$E$75))+IF(SUMSQ('TS-PILE'!$D$56:$D$75)=0,0,'TO HOP NLAN'!F240*'TS-PILE'!$D$71/SUMSQ('TS-PILE'!$D$56:$D$75))),IF('TS-PILE'!$B$72="",1E+99,'TO HOP NLAN'!D240/ncoc+IF(SUMSQ('TS-PILE'!$E$56:$E$75)=0,0,'TO HOP NLAN'!E240*'TS-PILE'!$E$72/SUMSQ('TS-PILE'!$E$56:$E$75))+IF(SUMSQ('TS-PILE'!$D$56:$D$75)=0,0,'TO HOP NLAN'!F240*'TS-PILE'!$D$72/SUMSQ('TS-PILE'!$D$56:$D$75))),IF('TS-PILE'!$B$73="",1E+99,'TO HOP NLAN'!D240/ncoc+IF(SUMSQ('TS-PILE'!$E$56:$E$75)=0,0,'TO HOP NLAN'!E240*'TS-PILE'!$E$73/SUMSQ('TS-PILE'!$E$56:$E$75))+IF(SUMSQ('TS-PILE'!$D$56:$D$75)=0,0,'TO HOP NLAN'!F240*'TS-PILE'!$D$73/SUMSQ('TS-PILE'!$D$56:$D$75))),IF('TS-PILE'!$B$74="",1E+99,'TO HOP NLAN'!D240/ncoc+IF(SUMSQ('TS-PILE'!$E$56:$E$75)=0,0,'TO HOP NLAN'!E240*'TS-PILE'!$E$74/SUMSQ('TS-PILE'!$E$56:$E$75))+IF(SUMSQ('TS-PILE'!$D$56:$D$75)=0,0,'TO HOP NLAN'!F240*'TS-PILE'!$D$74/SUMSQ('TS-PILE'!$D$56:$D$75))),IF('TS-PILE'!$B$75="",1E+99,'TO HOP NLAN'!D240/ncoc+IF(SUMSQ('TS-PILE'!$E$56:$E$75)=0,0,'TO HOP NLAN'!E240*'TS-PILE'!$E$75/SUMSQ('TS-PILE'!$E$56:$E$75))+IF(SUMSQ('TS-PILE'!$D$56:$D$75)=0,0,'TO HOP NLAN'!F240*'TS-PILE'!$D$75/SUMSQ('TS-PILE'!$D$56:$D$75)))))</f>
        <v>0</v>
      </c>
      <c r="E240" s="46">
        <f t="shared" si="12"/>
        <v>-9.9999999999999997E+98</v>
      </c>
      <c r="F240" s="46">
        <f t="shared" si="13"/>
        <v>9.9999999999999997E+98</v>
      </c>
      <c r="G240" s="46">
        <f t="shared" si="14"/>
        <v>-9.9999999999999997E+98</v>
      </c>
      <c r="H240" s="46">
        <f t="shared" si="15"/>
        <v>9.9999999999999997E+98</v>
      </c>
    </row>
    <row r="241" spans="1:8" x14ac:dyDescent="0.3">
      <c r="A241" s="40" t="str">
        <f>'TO HOP NLAN'!A241</f>
        <v/>
      </c>
      <c r="B241" s="40" t="str">
        <f>'TO HOP NLAN'!L241</f>
        <v>STRENGTH</v>
      </c>
      <c r="C241" s="46">
        <f>IF(A241="",0,MAX(IF('TS-PILE'!$B$56="",-1E+99,'TO HOP NLAN'!D241/ncoc+IF(SUMSQ('TS-PILE'!$E$56:$E$75)=0,0,'TO HOP NLAN'!E241*'TS-PILE'!$E$56/SUMSQ('TS-PILE'!$E$56:$E$75))+IF(SUMSQ('TS-PILE'!$D$56:$D$75)=0,0,'TO HOP NLAN'!F241*'TS-PILE'!$D$56/SUMSQ('TS-PILE'!$D$56:$D$75))),IF('TS-PILE'!$B$57="",-1E+99,'TO HOP NLAN'!D241/ncoc+IF(SUMSQ('TS-PILE'!$E$56:$E$75)=0,0,'TO HOP NLAN'!E241*'TS-PILE'!$E$57/SUMSQ('TS-PILE'!$E$56:$E$75))+IF(SUMSQ('TS-PILE'!$D$56:$D$75)=0,0,'TO HOP NLAN'!F241*'TS-PILE'!$D$57/SUMSQ('TS-PILE'!$D$56:$D$75))),IF('TS-PILE'!$B$58="",-1E+99,'TO HOP NLAN'!D241/ncoc+IF(SUMSQ('TS-PILE'!$E$56:$E$75)=0,0,'TO HOP NLAN'!E241*'TS-PILE'!$E$58/SUMSQ('TS-PILE'!$E$56:$E$75))+IF(SUMSQ('TS-PILE'!$D$56:$D$75)=0,0,'TO HOP NLAN'!F241*'TS-PILE'!$D$58/SUMSQ('TS-PILE'!$D$56:$D$75))),IF('TS-PILE'!$B$59="",-1E+99,'TO HOP NLAN'!D241/ncoc+IF(SUMSQ('TS-PILE'!$E$56:$E$75)=0,0,'TO HOP NLAN'!E241*'TS-PILE'!$E$59/SUMSQ('TS-PILE'!$E$56:$E$75))+IF(SUMSQ('TS-PILE'!$D$56:$D$75)=0,0,'TO HOP NLAN'!F241*'TS-PILE'!$D$59/SUMSQ('TS-PILE'!$D$56:$D$75))),IF('TS-PILE'!$B$60="",-1E+99,'TO HOP NLAN'!D241/ncoc+IF(SUMSQ('TS-PILE'!$E$56:$E$75)=0,0,'TO HOP NLAN'!E241*'TS-PILE'!$E$60/SUMSQ('TS-PILE'!$E$56:$E$75))+IF(SUMSQ('TS-PILE'!$D$56:$D$75)=0,0,'TO HOP NLAN'!F241*'TS-PILE'!$D$60/SUMSQ('TS-PILE'!$D$56:$D$75))),IF('TS-PILE'!$B$61="",-1E+99,'TO HOP NLAN'!D241/ncoc+IF(SUMSQ('TS-PILE'!$E$56:$E$75)=0,0,'TO HOP NLAN'!E241*'TS-PILE'!$E$61/SUMSQ('TS-PILE'!$E$56:$E$75))+IF(SUMSQ('TS-PILE'!$D$56:$D$75)=0,0,'TO HOP NLAN'!F241*'TS-PILE'!$D$61/SUMSQ('TS-PILE'!$D$56:$D$75))),IF('TS-PILE'!$B$62="",-1E+99,'TO HOP NLAN'!D241/ncoc+IF(SUMSQ('TS-PILE'!$E$56:$E$75)=0,0,'TO HOP NLAN'!E241*'TS-PILE'!$E$62/SUMSQ('TS-PILE'!$E$56:$E$75))+IF(SUMSQ('TS-PILE'!$D$56:$D$75)=0,0,'TO HOP NLAN'!F241*'TS-PILE'!$D$62/SUMSQ('TS-PILE'!$D$56:$D$75))),IF('TS-PILE'!$B$63="",-1E+99,'TO HOP NLAN'!D241/ncoc+IF(SUMSQ('TS-PILE'!$E$56:$E$75)=0,0,'TO HOP NLAN'!E241*'TS-PILE'!$E$63/SUMSQ('TS-PILE'!$E$56:$E$75))+IF(SUMSQ('TS-PILE'!$D$56:$D$75)=0,0,'TO HOP NLAN'!F241*'TS-PILE'!$D$63/SUMSQ('TS-PILE'!$D$56:$D$75))),IF('TS-PILE'!$B$64="",-1E+99,'TO HOP NLAN'!D241/ncoc+IF(SUMSQ('TS-PILE'!$E$56:$E$75)=0,0,'TO HOP NLAN'!E241*'TS-PILE'!$E$64/SUMSQ('TS-PILE'!$E$56:$E$75))+IF(SUMSQ('TS-PILE'!$D$56:$D$75)=0,0,'TO HOP NLAN'!F241*'TS-PILE'!$D$64/SUMSQ('TS-PILE'!$D$56:$D$75))),IF('TS-PILE'!$B$65="",-1E+99,'TO HOP NLAN'!D241/ncoc+IF(SUMSQ('TS-PILE'!$E$56:$E$75)=0,0,'TO HOP NLAN'!E241*'TS-PILE'!$E$65/SUMSQ('TS-PILE'!$E$56:$E$75))+IF(SUMSQ('TS-PILE'!$D$56:$D$75)=0,0,'TO HOP NLAN'!F241*'TS-PILE'!$D$65/SUMSQ('TS-PILE'!$D$56:$D$75))),IF('TS-PILE'!$B$66="",-1E+99,'TO HOP NLAN'!D241/ncoc+IF(SUMSQ('TS-PILE'!$E$56:$E$75)=0,0,'TO HOP NLAN'!E241*'TS-PILE'!$E$66/SUMSQ('TS-PILE'!$E$56:$E$75))+IF(SUMSQ('TS-PILE'!$D$56:$D$75)=0,0,'TO HOP NLAN'!F241*'TS-PILE'!$D$66/SUMSQ('TS-PILE'!$D$56:$D$75))),IF('TS-PILE'!$B$67="",-1E+99,'TO HOP NLAN'!D241/ncoc+IF(SUMSQ('TS-PILE'!$E$56:$E$75)=0,0,'TO HOP NLAN'!E241*'TS-PILE'!$E$67/SUMSQ('TS-PILE'!$E$56:$E$75))+IF(SUMSQ('TS-PILE'!$D$56:$D$75)=0,0,'TO HOP NLAN'!F241*'TS-PILE'!$D$67/SUMSQ('TS-PILE'!$D$56:$D$75))),IF('TS-PILE'!$B$68="",-1E+99,'TO HOP NLAN'!D241/ncoc+IF(SUMSQ('TS-PILE'!$E$56:$E$75)=0,0,'TO HOP NLAN'!E241*'TS-PILE'!$E$68/SUMSQ('TS-PILE'!$E$56:$E$75))+IF(SUMSQ('TS-PILE'!$D$56:$D$75)=0,0,'TO HOP NLAN'!F241*'TS-PILE'!$D$68/SUMSQ('TS-PILE'!$D$56:$D$75))),IF('TS-PILE'!$B$69="",-1E+99,'TO HOP NLAN'!D241/ncoc+IF(SUMSQ('TS-PILE'!$E$56:$E$75)=0,0,'TO HOP NLAN'!E241*'TS-PILE'!$E$69/SUMSQ('TS-PILE'!$E$56:$E$75))+IF(SUMSQ('TS-PILE'!$D$56:$D$75)=0,0,'TO HOP NLAN'!F241*'TS-PILE'!$D$69/SUMSQ('TS-PILE'!$D$56:$D$75))),IF('TS-PILE'!$B$70="",-1E+99,'TO HOP NLAN'!D241/ncoc+IF(SUMSQ('TS-PILE'!$E$56:$E$75)=0,0,'TO HOP NLAN'!E241*'TS-PILE'!$E$70/SUMSQ('TS-PILE'!$E$56:$E$75))+IF(SUMSQ('TS-PILE'!$D$56:$D$75)=0,0,'TO HOP NLAN'!F241*'TS-PILE'!$D$70/SUMSQ('TS-PILE'!$D$56:$D$75))),IF('TS-PILE'!$B$71="",-1E+99,'TO HOP NLAN'!D241/ncoc+IF(SUMSQ('TS-PILE'!$E$56:$E$75)=0,0,'TO HOP NLAN'!E241*'TS-PILE'!$E$71/SUMSQ('TS-PILE'!$E$56:$E$75))+IF(SUMSQ('TS-PILE'!$D$56:$D$75)=0,0,'TO HOP NLAN'!F241*'TS-PILE'!$D$71/SUMSQ('TS-PILE'!$D$56:$D$75))),IF('TS-PILE'!$B$72="",-1E+99,'TO HOP NLAN'!D241/ncoc+IF(SUMSQ('TS-PILE'!$E$56:$E$75)=0,0,'TO HOP NLAN'!E241*'TS-PILE'!$E$72/SUMSQ('TS-PILE'!$E$56:$E$75))+IF(SUMSQ('TS-PILE'!$D$56:$D$75)=0,0,'TO HOP NLAN'!F241*'TS-PILE'!$D$72/SUMSQ('TS-PILE'!$D$56:$D$75))),IF('TS-PILE'!$B$73="",-1E+99,'TO HOP NLAN'!D241/ncoc+IF(SUMSQ('TS-PILE'!$E$56:$E$75)=0,0,'TO HOP NLAN'!E241*'TS-PILE'!$E$73/SUMSQ('TS-PILE'!$E$56:$E$75))+IF(SUMSQ('TS-PILE'!$D$56:$D$75)=0,0,'TO HOP NLAN'!F241*'TS-PILE'!$D$73/SUMSQ('TS-PILE'!$D$56:$D$75))),IF('TS-PILE'!$B$74="",-1E+99,'TO HOP NLAN'!D241/ncoc+IF(SUMSQ('TS-PILE'!$E$56:$E$75)=0,0,'TO HOP NLAN'!E241*'TS-PILE'!$E$74/SUMSQ('TS-PILE'!$E$56:$E$75))+IF(SUMSQ('TS-PILE'!$D$56:$D$75)=0,0,'TO HOP NLAN'!F241*'TS-PILE'!$D$74/SUMSQ('TS-PILE'!$D$56:$D$75))),IF('TS-PILE'!$B$75="",-1E+99,'TO HOP NLAN'!D241/ncoc+IF(SUMSQ('TS-PILE'!$E$56:$E$75)=0,0,'TO HOP NLAN'!E241*'TS-PILE'!$E$75/SUMSQ('TS-PILE'!$E$56:$E$75))+IF(SUMSQ('TS-PILE'!$D$56:$D$75)=0,0,'TO HOP NLAN'!F241*'TS-PILE'!$D$75/SUMSQ('TS-PILE'!$D$56:$D$75)))))</f>
        <v>0</v>
      </c>
      <c r="D241" s="46">
        <f>IF(A241="",0,MIN(IF('TS-PILE'!$B$56="",1E+99,'TO HOP NLAN'!D241/ncoc+IF(SUMSQ('TS-PILE'!$E$56:$E$75)=0,0,'TO HOP NLAN'!E241*'TS-PILE'!$E$56/SUMSQ('TS-PILE'!$E$56:$E$75))+IF(SUMSQ('TS-PILE'!$D$56:$D$75)=0,0,'TO HOP NLAN'!F241*'TS-PILE'!$D$56/SUMSQ('TS-PILE'!$D$56:$D$75))),IF('TS-PILE'!$B$57="",1E+99,'TO HOP NLAN'!D241/ncoc+IF(SUMSQ('TS-PILE'!$E$56:$E$75)=0,0,'TO HOP NLAN'!E241*'TS-PILE'!$E$57/SUMSQ('TS-PILE'!$E$56:$E$75))+IF(SUMSQ('TS-PILE'!$D$56:$D$75)=0,0,'TO HOP NLAN'!F241*'TS-PILE'!$D$57/SUMSQ('TS-PILE'!$D$56:$D$75))),IF('TS-PILE'!$B$58="",1E+99,'TO HOP NLAN'!D241/ncoc+IF(SUMSQ('TS-PILE'!$E$56:$E$75)=0,0,'TO HOP NLAN'!E241*'TS-PILE'!$E$58/SUMSQ('TS-PILE'!$E$56:$E$75))+IF(SUMSQ('TS-PILE'!$D$56:$D$75)=0,0,'TO HOP NLAN'!F241*'TS-PILE'!$D$58/SUMSQ('TS-PILE'!$D$56:$D$75))),IF('TS-PILE'!$B$59="",1E+99,'TO HOP NLAN'!D241/ncoc+IF(SUMSQ('TS-PILE'!$E$56:$E$75)=0,0,'TO HOP NLAN'!E241*'TS-PILE'!$E$59/SUMSQ('TS-PILE'!$E$56:$E$75))+IF(SUMSQ('TS-PILE'!$D$56:$D$75)=0,0,'TO HOP NLAN'!F241*'TS-PILE'!$D$59/SUMSQ('TS-PILE'!$D$56:$D$75))),IF('TS-PILE'!$B$60="",1E+99,'TO HOP NLAN'!D241/ncoc+IF(SUMSQ('TS-PILE'!$E$56:$E$75)=0,0,'TO HOP NLAN'!E241*'TS-PILE'!$E$60/SUMSQ('TS-PILE'!$E$56:$E$75))+IF(SUMSQ('TS-PILE'!$D$56:$D$75)=0,0,'TO HOP NLAN'!F241*'TS-PILE'!$D$60/SUMSQ('TS-PILE'!$D$56:$D$75))),IF('TS-PILE'!$B$61="",1E+99,'TO HOP NLAN'!D241/ncoc+IF(SUMSQ('TS-PILE'!$E$56:$E$75)=0,0,'TO HOP NLAN'!E241*'TS-PILE'!$E$61/SUMSQ('TS-PILE'!$E$56:$E$75))+IF(SUMSQ('TS-PILE'!$D$56:$D$75)=0,0,'TO HOP NLAN'!F241*'TS-PILE'!$D$61/SUMSQ('TS-PILE'!$D$56:$D$75))),IF('TS-PILE'!$B$62="",1E+99,'TO HOP NLAN'!D241/ncoc+IF(SUMSQ('TS-PILE'!$E$56:$E$75)=0,0,'TO HOP NLAN'!E241*'TS-PILE'!$E$62/SUMSQ('TS-PILE'!$E$56:$E$75))+IF(SUMSQ('TS-PILE'!$D$56:$D$75)=0,0,'TO HOP NLAN'!F241*'TS-PILE'!$D$62/SUMSQ('TS-PILE'!$D$56:$D$75))),IF('TS-PILE'!$B$63="",1E+99,'TO HOP NLAN'!D241/ncoc+IF(SUMSQ('TS-PILE'!$E$56:$E$75)=0,0,'TO HOP NLAN'!E241*'TS-PILE'!$E$63/SUMSQ('TS-PILE'!$E$56:$E$75))+IF(SUMSQ('TS-PILE'!$D$56:$D$75)=0,0,'TO HOP NLAN'!F241*'TS-PILE'!$D$63/SUMSQ('TS-PILE'!$D$56:$D$75))),IF('TS-PILE'!$B$64="",1E+99,'TO HOP NLAN'!D241/ncoc+IF(SUMSQ('TS-PILE'!$E$56:$E$75)=0,0,'TO HOP NLAN'!E241*'TS-PILE'!$E$64/SUMSQ('TS-PILE'!$E$56:$E$75))+IF(SUMSQ('TS-PILE'!$D$56:$D$75)=0,0,'TO HOP NLAN'!F241*'TS-PILE'!$D$64/SUMSQ('TS-PILE'!$D$56:$D$75))),IF('TS-PILE'!$B$65="",1E+99,'TO HOP NLAN'!D241/ncoc+IF(SUMSQ('TS-PILE'!$E$56:$E$75)=0,0,'TO HOP NLAN'!E241*'TS-PILE'!$E$65/SUMSQ('TS-PILE'!$E$56:$E$75))+IF(SUMSQ('TS-PILE'!$D$56:$D$75)=0,0,'TO HOP NLAN'!F241*'TS-PILE'!$D$65/SUMSQ('TS-PILE'!$D$56:$D$75))),IF('TS-PILE'!$B$66="",1E+99,'TO HOP NLAN'!D241/ncoc+IF(SUMSQ('TS-PILE'!$E$56:$E$75)=0,0,'TO HOP NLAN'!E241*'TS-PILE'!$E$66/SUMSQ('TS-PILE'!$E$56:$E$75))+IF(SUMSQ('TS-PILE'!$D$56:$D$75)=0,0,'TO HOP NLAN'!F241*'TS-PILE'!$D$66/SUMSQ('TS-PILE'!$D$56:$D$75))),IF('TS-PILE'!$B$67="",1E+99,'TO HOP NLAN'!D241/ncoc+IF(SUMSQ('TS-PILE'!$E$56:$E$75)=0,0,'TO HOP NLAN'!E241*'TS-PILE'!$E$67/SUMSQ('TS-PILE'!$E$56:$E$75))+IF(SUMSQ('TS-PILE'!$D$56:$D$75)=0,0,'TO HOP NLAN'!F241*'TS-PILE'!$D$67/SUMSQ('TS-PILE'!$D$56:$D$75))),IF('TS-PILE'!$B$68="",1E+99,'TO HOP NLAN'!D241/ncoc+IF(SUMSQ('TS-PILE'!$E$56:$E$75)=0,0,'TO HOP NLAN'!E241*'TS-PILE'!$E$68/SUMSQ('TS-PILE'!$E$56:$E$75))+IF(SUMSQ('TS-PILE'!$D$56:$D$75)=0,0,'TO HOP NLAN'!F241*'TS-PILE'!$D$68/SUMSQ('TS-PILE'!$D$56:$D$75))),IF('TS-PILE'!$B$69="",1E+99,'TO HOP NLAN'!D241/ncoc+IF(SUMSQ('TS-PILE'!$E$56:$E$75)=0,0,'TO HOP NLAN'!E241*'TS-PILE'!$E$69/SUMSQ('TS-PILE'!$E$56:$E$75))+IF(SUMSQ('TS-PILE'!$D$56:$D$75)=0,0,'TO HOP NLAN'!F241*'TS-PILE'!$D$69/SUMSQ('TS-PILE'!$D$56:$D$75))),IF('TS-PILE'!$B$70="",1E+99,'TO HOP NLAN'!D241/ncoc+IF(SUMSQ('TS-PILE'!$E$56:$E$75)=0,0,'TO HOP NLAN'!E241*'TS-PILE'!$E$70/SUMSQ('TS-PILE'!$E$56:$E$75))+IF(SUMSQ('TS-PILE'!$D$56:$D$75)=0,0,'TO HOP NLAN'!F241*'TS-PILE'!$D$70/SUMSQ('TS-PILE'!$D$56:$D$75))),IF('TS-PILE'!$B$71="",1E+99,'TO HOP NLAN'!D241/ncoc+IF(SUMSQ('TS-PILE'!$E$56:$E$75)=0,0,'TO HOP NLAN'!E241*'TS-PILE'!$E$71/SUMSQ('TS-PILE'!$E$56:$E$75))+IF(SUMSQ('TS-PILE'!$D$56:$D$75)=0,0,'TO HOP NLAN'!F241*'TS-PILE'!$D$71/SUMSQ('TS-PILE'!$D$56:$D$75))),IF('TS-PILE'!$B$72="",1E+99,'TO HOP NLAN'!D241/ncoc+IF(SUMSQ('TS-PILE'!$E$56:$E$75)=0,0,'TO HOP NLAN'!E241*'TS-PILE'!$E$72/SUMSQ('TS-PILE'!$E$56:$E$75))+IF(SUMSQ('TS-PILE'!$D$56:$D$75)=0,0,'TO HOP NLAN'!F241*'TS-PILE'!$D$72/SUMSQ('TS-PILE'!$D$56:$D$75))),IF('TS-PILE'!$B$73="",1E+99,'TO HOP NLAN'!D241/ncoc+IF(SUMSQ('TS-PILE'!$E$56:$E$75)=0,0,'TO HOP NLAN'!E241*'TS-PILE'!$E$73/SUMSQ('TS-PILE'!$E$56:$E$75))+IF(SUMSQ('TS-PILE'!$D$56:$D$75)=0,0,'TO HOP NLAN'!F241*'TS-PILE'!$D$73/SUMSQ('TS-PILE'!$D$56:$D$75))),IF('TS-PILE'!$B$74="",1E+99,'TO HOP NLAN'!D241/ncoc+IF(SUMSQ('TS-PILE'!$E$56:$E$75)=0,0,'TO HOP NLAN'!E241*'TS-PILE'!$E$74/SUMSQ('TS-PILE'!$E$56:$E$75))+IF(SUMSQ('TS-PILE'!$D$56:$D$75)=0,0,'TO HOP NLAN'!F241*'TS-PILE'!$D$74/SUMSQ('TS-PILE'!$D$56:$D$75))),IF('TS-PILE'!$B$75="",1E+99,'TO HOP NLAN'!D241/ncoc+IF(SUMSQ('TS-PILE'!$E$56:$E$75)=0,0,'TO HOP NLAN'!E241*'TS-PILE'!$E$75/SUMSQ('TS-PILE'!$E$56:$E$75))+IF(SUMSQ('TS-PILE'!$D$56:$D$75)=0,0,'TO HOP NLAN'!F241*'TS-PILE'!$D$75/SUMSQ('TS-PILE'!$D$56:$D$75)))))</f>
        <v>0</v>
      </c>
      <c r="E241" s="46">
        <f t="shared" si="12"/>
        <v>-9.9999999999999997E+98</v>
      </c>
      <c r="F241" s="46">
        <f t="shared" si="13"/>
        <v>9.9999999999999997E+98</v>
      </c>
      <c r="G241" s="46">
        <f t="shared" si="14"/>
        <v>-9.9999999999999997E+98</v>
      </c>
      <c r="H241" s="46">
        <f t="shared" si="15"/>
        <v>9.9999999999999997E+98</v>
      </c>
    </row>
    <row r="242" spans="1:8" x14ac:dyDescent="0.3">
      <c r="A242" s="40" t="str">
        <f>'TO HOP NLAN'!A242</f>
        <v/>
      </c>
      <c r="B242" s="40" t="str">
        <f>'TO HOP NLAN'!L242</f>
        <v>STRENGTH</v>
      </c>
      <c r="C242" s="46">
        <f>IF(A242="",0,MAX(IF('TS-PILE'!$B$56="",-1E+99,'TO HOP NLAN'!D242/ncoc+IF(SUMSQ('TS-PILE'!$E$56:$E$75)=0,0,'TO HOP NLAN'!E242*'TS-PILE'!$E$56/SUMSQ('TS-PILE'!$E$56:$E$75))+IF(SUMSQ('TS-PILE'!$D$56:$D$75)=0,0,'TO HOP NLAN'!F242*'TS-PILE'!$D$56/SUMSQ('TS-PILE'!$D$56:$D$75))),IF('TS-PILE'!$B$57="",-1E+99,'TO HOP NLAN'!D242/ncoc+IF(SUMSQ('TS-PILE'!$E$56:$E$75)=0,0,'TO HOP NLAN'!E242*'TS-PILE'!$E$57/SUMSQ('TS-PILE'!$E$56:$E$75))+IF(SUMSQ('TS-PILE'!$D$56:$D$75)=0,0,'TO HOP NLAN'!F242*'TS-PILE'!$D$57/SUMSQ('TS-PILE'!$D$56:$D$75))),IF('TS-PILE'!$B$58="",-1E+99,'TO HOP NLAN'!D242/ncoc+IF(SUMSQ('TS-PILE'!$E$56:$E$75)=0,0,'TO HOP NLAN'!E242*'TS-PILE'!$E$58/SUMSQ('TS-PILE'!$E$56:$E$75))+IF(SUMSQ('TS-PILE'!$D$56:$D$75)=0,0,'TO HOP NLAN'!F242*'TS-PILE'!$D$58/SUMSQ('TS-PILE'!$D$56:$D$75))),IF('TS-PILE'!$B$59="",-1E+99,'TO HOP NLAN'!D242/ncoc+IF(SUMSQ('TS-PILE'!$E$56:$E$75)=0,0,'TO HOP NLAN'!E242*'TS-PILE'!$E$59/SUMSQ('TS-PILE'!$E$56:$E$75))+IF(SUMSQ('TS-PILE'!$D$56:$D$75)=0,0,'TO HOP NLAN'!F242*'TS-PILE'!$D$59/SUMSQ('TS-PILE'!$D$56:$D$75))),IF('TS-PILE'!$B$60="",-1E+99,'TO HOP NLAN'!D242/ncoc+IF(SUMSQ('TS-PILE'!$E$56:$E$75)=0,0,'TO HOP NLAN'!E242*'TS-PILE'!$E$60/SUMSQ('TS-PILE'!$E$56:$E$75))+IF(SUMSQ('TS-PILE'!$D$56:$D$75)=0,0,'TO HOP NLAN'!F242*'TS-PILE'!$D$60/SUMSQ('TS-PILE'!$D$56:$D$75))),IF('TS-PILE'!$B$61="",-1E+99,'TO HOP NLAN'!D242/ncoc+IF(SUMSQ('TS-PILE'!$E$56:$E$75)=0,0,'TO HOP NLAN'!E242*'TS-PILE'!$E$61/SUMSQ('TS-PILE'!$E$56:$E$75))+IF(SUMSQ('TS-PILE'!$D$56:$D$75)=0,0,'TO HOP NLAN'!F242*'TS-PILE'!$D$61/SUMSQ('TS-PILE'!$D$56:$D$75))),IF('TS-PILE'!$B$62="",-1E+99,'TO HOP NLAN'!D242/ncoc+IF(SUMSQ('TS-PILE'!$E$56:$E$75)=0,0,'TO HOP NLAN'!E242*'TS-PILE'!$E$62/SUMSQ('TS-PILE'!$E$56:$E$75))+IF(SUMSQ('TS-PILE'!$D$56:$D$75)=0,0,'TO HOP NLAN'!F242*'TS-PILE'!$D$62/SUMSQ('TS-PILE'!$D$56:$D$75))),IF('TS-PILE'!$B$63="",-1E+99,'TO HOP NLAN'!D242/ncoc+IF(SUMSQ('TS-PILE'!$E$56:$E$75)=0,0,'TO HOP NLAN'!E242*'TS-PILE'!$E$63/SUMSQ('TS-PILE'!$E$56:$E$75))+IF(SUMSQ('TS-PILE'!$D$56:$D$75)=0,0,'TO HOP NLAN'!F242*'TS-PILE'!$D$63/SUMSQ('TS-PILE'!$D$56:$D$75))),IF('TS-PILE'!$B$64="",-1E+99,'TO HOP NLAN'!D242/ncoc+IF(SUMSQ('TS-PILE'!$E$56:$E$75)=0,0,'TO HOP NLAN'!E242*'TS-PILE'!$E$64/SUMSQ('TS-PILE'!$E$56:$E$75))+IF(SUMSQ('TS-PILE'!$D$56:$D$75)=0,0,'TO HOP NLAN'!F242*'TS-PILE'!$D$64/SUMSQ('TS-PILE'!$D$56:$D$75))),IF('TS-PILE'!$B$65="",-1E+99,'TO HOP NLAN'!D242/ncoc+IF(SUMSQ('TS-PILE'!$E$56:$E$75)=0,0,'TO HOP NLAN'!E242*'TS-PILE'!$E$65/SUMSQ('TS-PILE'!$E$56:$E$75))+IF(SUMSQ('TS-PILE'!$D$56:$D$75)=0,0,'TO HOP NLAN'!F242*'TS-PILE'!$D$65/SUMSQ('TS-PILE'!$D$56:$D$75))),IF('TS-PILE'!$B$66="",-1E+99,'TO HOP NLAN'!D242/ncoc+IF(SUMSQ('TS-PILE'!$E$56:$E$75)=0,0,'TO HOP NLAN'!E242*'TS-PILE'!$E$66/SUMSQ('TS-PILE'!$E$56:$E$75))+IF(SUMSQ('TS-PILE'!$D$56:$D$75)=0,0,'TO HOP NLAN'!F242*'TS-PILE'!$D$66/SUMSQ('TS-PILE'!$D$56:$D$75))),IF('TS-PILE'!$B$67="",-1E+99,'TO HOP NLAN'!D242/ncoc+IF(SUMSQ('TS-PILE'!$E$56:$E$75)=0,0,'TO HOP NLAN'!E242*'TS-PILE'!$E$67/SUMSQ('TS-PILE'!$E$56:$E$75))+IF(SUMSQ('TS-PILE'!$D$56:$D$75)=0,0,'TO HOP NLAN'!F242*'TS-PILE'!$D$67/SUMSQ('TS-PILE'!$D$56:$D$75))),IF('TS-PILE'!$B$68="",-1E+99,'TO HOP NLAN'!D242/ncoc+IF(SUMSQ('TS-PILE'!$E$56:$E$75)=0,0,'TO HOP NLAN'!E242*'TS-PILE'!$E$68/SUMSQ('TS-PILE'!$E$56:$E$75))+IF(SUMSQ('TS-PILE'!$D$56:$D$75)=0,0,'TO HOP NLAN'!F242*'TS-PILE'!$D$68/SUMSQ('TS-PILE'!$D$56:$D$75))),IF('TS-PILE'!$B$69="",-1E+99,'TO HOP NLAN'!D242/ncoc+IF(SUMSQ('TS-PILE'!$E$56:$E$75)=0,0,'TO HOP NLAN'!E242*'TS-PILE'!$E$69/SUMSQ('TS-PILE'!$E$56:$E$75))+IF(SUMSQ('TS-PILE'!$D$56:$D$75)=0,0,'TO HOP NLAN'!F242*'TS-PILE'!$D$69/SUMSQ('TS-PILE'!$D$56:$D$75))),IF('TS-PILE'!$B$70="",-1E+99,'TO HOP NLAN'!D242/ncoc+IF(SUMSQ('TS-PILE'!$E$56:$E$75)=0,0,'TO HOP NLAN'!E242*'TS-PILE'!$E$70/SUMSQ('TS-PILE'!$E$56:$E$75))+IF(SUMSQ('TS-PILE'!$D$56:$D$75)=0,0,'TO HOP NLAN'!F242*'TS-PILE'!$D$70/SUMSQ('TS-PILE'!$D$56:$D$75))),IF('TS-PILE'!$B$71="",-1E+99,'TO HOP NLAN'!D242/ncoc+IF(SUMSQ('TS-PILE'!$E$56:$E$75)=0,0,'TO HOP NLAN'!E242*'TS-PILE'!$E$71/SUMSQ('TS-PILE'!$E$56:$E$75))+IF(SUMSQ('TS-PILE'!$D$56:$D$75)=0,0,'TO HOP NLAN'!F242*'TS-PILE'!$D$71/SUMSQ('TS-PILE'!$D$56:$D$75))),IF('TS-PILE'!$B$72="",-1E+99,'TO HOP NLAN'!D242/ncoc+IF(SUMSQ('TS-PILE'!$E$56:$E$75)=0,0,'TO HOP NLAN'!E242*'TS-PILE'!$E$72/SUMSQ('TS-PILE'!$E$56:$E$75))+IF(SUMSQ('TS-PILE'!$D$56:$D$75)=0,0,'TO HOP NLAN'!F242*'TS-PILE'!$D$72/SUMSQ('TS-PILE'!$D$56:$D$75))),IF('TS-PILE'!$B$73="",-1E+99,'TO HOP NLAN'!D242/ncoc+IF(SUMSQ('TS-PILE'!$E$56:$E$75)=0,0,'TO HOP NLAN'!E242*'TS-PILE'!$E$73/SUMSQ('TS-PILE'!$E$56:$E$75))+IF(SUMSQ('TS-PILE'!$D$56:$D$75)=0,0,'TO HOP NLAN'!F242*'TS-PILE'!$D$73/SUMSQ('TS-PILE'!$D$56:$D$75))),IF('TS-PILE'!$B$74="",-1E+99,'TO HOP NLAN'!D242/ncoc+IF(SUMSQ('TS-PILE'!$E$56:$E$75)=0,0,'TO HOP NLAN'!E242*'TS-PILE'!$E$74/SUMSQ('TS-PILE'!$E$56:$E$75))+IF(SUMSQ('TS-PILE'!$D$56:$D$75)=0,0,'TO HOP NLAN'!F242*'TS-PILE'!$D$74/SUMSQ('TS-PILE'!$D$56:$D$75))),IF('TS-PILE'!$B$75="",-1E+99,'TO HOP NLAN'!D242/ncoc+IF(SUMSQ('TS-PILE'!$E$56:$E$75)=0,0,'TO HOP NLAN'!E242*'TS-PILE'!$E$75/SUMSQ('TS-PILE'!$E$56:$E$75))+IF(SUMSQ('TS-PILE'!$D$56:$D$75)=0,0,'TO HOP NLAN'!F242*'TS-PILE'!$D$75/SUMSQ('TS-PILE'!$D$56:$D$75)))))</f>
        <v>0</v>
      </c>
      <c r="D242" s="46">
        <f>IF(A242="",0,MIN(IF('TS-PILE'!$B$56="",1E+99,'TO HOP NLAN'!D242/ncoc+IF(SUMSQ('TS-PILE'!$E$56:$E$75)=0,0,'TO HOP NLAN'!E242*'TS-PILE'!$E$56/SUMSQ('TS-PILE'!$E$56:$E$75))+IF(SUMSQ('TS-PILE'!$D$56:$D$75)=0,0,'TO HOP NLAN'!F242*'TS-PILE'!$D$56/SUMSQ('TS-PILE'!$D$56:$D$75))),IF('TS-PILE'!$B$57="",1E+99,'TO HOP NLAN'!D242/ncoc+IF(SUMSQ('TS-PILE'!$E$56:$E$75)=0,0,'TO HOP NLAN'!E242*'TS-PILE'!$E$57/SUMSQ('TS-PILE'!$E$56:$E$75))+IF(SUMSQ('TS-PILE'!$D$56:$D$75)=0,0,'TO HOP NLAN'!F242*'TS-PILE'!$D$57/SUMSQ('TS-PILE'!$D$56:$D$75))),IF('TS-PILE'!$B$58="",1E+99,'TO HOP NLAN'!D242/ncoc+IF(SUMSQ('TS-PILE'!$E$56:$E$75)=0,0,'TO HOP NLAN'!E242*'TS-PILE'!$E$58/SUMSQ('TS-PILE'!$E$56:$E$75))+IF(SUMSQ('TS-PILE'!$D$56:$D$75)=0,0,'TO HOP NLAN'!F242*'TS-PILE'!$D$58/SUMSQ('TS-PILE'!$D$56:$D$75))),IF('TS-PILE'!$B$59="",1E+99,'TO HOP NLAN'!D242/ncoc+IF(SUMSQ('TS-PILE'!$E$56:$E$75)=0,0,'TO HOP NLAN'!E242*'TS-PILE'!$E$59/SUMSQ('TS-PILE'!$E$56:$E$75))+IF(SUMSQ('TS-PILE'!$D$56:$D$75)=0,0,'TO HOP NLAN'!F242*'TS-PILE'!$D$59/SUMSQ('TS-PILE'!$D$56:$D$75))),IF('TS-PILE'!$B$60="",1E+99,'TO HOP NLAN'!D242/ncoc+IF(SUMSQ('TS-PILE'!$E$56:$E$75)=0,0,'TO HOP NLAN'!E242*'TS-PILE'!$E$60/SUMSQ('TS-PILE'!$E$56:$E$75))+IF(SUMSQ('TS-PILE'!$D$56:$D$75)=0,0,'TO HOP NLAN'!F242*'TS-PILE'!$D$60/SUMSQ('TS-PILE'!$D$56:$D$75))),IF('TS-PILE'!$B$61="",1E+99,'TO HOP NLAN'!D242/ncoc+IF(SUMSQ('TS-PILE'!$E$56:$E$75)=0,0,'TO HOP NLAN'!E242*'TS-PILE'!$E$61/SUMSQ('TS-PILE'!$E$56:$E$75))+IF(SUMSQ('TS-PILE'!$D$56:$D$75)=0,0,'TO HOP NLAN'!F242*'TS-PILE'!$D$61/SUMSQ('TS-PILE'!$D$56:$D$75))),IF('TS-PILE'!$B$62="",1E+99,'TO HOP NLAN'!D242/ncoc+IF(SUMSQ('TS-PILE'!$E$56:$E$75)=0,0,'TO HOP NLAN'!E242*'TS-PILE'!$E$62/SUMSQ('TS-PILE'!$E$56:$E$75))+IF(SUMSQ('TS-PILE'!$D$56:$D$75)=0,0,'TO HOP NLAN'!F242*'TS-PILE'!$D$62/SUMSQ('TS-PILE'!$D$56:$D$75))),IF('TS-PILE'!$B$63="",1E+99,'TO HOP NLAN'!D242/ncoc+IF(SUMSQ('TS-PILE'!$E$56:$E$75)=0,0,'TO HOP NLAN'!E242*'TS-PILE'!$E$63/SUMSQ('TS-PILE'!$E$56:$E$75))+IF(SUMSQ('TS-PILE'!$D$56:$D$75)=0,0,'TO HOP NLAN'!F242*'TS-PILE'!$D$63/SUMSQ('TS-PILE'!$D$56:$D$75))),IF('TS-PILE'!$B$64="",1E+99,'TO HOP NLAN'!D242/ncoc+IF(SUMSQ('TS-PILE'!$E$56:$E$75)=0,0,'TO HOP NLAN'!E242*'TS-PILE'!$E$64/SUMSQ('TS-PILE'!$E$56:$E$75))+IF(SUMSQ('TS-PILE'!$D$56:$D$75)=0,0,'TO HOP NLAN'!F242*'TS-PILE'!$D$64/SUMSQ('TS-PILE'!$D$56:$D$75))),IF('TS-PILE'!$B$65="",1E+99,'TO HOP NLAN'!D242/ncoc+IF(SUMSQ('TS-PILE'!$E$56:$E$75)=0,0,'TO HOP NLAN'!E242*'TS-PILE'!$E$65/SUMSQ('TS-PILE'!$E$56:$E$75))+IF(SUMSQ('TS-PILE'!$D$56:$D$75)=0,0,'TO HOP NLAN'!F242*'TS-PILE'!$D$65/SUMSQ('TS-PILE'!$D$56:$D$75))),IF('TS-PILE'!$B$66="",1E+99,'TO HOP NLAN'!D242/ncoc+IF(SUMSQ('TS-PILE'!$E$56:$E$75)=0,0,'TO HOP NLAN'!E242*'TS-PILE'!$E$66/SUMSQ('TS-PILE'!$E$56:$E$75))+IF(SUMSQ('TS-PILE'!$D$56:$D$75)=0,0,'TO HOP NLAN'!F242*'TS-PILE'!$D$66/SUMSQ('TS-PILE'!$D$56:$D$75))),IF('TS-PILE'!$B$67="",1E+99,'TO HOP NLAN'!D242/ncoc+IF(SUMSQ('TS-PILE'!$E$56:$E$75)=0,0,'TO HOP NLAN'!E242*'TS-PILE'!$E$67/SUMSQ('TS-PILE'!$E$56:$E$75))+IF(SUMSQ('TS-PILE'!$D$56:$D$75)=0,0,'TO HOP NLAN'!F242*'TS-PILE'!$D$67/SUMSQ('TS-PILE'!$D$56:$D$75))),IF('TS-PILE'!$B$68="",1E+99,'TO HOP NLAN'!D242/ncoc+IF(SUMSQ('TS-PILE'!$E$56:$E$75)=0,0,'TO HOP NLAN'!E242*'TS-PILE'!$E$68/SUMSQ('TS-PILE'!$E$56:$E$75))+IF(SUMSQ('TS-PILE'!$D$56:$D$75)=0,0,'TO HOP NLAN'!F242*'TS-PILE'!$D$68/SUMSQ('TS-PILE'!$D$56:$D$75))),IF('TS-PILE'!$B$69="",1E+99,'TO HOP NLAN'!D242/ncoc+IF(SUMSQ('TS-PILE'!$E$56:$E$75)=0,0,'TO HOP NLAN'!E242*'TS-PILE'!$E$69/SUMSQ('TS-PILE'!$E$56:$E$75))+IF(SUMSQ('TS-PILE'!$D$56:$D$75)=0,0,'TO HOP NLAN'!F242*'TS-PILE'!$D$69/SUMSQ('TS-PILE'!$D$56:$D$75))),IF('TS-PILE'!$B$70="",1E+99,'TO HOP NLAN'!D242/ncoc+IF(SUMSQ('TS-PILE'!$E$56:$E$75)=0,0,'TO HOP NLAN'!E242*'TS-PILE'!$E$70/SUMSQ('TS-PILE'!$E$56:$E$75))+IF(SUMSQ('TS-PILE'!$D$56:$D$75)=0,0,'TO HOP NLAN'!F242*'TS-PILE'!$D$70/SUMSQ('TS-PILE'!$D$56:$D$75))),IF('TS-PILE'!$B$71="",1E+99,'TO HOP NLAN'!D242/ncoc+IF(SUMSQ('TS-PILE'!$E$56:$E$75)=0,0,'TO HOP NLAN'!E242*'TS-PILE'!$E$71/SUMSQ('TS-PILE'!$E$56:$E$75))+IF(SUMSQ('TS-PILE'!$D$56:$D$75)=0,0,'TO HOP NLAN'!F242*'TS-PILE'!$D$71/SUMSQ('TS-PILE'!$D$56:$D$75))),IF('TS-PILE'!$B$72="",1E+99,'TO HOP NLAN'!D242/ncoc+IF(SUMSQ('TS-PILE'!$E$56:$E$75)=0,0,'TO HOP NLAN'!E242*'TS-PILE'!$E$72/SUMSQ('TS-PILE'!$E$56:$E$75))+IF(SUMSQ('TS-PILE'!$D$56:$D$75)=0,0,'TO HOP NLAN'!F242*'TS-PILE'!$D$72/SUMSQ('TS-PILE'!$D$56:$D$75))),IF('TS-PILE'!$B$73="",1E+99,'TO HOP NLAN'!D242/ncoc+IF(SUMSQ('TS-PILE'!$E$56:$E$75)=0,0,'TO HOP NLAN'!E242*'TS-PILE'!$E$73/SUMSQ('TS-PILE'!$E$56:$E$75))+IF(SUMSQ('TS-PILE'!$D$56:$D$75)=0,0,'TO HOP NLAN'!F242*'TS-PILE'!$D$73/SUMSQ('TS-PILE'!$D$56:$D$75))),IF('TS-PILE'!$B$74="",1E+99,'TO HOP NLAN'!D242/ncoc+IF(SUMSQ('TS-PILE'!$E$56:$E$75)=0,0,'TO HOP NLAN'!E242*'TS-PILE'!$E$74/SUMSQ('TS-PILE'!$E$56:$E$75))+IF(SUMSQ('TS-PILE'!$D$56:$D$75)=0,0,'TO HOP NLAN'!F242*'TS-PILE'!$D$74/SUMSQ('TS-PILE'!$D$56:$D$75))),IF('TS-PILE'!$B$75="",1E+99,'TO HOP NLAN'!D242/ncoc+IF(SUMSQ('TS-PILE'!$E$56:$E$75)=0,0,'TO HOP NLAN'!E242*'TS-PILE'!$E$75/SUMSQ('TS-PILE'!$E$56:$E$75))+IF(SUMSQ('TS-PILE'!$D$56:$D$75)=0,0,'TO HOP NLAN'!F242*'TS-PILE'!$D$75/SUMSQ('TS-PILE'!$D$56:$D$75)))))</f>
        <v>0</v>
      </c>
      <c r="E242" s="46">
        <f t="shared" si="12"/>
        <v>-9.9999999999999997E+98</v>
      </c>
      <c r="F242" s="46">
        <f t="shared" si="13"/>
        <v>9.9999999999999997E+98</v>
      </c>
      <c r="G242" s="46">
        <f t="shared" si="14"/>
        <v>-9.9999999999999997E+98</v>
      </c>
      <c r="H242" s="46">
        <f t="shared" si="15"/>
        <v>9.9999999999999997E+98</v>
      </c>
    </row>
    <row r="243" spans="1:8" x14ac:dyDescent="0.3">
      <c r="A243" s="40" t="str">
        <f>'TO HOP NLAN'!A243</f>
        <v/>
      </c>
      <c r="B243" s="40" t="str">
        <f>'TO HOP NLAN'!L243</f>
        <v>STRENGTH</v>
      </c>
      <c r="C243" s="46">
        <f>IF(A243="",0,MAX(IF('TS-PILE'!$B$56="",-1E+99,'TO HOP NLAN'!D243/ncoc+IF(SUMSQ('TS-PILE'!$E$56:$E$75)=0,0,'TO HOP NLAN'!E243*'TS-PILE'!$E$56/SUMSQ('TS-PILE'!$E$56:$E$75))+IF(SUMSQ('TS-PILE'!$D$56:$D$75)=0,0,'TO HOP NLAN'!F243*'TS-PILE'!$D$56/SUMSQ('TS-PILE'!$D$56:$D$75))),IF('TS-PILE'!$B$57="",-1E+99,'TO HOP NLAN'!D243/ncoc+IF(SUMSQ('TS-PILE'!$E$56:$E$75)=0,0,'TO HOP NLAN'!E243*'TS-PILE'!$E$57/SUMSQ('TS-PILE'!$E$56:$E$75))+IF(SUMSQ('TS-PILE'!$D$56:$D$75)=0,0,'TO HOP NLAN'!F243*'TS-PILE'!$D$57/SUMSQ('TS-PILE'!$D$56:$D$75))),IF('TS-PILE'!$B$58="",-1E+99,'TO HOP NLAN'!D243/ncoc+IF(SUMSQ('TS-PILE'!$E$56:$E$75)=0,0,'TO HOP NLAN'!E243*'TS-PILE'!$E$58/SUMSQ('TS-PILE'!$E$56:$E$75))+IF(SUMSQ('TS-PILE'!$D$56:$D$75)=0,0,'TO HOP NLAN'!F243*'TS-PILE'!$D$58/SUMSQ('TS-PILE'!$D$56:$D$75))),IF('TS-PILE'!$B$59="",-1E+99,'TO HOP NLAN'!D243/ncoc+IF(SUMSQ('TS-PILE'!$E$56:$E$75)=0,0,'TO HOP NLAN'!E243*'TS-PILE'!$E$59/SUMSQ('TS-PILE'!$E$56:$E$75))+IF(SUMSQ('TS-PILE'!$D$56:$D$75)=0,0,'TO HOP NLAN'!F243*'TS-PILE'!$D$59/SUMSQ('TS-PILE'!$D$56:$D$75))),IF('TS-PILE'!$B$60="",-1E+99,'TO HOP NLAN'!D243/ncoc+IF(SUMSQ('TS-PILE'!$E$56:$E$75)=0,0,'TO HOP NLAN'!E243*'TS-PILE'!$E$60/SUMSQ('TS-PILE'!$E$56:$E$75))+IF(SUMSQ('TS-PILE'!$D$56:$D$75)=0,0,'TO HOP NLAN'!F243*'TS-PILE'!$D$60/SUMSQ('TS-PILE'!$D$56:$D$75))),IF('TS-PILE'!$B$61="",-1E+99,'TO HOP NLAN'!D243/ncoc+IF(SUMSQ('TS-PILE'!$E$56:$E$75)=0,0,'TO HOP NLAN'!E243*'TS-PILE'!$E$61/SUMSQ('TS-PILE'!$E$56:$E$75))+IF(SUMSQ('TS-PILE'!$D$56:$D$75)=0,0,'TO HOP NLAN'!F243*'TS-PILE'!$D$61/SUMSQ('TS-PILE'!$D$56:$D$75))),IF('TS-PILE'!$B$62="",-1E+99,'TO HOP NLAN'!D243/ncoc+IF(SUMSQ('TS-PILE'!$E$56:$E$75)=0,0,'TO HOP NLAN'!E243*'TS-PILE'!$E$62/SUMSQ('TS-PILE'!$E$56:$E$75))+IF(SUMSQ('TS-PILE'!$D$56:$D$75)=0,0,'TO HOP NLAN'!F243*'TS-PILE'!$D$62/SUMSQ('TS-PILE'!$D$56:$D$75))),IF('TS-PILE'!$B$63="",-1E+99,'TO HOP NLAN'!D243/ncoc+IF(SUMSQ('TS-PILE'!$E$56:$E$75)=0,0,'TO HOP NLAN'!E243*'TS-PILE'!$E$63/SUMSQ('TS-PILE'!$E$56:$E$75))+IF(SUMSQ('TS-PILE'!$D$56:$D$75)=0,0,'TO HOP NLAN'!F243*'TS-PILE'!$D$63/SUMSQ('TS-PILE'!$D$56:$D$75))),IF('TS-PILE'!$B$64="",-1E+99,'TO HOP NLAN'!D243/ncoc+IF(SUMSQ('TS-PILE'!$E$56:$E$75)=0,0,'TO HOP NLAN'!E243*'TS-PILE'!$E$64/SUMSQ('TS-PILE'!$E$56:$E$75))+IF(SUMSQ('TS-PILE'!$D$56:$D$75)=0,0,'TO HOP NLAN'!F243*'TS-PILE'!$D$64/SUMSQ('TS-PILE'!$D$56:$D$75))),IF('TS-PILE'!$B$65="",-1E+99,'TO HOP NLAN'!D243/ncoc+IF(SUMSQ('TS-PILE'!$E$56:$E$75)=0,0,'TO HOP NLAN'!E243*'TS-PILE'!$E$65/SUMSQ('TS-PILE'!$E$56:$E$75))+IF(SUMSQ('TS-PILE'!$D$56:$D$75)=0,0,'TO HOP NLAN'!F243*'TS-PILE'!$D$65/SUMSQ('TS-PILE'!$D$56:$D$75))),IF('TS-PILE'!$B$66="",-1E+99,'TO HOP NLAN'!D243/ncoc+IF(SUMSQ('TS-PILE'!$E$56:$E$75)=0,0,'TO HOP NLAN'!E243*'TS-PILE'!$E$66/SUMSQ('TS-PILE'!$E$56:$E$75))+IF(SUMSQ('TS-PILE'!$D$56:$D$75)=0,0,'TO HOP NLAN'!F243*'TS-PILE'!$D$66/SUMSQ('TS-PILE'!$D$56:$D$75))),IF('TS-PILE'!$B$67="",-1E+99,'TO HOP NLAN'!D243/ncoc+IF(SUMSQ('TS-PILE'!$E$56:$E$75)=0,0,'TO HOP NLAN'!E243*'TS-PILE'!$E$67/SUMSQ('TS-PILE'!$E$56:$E$75))+IF(SUMSQ('TS-PILE'!$D$56:$D$75)=0,0,'TO HOP NLAN'!F243*'TS-PILE'!$D$67/SUMSQ('TS-PILE'!$D$56:$D$75))),IF('TS-PILE'!$B$68="",-1E+99,'TO HOP NLAN'!D243/ncoc+IF(SUMSQ('TS-PILE'!$E$56:$E$75)=0,0,'TO HOP NLAN'!E243*'TS-PILE'!$E$68/SUMSQ('TS-PILE'!$E$56:$E$75))+IF(SUMSQ('TS-PILE'!$D$56:$D$75)=0,0,'TO HOP NLAN'!F243*'TS-PILE'!$D$68/SUMSQ('TS-PILE'!$D$56:$D$75))),IF('TS-PILE'!$B$69="",-1E+99,'TO HOP NLAN'!D243/ncoc+IF(SUMSQ('TS-PILE'!$E$56:$E$75)=0,0,'TO HOP NLAN'!E243*'TS-PILE'!$E$69/SUMSQ('TS-PILE'!$E$56:$E$75))+IF(SUMSQ('TS-PILE'!$D$56:$D$75)=0,0,'TO HOP NLAN'!F243*'TS-PILE'!$D$69/SUMSQ('TS-PILE'!$D$56:$D$75))),IF('TS-PILE'!$B$70="",-1E+99,'TO HOP NLAN'!D243/ncoc+IF(SUMSQ('TS-PILE'!$E$56:$E$75)=0,0,'TO HOP NLAN'!E243*'TS-PILE'!$E$70/SUMSQ('TS-PILE'!$E$56:$E$75))+IF(SUMSQ('TS-PILE'!$D$56:$D$75)=0,0,'TO HOP NLAN'!F243*'TS-PILE'!$D$70/SUMSQ('TS-PILE'!$D$56:$D$75))),IF('TS-PILE'!$B$71="",-1E+99,'TO HOP NLAN'!D243/ncoc+IF(SUMSQ('TS-PILE'!$E$56:$E$75)=0,0,'TO HOP NLAN'!E243*'TS-PILE'!$E$71/SUMSQ('TS-PILE'!$E$56:$E$75))+IF(SUMSQ('TS-PILE'!$D$56:$D$75)=0,0,'TO HOP NLAN'!F243*'TS-PILE'!$D$71/SUMSQ('TS-PILE'!$D$56:$D$75))),IF('TS-PILE'!$B$72="",-1E+99,'TO HOP NLAN'!D243/ncoc+IF(SUMSQ('TS-PILE'!$E$56:$E$75)=0,0,'TO HOP NLAN'!E243*'TS-PILE'!$E$72/SUMSQ('TS-PILE'!$E$56:$E$75))+IF(SUMSQ('TS-PILE'!$D$56:$D$75)=0,0,'TO HOP NLAN'!F243*'TS-PILE'!$D$72/SUMSQ('TS-PILE'!$D$56:$D$75))),IF('TS-PILE'!$B$73="",-1E+99,'TO HOP NLAN'!D243/ncoc+IF(SUMSQ('TS-PILE'!$E$56:$E$75)=0,0,'TO HOP NLAN'!E243*'TS-PILE'!$E$73/SUMSQ('TS-PILE'!$E$56:$E$75))+IF(SUMSQ('TS-PILE'!$D$56:$D$75)=0,0,'TO HOP NLAN'!F243*'TS-PILE'!$D$73/SUMSQ('TS-PILE'!$D$56:$D$75))),IF('TS-PILE'!$B$74="",-1E+99,'TO HOP NLAN'!D243/ncoc+IF(SUMSQ('TS-PILE'!$E$56:$E$75)=0,0,'TO HOP NLAN'!E243*'TS-PILE'!$E$74/SUMSQ('TS-PILE'!$E$56:$E$75))+IF(SUMSQ('TS-PILE'!$D$56:$D$75)=0,0,'TO HOP NLAN'!F243*'TS-PILE'!$D$74/SUMSQ('TS-PILE'!$D$56:$D$75))),IF('TS-PILE'!$B$75="",-1E+99,'TO HOP NLAN'!D243/ncoc+IF(SUMSQ('TS-PILE'!$E$56:$E$75)=0,0,'TO HOP NLAN'!E243*'TS-PILE'!$E$75/SUMSQ('TS-PILE'!$E$56:$E$75))+IF(SUMSQ('TS-PILE'!$D$56:$D$75)=0,0,'TO HOP NLAN'!F243*'TS-PILE'!$D$75/SUMSQ('TS-PILE'!$D$56:$D$75)))))</f>
        <v>0</v>
      </c>
      <c r="D243" s="46">
        <f>IF(A243="",0,MIN(IF('TS-PILE'!$B$56="",1E+99,'TO HOP NLAN'!D243/ncoc+IF(SUMSQ('TS-PILE'!$E$56:$E$75)=0,0,'TO HOP NLAN'!E243*'TS-PILE'!$E$56/SUMSQ('TS-PILE'!$E$56:$E$75))+IF(SUMSQ('TS-PILE'!$D$56:$D$75)=0,0,'TO HOP NLAN'!F243*'TS-PILE'!$D$56/SUMSQ('TS-PILE'!$D$56:$D$75))),IF('TS-PILE'!$B$57="",1E+99,'TO HOP NLAN'!D243/ncoc+IF(SUMSQ('TS-PILE'!$E$56:$E$75)=0,0,'TO HOP NLAN'!E243*'TS-PILE'!$E$57/SUMSQ('TS-PILE'!$E$56:$E$75))+IF(SUMSQ('TS-PILE'!$D$56:$D$75)=0,0,'TO HOP NLAN'!F243*'TS-PILE'!$D$57/SUMSQ('TS-PILE'!$D$56:$D$75))),IF('TS-PILE'!$B$58="",1E+99,'TO HOP NLAN'!D243/ncoc+IF(SUMSQ('TS-PILE'!$E$56:$E$75)=0,0,'TO HOP NLAN'!E243*'TS-PILE'!$E$58/SUMSQ('TS-PILE'!$E$56:$E$75))+IF(SUMSQ('TS-PILE'!$D$56:$D$75)=0,0,'TO HOP NLAN'!F243*'TS-PILE'!$D$58/SUMSQ('TS-PILE'!$D$56:$D$75))),IF('TS-PILE'!$B$59="",1E+99,'TO HOP NLAN'!D243/ncoc+IF(SUMSQ('TS-PILE'!$E$56:$E$75)=0,0,'TO HOP NLAN'!E243*'TS-PILE'!$E$59/SUMSQ('TS-PILE'!$E$56:$E$75))+IF(SUMSQ('TS-PILE'!$D$56:$D$75)=0,0,'TO HOP NLAN'!F243*'TS-PILE'!$D$59/SUMSQ('TS-PILE'!$D$56:$D$75))),IF('TS-PILE'!$B$60="",1E+99,'TO HOP NLAN'!D243/ncoc+IF(SUMSQ('TS-PILE'!$E$56:$E$75)=0,0,'TO HOP NLAN'!E243*'TS-PILE'!$E$60/SUMSQ('TS-PILE'!$E$56:$E$75))+IF(SUMSQ('TS-PILE'!$D$56:$D$75)=0,0,'TO HOP NLAN'!F243*'TS-PILE'!$D$60/SUMSQ('TS-PILE'!$D$56:$D$75))),IF('TS-PILE'!$B$61="",1E+99,'TO HOP NLAN'!D243/ncoc+IF(SUMSQ('TS-PILE'!$E$56:$E$75)=0,0,'TO HOP NLAN'!E243*'TS-PILE'!$E$61/SUMSQ('TS-PILE'!$E$56:$E$75))+IF(SUMSQ('TS-PILE'!$D$56:$D$75)=0,0,'TO HOP NLAN'!F243*'TS-PILE'!$D$61/SUMSQ('TS-PILE'!$D$56:$D$75))),IF('TS-PILE'!$B$62="",1E+99,'TO HOP NLAN'!D243/ncoc+IF(SUMSQ('TS-PILE'!$E$56:$E$75)=0,0,'TO HOP NLAN'!E243*'TS-PILE'!$E$62/SUMSQ('TS-PILE'!$E$56:$E$75))+IF(SUMSQ('TS-PILE'!$D$56:$D$75)=0,0,'TO HOP NLAN'!F243*'TS-PILE'!$D$62/SUMSQ('TS-PILE'!$D$56:$D$75))),IF('TS-PILE'!$B$63="",1E+99,'TO HOP NLAN'!D243/ncoc+IF(SUMSQ('TS-PILE'!$E$56:$E$75)=0,0,'TO HOP NLAN'!E243*'TS-PILE'!$E$63/SUMSQ('TS-PILE'!$E$56:$E$75))+IF(SUMSQ('TS-PILE'!$D$56:$D$75)=0,0,'TO HOP NLAN'!F243*'TS-PILE'!$D$63/SUMSQ('TS-PILE'!$D$56:$D$75))),IF('TS-PILE'!$B$64="",1E+99,'TO HOP NLAN'!D243/ncoc+IF(SUMSQ('TS-PILE'!$E$56:$E$75)=0,0,'TO HOP NLAN'!E243*'TS-PILE'!$E$64/SUMSQ('TS-PILE'!$E$56:$E$75))+IF(SUMSQ('TS-PILE'!$D$56:$D$75)=0,0,'TO HOP NLAN'!F243*'TS-PILE'!$D$64/SUMSQ('TS-PILE'!$D$56:$D$75))),IF('TS-PILE'!$B$65="",1E+99,'TO HOP NLAN'!D243/ncoc+IF(SUMSQ('TS-PILE'!$E$56:$E$75)=0,0,'TO HOP NLAN'!E243*'TS-PILE'!$E$65/SUMSQ('TS-PILE'!$E$56:$E$75))+IF(SUMSQ('TS-PILE'!$D$56:$D$75)=0,0,'TO HOP NLAN'!F243*'TS-PILE'!$D$65/SUMSQ('TS-PILE'!$D$56:$D$75))),IF('TS-PILE'!$B$66="",1E+99,'TO HOP NLAN'!D243/ncoc+IF(SUMSQ('TS-PILE'!$E$56:$E$75)=0,0,'TO HOP NLAN'!E243*'TS-PILE'!$E$66/SUMSQ('TS-PILE'!$E$56:$E$75))+IF(SUMSQ('TS-PILE'!$D$56:$D$75)=0,0,'TO HOP NLAN'!F243*'TS-PILE'!$D$66/SUMSQ('TS-PILE'!$D$56:$D$75))),IF('TS-PILE'!$B$67="",1E+99,'TO HOP NLAN'!D243/ncoc+IF(SUMSQ('TS-PILE'!$E$56:$E$75)=0,0,'TO HOP NLAN'!E243*'TS-PILE'!$E$67/SUMSQ('TS-PILE'!$E$56:$E$75))+IF(SUMSQ('TS-PILE'!$D$56:$D$75)=0,0,'TO HOP NLAN'!F243*'TS-PILE'!$D$67/SUMSQ('TS-PILE'!$D$56:$D$75))),IF('TS-PILE'!$B$68="",1E+99,'TO HOP NLAN'!D243/ncoc+IF(SUMSQ('TS-PILE'!$E$56:$E$75)=0,0,'TO HOP NLAN'!E243*'TS-PILE'!$E$68/SUMSQ('TS-PILE'!$E$56:$E$75))+IF(SUMSQ('TS-PILE'!$D$56:$D$75)=0,0,'TO HOP NLAN'!F243*'TS-PILE'!$D$68/SUMSQ('TS-PILE'!$D$56:$D$75))),IF('TS-PILE'!$B$69="",1E+99,'TO HOP NLAN'!D243/ncoc+IF(SUMSQ('TS-PILE'!$E$56:$E$75)=0,0,'TO HOP NLAN'!E243*'TS-PILE'!$E$69/SUMSQ('TS-PILE'!$E$56:$E$75))+IF(SUMSQ('TS-PILE'!$D$56:$D$75)=0,0,'TO HOP NLAN'!F243*'TS-PILE'!$D$69/SUMSQ('TS-PILE'!$D$56:$D$75))),IF('TS-PILE'!$B$70="",1E+99,'TO HOP NLAN'!D243/ncoc+IF(SUMSQ('TS-PILE'!$E$56:$E$75)=0,0,'TO HOP NLAN'!E243*'TS-PILE'!$E$70/SUMSQ('TS-PILE'!$E$56:$E$75))+IF(SUMSQ('TS-PILE'!$D$56:$D$75)=0,0,'TO HOP NLAN'!F243*'TS-PILE'!$D$70/SUMSQ('TS-PILE'!$D$56:$D$75))),IF('TS-PILE'!$B$71="",1E+99,'TO HOP NLAN'!D243/ncoc+IF(SUMSQ('TS-PILE'!$E$56:$E$75)=0,0,'TO HOP NLAN'!E243*'TS-PILE'!$E$71/SUMSQ('TS-PILE'!$E$56:$E$75))+IF(SUMSQ('TS-PILE'!$D$56:$D$75)=0,0,'TO HOP NLAN'!F243*'TS-PILE'!$D$71/SUMSQ('TS-PILE'!$D$56:$D$75))),IF('TS-PILE'!$B$72="",1E+99,'TO HOP NLAN'!D243/ncoc+IF(SUMSQ('TS-PILE'!$E$56:$E$75)=0,0,'TO HOP NLAN'!E243*'TS-PILE'!$E$72/SUMSQ('TS-PILE'!$E$56:$E$75))+IF(SUMSQ('TS-PILE'!$D$56:$D$75)=0,0,'TO HOP NLAN'!F243*'TS-PILE'!$D$72/SUMSQ('TS-PILE'!$D$56:$D$75))),IF('TS-PILE'!$B$73="",1E+99,'TO HOP NLAN'!D243/ncoc+IF(SUMSQ('TS-PILE'!$E$56:$E$75)=0,0,'TO HOP NLAN'!E243*'TS-PILE'!$E$73/SUMSQ('TS-PILE'!$E$56:$E$75))+IF(SUMSQ('TS-PILE'!$D$56:$D$75)=0,0,'TO HOP NLAN'!F243*'TS-PILE'!$D$73/SUMSQ('TS-PILE'!$D$56:$D$75))),IF('TS-PILE'!$B$74="",1E+99,'TO HOP NLAN'!D243/ncoc+IF(SUMSQ('TS-PILE'!$E$56:$E$75)=0,0,'TO HOP NLAN'!E243*'TS-PILE'!$E$74/SUMSQ('TS-PILE'!$E$56:$E$75))+IF(SUMSQ('TS-PILE'!$D$56:$D$75)=0,0,'TO HOP NLAN'!F243*'TS-PILE'!$D$74/SUMSQ('TS-PILE'!$D$56:$D$75))),IF('TS-PILE'!$B$75="",1E+99,'TO HOP NLAN'!D243/ncoc+IF(SUMSQ('TS-PILE'!$E$56:$E$75)=0,0,'TO HOP NLAN'!E243*'TS-PILE'!$E$75/SUMSQ('TS-PILE'!$E$56:$E$75))+IF(SUMSQ('TS-PILE'!$D$56:$D$75)=0,0,'TO HOP NLAN'!F243*'TS-PILE'!$D$75/SUMSQ('TS-PILE'!$D$56:$D$75)))))</f>
        <v>0</v>
      </c>
      <c r="E243" s="46">
        <f t="shared" si="12"/>
        <v>-9.9999999999999997E+98</v>
      </c>
      <c r="F243" s="46">
        <f t="shared" si="13"/>
        <v>9.9999999999999997E+98</v>
      </c>
      <c r="G243" s="46">
        <f t="shared" si="14"/>
        <v>-9.9999999999999997E+98</v>
      </c>
      <c r="H243" s="46">
        <f t="shared" si="15"/>
        <v>9.9999999999999997E+98</v>
      </c>
    </row>
  </sheetData>
  <mergeCells count="3">
    <mergeCell ref="A1:H1"/>
    <mergeCell ref="A2:H2"/>
    <mergeCell ref="A4:H4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R16"/>
  <sheetViews>
    <sheetView showGridLines="0" workbookViewId="0"/>
  </sheetViews>
  <sheetFormatPr defaultRowHeight="14.4" x14ac:dyDescent="0.3"/>
  <cols>
    <col min="1" max="1" width="28" customWidth="1"/>
    <col min="2" max="11" width="16" customWidth="1"/>
    <col min="12" max="13" width="10" customWidth="1"/>
    <col min="14" max="18" width="13" customWidth="1"/>
  </cols>
  <sheetData>
    <row r="1" spans="1:18" ht="28.05" customHeight="1" x14ac:dyDescent="0.3">
      <c r="A1" s="90" t="s">
        <v>895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</row>
    <row r="2" spans="1:18" ht="34.049999999999997" customHeight="1" x14ac:dyDescent="0.3">
      <c r="A2" s="91" t="s">
        <v>896</v>
      </c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</row>
    <row r="4" spans="1:18" ht="22.05" customHeight="1" x14ac:dyDescent="0.3">
      <c r="A4" s="81" t="s">
        <v>897</v>
      </c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</row>
    <row r="5" spans="1:18" x14ac:dyDescent="0.3">
      <c r="A5" s="43" t="s">
        <v>445</v>
      </c>
      <c r="B5" s="43" t="s">
        <v>402</v>
      </c>
      <c r="C5" s="43" t="s">
        <v>403</v>
      </c>
      <c r="D5" s="43" t="s">
        <v>404</v>
      </c>
      <c r="E5" s="43" t="s">
        <v>405</v>
      </c>
      <c r="F5" s="43" t="s">
        <v>406</v>
      </c>
      <c r="G5" s="43" t="s">
        <v>407</v>
      </c>
      <c r="H5" s="43" t="s">
        <v>408</v>
      </c>
      <c r="I5" s="43" t="s">
        <v>409</v>
      </c>
      <c r="J5" s="43" t="s">
        <v>410</v>
      </c>
      <c r="K5" s="43" t="s">
        <v>411</v>
      </c>
      <c r="L5" s="43" t="s">
        <v>898</v>
      </c>
      <c r="M5" s="43" t="s">
        <v>899</v>
      </c>
      <c r="N5" s="43" t="s">
        <v>900</v>
      </c>
      <c r="O5" s="43" t="s">
        <v>901</v>
      </c>
      <c r="P5" s="43" t="s">
        <v>858</v>
      </c>
      <c r="Q5" s="43" t="s">
        <v>859</v>
      </c>
      <c r="R5" s="43" t="s">
        <v>860</v>
      </c>
    </row>
    <row r="6" spans="1:18" x14ac:dyDescent="0.3">
      <c r="A6" s="40" t="s">
        <v>902</v>
      </c>
      <c r="B6" s="54">
        <f>SUMPRODUCT('TO HOP'!$C$99:$AI$99,'TO HOP'!$C$42:$AI$42)-'TO HOP'!$AF$99*'TO HOP'!$AF$42-'TO HOP'!$AG$99*'TO HOP'!$AG$42+$L6*'DONG DAT'!$D$22+$Q6</f>
        <v>14466.422314473808</v>
      </c>
      <c r="C6" s="54">
        <f>SUMPRODUCT('TO HOP'!$C$99:$AI$99,'TO HOP'!$C$43:$AI$43)-'TO HOP'!$AF$99*'TO HOP'!$AF$43-'TO HOP'!$AG$99*'TO HOP'!$AG$43+$M6*'DONG DAT'!$D$22</f>
        <v>1421.1011235820001</v>
      </c>
      <c r="D6" s="54">
        <f>SUMPRODUCT('TO HOP'!$C$99:$AI$99,'TO HOP'!$C$44:$AI$44)-'TO HOP'!$AF$99*'TO HOP'!$AF$44-'TO HOP'!$AG$99*'TO HOP'!$AG$44+0</f>
        <v>31382.252095000007</v>
      </c>
      <c r="E6" s="54">
        <f>SUMPRODUCT('TO HOP'!$C$99:$AI$99,'TO HOP'!$C$45:$AI$45)-'TO HOP'!$AF$99*'TO HOP'!$AF$45-'TO HOP'!$AG$99*'TO HOP'!$AG$45+$M6*'DONG DAT'!$F$22</f>
        <v>11872.357911644445</v>
      </c>
      <c r="F6" s="54">
        <f>SUMPRODUCT('TO HOP'!$C$99:$AI$99,'TO HOP'!$C$46:$AI$46)-'TO HOP'!$AF$99*'TO HOP'!$AF$46-'TO HOP'!$AG$99*'TO HOP'!$AG$46+$L6*'DONG DAT'!$F$22+$Q6*Hdb/2</f>
        <v>49526.230404038251</v>
      </c>
      <c r="G6" s="54">
        <f>SUMPRODUCT('TO HOP'!$C$99:$AI$99,'TO HOP'!$C$47:$AI$47)-'TO HOP'!$AF$99*'TO HOP'!$AF$47-'TO HOP'!$AG$99*'TO HOP'!$AG$47+$L6*'DONG DAT'!$D$23+$R6</f>
        <v>9720.5617524257177</v>
      </c>
      <c r="H6" s="54">
        <f>SUMPRODUCT('TO HOP'!$C$99:$AI$99,'TO HOP'!$C$48:$AI$48)-'TO HOP'!$AF$99*'TO HOP'!$AF$48-'TO HOP'!$AG$99*'TO HOP'!$AG$48+$M6*'DONG DAT'!$D$23</f>
        <v>903.27760058200022</v>
      </c>
      <c r="I6" s="54">
        <f>SUMPRODUCT('TO HOP'!$C$99:$AI$99,'TO HOP'!$C$49:$AI$49)-'TO HOP'!$AF$99*'TO HOP'!$AF$49-'TO HOP'!$AG$99*'TO HOP'!$AG$49+0</f>
        <v>15577.730005000001</v>
      </c>
      <c r="J6" s="54">
        <f>SUMPRODUCT('TO HOP'!$C$99:$AI$99,'TO HOP'!$C$50:$AI$50)-'TO HOP'!$AF$99*'TO HOP'!$AF$50-'TO HOP'!$AG$99*'TO HOP'!$AG$50+$M6*'DONG DAT'!$H$22</f>
        <v>9780.4170598968449</v>
      </c>
      <c r="K6" s="54">
        <f>SUMPRODUCT('TO HOP'!$C$99:$AI$99,'TO HOP'!$C$51:$AI$51)-'TO HOP'!$AF$99*'TO HOP'!$AF$51-'TO HOP'!$AG$99*'TO HOP'!$AG$51+$L6*'DONG DAT'!$H$22+$R6*Htb/2</f>
        <v>37130.619614203046</v>
      </c>
      <c r="L6" s="40">
        <v>1</v>
      </c>
      <c r="M6" s="40">
        <v>0.3</v>
      </c>
      <c r="N6" s="53">
        <f t="shared" ref="N6:N13" si="0">khdd*$L6</f>
        <v>0.1108</v>
      </c>
      <c r="O6" s="53">
        <f t="shared" ref="O6:O13" si="1">DEGREES(ATAN(N6))</f>
        <v>6.322583173930961</v>
      </c>
      <c r="P6" s="53">
        <f t="shared" ref="P6:P13" si="2">COS(RADIANS(phid-O6))^2/(COS(RADIANS(O6))*COS(RADIANS(delw+O6))*(1+SQRT(MAX(0,SIN(RADIANS(phid+delw))*SIN(RADIANS(phid-O6-betw))/(COS(RADIANS(delw+O6))*COS(RADIANS(betw))))))^2)</f>
        <v>0.40411281848305297</v>
      </c>
      <c r="Q6" s="53">
        <f t="shared" ref="Q6:Q13" si="3">(P6-Ka_)*0.5*gs_*Hdb^2*BeffEH</f>
        <v>1438.5420179335399</v>
      </c>
      <c r="R6" s="53">
        <f t="shared" ref="R6:R13" si="4">(P6-Ka_)*0.5*gs_*Htb^2*BeffEH</f>
        <v>938.83880989629961</v>
      </c>
    </row>
    <row r="7" spans="1:18" x14ac:dyDescent="0.3">
      <c r="A7" s="40" t="s">
        <v>903</v>
      </c>
      <c r="B7" s="54">
        <f>SUMPRODUCT('TO HOP'!$C$99:$AI$99,'TO HOP'!$C$42:$AI$42)-'TO HOP'!$AF$99*'TO HOP'!$AF$42-'TO HOP'!$AG$99*'TO HOP'!$AG$42+$L7*'DONG DAT'!$D$22+$Q7</f>
        <v>14466.422314473808</v>
      </c>
      <c r="C7" s="54">
        <f>SUMPRODUCT('TO HOP'!$C$99:$AI$99,'TO HOP'!$C$43:$AI$43)-'TO HOP'!$AF$99*'TO HOP'!$AF$43-'TO HOP'!$AG$99*'TO HOP'!$AG$43+$M7*'DONG DAT'!$D$22</f>
        <v>-1421.1011235820001</v>
      </c>
      <c r="D7" s="54">
        <f>SUMPRODUCT('TO HOP'!$C$99:$AI$99,'TO HOP'!$C$44:$AI$44)-'TO HOP'!$AF$99*'TO HOP'!$AF$44-'TO HOP'!$AG$99*'TO HOP'!$AG$44+0</f>
        <v>31382.252095000007</v>
      </c>
      <c r="E7" s="54">
        <f>SUMPRODUCT('TO HOP'!$C$99:$AI$99,'TO HOP'!$C$45:$AI$45)-'TO HOP'!$AF$99*'TO HOP'!$AF$45-'TO HOP'!$AG$99*'TO HOP'!$AG$45+$M7*'DONG DAT'!$F$22</f>
        <v>-1242.0447766444449</v>
      </c>
      <c r="F7" s="54">
        <f>SUMPRODUCT('TO HOP'!$C$99:$AI$99,'TO HOP'!$C$46:$AI$46)-'TO HOP'!$AF$99*'TO HOP'!$AF$46-'TO HOP'!$AG$99*'TO HOP'!$AG$46+$L7*'DONG DAT'!$F$22+$Q7*Hdb/2</f>
        <v>49526.230404038251</v>
      </c>
      <c r="G7" s="54">
        <f>SUMPRODUCT('TO HOP'!$C$99:$AI$99,'TO HOP'!$C$47:$AI$47)-'TO HOP'!$AF$99*'TO HOP'!$AF$47-'TO HOP'!$AG$99*'TO HOP'!$AG$47+$L7*'DONG DAT'!$D$23+$R7</f>
        <v>9720.5617524257177</v>
      </c>
      <c r="H7" s="54">
        <f>SUMPRODUCT('TO HOP'!$C$99:$AI$99,'TO HOP'!$C$48:$AI$48)-'TO HOP'!$AF$99*'TO HOP'!$AF$48-'TO HOP'!$AG$99*'TO HOP'!$AG$48+$M7*'DONG DAT'!$D$23</f>
        <v>-903.27760058200022</v>
      </c>
      <c r="I7" s="54">
        <f>SUMPRODUCT('TO HOP'!$C$99:$AI$99,'TO HOP'!$C$49:$AI$49)-'TO HOP'!$AF$99*'TO HOP'!$AF$49-'TO HOP'!$AG$99*'TO HOP'!$AG$49+0</f>
        <v>15577.730005000001</v>
      </c>
      <c r="J7" s="54">
        <f>SUMPRODUCT('TO HOP'!$C$99:$AI$99,'TO HOP'!$C$50:$AI$50)-'TO HOP'!$AF$99*'TO HOP'!$AF$50-'TO HOP'!$AG$99*'TO HOP'!$AG$50+$M7*'DONG DAT'!$H$22</f>
        <v>849.89607510315727</v>
      </c>
      <c r="K7" s="54">
        <f>SUMPRODUCT('TO HOP'!$C$99:$AI$99,'TO HOP'!$C$51:$AI$51)-'TO HOP'!$AF$99*'TO HOP'!$AF$51-'TO HOP'!$AG$99*'TO HOP'!$AG$51+$L7*'DONG DAT'!$H$22+$R7*Htb/2</f>
        <v>37130.619614203046</v>
      </c>
      <c r="L7" s="40">
        <v>1</v>
      </c>
      <c r="M7" s="40">
        <v>-0.3</v>
      </c>
      <c r="N7" s="53">
        <f t="shared" si="0"/>
        <v>0.1108</v>
      </c>
      <c r="O7" s="53">
        <f t="shared" si="1"/>
        <v>6.322583173930961</v>
      </c>
      <c r="P7" s="53">
        <f t="shared" si="2"/>
        <v>0.40411281848305297</v>
      </c>
      <c r="Q7" s="53">
        <f t="shared" si="3"/>
        <v>1438.5420179335399</v>
      </c>
      <c r="R7" s="53">
        <f t="shared" si="4"/>
        <v>938.83880989629961</v>
      </c>
    </row>
    <row r="8" spans="1:18" x14ac:dyDescent="0.3">
      <c r="A8" s="40" t="s">
        <v>904</v>
      </c>
      <c r="B8" s="54">
        <f>SUMPRODUCT('TO HOP'!$C$99:$AI$99,'TO HOP'!$C$42:$AI$42)-'TO HOP'!$AF$99*'TO HOP'!$AF$42-'TO HOP'!$AG$99*'TO HOP'!$AG$42+$L8*'DONG DAT'!$D$22+$Q8</f>
        <v>2367.7732571709166</v>
      </c>
      <c r="C8" s="54">
        <f>SUMPRODUCT('TO HOP'!$C$99:$AI$99,'TO HOP'!$C$43:$AI$43)-'TO HOP'!$AF$99*'TO HOP'!$AF$43-'TO HOP'!$AG$99*'TO HOP'!$AG$43+$M8*'DONG DAT'!$D$22</f>
        <v>1421.1011235820001</v>
      </c>
      <c r="D8" s="54">
        <f>SUMPRODUCT('TO HOP'!$C$99:$AI$99,'TO HOP'!$C$44:$AI$44)-'TO HOP'!$AF$99*'TO HOP'!$AF$44-'TO HOP'!$AG$99*'TO HOP'!$AG$44+0</f>
        <v>31382.252095000007</v>
      </c>
      <c r="E8" s="54">
        <f>SUMPRODUCT('TO HOP'!$C$99:$AI$99,'TO HOP'!$C$45:$AI$45)-'TO HOP'!$AF$99*'TO HOP'!$AF$45-'TO HOP'!$AG$99*'TO HOP'!$AG$45+$M8*'DONG DAT'!$F$22</f>
        <v>11872.357911644445</v>
      </c>
      <c r="F8" s="54">
        <f>SUMPRODUCT('TO HOP'!$C$99:$AI$99,'TO HOP'!$C$46:$AI$46)-'TO HOP'!$AF$99*'TO HOP'!$AF$46-'TO HOP'!$AG$99*'TO HOP'!$AG$46+$L8*'DONG DAT'!$F$22+$Q8*Hdb/2</f>
        <v>-6482.2663222775373</v>
      </c>
      <c r="G8" s="54">
        <f>SUMPRODUCT('TO HOP'!$C$99:$AI$99,'TO HOP'!$C$47:$AI$47)-'TO HOP'!$AF$99*'TO HOP'!$AF$47-'TO HOP'!$AG$99*'TO HOP'!$AG$47+$L8*'DONG DAT'!$D$23+$R8</f>
        <v>1985.7855404496345</v>
      </c>
      <c r="H8" s="54">
        <f>SUMPRODUCT('TO HOP'!$C$99:$AI$99,'TO HOP'!$C$48:$AI$48)-'TO HOP'!$AF$99*'TO HOP'!$AF$48-'TO HOP'!$AG$99*'TO HOP'!$AG$48+$M8*'DONG DAT'!$D$23</f>
        <v>903.27760058200022</v>
      </c>
      <c r="I8" s="54">
        <f>SUMPRODUCT('TO HOP'!$C$99:$AI$99,'TO HOP'!$C$49:$AI$49)-'TO HOP'!$AF$99*'TO HOP'!$AF$49-'TO HOP'!$AG$99*'TO HOP'!$AG$49+0</f>
        <v>15577.730005000001</v>
      </c>
      <c r="J8" s="54">
        <f>SUMPRODUCT('TO HOP'!$C$99:$AI$99,'TO HOP'!$C$50:$AI$50)-'TO HOP'!$AF$99*'TO HOP'!$AF$50-'TO HOP'!$AG$99*'TO HOP'!$AG$50+$M8*'DONG DAT'!$H$22</f>
        <v>9780.4170598968449</v>
      </c>
      <c r="K8" s="54">
        <f>SUMPRODUCT('TO HOP'!$C$99:$AI$99,'TO HOP'!$C$51:$AI$51)-'TO HOP'!$AF$99*'TO HOP'!$AF$51-'TO HOP'!$AG$99*'TO HOP'!$AG$51+$L8*'DONG DAT'!$H$22+$R8*Htb/2</f>
        <v>880.50608278850996</v>
      </c>
      <c r="L8" s="40">
        <v>-1</v>
      </c>
      <c r="M8" s="40">
        <v>0.3</v>
      </c>
      <c r="N8" s="53">
        <f t="shared" si="0"/>
        <v>-0.1108</v>
      </c>
      <c r="O8" s="53">
        <f t="shared" si="1"/>
        <v>-6.322583173930961</v>
      </c>
      <c r="P8" s="53">
        <f t="shared" si="2"/>
        <v>0.27497458235115468</v>
      </c>
      <c r="Q8" s="53">
        <f t="shared" si="3"/>
        <v>-1186.0995488226838</v>
      </c>
      <c r="R8" s="53">
        <f t="shared" si="4"/>
        <v>-774.08673153311565</v>
      </c>
    </row>
    <row r="9" spans="1:18" x14ac:dyDescent="0.3">
      <c r="A9" s="40" t="s">
        <v>905</v>
      </c>
      <c r="B9" s="54">
        <f>SUMPRODUCT('TO HOP'!$C$99:$AI$99,'TO HOP'!$C$42:$AI$42)-'TO HOP'!$AF$99*'TO HOP'!$AF$42-'TO HOP'!$AG$99*'TO HOP'!$AG$42+$L9*'DONG DAT'!$D$22+$Q9</f>
        <v>2367.7732571709166</v>
      </c>
      <c r="C9" s="54">
        <f>SUMPRODUCT('TO HOP'!$C$99:$AI$99,'TO HOP'!$C$43:$AI$43)-'TO HOP'!$AF$99*'TO HOP'!$AF$43-'TO HOP'!$AG$99*'TO HOP'!$AG$43+$M9*'DONG DAT'!$D$22</f>
        <v>-1421.1011235820001</v>
      </c>
      <c r="D9" s="54">
        <f>SUMPRODUCT('TO HOP'!$C$99:$AI$99,'TO HOP'!$C$44:$AI$44)-'TO HOP'!$AF$99*'TO HOP'!$AF$44-'TO HOP'!$AG$99*'TO HOP'!$AG$44+0</f>
        <v>31382.252095000007</v>
      </c>
      <c r="E9" s="54">
        <f>SUMPRODUCT('TO HOP'!$C$99:$AI$99,'TO HOP'!$C$45:$AI$45)-'TO HOP'!$AF$99*'TO HOP'!$AF$45-'TO HOP'!$AG$99*'TO HOP'!$AG$45+$M9*'DONG DAT'!$F$22</f>
        <v>-1242.0447766444449</v>
      </c>
      <c r="F9" s="54">
        <f>SUMPRODUCT('TO HOP'!$C$99:$AI$99,'TO HOP'!$C$46:$AI$46)-'TO HOP'!$AF$99*'TO HOP'!$AF$46-'TO HOP'!$AG$99*'TO HOP'!$AG$46+$L9*'DONG DAT'!$F$22+$Q9*Hdb/2</f>
        <v>-6482.2663222775373</v>
      </c>
      <c r="G9" s="54">
        <f>SUMPRODUCT('TO HOP'!$C$99:$AI$99,'TO HOP'!$C$47:$AI$47)-'TO HOP'!$AF$99*'TO HOP'!$AF$47-'TO HOP'!$AG$99*'TO HOP'!$AG$47+$L9*'DONG DAT'!$D$23+$R9</f>
        <v>1985.7855404496345</v>
      </c>
      <c r="H9" s="54">
        <f>SUMPRODUCT('TO HOP'!$C$99:$AI$99,'TO HOP'!$C$48:$AI$48)-'TO HOP'!$AF$99*'TO HOP'!$AF$48-'TO HOP'!$AG$99*'TO HOP'!$AG$48+$M9*'DONG DAT'!$D$23</f>
        <v>-903.27760058200022</v>
      </c>
      <c r="I9" s="54">
        <f>SUMPRODUCT('TO HOP'!$C$99:$AI$99,'TO HOP'!$C$49:$AI$49)-'TO HOP'!$AF$99*'TO HOP'!$AF$49-'TO HOP'!$AG$99*'TO HOP'!$AG$49+0</f>
        <v>15577.730005000001</v>
      </c>
      <c r="J9" s="54">
        <f>SUMPRODUCT('TO HOP'!$C$99:$AI$99,'TO HOP'!$C$50:$AI$50)-'TO HOP'!$AF$99*'TO HOP'!$AF$50-'TO HOP'!$AG$99*'TO HOP'!$AG$50+$M9*'DONG DAT'!$H$22</f>
        <v>849.89607510315727</v>
      </c>
      <c r="K9" s="54">
        <f>SUMPRODUCT('TO HOP'!$C$99:$AI$99,'TO HOP'!$C$51:$AI$51)-'TO HOP'!$AF$99*'TO HOP'!$AF$51-'TO HOP'!$AG$99*'TO HOP'!$AG$51+$L9*'DONG DAT'!$H$22+$R9*Htb/2</f>
        <v>880.50608278850996</v>
      </c>
      <c r="L9" s="40">
        <v>-1</v>
      </c>
      <c r="M9" s="40">
        <v>-0.3</v>
      </c>
      <c r="N9" s="53">
        <f t="shared" si="0"/>
        <v>-0.1108</v>
      </c>
      <c r="O9" s="53">
        <f t="shared" si="1"/>
        <v>-6.322583173930961</v>
      </c>
      <c r="P9" s="53">
        <f t="shared" si="2"/>
        <v>0.27497458235115468</v>
      </c>
      <c r="Q9" s="53">
        <f t="shared" si="3"/>
        <v>-1186.0995488226838</v>
      </c>
      <c r="R9" s="53">
        <f t="shared" si="4"/>
        <v>-774.08673153311565</v>
      </c>
    </row>
    <row r="10" spans="1:18" x14ac:dyDescent="0.3">
      <c r="A10" s="40" t="s">
        <v>906</v>
      </c>
      <c r="B10" s="54">
        <f>SUMPRODUCT('TO HOP'!$C$99:$AI$99,'TO HOP'!$C$42:$AI$42)-'TO HOP'!$AF$99*'TO HOP'!$AF$42-'TO HOP'!$AG$99*'TO HOP'!$AG$42+$L10*'DONG DAT'!$D$22+$Q10</f>
        <v>10113.586880426968</v>
      </c>
      <c r="C10" s="54">
        <f>SUMPRODUCT('TO HOP'!$C$99:$AI$99,'TO HOP'!$C$43:$AI$43)-'TO HOP'!$AF$99*'TO HOP'!$AF$43-'TO HOP'!$AG$99*'TO HOP'!$AG$43+$M10*'DONG DAT'!$D$22</f>
        <v>4737.0037452733341</v>
      </c>
      <c r="D10" s="54">
        <f>SUMPRODUCT('TO HOP'!$C$99:$AI$99,'TO HOP'!$C$44:$AI$44)-'TO HOP'!$AF$99*'TO HOP'!$AF$44-'TO HOP'!$AG$99*'TO HOP'!$AG$44+0</f>
        <v>31382.252095000007</v>
      </c>
      <c r="E10" s="54">
        <f>SUMPRODUCT('TO HOP'!$C$99:$AI$99,'TO HOP'!$C$45:$AI$45)-'TO HOP'!$AF$99*'TO HOP'!$AF$45-'TO HOP'!$AG$99*'TO HOP'!$AG$45+$M10*'DONG DAT'!$F$22</f>
        <v>27172.49438131482</v>
      </c>
      <c r="F10" s="54">
        <f>SUMPRODUCT('TO HOP'!$C$99:$AI$99,'TO HOP'!$C$46:$AI$46)-'TO HOP'!$AF$99*'TO HOP'!$AF$46-'TO HOP'!$AG$99*'TO HOP'!$AG$46+$L10*'DONG DAT'!$F$22+$Q10*Hdb/2</f>
        <v>29369.100641294684</v>
      </c>
      <c r="G10" s="54">
        <f>SUMPRODUCT('TO HOP'!$C$99:$AI$99,'TO HOP'!$C$47:$AI$47)-'TO HOP'!$AF$99*'TO HOP'!$AF$47-'TO HOP'!$AG$99*'TO HOP'!$AG$47+$L10*'DONG DAT'!$D$23+$R10</f>
        <v>6936.1782982642544</v>
      </c>
      <c r="H10" s="54">
        <f>SUMPRODUCT('TO HOP'!$C$99:$AI$99,'TO HOP'!$C$48:$AI$48)-'TO HOP'!$AF$99*'TO HOP'!$AF$48-'TO HOP'!$AG$99*'TO HOP'!$AG$48+$M10*'DONG DAT'!$D$23</f>
        <v>3010.925335273334</v>
      </c>
      <c r="I10" s="54">
        <f>SUMPRODUCT('TO HOP'!$C$99:$AI$99,'TO HOP'!$C$49:$AI$49)-'TO HOP'!$AF$99*'TO HOP'!$AF$49-'TO HOP'!$AG$99*'TO HOP'!$AG$49+0</f>
        <v>15577.730005000001</v>
      </c>
      <c r="J10" s="54">
        <f>SUMPRODUCT('TO HOP'!$C$99:$AI$99,'TO HOP'!$C$50:$AI$50)-'TO HOP'!$AF$99*'TO HOP'!$AF$50-'TO HOP'!$AG$99*'TO HOP'!$AG$50+$M10*'DONG DAT'!$H$22</f>
        <v>20199.358208822814</v>
      </c>
      <c r="K10" s="54">
        <f>SUMPRODUCT('TO HOP'!$C$99:$AI$99,'TO HOP'!$C$51:$AI$51)-'TO HOP'!$AF$99*'TO HOP'!$AF$51-'TO HOP'!$AG$99*'TO HOP'!$AG$51+$L10*'DONG DAT'!$H$22+$R10*Htb/2</f>
        <v>24150.910502802104</v>
      </c>
      <c r="L10" s="40">
        <v>0.3</v>
      </c>
      <c r="M10" s="40">
        <v>1</v>
      </c>
      <c r="N10" s="53">
        <f t="shared" si="0"/>
        <v>3.3239999999999999E-2</v>
      </c>
      <c r="O10" s="53">
        <f t="shared" si="1"/>
        <v>1.9038107455137128</v>
      </c>
      <c r="P10" s="53">
        <f t="shared" si="2"/>
        <v>0.35309340460538041</v>
      </c>
      <c r="Q10" s="53">
        <f t="shared" si="3"/>
        <v>401.60920557803371</v>
      </c>
      <c r="R10" s="53">
        <f t="shared" si="4"/>
        <v>262.1030904261699</v>
      </c>
    </row>
    <row r="11" spans="1:18" x14ac:dyDescent="0.3">
      <c r="A11" s="40" t="s">
        <v>907</v>
      </c>
      <c r="B11" s="54">
        <f>SUMPRODUCT('TO HOP'!$C$99:$AI$99,'TO HOP'!$C$42:$AI$42)-'TO HOP'!$AF$99*'TO HOP'!$AF$42-'TO HOP'!$AG$99*'TO HOP'!$AG$42+$L11*'DONG DAT'!$D$22+$Q11</f>
        <v>6490.6457710966224</v>
      </c>
      <c r="C11" s="54">
        <f>SUMPRODUCT('TO HOP'!$C$99:$AI$99,'TO HOP'!$C$43:$AI$43)-'TO HOP'!$AF$99*'TO HOP'!$AF$43-'TO HOP'!$AG$99*'TO HOP'!$AG$43+$M11*'DONG DAT'!$D$22</f>
        <v>4737.0037452733341</v>
      </c>
      <c r="D11" s="54">
        <f>SUMPRODUCT('TO HOP'!$C$99:$AI$99,'TO HOP'!$C$44:$AI$44)-'TO HOP'!$AF$99*'TO HOP'!$AF$44-'TO HOP'!$AG$99*'TO HOP'!$AG$44+0</f>
        <v>31382.252095000007</v>
      </c>
      <c r="E11" s="54">
        <f>SUMPRODUCT('TO HOP'!$C$99:$AI$99,'TO HOP'!$C$45:$AI$45)-'TO HOP'!$AF$99*'TO HOP'!$AF$45-'TO HOP'!$AG$99*'TO HOP'!$AG$45+$M11*'DONG DAT'!$F$22</f>
        <v>27172.49438131482</v>
      </c>
      <c r="F11" s="54">
        <f>SUMPRODUCT('TO HOP'!$C$99:$AI$99,'TO HOP'!$C$46:$AI$46)-'TO HOP'!$AF$99*'TO HOP'!$AF$46-'TO HOP'!$AG$99*'TO HOP'!$AG$46+$L11*'DONG DAT'!$F$22+$Q11*Hdb/2</f>
        <v>12597.717122618636</v>
      </c>
      <c r="G11" s="54">
        <f>SUMPRODUCT('TO HOP'!$C$99:$AI$99,'TO HOP'!$C$47:$AI$47)-'TO HOP'!$AF$99*'TO HOP'!$AF$47-'TO HOP'!$AG$99*'TO HOP'!$AG$47+$L11*'DONG DAT'!$D$23+$R11</f>
        <v>4620.0877932590929</v>
      </c>
      <c r="H11" s="54">
        <f>SUMPRODUCT('TO HOP'!$C$99:$AI$99,'TO HOP'!$C$48:$AI$48)-'TO HOP'!$AF$99*'TO HOP'!$AF$48-'TO HOP'!$AG$99*'TO HOP'!$AG$48+$M11*'DONG DAT'!$D$23</f>
        <v>3010.925335273334</v>
      </c>
      <c r="I11" s="54">
        <f>SUMPRODUCT('TO HOP'!$C$99:$AI$99,'TO HOP'!$C$49:$AI$49)-'TO HOP'!$AF$99*'TO HOP'!$AF$49-'TO HOP'!$AG$99*'TO HOP'!$AG$49+0</f>
        <v>15577.730005000001</v>
      </c>
      <c r="J11" s="54">
        <f>SUMPRODUCT('TO HOP'!$C$99:$AI$99,'TO HOP'!$C$50:$AI$50)-'TO HOP'!$AF$99*'TO HOP'!$AF$50-'TO HOP'!$AG$99*'TO HOP'!$AG$50+$M11*'DONG DAT'!$H$22</f>
        <v>20199.358208822814</v>
      </c>
      <c r="K11" s="54">
        <f>SUMPRODUCT('TO HOP'!$C$99:$AI$99,'TO HOP'!$C$51:$AI$51)-'TO HOP'!$AF$99*'TO HOP'!$AF$51-'TO HOP'!$AG$99*'TO HOP'!$AG$51+$L11*'DONG DAT'!$H$22+$R11*Htb/2</f>
        <v>13292.307928273467</v>
      </c>
      <c r="L11" s="40">
        <v>-0.3</v>
      </c>
      <c r="M11" s="40">
        <v>1</v>
      </c>
      <c r="N11" s="53">
        <f t="shared" si="0"/>
        <v>-3.3239999999999999E-2</v>
      </c>
      <c r="O11" s="53">
        <f t="shared" si="1"/>
        <v>-1.9038107455137128</v>
      </c>
      <c r="P11" s="53">
        <f t="shared" si="2"/>
        <v>0.31467930615597051</v>
      </c>
      <c r="Q11" s="53">
        <f t="shared" si="3"/>
        <v>-379.12965658831126</v>
      </c>
      <c r="R11" s="53">
        <f t="shared" si="4"/>
        <v>-247.43221341499063</v>
      </c>
    </row>
    <row r="12" spans="1:18" x14ac:dyDescent="0.3">
      <c r="A12" s="40" t="s">
        <v>908</v>
      </c>
      <c r="B12" s="54">
        <f>SUMPRODUCT('TO HOP'!$C$99:$AI$99,'TO HOP'!$C$42:$AI$42)-'TO HOP'!$AF$99*'TO HOP'!$AF$42-'TO HOP'!$AG$99*'TO HOP'!$AG$42+$L12*'DONG DAT'!$D$22+$Q12</f>
        <v>10113.586880426968</v>
      </c>
      <c r="C12" s="54">
        <f>SUMPRODUCT('TO HOP'!$C$99:$AI$99,'TO HOP'!$C$43:$AI$43)-'TO HOP'!$AF$99*'TO HOP'!$AF$43-'TO HOP'!$AG$99*'TO HOP'!$AG$43+$M12*'DONG DAT'!$D$22</f>
        <v>-4737.0037452733341</v>
      </c>
      <c r="D12" s="54">
        <f>SUMPRODUCT('TO HOP'!$C$99:$AI$99,'TO HOP'!$C$44:$AI$44)-'TO HOP'!$AF$99*'TO HOP'!$AF$44-'TO HOP'!$AG$99*'TO HOP'!$AG$44+0</f>
        <v>31382.252095000007</v>
      </c>
      <c r="E12" s="54">
        <f>SUMPRODUCT('TO HOP'!$C$99:$AI$99,'TO HOP'!$C$45:$AI$45)-'TO HOP'!$AF$99*'TO HOP'!$AF$45-'TO HOP'!$AG$99*'TO HOP'!$AG$45+$M12*'DONG DAT'!$F$22</f>
        <v>-16542.181246314816</v>
      </c>
      <c r="F12" s="54">
        <f>SUMPRODUCT('TO HOP'!$C$99:$AI$99,'TO HOP'!$C$46:$AI$46)-'TO HOP'!$AF$99*'TO HOP'!$AF$46-'TO HOP'!$AG$99*'TO HOP'!$AG$46+$L12*'DONG DAT'!$F$22+$Q12*Hdb/2</f>
        <v>29369.100641294684</v>
      </c>
      <c r="G12" s="54">
        <f>SUMPRODUCT('TO HOP'!$C$99:$AI$99,'TO HOP'!$C$47:$AI$47)-'TO HOP'!$AF$99*'TO HOP'!$AF$47-'TO HOP'!$AG$99*'TO HOP'!$AG$47+$L12*'DONG DAT'!$D$23+$R12</f>
        <v>6936.1782982642544</v>
      </c>
      <c r="H12" s="54">
        <f>SUMPRODUCT('TO HOP'!$C$99:$AI$99,'TO HOP'!$C$48:$AI$48)-'TO HOP'!$AF$99*'TO HOP'!$AF$48-'TO HOP'!$AG$99*'TO HOP'!$AG$48+$M12*'DONG DAT'!$D$23</f>
        <v>-3010.925335273334</v>
      </c>
      <c r="I12" s="54">
        <f>SUMPRODUCT('TO HOP'!$C$99:$AI$99,'TO HOP'!$C$49:$AI$49)-'TO HOP'!$AF$99*'TO HOP'!$AF$49-'TO HOP'!$AG$99*'TO HOP'!$AG$49+0</f>
        <v>15577.730005000001</v>
      </c>
      <c r="J12" s="54">
        <f>SUMPRODUCT('TO HOP'!$C$99:$AI$99,'TO HOP'!$C$50:$AI$50)-'TO HOP'!$AF$99*'TO HOP'!$AF$50-'TO HOP'!$AG$99*'TO HOP'!$AG$50+$M12*'DONG DAT'!$H$22</f>
        <v>-9569.0450738228137</v>
      </c>
      <c r="K12" s="54">
        <f>SUMPRODUCT('TO HOP'!$C$99:$AI$99,'TO HOP'!$C$51:$AI$51)-'TO HOP'!$AF$99*'TO HOP'!$AF$51-'TO HOP'!$AG$99*'TO HOP'!$AG$51+$L12*'DONG DAT'!$H$22+$R12*Htb/2</f>
        <v>24150.910502802104</v>
      </c>
      <c r="L12" s="40">
        <v>0.3</v>
      </c>
      <c r="M12" s="40">
        <v>-1</v>
      </c>
      <c r="N12" s="53">
        <f t="shared" si="0"/>
        <v>3.3239999999999999E-2</v>
      </c>
      <c r="O12" s="53">
        <f t="shared" si="1"/>
        <v>1.9038107455137128</v>
      </c>
      <c r="P12" s="53">
        <f t="shared" si="2"/>
        <v>0.35309340460538041</v>
      </c>
      <c r="Q12" s="53">
        <f t="shared" si="3"/>
        <v>401.60920557803371</v>
      </c>
      <c r="R12" s="53">
        <f t="shared" si="4"/>
        <v>262.1030904261699</v>
      </c>
    </row>
    <row r="13" spans="1:18" x14ac:dyDescent="0.3">
      <c r="A13" s="40" t="s">
        <v>909</v>
      </c>
      <c r="B13" s="54">
        <f>SUMPRODUCT('TO HOP'!$C$99:$AI$99,'TO HOP'!$C$42:$AI$42)-'TO HOP'!$AF$99*'TO HOP'!$AF$42-'TO HOP'!$AG$99*'TO HOP'!$AG$42+$L13*'DONG DAT'!$D$22+$Q13</f>
        <v>6490.6457710966224</v>
      </c>
      <c r="C13" s="54">
        <f>SUMPRODUCT('TO HOP'!$C$99:$AI$99,'TO HOP'!$C$43:$AI$43)-'TO HOP'!$AF$99*'TO HOP'!$AF$43-'TO HOP'!$AG$99*'TO HOP'!$AG$43+$M13*'DONG DAT'!$D$22</f>
        <v>-4737.0037452733341</v>
      </c>
      <c r="D13" s="54">
        <f>SUMPRODUCT('TO HOP'!$C$99:$AI$99,'TO HOP'!$C$44:$AI$44)-'TO HOP'!$AF$99*'TO HOP'!$AF$44-'TO HOP'!$AG$99*'TO HOP'!$AG$44+0</f>
        <v>31382.252095000007</v>
      </c>
      <c r="E13" s="54">
        <f>SUMPRODUCT('TO HOP'!$C$99:$AI$99,'TO HOP'!$C$45:$AI$45)-'TO HOP'!$AF$99*'TO HOP'!$AF$45-'TO HOP'!$AG$99*'TO HOP'!$AG$45+$M13*'DONG DAT'!$F$22</f>
        <v>-16542.181246314816</v>
      </c>
      <c r="F13" s="54">
        <f>SUMPRODUCT('TO HOP'!$C$99:$AI$99,'TO HOP'!$C$46:$AI$46)-'TO HOP'!$AF$99*'TO HOP'!$AF$46-'TO HOP'!$AG$99*'TO HOP'!$AG$46+$L13*'DONG DAT'!$F$22+$Q13*Hdb/2</f>
        <v>12597.717122618636</v>
      </c>
      <c r="G13" s="54">
        <f>SUMPRODUCT('TO HOP'!$C$99:$AI$99,'TO HOP'!$C$47:$AI$47)-'TO HOP'!$AF$99*'TO HOP'!$AF$47-'TO HOP'!$AG$99*'TO HOP'!$AG$47+$L13*'DONG DAT'!$D$23+$R13</f>
        <v>4620.0877932590929</v>
      </c>
      <c r="H13" s="54">
        <f>SUMPRODUCT('TO HOP'!$C$99:$AI$99,'TO HOP'!$C$48:$AI$48)-'TO HOP'!$AF$99*'TO HOP'!$AF$48-'TO HOP'!$AG$99*'TO HOP'!$AG$48+$M13*'DONG DAT'!$D$23</f>
        <v>-3010.925335273334</v>
      </c>
      <c r="I13" s="54">
        <f>SUMPRODUCT('TO HOP'!$C$99:$AI$99,'TO HOP'!$C$49:$AI$49)-'TO HOP'!$AF$99*'TO HOP'!$AF$49-'TO HOP'!$AG$99*'TO HOP'!$AG$49+0</f>
        <v>15577.730005000001</v>
      </c>
      <c r="J13" s="54">
        <f>SUMPRODUCT('TO HOP'!$C$99:$AI$99,'TO HOP'!$C$50:$AI$50)-'TO HOP'!$AF$99*'TO HOP'!$AF$50-'TO HOP'!$AG$99*'TO HOP'!$AG$50+$M13*'DONG DAT'!$H$22</f>
        <v>-9569.0450738228137</v>
      </c>
      <c r="K13" s="54">
        <f>SUMPRODUCT('TO HOP'!$C$99:$AI$99,'TO HOP'!$C$51:$AI$51)-'TO HOP'!$AF$99*'TO HOP'!$AF$51-'TO HOP'!$AG$99*'TO HOP'!$AG$51+$L13*'DONG DAT'!$H$22+$R13*Htb/2</f>
        <v>13292.307928273467</v>
      </c>
      <c r="L13" s="40">
        <v>-0.3</v>
      </c>
      <c r="M13" s="40">
        <v>-1</v>
      </c>
      <c r="N13" s="53">
        <f t="shared" si="0"/>
        <v>-3.3239999999999999E-2</v>
      </c>
      <c r="O13" s="53">
        <f t="shared" si="1"/>
        <v>-1.9038107455137128</v>
      </c>
      <c r="P13" s="53">
        <f t="shared" si="2"/>
        <v>0.31467930615597051</v>
      </c>
      <c r="Q13" s="53">
        <f t="shared" si="3"/>
        <v>-379.12965658831126</v>
      </c>
      <c r="R13" s="53">
        <f t="shared" si="4"/>
        <v>-247.43221341499063</v>
      </c>
    </row>
    <row r="15" spans="1:18" ht="31.95" customHeight="1" x14ac:dyDescent="0.3">
      <c r="A15" t="s">
        <v>861</v>
      </c>
      <c r="B15" s="92" t="s">
        <v>910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</row>
    <row r="16" spans="1:18" ht="31.95" customHeight="1" x14ac:dyDescent="0.3">
      <c r="B16" s="92"/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</row>
  </sheetData>
  <mergeCells count="4">
    <mergeCell ref="A1:R1"/>
    <mergeCell ref="A2:R2"/>
    <mergeCell ref="A4:R4"/>
    <mergeCell ref="B15:M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177</vt:i4>
      </vt:variant>
    </vt:vector>
  </HeadingPairs>
  <TitlesOfParts>
    <vt:vector size="197" baseType="lpstr">
      <vt:lpstr>QA MO</vt:lpstr>
      <vt:lpstr>HDSD</vt:lpstr>
      <vt:lpstr>INPUT</vt:lpstr>
      <vt:lpstr>TINH TAI</vt:lpstr>
      <vt:lpstr>HOAT TAI</vt:lpstr>
      <vt:lpstr>DAT-EH</vt:lpstr>
      <vt:lpstr>GIO</vt:lpstr>
      <vt:lpstr>DONG DAT</vt:lpstr>
      <vt:lpstr>TO HOP</vt:lpstr>
      <vt:lpstr>TS-PILE</vt:lpstr>
      <vt:lpstr>KT THAN</vt:lpstr>
      <vt:lpstr>KT BE</vt:lpstr>
      <vt:lpstr>TUONG CANH</vt:lpstr>
      <vt:lpstr>TUONG DINH</vt:lpstr>
      <vt:lpstr>TS-COL-CAP</vt:lpstr>
      <vt:lpstr>CAT THAN</vt:lpstr>
      <vt:lpstr>LANE ENGINE</vt:lpstr>
      <vt:lpstr>TO HOP NLAN</vt:lpstr>
      <vt:lpstr>PILE NLAN</vt:lpstr>
      <vt:lpstr>TO HOP EQ</vt:lpstr>
      <vt:lpstr>Add</vt:lpstr>
      <vt:lpstr>askew</vt:lpstr>
      <vt:lpstr>B1_</vt:lpstr>
      <vt:lpstr>B11_</vt:lpstr>
      <vt:lpstr>B12_</vt:lpstr>
      <vt:lpstr>B2_</vt:lpstr>
      <vt:lpstr>B3_</vt:lpstr>
      <vt:lpstr>B4_</vt:lpstr>
      <vt:lpstr>B5_</vt:lpstr>
      <vt:lpstr>B7_</vt:lpstr>
      <vt:lpstr>B8_</vt:lpstr>
      <vt:lpstr>B9_</vt:lpstr>
      <vt:lpstr>BeffEH</vt:lpstr>
      <vt:lpstr>BeffEV</vt:lpstr>
      <vt:lpstr>betw</vt:lpstr>
      <vt:lpstr>blc_</vt:lpstr>
      <vt:lpstr>bPL</vt:lpstr>
      <vt:lpstr>BR_Mdb</vt:lpstr>
      <vt:lpstr>BR_Mtb</vt:lpstr>
      <vt:lpstr>Bxe</vt:lpstr>
      <vt:lpstr>Cd1_</vt:lpstr>
      <vt:lpstr>Cd3_</vt:lpstr>
      <vt:lpstr>Cd4_</vt:lpstr>
      <vt:lpstr>Cd6_</vt:lpstr>
      <vt:lpstr>Cdkcn</vt:lpstr>
      <vt:lpstr>CE_H</vt:lpstr>
      <vt:lpstr>CE_Mdb</vt:lpstr>
      <vt:lpstr>CE_Mtb</vt:lpstr>
      <vt:lpstr>Csm_d</vt:lpstr>
      <vt:lpstr>Csm_n</vt:lpstr>
      <vt:lpstr>Cxmo</vt:lpstr>
      <vt:lpstr>DC2_G_db</vt:lpstr>
      <vt:lpstr>DC2_G_tb</vt:lpstr>
      <vt:lpstr>DC2_M_db</vt:lpstr>
      <vt:lpstr>DC2_M_tb</vt:lpstr>
      <vt:lpstr>DCkcn</vt:lpstr>
      <vt:lpstr>Dcoc</vt:lpstr>
      <vt:lpstr>delw</vt:lpstr>
      <vt:lpstr>DWkcn</vt:lpstr>
      <vt:lpstr>e_db</vt:lpstr>
      <vt:lpstr>e_tb</vt:lpstr>
      <vt:lpstr>Ec_</vt:lpstr>
      <vt:lpstr>EH_H_db</vt:lpstr>
      <vt:lpstr>EH_H_tb</vt:lpstr>
      <vt:lpstr>EH_M_db</vt:lpstr>
      <vt:lpstr>EH_M_tb</vt:lpstr>
      <vt:lpstr>EQd_H_db</vt:lpstr>
      <vt:lpstr>EQd_H_tb</vt:lpstr>
      <vt:lpstr>EQd_M_db</vt:lpstr>
      <vt:lpstr>EQd_M_tb</vt:lpstr>
      <vt:lpstr>EQn_H_db</vt:lpstr>
      <vt:lpstr>EQn_H_tb</vt:lpstr>
      <vt:lpstr>EQn_M_db</vt:lpstr>
      <vt:lpstr>EQn_M_tb</vt:lpstr>
      <vt:lpstr>Es_</vt:lpstr>
      <vt:lpstr>EV_M</vt:lpstr>
      <vt:lpstr>EV_N</vt:lpstr>
      <vt:lpstr>fc_</vt:lpstr>
      <vt:lpstr>fms</vt:lpstr>
      <vt:lpstr>fr_</vt:lpstr>
      <vt:lpstr>FR_H</vt:lpstr>
      <vt:lpstr>FR_Mdb</vt:lpstr>
      <vt:lpstr>FR_Mtb</vt:lpstr>
      <vt:lpstr>fy_</vt:lpstr>
      <vt:lpstr>gcbt</vt:lpstr>
      <vt:lpstr>gnc</vt:lpstr>
      <vt:lpstr>gs_</vt:lpstr>
      <vt:lpstr>H1_</vt:lpstr>
      <vt:lpstr>H12_</vt:lpstr>
      <vt:lpstr>H2_</vt:lpstr>
      <vt:lpstr>H3_</vt:lpstr>
      <vt:lpstr>H4_</vt:lpstr>
      <vt:lpstr>H6_</vt:lpstr>
      <vt:lpstr>H7_</vt:lpstr>
      <vt:lpstr>H8_</vt:lpstr>
      <vt:lpstr>hcx</vt:lpstr>
      <vt:lpstr>Hdb</vt:lpstr>
      <vt:lpstr>hgir</vt:lpstr>
      <vt:lpstr>hgoi</vt:lpstr>
      <vt:lpstr>hlc</vt:lpstr>
      <vt:lpstr>Htb</vt:lpstr>
      <vt:lpstr>IM_</vt:lpstr>
      <vt:lpstr>K1_</vt:lpstr>
      <vt:lpstr>Ka_</vt:lpstr>
      <vt:lpstr>KAE_</vt:lpstr>
      <vt:lpstr>khdd</vt:lpstr>
      <vt:lpstr>khmanual</vt:lpstr>
      <vt:lpstr>khmode</vt:lpstr>
      <vt:lpstr>LL_Mdb</vt:lpstr>
      <vt:lpstr>LL_Mtb</vt:lpstr>
      <vt:lpstr>LL_Mx</vt:lpstr>
      <vt:lpstr>LL_N</vt:lpstr>
      <vt:lpstr>Lnhip</vt:lpstr>
      <vt:lpstr>loaigoi</vt:lpstr>
      <vt:lpstr>LS_H_db</vt:lpstr>
      <vt:lpstr>LS_H_tb</vt:lpstr>
      <vt:lpstr>LS_M_db</vt:lpstr>
      <vt:lpstr>LS_M_tb</vt:lpstr>
      <vt:lpstr>Lsp</vt:lpstr>
      <vt:lpstr>nch1_</vt:lpstr>
      <vt:lpstr>nch2_</vt:lpstr>
      <vt:lpstr>nch3_</vt:lpstr>
      <vt:lpstr>nch4_</vt:lpstr>
      <vt:lpstr>ncoc</vt:lpstr>
      <vt:lpstr>ncx</vt:lpstr>
      <vt:lpstr>nd</vt:lpstr>
      <vt:lpstr>nhang</vt:lpstr>
      <vt:lpstr>nLan</vt:lpstr>
      <vt:lpstr>ntc</vt:lpstr>
      <vt:lpstr>ntt</vt:lpstr>
      <vt:lpstr>phid</vt:lpstr>
      <vt:lpstr>Pmax_CD</vt:lpstr>
      <vt:lpstr>Pmax_DB</vt:lpstr>
      <vt:lpstr>Pmax_SD</vt:lpstr>
      <vt:lpstr>Pmin_CD</vt:lpstr>
      <vt:lpstr>Pmin_DB</vt:lpstr>
      <vt:lpstr>pPL</vt:lpstr>
      <vt:lpstr>qlan</vt:lpstr>
      <vt:lpstr>Rcong</vt:lpstr>
      <vt:lpstr>Rkcn</vt:lpstr>
      <vt:lpstr>Rlan1</vt:lpstr>
      <vt:lpstr>Rmo</vt:lpstr>
      <vt:lpstr>Rxe1_</vt:lpstr>
      <vt:lpstr>sch1_</vt:lpstr>
      <vt:lpstr>sch2_</vt:lpstr>
      <vt:lpstr>sch3_</vt:lpstr>
      <vt:lpstr>sch4_</vt:lpstr>
      <vt:lpstr>Sdd</vt:lpstr>
      <vt:lpstr>Sgio</vt:lpstr>
      <vt:lpstr>sgoi</vt:lpstr>
      <vt:lpstr>soildd</vt:lpstr>
      <vt:lpstr>tcban</vt:lpstr>
      <vt:lpstr>TH_db</vt:lpstr>
      <vt:lpstr>TH_tb</vt:lpstr>
      <vt:lpstr>TH_ten</vt:lpstr>
      <vt:lpstr>TSPILE_FC</vt:lpstr>
      <vt:lpstr>TSPILE_L</vt:lpstr>
      <vt:lpstr>TSPILE_L0</vt:lpstr>
      <vt:lpstr>TSPILE_M</vt:lpstr>
      <vt:lpstr>TSPILE_MC</vt:lpstr>
      <vt:lpstr>TSPILE_MD</vt:lpstr>
      <vt:lpstr>TSPILE_MQ</vt:lpstr>
      <vt:lpstr>TSPILE_WC</vt:lpstr>
      <vt:lpstr>TU_H</vt:lpstr>
      <vt:lpstr>USE_TSPILE</vt:lpstr>
      <vt:lpstr>V_gio</vt:lpstr>
      <vt:lpstr>VB_</vt:lpstr>
      <vt:lpstr>vgzone</vt:lpstr>
      <vt:lpstr>VS_M</vt:lpstr>
      <vt:lpstr>VS_N</vt:lpstr>
      <vt:lpstr>Vtk</vt:lpstr>
      <vt:lpstr>Wcau</vt:lpstr>
      <vt:lpstr>WLd_H</vt:lpstr>
      <vt:lpstr>WLd_Mdb</vt:lpstr>
      <vt:lpstr>WLd_Mtb</vt:lpstr>
      <vt:lpstr>WLn_H</vt:lpstr>
      <vt:lpstr>WLn_Mdb</vt:lpstr>
      <vt:lpstr>WLn_Mtb</vt:lpstr>
      <vt:lpstr>WSd_H_25</vt:lpstr>
      <vt:lpstr>WSd_H_V</vt:lpstr>
      <vt:lpstr>WSd_Mdb_25</vt:lpstr>
      <vt:lpstr>WSd_Mdb_V</vt:lpstr>
      <vt:lpstr>WSd_Mtb_25</vt:lpstr>
      <vt:lpstr>WSd_Mtb_V</vt:lpstr>
      <vt:lpstr>WSn_H_25</vt:lpstr>
      <vt:lpstr>WSn_H_V</vt:lpstr>
      <vt:lpstr>WSn_Mdb_25</vt:lpstr>
      <vt:lpstr>WSn_Mdb_V</vt:lpstr>
      <vt:lpstr>WSn_Mtb_25</vt:lpstr>
      <vt:lpstr>WSn_Mtb_V</vt:lpstr>
      <vt:lpstr>WSv_Mdb</vt:lpstr>
      <vt:lpstr>WSv_Mtb</vt:lpstr>
      <vt:lpstr>WSv_N</vt:lpstr>
      <vt:lpstr>xh1_</vt:lpstr>
      <vt:lpstr>xh2_</vt:lpstr>
      <vt:lpstr>xh3_</vt:lpstr>
      <vt:lpstr>xh4_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Dung, Nguyen Ngoc (SCGPPP)</cp:lastModifiedBy>
  <dcterms:created xsi:type="dcterms:W3CDTF">2026-08-12T10:36:22Z</dcterms:created>
  <dcterms:modified xsi:type="dcterms:W3CDTF">2026-08-14T02:25:17Z</dcterms:modified>
</cp:coreProperties>
</file>